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ng.le\Local_Drive\Unapproval\"/>
    </mc:Choice>
  </mc:AlternateContent>
  <xr:revisionPtr revIDLastSave="0" documentId="13_ncr:1_{A3A98B67-64DD-4CEF-B46F-8EF6572167A6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Dashboard" sheetId="89" r:id="rId1"/>
    <sheet name="Summary 25-Aug" sheetId="83" r:id="rId2"/>
    <sheet name="FFAP" sheetId="84" state="hidden" r:id="rId3"/>
    <sheet name="Filter" sheetId="6" state="veryHidden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4. Waiting confirm" sheetId="90" r:id="rId10"/>
    <sheet name="2. Completed" sheetId="88" r:id="rId11"/>
    <sheet name="3. Transfer to sales" sheetId="28" r:id="rId12"/>
    <sheet name="5. FTYO Asset" sheetId="17" state="hidden" r:id="rId13"/>
    <sheet name="6. FFAP Asset" sheetId="18" state="hidden" r:id="rId14"/>
    <sheet name="Sheet1" sheetId="5" state="veryHidden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_FDS_HYPERLINK_TOGGLE_STATE__" hidden="1">"ON"</definedName>
    <definedName name="_xlnm._FilterDatabase" localSheetId="5" hidden="1">'1.MasterPendingList'!$A$4:$AP$183</definedName>
    <definedName name="_xlnm._FilterDatabase" localSheetId="10" hidden="1">'2. Completed'!$A$2:$AD$1007</definedName>
    <definedName name="_xlnm._FilterDatabase" localSheetId="8" hidden="1">'3. Dispose'!$A$3:$F$19</definedName>
    <definedName name="_xlnm._FilterDatabase" localSheetId="11" hidden="1">'3. Transfer to sales'!$A$2:$R$625</definedName>
    <definedName name="_xlnm._FilterDatabase" localSheetId="4" hidden="1">'39 items HMU'!$A$6:$K$45</definedName>
    <definedName name="_xlnm._FilterDatabase" localSheetId="12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3" hidden="1">Filter!$A$2:$G$7</definedName>
    <definedName name="_xlnm._FilterDatabase" localSheetId="7" hidden="1">Stock!$A$2:$E$585</definedName>
    <definedName name="_xlnm._FilterDatabase" localSheetId="1" hidden="1">'Summary 25-Aug'!$I$2:$J$14</definedName>
    <definedName name="_Key1" localSheetId="3" hidden="1">#REF!</definedName>
    <definedName name="_Key1" localSheetId="1" hidden="1">#REF!</definedName>
    <definedName name="_Key1" hidden="1">#REF!</definedName>
    <definedName name="_Key2" localSheetId="3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3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3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'1.MasterPendingList'!$B$4:$AP$182</definedName>
    <definedName name="mNo" localSheetId="10">'1.MasterPendingList'!$B$4:$B$33</definedName>
    <definedName name="mNo" localSheetId="4">'[2]1.MasterPendingList'!$B$4:$B$95</definedName>
    <definedName name="mNo">'1.MasterPendingList'!$B$4:$B$182</definedName>
    <definedName name="mTitle" localSheetId="10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3" hidden="1">#REF!</definedName>
    <definedName name="XREF_COLUMN_1" localSheetId="1" hidden="1">#REF!</definedName>
    <definedName name="XREF_COLUMN_1" hidden="1">#REF!</definedName>
    <definedName name="XREF_COLUMN_15" localSheetId="3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3" hidden="1">#REF!</definedName>
    <definedName name="XREF_COLUMN_2" localSheetId="1" hidden="1">#REF!</definedName>
    <definedName name="XREF_COLUMN_2" hidden="1">#REF!</definedName>
    <definedName name="XREF_COLUMN_3" localSheetId="3" hidden="1">#REF!</definedName>
    <definedName name="XREF_COLUMN_3" localSheetId="1" hidden="1">#REF!</definedName>
    <definedName name="XREF_COLUMN_3" hidden="1">#REF!</definedName>
    <definedName name="XREF_COLUMN_7" localSheetId="3" hidden="1">#REF!</definedName>
    <definedName name="XREF_COLUMN_7" localSheetId="1" hidden="1">#REF!</definedName>
    <definedName name="XREF_COLUMN_7" hidden="1">#REF!</definedName>
    <definedName name="XRefActiveRow" localSheetId="3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3" hidden="1">#REF!</definedName>
    <definedName name="XRefCopy1" localSheetId="1" hidden="1">#REF!</definedName>
    <definedName name="XRefCopy1" hidden="1">#REF!</definedName>
    <definedName name="XRefCopy1Row" localSheetId="3" hidden="1">#REF!</definedName>
    <definedName name="XRefCopy1Row" localSheetId="1" hidden="1">#REF!</definedName>
    <definedName name="XRefCopy1Row" hidden="1">#REF!</definedName>
    <definedName name="XRefCopy2" localSheetId="3" hidden="1">#REF!</definedName>
    <definedName name="XRefCopy2" localSheetId="1" hidden="1">#REF!</definedName>
    <definedName name="XRefCopy2" hidden="1">#REF!</definedName>
    <definedName name="XRefCopy2Row" localSheetId="3" hidden="1">#REF!</definedName>
    <definedName name="XRefCopy2Row" localSheetId="1" hidden="1">#REF!</definedName>
    <definedName name="XRefCopy2Row" hidden="1">#REF!</definedName>
    <definedName name="XRefCopy3" localSheetId="3" hidden="1">#REF!</definedName>
    <definedName name="XRefCopy3" localSheetId="1" hidden="1">#REF!</definedName>
    <definedName name="XRefCopy3" hidden="1">#REF!</definedName>
    <definedName name="XRefCopy3Row" localSheetId="3" hidden="1">#REF!</definedName>
    <definedName name="XRefCopy3Row" localSheetId="1" hidden="1">#REF!</definedName>
    <definedName name="XRefCopy3Row" hidden="1">#REF!</definedName>
    <definedName name="XRefCopy4" localSheetId="3" hidden="1">#REF!</definedName>
    <definedName name="XRefCopy4" localSheetId="1" hidden="1">#REF!</definedName>
    <definedName name="XRefCopy4" hidden="1">#REF!</definedName>
    <definedName name="XRefCopy4Row" localSheetId="3" hidden="1">#REF!</definedName>
    <definedName name="XRefCopy4Row" localSheetId="1" hidden="1">#REF!</definedName>
    <definedName name="XRefCopy4Row" hidden="1">#REF!</definedName>
    <definedName name="XRefCopy5" localSheetId="3" hidden="1">#REF!</definedName>
    <definedName name="XRefCopy5" localSheetId="1" hidden="1">#REF!</definedName>
    <definedName name="XRefCopy5" hidden="1">#REF!</definedName>
    <definedName name="XRefCopy5Row" localSheetId="3" hidden="1">#REF!</definedName>
    <definedName name="XRefCopy5Row" localSheetId="1" hidden="1">#REF!</definedName>
    <definedName name="XRefCopy5Row" hidden="1">#REF!</definedName>
    <definedName name="XRefCopy6" localSheetId="3" hidden="1">#REF!</definedName>
    <definedName name="XRefCopy6" localSheetId="1" hidden="1">#REF!</definedName>
    <definedName name="XRefCopy6" hidden="1">#REF!</definedName>
    <definedName name="XRefCopy6Row" localSheetId="3" hidden="1">#REF!</definedName>
    <definedName name="XRefCopy6Row" localSheetId="1" hidden="1">#REF!</definedName>
    <definedName name="XRefCopy6Row" hidden="1">#REF!</definedName>
    <definedName name="XRefCopy7" localSheetId="3" hidden="1">#REF!</definedName>
    <definedName name="XRefCopy7" localSheetId="1" hidden="1">#REF!</definedName>
    <definedName name="XRefCopy7" hidden="1">#REF!</definedName>
    <definedName name="XRefCopy7Row" localSheetId="3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3" hidden="1">#REF!</definedName>
    <definedName name="XRefPaste1" localSheetId="1" hidden="1">#REF!</definedName>
    <definedName name="XRefPaste1" hidden="1">#REF!</definedName>
    <definedName name="XRefPaste110Row" localSheetId="3" hidden="1">[7]XREF!#REF!</definedName>
    <definedName name="XRefPaste110Row" localSheetId="1" hidden="1">[7]XREF!#REF!</definedName>
    <definedName name="XRefPaste110Row" hidden="1">[7]XREF!#REF!</definedName>
    <definedName name="XRefPaste111Row" localSheetId="3" hidden="1">[7]XREF!#REF!</definedName>
    <definedName name="XRefPaste111Row" localSheetId="1" hidden="1">[7]XREF!#REF!</definedName>
    <definedName name="XRefPaste111Row" hidden="1">[7]XREF!#REF!</definedName>
    <definedName name="XRefPaste112Row" localSheetId="3" hidden="1">[7]XREF!#REF!</definedName>
    <definedName name="XRefPaste112Row" localSheetId="1" hidden="1">[7]XREF!#REF!</definedName>
    <definedName name="XRefPaste112Row" hidden="1">[7]XREF!#REF!</definedName>
    <definedName name="XRefPaste113Row" localSheetId="3" hidden="1">[7]XREF!#REF!</definedName>
    <definedName name="XRefPaste113Row" localSheetId="1" hidden="1">[7]XREF!#REF!</definedName>
    <definedName name="XRefPaste113Row" hidden="1">[7]XREF!#REF!</definedName>
    <definedName name="XRefPaste120Row" localSheetId="3" hidden="1">[7]XREF!#REF!</definedName>
    <definedName name="XRefPaste120Row" localSheetId="1" hidden="1">[7]XREF!#REF!</definedName>
    <definedName name="XRefPaste120Row" hidden="1">[7]XREF!#REF!</definedName>
    <definedName name="XRefPaste121Row" localSheetId="3" hidden="1">[7]XREF!#REF!</definedName>
    <definedName name="XRefPaste121Row" localSheetId="1" hidden="1">[7]XREF!#REF!</definedName>
    <definedName name="XRefPaste121Row" hidden="1">[7]XREF!#REF!</definedName>
    <definedName name="XRefPaste1Row" localSheetId="3" hidden="1">#REF!</definedName>
    <definedName name="XRefPaste1Row" localSheetId="1" hidden="1">#REF!</definedName>
    <definedName name="XRefPaste1Row" hidden="1">#REF!</definedName>
    <definedName name="XRefPaste2" localSheetId="3" hidden="1">#REF!</definedName>
    <definedName name="XRefPaste2" localSheetId="1" hidden="1">#REF!</definedName>
    <definedName name="XRefPaste2" hidden="1">#REF!</definedName>
    <definedName name="XRefPaste2Row" localSheetId="3" hidden="1">#REF!</definedName>
    <definedName name="XRefPaste2Row" localSheetId="1" hidden="1">#REF!</definedName>
    <definedName name="XRefPaste2Row" hidden="1">#REF!</definedName>
    <definedName name="XRefPaste3" localSheetId="3" hidden="1">#REF!</definedName>
    <definedName name="XRefPaste3" localSheetId="1" hidden="1">#REF!</definedName>
    <definedName name="XRefPaste3" hidden="1">#REF!</definedName>
    <definedName name="XRefPaste3Row" localSheetId="3" hidden="1">#REF!</definedName>
    <definedName name="XRefPaste3Row" localSheetId="1" hidden="1">#REF!</definedName>
    <definedName name="XRefPaste3Row" hidden="1">#REF!</definedName>
    <definedName name="XRefPaste4" localSheetId="3" hidden="1">#REF!</definedName>
    <definedName name="XRefPaste4" localSheetId="1" hidden="1">#REF!</definedName>
    <definedName name="XRefPaste4" hidden="1">#REF!</definedName>
    <definedName name="XRefPaste4Row" localSheetId="3" hidden="1">#REF!</definedName>
    <definedName name="XRefPaste4Row" localSheetId="1" hidden="1">#REF!</definedName>
    <definedName name="XRefPaste4Row" hidden="1">#REF!</definedName>
    <definedName name="XRefPaste5" localSheetId="3" hidden="1">#REF!</definedName>
    <definedName name="XRefPaste5" localSheetId="1" hidden="1">#REF!</definedName>
    <definedName name="XRefPaste5" hidden="1">#REF!</definedName>
    <definedName name="XRefPaste5Row" localSheetId="3" hidden="1">#REF!</definedName>
    <definedName name="XRefPaste5Row" localSheetId="1" hidden="1">#REF!</definedName>
    <definedName name="XRefPaste5Row" hidden="1">#REF!</definedName>
    <definedName name="XRefPaste7" localSheetId="3" hidden="1">#REF!</definedName>
    <definedName name="XRefPaste7" localSheetId="1" hidden="1">#REF!</definedName>
    <definedName name="XRefPaste7" hidden="1">#REF!</definedName>
    <definedName name="XRefPaste7Row" localSheetId="3" hidden="1">#REF!</definedName>
    <definedName name="XRefPaste7Row" localSheetId="1" hidden="1">#REF!</definedName>
    <definedName name="XRefPaste7Row" hidden="1">#REF!</definedName>
    <definedName name="XRefPaste8" localSheetId="3" hidden="1">#REF!</definedName>
    <definedName name="XRefPaste8" localSheetId="1" hidden="1">#REF!</definedName>
    <definedName name="XRefPaste8" hidden="1">#REF!</definedName>
    <definedName name="XRefPaste8Row" localSheetId="3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90" l="1"/>
  <c r="N5" i="90"/>
  <c r="N6" i="90"/>
  <c r="N7" i="90"/>
  <c r="N8" i="90"/>
  <c r="N9" i="90"/>
  <c r="N10" i="90"/>
  <c r="N11" i="90"/>
  <c r="N12" i="90"/>
  <c r="N13" i="90"/>
  <c r="N14" i="90"/>
  <c r="N15" i="90"/>
  <c r="N16" i="90"/>
  <c r="N17" i="90"/>
  <c r="N18" i="90"/>
  <c r="N19" i="90"/>
  <c r="N20" i="90"/>
  <c r="N21" i="90"/>
  <c r="N22" i="90"/>
  <c r="N23" i="90"/>
  <c r="N24" i="90"/>
  <c r="N25" i="90"/>
  <c r="N26" i="90"/>
  <c r="N27" i="90"/>
  <c r="N28" i="90"/>
  <c r="N29" i="90"/>
  <c r="N30" i="90"/>
  <c r="N31" i="90"/>
  <c r="N32" i="90"/>
  <c r="N33" i="90"/>
  <c r="N34" i="90"/>
  <c r="N35" i="90"/>
  <c r="N36" i="90"/>
  <c r="N37" i="90"/>
  <c r="N38" i="90"/>
  <c r="N39" i="90"/>
  <c r="N40" i="90"/>
  <c r="N41" i="90"/>
  <c r="N42" i="90"/>
  <c r="N43" i="90"/>
  <c r="N44" i="90"/>
  <c r="N45" i="90"/>
  <c r="N46" i="90"/>
  <c r="N47" i="90"/>
  <c r="N48" i="90"/>
  <c r="N49" i="90"/>
  <c r="N50" i="90"/>
  <c r="N51" i="90"/>
  <c r="N52" i="90"/>
  <c r="N53" i="90"/>
  <c r="N54" i="90"/>
  <c r="N55" i="90"/>
  <c r="N56" i="90"/>
  <c r="N57" i="90"/>
  <c r="N58" i="90"/>
  <c r="N59" i="90"/>
  <c r="N60" i="90"/>
  <c r="N61" i="90"/>
  <c r="N62" i="90"/>
  <c r="N63" i="90"/>
  <c r="N64" i="90"/>
  <c r="N65" i="90"/>
  <c r="N66" i="90"/>
  <c r="N67" i="90"/>
  <c r="N68" i="90"/>
  <c r="N69" i="90"/>
  <c r="N70" i="90"/>
  <c r="N71" i="90"/>
  <c r="N72" i="90"/>
  <c r="N73" i="90"/>
  <c r="N74" i="90"/>
  <c r="N75" i="90"/>
  <c r="N76" i="90"/>
  <c r="N77" i="90"/>
  <c r="N78" i="90"/>
  <c r="N79" i="90"/>
  <c r="N80" i="90"/>
  <c r="N81" i="90"/>
  <c r="N82" i="90"/>
  <c r="N83" i="90"/>
  <c r="N84" i="90"/>
  <c r="N85" i="90"/>
  <c r="N86" i="90"/>
  <c r="N87" i="90"/>
  <c r="N88" i="90"/>
  <c r="N89" i="90"/>
  <c r="N90" i="90"/>
  <c r="N91" i="90"/>
  <c r="N92" i="90"/>
  <c r="N3" i="90"/>
  <c r="D4" i="90"/>
  <c r="D5" i="90"/>
  <c r="D6" i="90"/>
  <c r="D7" i="90"/>
  <c r="D8" i="90"/>
  <c r="D9" i="90"/>
  <c r="D10" i="90"/>
  <c r="D11" i="90"/>
  <c r="D12" i="90"/>
  <c r="D13" i="90"/>
  <c r="D14" i="90"/>
  <c r="D15" i="90"/>
  <c r="D16" i="90"/>
  <c r="D17" i="90"/>
  <c r="D18" i="90"/>
  <c r="D19" i="90"/>
  <c r="D20" i="90"/>
  <c r="D21" i="90"/>
  <c r="D22" i="90"/>
  <c r="D23" i="90"/>
  <c r="D24" i="90"/>
  <c r="D25" i="90"/>
  <c r="D26" i="90"/>
  <c r="D27" i="90"/>
  <c r="D28" i="90"/>
  <c r="D29" i="90"/>
  <c r="D30" i="90"/>
  <c r="D31" i="90"/>
  <c r="D32" i="90"/>
  <c r="D33" i="90"/>
  <c r="D34" i="90"/>
  <c r="D35" i="90"/>
  <c r="D36" i="90"/>
  <c r="D37" i="90"/>
  <c r="D38" i="90"/>
  <c r="D39" i="90"/>
  <c r="D40" i="90"/>
  <c r="D41" i="90"/>
  <c r="D42" i="90"/>
  <c r="D43" i="90"/>
  <c r="D44" i="90"/>
  <c r="D45" i="90"/>
  <c r="D46" i="90"/>
  <c r="D47" i="90"/>
  <c r="D48" i="90"/>
  <c r="D49" i="90"/>
  <c r="D50" i="90"/>
  <c r="D51" i="90"/>
  <c r="D52" i="90"/>
  <c r="D53" i="90"/>
  <c r="D54" i="90"/>
  <c r="D55" i="90"/>
  <c r="D56" i="90"/>
  <c r="D57" i="90"/>
  <c r="D58" i="90"/>
  <c r="D59" i="90"/>
  <c r="D60" i="90"/>
  <c r="D61" i="90"/>
  <c r="D62" i="90"/>
  <c r="D63" i="90"/>
  <c r="D64" i="90"/>
  <c r="D65" i="90"/>
  <c r="D66" i="90"/>
  <c r="D67" i="90"/>
  <c r="D68" i="90"/>
  <c r="D69" i="90"/>
  <c r="D70" i="90"/>
  <c r="D71" i="90"/>
  <c r="D72" i="90"/>
  <c r="D73" i="90"/>
  <c r="D74" i="90"/>
  <c r="D75" i="90"/>
  <c r="D76" i="90"/>
  <c r="D77" i="90"/>
  <c r="D78" i="90"/>
  <c r="D79" i="90"/>
  <c r="D80" i="90"/>
  <c r="D81" i="90"/>
  <c r="D82" i="90"/>
  <c r="D83" i="90"/>
  <c r="D84" i="90"/>
  <c r="D85" i="90"/>
  <c r="D86" i="90"/>
  <c r="D87" i="90"/>
  <c r="D88" i="90"/>
  <c r="D89" i="90"/>
  <c r="D90" i="90"/>
  <c r="D91" i="90"/>
  <c r="D92" i="90"/>
  <c r="D3" i="90"/>
  <c r="A625" i="28"/>
  <c r="A624" i="28"/>
  <c r="A623" i="28"/>
  <c r="A622" i="28"/>
  <c r="A621" i="28"/>
  <c r="A620" i="28"/>
  <c r="A619" i="28"/>
  <c r="A618" i="28"/>
  <c r="A617" i="28"/>
  <c r="A616" i="28"/>
  <c r="A615" i="28"/>
  <c r="AN182" i="2"/>
  <c r="AO182" i="2"/>
  <c r="AP182" i="2"/>
  <c r="A182" i="2"/>
  <c r="A14" i="88"/>
  <c r="A15" i="88"/>
  <c r="A16" i="88"/>
  <c r="A17" i="88"/>
  <c r="A18" i="88"/>
  <c r="A19" i="88"/>
  <c r="A20" i="88"/>
  <c r="A21" i="88"/>
  <c r="R3" i="90" l="1"/>
  <c r="R4" i="90"/>
  <c r="R5" i="90"/>
  <c r="R6" i="90"/>
  <c r="R7" i="90"/>
  <c r="R8" i="90"/>
  <c r="R9" i="90"/>
  <c r="R10" i="90"/>
  <c r="R11" i="90"/>
  <c r="R12" i="90"/>
  <c r="R13" i="90"/>
  <c r="R14" i="90"/>
  <c r="R15" i="90"/>
  <c r="R16" i="90"/>
  <c r="R17" i="90"/>
  <c r="R18" i="90"/>
  <c r="R19" i="90"/>
  <c r="R20" i="90"/>
  <c r="R21" i="90"/>
  <c r="R22" i="90"/>
  <c r="R23" i="90"/>
  <c r="R24" i="90"/>
  <c r="R25" i="90"/>
  <c r="R26" i="90"/>
  <c r="R27" i="90"/>
  <c r="R28" i="90"/>
  <c r="R29" i="90"/>
  <c r="R30" i="90"/>
  <c r="R31" i="90"/>
  <c r="R32" i="90"/>
  <c r="R33" i="90"/>
  <c r="R34" i="90"/>
  <c r="R35" i="90"/>
  <c r="R36" i="90"/>
  <c r="R37" i="90"/>
  <c r="R38" i="90"/>
  <c r="R39" i="90"/>
  <c r="R40" i="90"/>
  <c r="R41" i="90"/>
  <c r="R42" i="90"/>
  <c r="R43" i="90"/>
  <c r="R44" i="90"/>
  <c r="R45" i="90"/>
  <c r="R46" i="90"/>
  <c r="R47" i="90"/>
  <c r="R48" i="90"/>
  <c r="R49" i="90"/>
  <c r="R50" i="90"/>
  <c r="R51" i="90"/>
  <c r="R52" i="90"/>
  <c r="R53" i="90"/>
  <c r="R54" i="90"/>
  <c r="R55" i="90"/>
  <c r="R56" i="90"/>
  <c r="R57" i="90"/>
  <c r="R58" i="90"/>
  <c r="R59" i="90"/>
  <c r="R60" i="90"/>
  <c r="R61" i="90"/>
  <c r="R62" i="90"/>
  <c r="R63" i="90"/>
  <c r="R64" i="90"/>
  <c r="R65" i="90"/>
  <c r="R66" i="90"/>
  <c r="R67" i="90"/>
  <c r="R68" i="90"/>
  <c r="R69" i="90"/>
  <c r="R70" i="90"/>
  <c r="R71" i="90"/>
  <c r="R72" i="90"/>
  <c r="R73" i="90"/>
  <c r="R74" i="90"/>
  <c r="R75" i="90"/>
  <c r="R76" i="90"/>
  <c r="R77" i="90"/>
  <c r="R78" i="90"/>
  <c r="R79" i="90"/>
  <c r="R80" i="90"/>
  <c r="R81" i="90"/>
  <c r="R82" i="90"/>
  <c r="R83" i="90"/>
  <c r="R84" i="90"/>
  <c r="R85" i="90"/>
  <c r="R86" i="90"/>
  <c r="R87" i="90"/>
  <c r="R88" i="90"/>
  <c r="R89" i="90"/>
  <c r="R90" i="90"/>
  <c r="R91" i="90"/>
  <c r="R92" i="90"/>
  <c r="C35" i="84" a="1"/>
  <c r="C35" i="84" s="1"/>
  <c r="C16" i="84" a="1"/>
  <c r="C16" i="84" s="1"/>
  <c r="V114" i="88"/>
  <c r="V115" i="88"/>
  <c r="V116" i="88"/>
  <c r="V117" i="88"/>
  <c r="V118" i="88"/>
  <c r="V119" i="88"/>
  <c r="V120" i="88"/>
  <c r="V121" i="88"/>
  <c r="V122" i="88"/>
  <c r="V123" i="88"/>
  <c r="V124" i="88"/>
  <c r="V125" i="88"/>
  <c r="V126" i="88"/>
  <c r="V127" i="88"/>
  <c r="V128" i="88"/>
  <c r="V129" i="88"/>
  <c r="V130" i="88"/>
  <c r="V131" i="88"/>
  <c r="V132" i="88"/>
  <c r="V133" i="88"/>
  <c r="V134" i="88"/>
  <c r="V135" i="88"/>
  <c r="V136" i="88"/>
  <c r="V137" i="88"/>
  <c r="V138" i="88"/>
  <c r="V139" i="88"/>
  <c r="V140" i="88"/>
  <c r="V141" i="88"/>
  <c r="V142" i="88"/>
  <c r="V143" i="88"/>
  <c r="V144" i="88"/>
  <c r="V145" i="88"/>
  <c r="V146" i="88"/>
  <c r="V147" i="88"/>
  <c r="V148" i="88"/>
  <c r="V149" i="88"/>
  <c r="V150" i="88"/>
  <c r="V151" i="88"/>
  <c r="V152" i="88"/>
  <c r="V153" i="88"/>
  <c r="V58" i="88"/>
  <c r="V59" i="88"/>
  <c r="V60" i="88"/>
  <c r="V61" i="88"/>
  <c r="V62" i="88"/>
  <c r="V63" i="88"/>
  <c r="V64" i="88"/>
  <c r="V65" i="88"/>
  <c r="V66" i="88"/>
  <c r="V67" i="88"/>
  <c r="V68" i="88"/>
  <c r="V69" i="88"/>
  <c r="V70" i="88"/>
  <c r="V71" i="88"/>
  <c r="V72" i="88"/>
  <c r="V73" i="88"/>
  <c r="V74" i="88"/>
  <c r="V75" i="88"/>
  <c r="V76" i="88"/>
  <c r="V77" i="88"/>
  <c r="V78" i="88"/>
  <c r="V79" i="88"/>
  <c r="V80" i="88"/>
  <c r="V81" i="88"/>
  <c r="V82" i="88"/>
  <c r="V83" i="88"/>
  <c r="V84" i="88"/>
  <c r="V85" i="88"/>
  <c r="V86" i="88"/>
  <c r="V87" i="88"/>
  <c r="V88" i="88"/>
  <c r="V89" i="88"/>
  <c r="V90" i="88"/>
  <c r="V91" i="88"/>
  <c r="V92" i="88"/>
  <c r="V93" i="88"/>
  <c r="V94" i="88"/>
  <c r="V95" i="88"/>
  <c r="V96" i="88"/>
  <c r="V97" i="88"/>
  <c r="V98" i="88"/>
  <c r="V99" i="88"/>
  <c r="V100" i="88"/>
  <c r="V101" i="88"/>
  <c r="V102" i="88"/>
  <c r="V103" i="88"/>
  <c r="V104" i="88"/>
  <c r="V105" i="88"/>
  <c r="V106" i="88"/>
  <c r="V107" i="88"/>
  <c r="V108" i="88"/>
  <c r="V109" i="88"/>
  <c r="V110" i="88"/>
  <c r="V111" i="88"/>
  <c r="V112" i="88"/>
  <c r="V113" i="88"/>
  <c r="AD3" i="88"/>
  <c r="A1007" i="88"/>
  <c r="A1006" i="88"/>
  <c r="A1005" i="88"/>
  <c r="A1004" i="88"/>
  <c r="A1003" i="88"/>
  <c r="A1002" i="88"/>
  <c r="A1001" i="88"/>
  <c r="A1000" i="88"/>
  <c r="A999" i="88"/>
  <c r="A998" i="88"/>
  <c r="A997" i="88"/>
  <c r="J18" i="89"/>
  <c r="C31" i="84" a="1"/>
  <c r="C31" i="84" s="1"/>
  <c r="C12" i="84" a="1"/>
  <c r="C12" i="84" s="1"/>
  <c r="A614" i="28" l="1"/>
  <c r="AN176" i="2"/>
  <c r="AO176" i="2"/>
  <c r="AP176" i="2"/>
  <c r="AN177" i="2"/>
  <c r="AO177" i="2"/>
  <c r="AP177" i="2"/>
  <c r="AN178" i="2"/>
  <c r="AO178" i="2"/>
  <c r="AP178" i="2"/>
  <c r="AN179" i="2"/>
  <c r="AO179" i="2"/>
  <c r="AP179" i="2"/>
  <c r="AN180" i="2"/>
  <c r="AO180" i="2"/>
  <c r="AP180" i="2"/>
  <c r="AN181" i="2"/>
  <c r="AO181" i="2"/>
  <c r="AP181" i="2"/>
  <c r="A176" i="2"/>
  <c r="A177" i="2"/>
  <c r="A178" i="2"/>
  <c r="A179" i="2"/>
  <c r="A180" i="2"/>
  <c r="A181" i="2"/>
  <c r="A5" i="2"/>
  <c r="A6" i="2"/>
  <c r="A7" i="2"/>
  <c r="A8" i="2"/>
  <c r="A9" i="2"/>
  <c r="A10" i="2"/>
  <c r="A11" i="2"/>
  <c r="A12" i="2"/>
  <c r="A13" i="2"/>
  <c r="A130" i="2"/>
  <c r="A132" i="2"/>
  <c r="A16" i="2"/>
  <c r="A17" i="2"/>
  <c r="A18" i="2"/>
  <c r="A107" i="2"/>
  <c r="A20" i="2"/>
  <c r="A21" i="2"/>
  <c r="A19" i="2"/>
  <c r="A22" i="2"/>
  <c r="A14" i="2"/>
  <c r="A25" i="2"/>
  <c r="A23" i="2"/>
  <c r="A84" i="2"/>
  <c r="A28" i="2"/>
  <c r="A29" i="2"/>
  <c r="A127" i="2"/>
  <c r="A128" i="2"/>
  <c r="A32" i="2"/>
  <c r="A33" i="2"/>
  <c r="A108" i="2"/>
  <c r="A109" i="2"/>
  <c r="A62" i="2"/>
  <c r="A15" i="2"/>
  <c r="A38" i="2"/>
  <c r="A72" i="2"/>
  <c r="A40" i="2"/>
  <c r="A24" i="2"/>
  <c r="A26" i="2"/>
  <c r="A43" i="2"/>
  <c r="A44" i="2"/>
  <c r="A27" i="2"/>
  <c r="A46" i="2"/>
  <c r="A47" i="2"/>
  <c r="A48" i="2"/>
  <c r="A30" i="2"/>
  <c r="A31" i="2"/>
  <c r="A51" i="2"/>
  <c r="A52" i="2"/>
  <c r="A53" i="2"/>
  <c r="A54" i="2"/>
  <c r="A55" i="2"/>
  <c r="A56" i="2"/>
  <c r="A57" i="2"/>
  <c r="A58" i="2"/>
  <c r="A59" i="2"/>
  <c r="A60" i="2"/>
  <c r="A61" i="2"/>
  <c r="A73" i="2"/>
  <c r="A63" i="2"/>
  <c r="A64" i="2"/>
  <c r="A65" i="2"/>
  <c r="A66" i="2"/>
  <c r="A67" i="2"/>
  <c r="A68" i="2"/>
  <c r="A69" i="2"/>
  <c r="A70" i="2"/>
  <c r="A71" i="2"/>
  <c r="A34" i="2"/>
  <c r="A103" i="2"/>
  <c r="A74" i="2"/>
  <c r="A75" i="2"/>
  <c r="A76" i="2"/>
  <c r="A77" i="2"/>
  <c r="A78" i="2"/>
  <c r="A79" i="2"/>
  <c r="A80" i="2"/>
  <c r="A81" i="2"/>
  <c r="A82" i="2"/>
  <c r="A83" i="2"/>
  <c r="A135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29" i="2"/>
  <c r="A104" i="2"/>
  <c r="A105" i="2"/>
  <c r="A106" i="2"/>
  <c r="A35" i="2"/>
  <c r="A36" i="2"/>
  <c r="A37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39" i="2"/>
  <c r="A41" i="2"/>
  <c r="A42" i="2"/>
  <c r="A45" i="2"/>
  <c r="A131" i="2"/>
  <c r="A49" i="2"/>
  <c r="A133" i="2"/>
  <c r="A134" i="2"/>
  <c r="A50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N157" i="2"/>
  <c r="AO157" i="2"/>
  <c r="AP157" i="2"/>
  <c r="AN158" i="2"/>
  <c r="AO158" i="2"/>
  <c r="AP158" i="2"/>
  <c r="AN159" i="2"/>
  <c r="AO159" i="2"/>
  <c r="AP159" i="2"/>
  <c r="AN160" i="2"/>
  <c r="AO160" i="2"/>
  <c r="AP160" i="2"/>
  <c r="AN161" i="2"/>
  <c r="AO161" i="2"/>
  <c r="AP161" i="2"/>
  <c r="AN162" i="2"/>
  <c r="AO162" i="2"/>
  <c r="AP162" i="2"/>
  <c r="AN163" i="2"/>
  <c r="AO163" i="2"/>
  <c r="AP163" i="2"/>
  <c r="AN164" i="2"/>
  <c r="AO164" i="2"/>
  <c r="AP164" i="2"/>
  <c r="AN165" i="2"/>
  <c r="AO165" i="2"/>
  <c r="AP165" i="2"/>
  <c r="AN166" i="2"/>
  <c r="AO166" i="2"/>
  <c r="AP166" i="2"/>
  <c r="AN167" i="2"/>
  <c r="AO167" i="2"/>
  <c r="AP167" i="2"/>
  <c r="AN168" i="2"/>
  <c r="AO168" i="2"/>
  <c r="AP168" i="2"/>
  <c r="AN169" i="2"/>
  <c r="AO169" i="2"/>
  <c r="AP169" i="2"/>
  <c r="AN170" i="2"/>
  <c r="AO170" i="2"/>
  <c r="AP170" i="2"/>
  <c r="AN171" i="2"/>
  <c r="AO171" i="2"/>
  <c r="AP171" i="2"/>
  <c r="AN172" i="2"/>
  <c r="AO172" i="2"/>
  <c r="AP172" i="2"/>
  <c r="AN173" i="2"/>
  <c r="AO173" i="2"/>
  <c r="AP173" i="2"/>
  <c r="AN174" i="2"/>
  <c r="AO174" i="2"/>
  <c r="AP174" i="2"/>
  <c r="AN175" i="2"/>
  <c r="AO175" i="2"/>
  <c r="AP175" i="2"/>
  <c r="J28" i="90"/>
  <c r="A89" i="90"/>
  <c r="A90" i="90"/>
  <c r="A91" i="90"/>
  <c r="A92" i="90"/>
  <c r="C90" i="90"/>
  <c r="C91" i="90"/>
  <c r="C92" i="90"/>
  <c r="E90" i="90"/>
  <c r="E91" i="90"/>
  <c r="E92" i="90"/>
  <c r="F90" i="90"/>
  <c r="F91" i="90"/>
  <c r="F92" i="90"/>
  <c r="G90" i="90"/>
  <c r="G91" i="90"/>
  <c r="G92" i="90"/>
  <c r="H90" i="90"/>
  <c r="H91" i="90"/>
  <c r="H92" i="90"/>
  <c r="I90" i="90"/>
  <c r="I91" i="90"/>
  <c r="I92" i="90"/>
  <c r="J90" i="90"/>
  <c r="J91" i="90"/>
  <c r="J92" i="90"/>
  <c r="K90" i="90"/>
  <c r="K91" i="90"/>
  <c r="K92" i="90"/>
  <c r="L90" i="90"/>
  <c r="L91" i="90"/>
  <c r="L92" i="90"/>
  <c r="M90" i="90"/>
  <c r="M91" i="90"/>
  <c r="M92" i="90"/>
  <c r="M4" i="90" l="1"/>
  <c r="M5" i="90"/>
  <c r="C4" i="90"/>
  <c r="E4" i="90"/>
  <c r="F4" i="90"/>
  <c r="G4" i="90"/>
  <c r="H4" i="90"/>
  <c r="I4" i="90"/>
  <c r="J4" i="90"/>
  <c r="K4" i="90"/>
  <c r="L4" i="90"/>
  <c r="C5" i="90"/>
  <c r="E5" i="90"/>
  <c r="F5" i="90"/>
  <c r="G5" i="90"/>
  <c r="H5" i="90"/>
  <c r="I5" i="90"/>
  <c r="J5" i="90"/>
  <c r="K5" i="90"/>
  <c r="L5" i="90"/>
  <c r="C6" i="90"/>
  <c r="E6" i="90"/>
  <c r="F6" i="90"/>
  <c r="G6" i="90"/>
  <c r="H6" i="90"/>
  <c r="I6" i="90"/>
  <c r="J6" i="90"/>
  <c r="K6" i="90"/>
  <c r="L6" i="90"/>
  <c r="M6" i="90"/>
  <c r="C7" i="90"/>
  <c r="E7" i="90"/>
  <c r="F7" i="90"/>
  <c r="G7" i="90"/>
  <c r="H7" i="90"/>
  <c r="I7" i="90"/>
  <c r="J7" i="90"/>
  <c r="K7" i="90"/>
  <c r="L7" i="90"/>
  <c r="M7" i="90"/>
  <c r="C8" i="90"/>
  <c r="E8" i="90"/>
  <c r="F8" i="90"/>
  <c r="G8" i="90"/>
  <c r="H8" i="90"/>
  <c r="I8" i="90"/>
  <c r="J8" i="90"/>
  <c r="K8" i="90"/>
  <c r="L8" i="90"/>
  <c r="M8" i="90"/>
  <c r="C9" i="90"/>
  <c r="E9" i="90"/>
  <c r="F9" i="90"/>
  <c r="G9" i="90"/>
  <c r="H9" i="90"/>
  <c r="I9" i="90"/>
  <c r="J9" i="90"/>
  <c r="K9" i="90"/>
  <c r="L9" i="90"/>
  <c r="M9" i="90"/>
  <c r="C10" i="90"/>
  <c r="E10" i="90"/>
  <c r="F10" i="90"/>
  <c r="G10" i="90"/>
  <c r="H10" i="90"/>
  <c r="I10" i="90"/>
  <c r="J10" i="90"/>
  <c r="K10" i="90"/>
  <c r="L10" i="90"/>
  <c r="M10" i="90"/>
  <c r="C11" i="90"/>
  <c r="E11" i="90"/>
  <c r="F11" i="90"/>
  <c r="G11" i="90"/>
  <c r="H11" i="90"/>
  <c r="I11" i="90"/>
  <c r="J11" i="90"/>
  <c r="K11" i="90"/>
  <c r="L11" i="90"/>
  <c r="M11" i="90"/>
  <c r="C12" i="90"/>
  <c r="E12" i="90"/>
  <c r="F12" i="90"/>
  <c r="G12" i="90"/>
  <c r="H12" i="90"/>
  <c r="I12" i="90"/>
  <c r="J12" i="90"/>
  <c r="K12" i="90"/>
  <c r="L12" i="90"/>
  <c r="M12" i="90"/>
  <c r="C13" i="90"/>
  <c r="E13" i="90"/>
  <c r="F13" i="90"/>
  <c r="G13" i="90"/>
  <c r="H13" i="90"/>
  <c r="I13" i="90"/>
  <c r="J13" i="90"/>
  <c r="K13" i="90"/>
  <c r="L13" i="90"/>
  <c r="M13" i="90"/>
  <c r="C14" i="90"/>
  <c r="E14" i="90"/>
  <c r="F14" i="90"/>
  <c r="G14" i="90"/>
  <c r="H14" i="90"/>
  <c r="I14" i="90"/>
  <c r="J14" i="90"/>
  <c r="K14" i="90"/>
  <c r="L14" i="90"/>
  <c r="M14" i="90"/>
  <c r="C15" i="90"/>
  <c r="E15" i="90"/>
  <c r="F15" i="90"/>
  <c r="G15" i="90"/>
  <c r="H15" i="90"/>
  <c r="I15" i="90"/>
  <c r="J15" i="90"/>
  <c r="K15" i="90"/>
  <c r="L15" i="90"/>
  <c r="M15" i="90"/>
  <c r="C16" i="90"/>
  <c r="E16" i="90"/>
  <c r="F16" i="90"/>
  <c r="G16" i="90"/>
  <c r="H16" i="90"/>
  <c r="I16" i="90"/>
  <c r="J16" i="90"/>
  <c r="K16" i="90"/>
  <c r="L16" i="90"/>
  <c r="M16" i="90"/>
  <c r="C17" i="90"/>
  <c r="E17" i="90"/>
  <c r="F17" i="90"/>
  <c r="G17" i="90"/>
  <c r="H17" i="90"/>
  <c r="I17" i="90"/>
  <c r="J17" i="90"/>
  <c r="K17" i="90"/>
  <c r="L17" i="90"/>
  <c r="M17" i="90"/>
  <c r="C18" i="90"/>
  <c r="E18" i="90"/>
  <c r="F18" i="90"/>
  <c r="G18" i="90"/>
  <c r="H18" i="90"/>
  <c r="I18" i="90"/>
  <c r="J18" i="90"/>
  <c r="K18" i="90"/>
  <c r="L18" i="90"/>
  <c r="M18" i="90"/>
  <c r="C19" i="90"/>
  <c r="E19" i="90"/>
  <c r="F19" i="90"/>
  <c r="G19" i="90"/>
  <c r="H19" i="90"/>
  <c r="I19" i="90"/>
  <c r="J19" i="90"/>
  <c r="K19" i="90"/>
  <c r="L19" i="90"/>
  <c r="M19" i="90"/>
  <c r="C20" i="90"/>
  <c r="E20" i="90"/>
  <c r="F20" i="90"/>
  <c r="G20" i="90"/>
  <c r="H20" i="90"/>
  <c r="I20" i="90"/>
  <c r="J20" i="90"/>
  <c r="K20" i="90"/>
  <c r="L20" i="90"/>
  <c r="M20" i="90"/>
  <c r="C21" i="90"/>
  <c r="E21" i="90"/>
  <c r="F21" i="90"/>
  <c r="G21" i="90"/>
  <c r="H21" i="90"/>
  <c r="I21" i="90"/>
  <c r="J21" i="90"/>
  <c r="K21" i="90"/>
  <c r="L21" i="90"/>
  <c r="M21" i="90"/>
  <c r="C22" i="90"/>
  <c r="E22" i="90"/>
  <c r="F22" i="90"/>
  <c r="G22" i="90"/>
  <c r="H22" i="90"/>
  <c r="I22" i="90"/>
  <c r="J22" i="90"/>
  <c r="K22" i="90"/>
  <c r="L22" i="90"/>
  <c r="M22" i="90"/>
  <c r="C23" i="90"/>
  <c r="E23" i="90"/>
  <c r="F23" i="90"/>
  <c r="G23" i="90"/>
  <c r="H23" i="90"/>
  <c r="I23" i="90"/>
  <c r="J23" i="90"/>
  <c r="K23" i="90"/>
  <c r="L23" i="90"/>
  <c r="M23" i="90"/>
  <c r="C24" i="90"/>
  <c r="E24" i="90"/>
  <c r="F24" i="90"/>
  <c r="G24" i="90"/>
  <c r="H24" i="90"/>
  <c r="I24" i="90"/>
  <c r="J24" i="90"/>
  <c r="K24" i="90"/>
  <c r="L24" i="90"/>
  <c r="M24" i="90"/>
  <c r="C25" i="90"/>
  <c r="E25" i="90"/>
  <c r="F25" i="90"/>
  <c r="G25" i="90"/>
  <c r="H25" i="90"/>
  <c r="I25" i="90"/>
  <c r="J25" i="90"/>
  <c r="K25" i="90"/>
  <c r="L25" i="90"/>
  <c r="M25" i="90"/>
  <c r="C26" i="90"/>
  <c r="E26" i="90"/>
  <c r="F26" i="90"/>
  <c r="G26" i="90"/>
  <c r="H26" i="90"/>
  <c r="I26" i="90"/>
  <c r="J26" i="90"/>
  <c r="K26" i="90"/>
  <c r="L26" i="90"/>
  <c r="M26" i="90"/>
  <c r="C27" i="90"/>
  <c r="E27" i="90"/>
  <c r="F27" i="90"/>
  <c r="G27" i="90"/>
  <c r="H27" i="90"/>
  <c r="I27" i="90"/>
  <c r="J27" i="90"/>
  <c r="K27" i="90"/>
  <c r="L27" i="90"/>
  <c r="M27" i="90"/>
  <c r="C28" i="90"/>
  <c r="E28" i="90"/>
  <c r="F28" i="90"/>
  <c r="G28" i="90"/>
  <c r="H28" i="90"/>
  <c r="I28" i="90"/>
  <c r="K28" i="90"/>
  <c r="L28" i="90"/>
  <c r="M28" i="90"/>
  <c r="C29" i="90"/>
  <c r="E29" i="90"/>
  <c r="F29" i="90"/>
  <c r="G29" i="90"/>
  <c r="H29" i="90"/>
  <c r="I29" i="90"/>
  <c r="J29" i="90"/>
  <c r="K29" i="90"/>
  <c r="L29" i="90"/>
  <c r="M29" i="90"/>
  <c r="C30" i="90"/>
  <c r="E30" i="90"/>
  <c r="F30" i="90"/>
  <c r="G30" i="90"/>
  <c r="H30" i="90"/>
  <c r="I30" i="90"/>
  <c r="J30" i="90"/>
  <c r="K30" i="90"/>
  <c r="L30" i="90"/>
  <c r="M30" i="90"/>
  <c r="C31" i="90"/>
  <c r="E31" i="90"/>
  <c r="F31" i="90"/>
  <c r="G31" i="90"/>
  <c r="H31" i="90"/>
  <c r="I31" i="90"/>
  <c r="J31" i="90"/>
  <c r="K31" i="90"/>
  <c r="L31" i="90"/>
  <c r="M31" i="90"/>
  <c r="C32" i="90"/>
  <c r="E32" i="90"/>
  <c r="F32" i="90"/>
  <c r="G32" i="90"/>
  <c r="H32" i="90"/>
  <c r="I32" i="90"/>
  <c r="J32" i="90"/>
  <c r="K32" i="90"/>
  <c r="L32" i="90"/>
  <c r="M32" i="90"/>
  <c r="C33" i="90"/>
  <c r="E33" i="90"/>
  <c r="F33" i="90"/>
  <c r="G33" i="90"/>
  <c r="H33" i="90"/>
  <c r="I33" i="90"/>
  <c r="J33" i="90"/>
  <c r="K33" i="90"/>
  <c r="L33" i="90"/>
  <c r="M33" i="90"/>
  <c r="C34" i="90"/>
  <c r="E34" i="90"/>
  <c r="F34" i="90"/>
  <c r="G34" i="90"/>
  <c r="H34" i="90"/>
  <c r="I34" i="90"/>
  <c r="J34" i="90"/>
  <c r="K34" i="90"/>
  <c r="L34" i="90"/>
  <c r="M34" i="90"/>
  <c r="C35" i="90"/>
  <c r="E35" i="90"/>
  <c r="F35" i="90"/>
  <c r="G35" i="90"/>
  <c r="H35" i="90"/>
  <c r="I35" i="90"/>
  <c r="J35" i="90"/>
  <c r="K35" i="90"/>
  <c r="L35" i="90"/>
  <c r="M35" i="90"/>
  <c r="C36" i="90"/>
  <c r="E36" i="90"/>
  <c r="F36" i="90"/>
  <c r="G36" i="90"/>
  <c r="H36" i="90"/>
  <c r="I36" i="90"/>
  <c r="J36" i="90"/>
  <c r="K36" i="90"/>
  <c r="L36" i="90"/>
  <c r="M36" i="90"/>
  <c r="C37" i="90"/>
  <c r="E37" i="90"/>
  <c r="F37" i="90"/>
  <c r="G37" i="90"/>
  <c r="H37" i="90"/>
  <c r="I37" i="90"/>
  <c r="J37" i="90"/>
  <c r="K37" i="90"/>
  <c r="L37" i="90"/>
  <c r="M37" i="90"/>
  <c r="C38" i="90"/>
  <c r="E38" i="90"/>
  <c r="F38" i="90"/>
  <c r="G38" i="90"/>
  <c r="H38" i="90"/>
  <c r="I38" i="90"/>
  <c r="J38" i="90"/>
  <c r="K38" i="90"/>
  <c r="L38" i="90"/>
  <c r="M38" i="90"/>
  <c r="C39" i="90"/>
  <c r="E39" i="90"/>
  <c r="F39" i="90"/>
  <c r="G39" i="90"/>
  <c r="H39" i="90"/>
  <c r="I39" i="90"/>
  <c r="J39" i="90"/>
  <c r="K39" i="90"/>
  <c r="L39" i="90"/>
  <c r="M39" i="90"/>
  <c r="C40" i="90"/>
  <c r="E40" i="90"/>
  <c r="F40" i="90"/>
  <c r="G40" i="90"/>
  <c r="H40" i="90"/>
  <c r="I40" i="90"/>
  <c r="J40" i="90"/>
  <c r="K40" i="90"/>
  <c r="L40" i="90"/>
  <c r="M40" i="90"/>
  <c r="C41" i="90"/>
  <c r="E41" i="90"/>
  <c r="F41" i="90"/>
  <c r="G41" i="90"/>
  <c r="H41" i="90"/>
  <c r="I41" i="90"/>
  <c r="J41" i="90"/>
  <c r="K41" i="90"/>
  <c r="L41" i="90"/>
  <c r="M41" i="90"/>
  <c r="C42" i="90"/>
  <c r="E42" i="90"/>
  <c r="F42" i="90"/>
  <c r="G42" i="90"/>
  <c r="H42" i="90"/>
  <c r="I42" i="90"/>
  <c r="J42" i="90"/>
  <c r="K42" i="90"/>
  <c r="L42" i="90"/>
  <c r="M42" i="90"/>
  <c r="C43" i="90"/>
  <c r="E43" i="90"/>
  <c r="F43" i="90"/>
  <c r="G43" i="90"/>
  <c r="H43" i="90"/>
  <c r="I43" i="90"/>
  <c r="J43" i="90"/>
  <c r="K43" i="90"/>
  <c r="L43" i="90"/>
  <c r="M43" i="90"/>
  <c r="C44" i="90"/>
  <c r="E44" i="90"/>
  <c r="F44" i="90"/>
  <c r="G44" i="90"/>
  <c r="H44" i="90"/>
  <c r="I44" i="90"/>
  <c r="J44" i="90"/>
  <c r="K44" i="90"/>
  <c r="L44" i="90"/>
  <c r="M44" i="90"/>
  <c r="C45" i="90"/>
  <c r="E45" i="90"/>
  <c r="F45" i="90"/>
  <c r="G45" i="90"/>
  <c r="H45" i="90"/>
  <c r="I45" i="90"/>
  <c r="J45" i="90"/>
  <c r="K45" i="90"/>
  <c r="L45" i="90"/>
  <c r="M45" i="90"/>
  <c r="C46" i="90"/>
  <c r="E46" i="90"/>
  <c r="F46" i="90"/>
  <c r="G46" i="90"/>
  <c r="H46" i="90"/>
  <c r="I46" i="90"/>
  <c r="J46" i="90"/>
  <c r="K46" i="90"/>
  <c r="L46" i="90"/>
  <c r="M46" i="90"/>
  <c r="C47" i="90"/>
  <c r="E47" i="90"/>
  <c r="F47" i="90"/>
  <c r="G47" i="90"/>
  <c r="H47" i="90"/>
  <c r="I47" i="90"/>
  <c r="J47" i="90"/>
  <c r="K47" i="90"/>
  <c r="L47" i="90"/>
  <c r="M47" i="90"/>
  <c r="C48" i="90"/>
  <c r="E48" i="90"/>
  <c r="F48" i="90"/>
  <c r="G48" i="90"/>
  <c r="H48" i="90"/>
  <c r="I48" i="90"/>
  <c r="J48" i="90"/>
  <c r="K48" i="90"/>
  <c r="L48" i="90"/>
  <c r="M48" i="90"/>
  <c r="C49" i="90"/>
  <c r="E49" i="90"/>
  <c r="F49" i="90"/>
  <c r="G49" i="90"/>
  <c r="H49" i="90"/>
  <c r="I49" i="90"/>
  <c r="J49" i="90"/>
  <c r="K49" i="90"/>
  <c r="L49" i="90"/>
  <c r="M49" i="90"/>
  <c r="C50" i="90"/>
  <c r="E50" i="90"/>
  <c r="F50" i="90"/>
  <c r="G50" i="90"/>
  <c r="H50" i="90"/>
  <c r="I50" i="90"/>
  <c r="J50" i="90"/>
  <c r="K50" i="90"/>
  <c r="L50" i="90"/>
  <c r="M50" i="90"/>
  <c r="C51" i="90"/>
  <c r="E51" i="90"/>
  <c r="F51" i="90"/>
  <c r="G51" i="90"/>
  <c r="H51" i="90"/>
  <c r="I51" i="90"/>
  <c r="J51" i="90"/>
  <c r="K51" i="90"/>
  <c r="L51" i="90"/>
  <c r="M51" i="90"/>
  <c r="C52" i="90"/>
  <c r="E52" i="90"/>
  <c r="F52" i="90"/>
  <c r="G52" i="90"/>
  <c r="H52" i="90"/>
  <c r="I52" i="90"/>
  <c r="J52" i="90"/>
  <c r="K52" i="90"/>
  <c r="L52" i="90"/>
  <c r="M52" i="90"/>
  <c r="C53" i="90"/>
  <c r="E53" i="90"/>
  <c r="F53" i="90"/>
  <c r="G53" i="90"/>
  <c r="H53" i="90"/>
  <c r="I53" i="90"/>
  <c r="J53" i="90"/>
  <c r="K53" i="90"/>
  <c r="L53" i="90"/>
  <c r="M53" i="90"/>
  <c r="C54" i="90"/>
  <c r="E54" i="90"/>
  <c r="F54" i="90"/>
  <c r="G54" i="90"/>
  <c r="H54" i="90"/>
  <c r="I54" i="90"/>
  <c r="J54" i="90"/>
  <c r="K54" i="90"/>
  <c r="L54" i="90"/>
  <c r="M54" i="90"/>
  <c r="C55" i="90"/>
  <c r="E55" i="90"/>
  <c r="F55" i="90"/>
  <c r="G55" i="90"/>
  <c r="H55" i="90"/>
  <c r="I55" i="90"/>
  <c r="J55" i="90"/>
  <c r="K55" i="90"/>
  <c r="L55" i="90"/>
  <c r="M55" i="90"/>
  <c r="C56" i="90"/>
  <c r="E56" i="90"/>
  <c r="F56" i="90"/>
  <c r="G56" i="90"/>
  <c r="H56" i="90"/>
  <c r="I56" i="90"/>
  <c r="J56" i="90"/>
  <c r="K56" i="90"/>
  <c r="L56" i="90"/>
  <c r="M56" i="90"/>
  <c r="C57" i="90"/>
  <c r="E57" i="90"/>
  <c r="F57" i="90"/>
  <c r="G57" i="90"/>
  <c r="H57" i="90"/>
  <c r="I57" i="90"/>
  <c r="J57" i="90"/>
  <c r="K57" i="90"/>
  <c r="L57" i="90"/>
  <c r="M57" i="90"/>
  <c r="C58" i="90"/>
  <c r="E58" i="90"/>
  <c r="F58" i="90"/>
  <c r="G58" i="90"/>
  <c r="H58" i="90"/>
  <c r="I58" i="90"/>
  <c r="J58" i="90"/>
  <c r="K58" i="90"/>
  <c r="L58" i="90"/>
  <c r="M58" i="90"/>
  <c r="C59" i="90"/>
  <c r="E59" i="90"/>
  <c r="F59" i="90"/>
  <c r="G59" i="90"/>
  <c r="H59" i="90"/>
  <c r="I59" i="90"/>
  <c r="J59" i="90"/>
  <c r="K59" i="90"/>
  <c r="L59" i="90"/>
  <c r="M59" i="90"/>
  <c r="C60" i="90"/>
  <c r="E60" i="90"/>
  <c r="F60" i="90"/>
  <c r="G60" i="90"/>
  <c r="H60" i="90"/>
  <c r="I60" i="90"/>
  <c r="J60" i="90"/>
  <c r="K60" i="90"/>
  <c r="L60" i="90"/>
  <c r="M60" i="90"/>
  <c r="C61" i="90"/>
  <c r="E61" i="90"/>
  <c r="F61" i="90"/>
  <c r="G61" i="90"/>
  <c r="H61" i="90"/>
  <c r="I61" i="90"/>
  <c r="J61" i="90"/>
  <c r="K61" i="90"/>
  <c r="L61" i="90"/>
  <c r="M61" i="90"/>
  <c r="C62" i="90"/>
  <c r="E62" i="90"/>
  <c r="F62" i="90"/>
  <c r="G62" i="90"/>
  <c r="H62" i="90"/>
  <c r="I62" i="90"/>
  <c r="J62" i="90"/>
  <c r="K62" i="90"/>
  <c r="L62" i="90"/>
  <c r="M62" i="90"/>
  <c r="C63" i="90"/>
  <c r="E63" i="90"/>
  <c r="F63" i="90"/>
  <c r="G63" i="90"/>
  <c r="H63" i="90"/>
  <c r="I63" i="90"/>
  <c r="J63" i="90"/>
  <c r="K63" i="90"/>
  <c r="L63" i="90"/>
  <c r="M63" i="90"/>
  <c r="C64" i="90"/>
  <c r="E64" i="90"/>
  <c r="F64" i="90"/>
  <c r="G64" i="90"/>
  <c r="H64" i="90"/>
  <c r="I64" i="90"/>
  <c r="J64" i="90"/>
  <c r="K64" i="90"/>
  <c r="L64" i="90"/>
  <c r="M64" i="90"/>
  <c r="C65" i="90"/>
  <c r="E65" i="90"/>
  <c r="F65" i="90"/>
  <c r="G65" i="90"/>
  <c r="H65" i="90"/>
  <c r="I65" i="90"/>
  <c r="J65" i="90"/>
  <c r="K65" i="90"/>
  <c r="L65" i="90"/>
  <c r="M65" i="90"/>
  <c r="C66" i="90"/>
  <c r="E66" i="90"/>
  <c r="F66" i="90"/>
  <c r="G66" i="90"/>
  <c r="H66" i="90"/>
  <c r="I66" i="90"/>
  <c r="J66" i="90"/>
  <c r="K66" i="90"/>
  <c r="L66" i="90"/>
  <c r="M66" i="90"/>
  <c r="C67" i="90"/>
  <c r="E67" i="90"/>
  <c r="F67" i="90"/>
  <c r="G67" i="90"/>
  <c r="H67" i="90"/>
  <c r="I67" i="90"/>
  <c r="J67" i="90"/>
  <c r="K67" i="90"/>
  <c r="L67" i="90"/>
  <c r="M67" i="90"/>
  <c r="C68" i="90"/>
  <c r="E68" i="90"/>
  <c r="F68" i="90"/>
  <c r="G68" i="90"/>
  <c r="H68" i="90"/>
  <c r="I68" i="90"/>
  <c r="J68" i="90"/>
  <c r="K68" i="90"/>
  <c r="L68" i="90"/>
  <c r="M68" i="90"/>
  <c r="C69" i="90"/>
  <c r="E69" i="90"/>
  <c r="F69" i="90"/>
  <c r="G69" i="90"/>
  <c r="H69" i="90"/>
  <c r="I69" i="90"/>
  <c r="J69" i="90"/>
  <c r="K69" i="90"/>
  <c r="L69" i="90"/>
  <c r="M69" i="90"/>
  <c r="C70" i="90"/>
  <c r="E70" i="90"/>
  <c r="F70" i="90"/>
  <c r="G70" i="90"/>
  <c r="H70" i="90"/>
  <c r="I70" i="90"/>
  <c r="J70" i="90"/>
  <c r="K70" i="90"/>
  <c r="L70" i="90"/>
  <c r="M70" i="90"/>
  <c r="C71" i="90"/>
  <c r="E71" i="90"/>
  <c r="F71" i="90"/>
  <c r="G71" i="90"/>
  <c r="H71" i="90"/>
  <c r="I71" i="90"/>
  <c r="J71" i="90"/>
  <c r="K71" i="90"/>
  <c r="L71" i="90"/>
  <c r="M71" i="90"/>
  <c r="C72" i="90"/>
  <c r="E72" i="90"/>
  <c r="F72" i="90"/>
  <c r="G72" i="90"/>
  <c r="H72" i="90"/>
  <c r="I72" i="90"/>
  <c r="J72" i="90"/>
  <c r="K72" i="90"/>
  <c r="L72" i="90"/>
  <c r="M72" i="90"/>
  <c r="C73" i="90"/>
  <c r="E73" i="90"/>
  <c r="F73" i="90"/>
  <c r="G73" i="90"/>
  <c r="H73" i="90"/>
  <c r="I73" i="90"/>
  <c r="J73" i="90"/>
  <c r="K73" i="90"/>
  <c r="L73" i="90"/>
  <c r="M73" i="90"/>
  <c r="C74" i="90"/>
  <c r="E74" i="90"/>
  <c r="F74" i="90"/>
  <c r="G74" i="90"/>
  <c r="H74" i="90"/>
  <c r="I74" i="90"/>
  <c r="J74" i="90"/>
  <c r="K74" i="90"/>
  <c r="L74" i="90"/>
  <c r="M74" i="90"/>
  <c r="C75" i="90"/>
  <c r="E75" i="90"/>
  <c r="F75" i="90"/>
  <c r="G75" i="90"/>
  <c r="H75" i="90"/>
  <c r="I75" i="90"/>
  <c r="J75" i="90"/>
  <c r="K75" i="90"/>
  <c r="L75" i="90"/>
  <c r="M75" i="90"/>
  <c r="C76" i="90"/>
  <c r="E76" i="90"/>
  <c r="F76" i="90"/>
  <c r="G76" i="90"/>
  <c r="H76" i="90"/>
  <c r="I76" i="90"/>
  <c r="J76" i="90"/>
  <c r="K76" i="90"/>
  <c r="L76" i="90"/>
  <c r="M76" i="90"/>
  <c r="C77" i="90"/>
  <c r="E77" i="90"/>
  <c r="F77" i="90"/>
  <c r="G77" i="90"/>
  <c r="H77" i="90"/>
  <c r="I77" i="90"/>
  <c r="J77" i="90"/>
  <c r="K77" i="90"/>
  <c r="L77" i="90"/>
  <c r="M77" i="90"/>
  <c r="C78" i="90"/>
  <c r="E78" i="90"/>
  <c r="F78" i="90"/>
  <c r="G78" i="90"/>
  <c r="H78" i="90"/>
  <c r="I78" i="90"/>
  <c r="J78" i="90"/>
  <c r="K78" i="90"/>
  <c r="L78" i="90"/>
  <c r="M78" i="90"/>
  <c r="C79" i="90"/>
  <c r="E79" i="90"/>
  <c r="F79" i="90"/>
  <c r="G79" i="90"/>
  <c r="H79" i="90"/>
  <c r="I79" i="90"/>
  <c r="J79" i="90"/>
  <c r="K79" i="90"/>
  <c r="L79" i="90"/>
  <c r="M79" i="90"/>
  <c r="C80" i="90"/>
  <c r="E80" i="90"/>
  <c r="F80" i="90"/>
  <c r="G80" i="90"/>
  <c r="H80" i="90"/>
  <c r="I80" i="90"/>
  <c r="J80" i="90"/>
  <c r="K80" i="90"/>
  <c r="L80" i="90"/>
  <c r="M80" i="90"/>
  <c r="C81" i="90"/>
  <c r="E81" i="90"/>
  <c r="F81" i="90"/>
  <c r="G81" i="90"/>
  <c r="H81" i="90"/>
  <c r="I81" i="90"/>
  <c r="J81" i="90"/>
  <c r="K81" i="90"/>
  <c r="L81" i="90"/>
  <c r="M81" i="90"/>
  <c r="C82" i="90"/>
  <c r="E82" i="90"/>
  <c r="F82" i="90"/>
  <c r="G82" i="90"/>
  <c r="H82" i="90"/>
  <c r="I82" i="90"/>
  <c r="J82" i="90"/>
  <c r="K82" i="90"/>
  <c r="L82" i="90"/>
  <c r="M82" i="90"/>
  <c r="C83" i="90"/>
  <c r="E83" i="90"/>
  <c r="F83" i="90"/>
  <c r="G83" i="90"/>
  <c r="H83" i="90"/>
  <c r="I83" i="90"/>
  <c r="J83" i="90"/>
  <c r="K83" i="90"/>
  <c r="L83" i="90"/>
  <c r="M83" i="90"/>
  <c r="C84" i="90"/>
  <c r="E84" i="90"/>
  <c r="F84" i="90"/>
  <c r="G84" i="90"/>
  <c r="H84" i="90"/>
  <c r="I84" i="90"/>
  <c r="J84" i="90"/>
  <c r="K84" i="90"/>
  <c r="L84" i="90"/>
  <c r="M84" i="90"/>
  <c r="C85" i="90"/>
  <c r="E85" i="90"/>
  <c r="F85" i="90"/>
  <c r="G85" i="90"/>
  <c r="H85" i="90"/>
  <c r="I85" i="90"/>
  <c r="J85" i="90"/>
  <c r="K85" i="90"/>
  <c r="L85" i="90"/>
  <c r="M85" i="90"/>
  <c r="C86" i="90"/>
  <c r="E86" i="90"/>
  <c r="F86" i="90"/>
  <c r="G86" i="90"/>
  <c r="H86" i="90"/>
  <c r="I86" i="90"/>
  <c r="J86" i="90"/>
  <c r="K86" i="90"/>
  <c r="L86" i="90"/>
  <c r="M86" i="90"/>
  <c r="C87" i="90"/>
  <c r="E87" i="90"/>
  <c r="F87" i="90"/>
  <c r="G87" i="90"/>
  <c r="H87" i="90"/>
  <c r="I87" i="90"/>
  <c r="J87" i="90"/>
  <c r="K87" i="90"/>
  <c r="L87" i="90"/>
  <c r="M87" i="90"/>
  <c r="C88" i="90"/>
  <c r="E88" i="90"/>
  <c r="F88" i="90"/>
  <c r="G88" i="90"/>
  <c r="H88" i="90"/>
  <c r="I88" i="90"/>
  <c r="J88" i="90"/>
  <c r="K88" i="90"/>
  <c r="L88" i="90"/>
  <c r="M88" i="90"/>
  <c r="C89" i="90"/>
  <c r="E89" i="90"/>
  <c r="F89" i="90"/>
  <c r="G89" i="90"/>
  <c r="H89" i="90"/>
  <c r="I89" i="90"/>
  <c r="J89" i="90"/>
  <c r="K89" i="90"/>
  <c r="L89" i="90"/>
  <c r="M89" i="90"/>
  <c r="E3" i="90"/>
  <c r="F3" i="90"/>
  <c r="G3" i="90"/>
  <c r="H3" i="90"/>
  <c r="I3" i="90"/>
  <c r="J3" i="90"/>
  <c r="K3" i="90"/>
  <c r="L3" i="90"/>
  <c r="M3" i="90"/>
  <c r="C3" i="90"/>
  <c r="A4" i="90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20" i="90"/>
  <c r="A21" i="90"/>
  <c r="A22" i="90"/>
  <c r="A23" i="90"/>
  <c r="A24" i="90"/>
  <c r="A25" i="90"/>
  <c r="A26" i="90"/>
  <c r="A27" i="90"/>
  <c r="A28" i="90"/>
  <c r="A29" i="90"/>
  <c r="A30" i="90"/>
  <c r="A31" i="90"/>
  <c r="A32" i="90"/>
  <c r="A33" i="90"/>
  <c r="A34" i="90"/>
  <c r="A35" i="90"/>
  <c r="A36" i="90"/>
  <c r="A37" i="90"/>
  <c r="A38" i="90"/>
  <c r="A39" i="90"/>
  <c r="A40" i="90"/>
  <c r="A41" i="90"/>
  <c r="A42" i="90"/>
  <c r="A43" i="90"/>
  <c r="A44" i="90"/>
  <c r="A45" i="90"/>
  <c r="A46" i="90"/>
  <c r="A47" i="90"/>
  <c r="A48" i="90"/>
  <c r="A49" i="90"/>
  <c r="A50" i="90"/>
  <c r="A51" i="90"/>
  <c r="A52" i="90"/>
  <c r="A53" i="90"/>
  <c r="A54" i="90"/>
  <c r="A55" i="90"/>
  <c r="A56" i="90"/>
  <c r="A57" i="90"/>
  <c r="A58" i="90"/>
  <c r="A59" i="90"/>
  <c r="A60" i="90"/>
  <c r="A61" i="90"/>
  <c r="A62" i="90"/>
  <c r="A63" i="90"/>
  <c r="A64" i="90"/>
  <c r="A65" i="90"/>
  <c r="A66" i="90"/>
  <c r="A67" i="90"/>
  <c r="A68" i="90"/>
  <c r="A69" i="90"/>
  <c r="A70" i="90"/>
  <c r="A71" i="90"/>
  <c r="A72" i="90"/>
  <c r="A73" i="90"/>
  <c r="A74" i="90"/>
  <c r="A75" i="90"/>
  <c r="A76" i="90"/>
  <c r="A77" i="90"/>
  <c r="A78" i="90"/>
  <c r="A79" i="90"/>
  <c r="A80" i="90"/>
  <c r="A81" i="90"/>
  <c r="A82" i="90"/>
  <c r="A83" i="90"/>
  <c r="A84" i="90"/>
  <c r="A85" i="90"/>
  <c r="A86" i="90"/>
  <c r="A87" i="90"/>
  <c r="A88" i="90"/>
  <c r="A3" i="90"/>
  <c r="A996" i="88"/>
  <c r="A995" i="88"/>
  <c r="A994" i="88"/>
  <c r="A993" i="88"/>
  <c r="A992" i="88"/>
  <c r="A991" i="88"/>
  <c r="A990" i="88"/>
  <c r="AN150" i="2" l="1"/>
  <c r="AO150" i="2"/>
  <c r="AP150" i="2"/>
  <c r="AN151" i="2"/>
  <c r="AO151" i="2"/>
  <c r="AP151" i="2"/>
  <c r="AN152" i="2"/>
  <c r="AO152" i="2"/>
  <c r="AP152" i="2"/>
  <c r="AN153" i="2"/>
  <c r="AO153" i="2"/>
  <c r="AP153" i="2"/>
  <c r="AN154" i="2"/>
  <c r="AO154" i="2"/>
  <c r="AP154" i="2"/>
  <c r="AN155" i="2"/>
  <c r="AO155" i="2"/>
  <c r="AP155" i="2"/>
  <c r="AN156" i="2"/>
  <c r="AO156" i="2"/>
  <c r="AP156" i="2"/>
  <c r="AN143" i="2"/>
  <c r="AO143" i="2"/>
  <c r="AP143" i="2"/>
  <c r="AN144" i="2"/>
  <c r="AO144" i="2"/>
  <c r="AP144" i="2"/>
  <c r="AN145" i="2"/>
  <c r="AO145" i="2"/>
  <c r="AP145" i="2"/>
  <c r="AN146" i="2"/>
  <c r="AO146" i="2"/>
  <c r="AP146" i="2"/>
  <c r="AN147" i="2"/>
  <c r="AO147" i="2"/>
  <c r="AP147" i="2"/>
  <c r="AN148" i="2"/>
  <c r="AO148" i="2"/>
  <c r="AP148" i="2"/>
  <c r="AN149" i="2"/>
  <c r="AO149" i="2"/>
  <c r="AP149" i="2"/>
  <c r="V3" i="84" l="1"/>
  <c r="A989" i="88"/>
  <c r="A988" i="88"/>
  <c r="A987" i="88"/>
  <c r="A986" i="88"/>
  <c r="A985" i="88"/>
  <c r="A984" i="88"/>
  <c r="A983" i="88"/>
  <c r="A982" i="88"/>
  <c r="A981" i="88"/>
  <c r="A980" i="88"/>
  <c r="C23" i="84" a="1"/>
  <c r="C23" i="84" s="1"/>
  <c r="U4" i="84" l="1"/>
  <c r="U3" i="84"/>
  <c r="T4" i="84"/>
  <c r="T3" i="84"/>
  <c r="S4" i="84"/>
  <c r="S3" i="84"/>
  <c r="AN142" i="2" l="1"/>
  <c r="AO142" i="2"/>
  <c r="AP142" i="2"/>
  <c r="AN126" i="2"/>
  <c r="AO126" i="2"/>
  <c r="AP126" i="2"/>
  <c r="AN39" i="2"/>
  <c r="AO39" i="2"/>
  <c r="AP39" i="2"/>
  <c r="AN41" i="2"/>
  <c r="AO41" i="2"/>
  <c r="AP41" i="2"/>
  <c r="AN42" i="2"/>
  <c r="AO42" i="2"/>
  <c r="AP42" i="2"/>
  <c r="AN45" i="2"/>
  <c r="AO45" i="2"/>
  <c r="AP45" i="2"/>
  <c r="AN131" i="2"/>
  <c r="AO131" i="2"/>
  <c r="AP131" i="2"/>
  <c r="AN49" i="2"/>
  <c r="AO49" i="2"/>
  <c r="AP49" i="2"/>
  <c r="AN133" i="2"/>
  <c r="AO133" i="2"/>
  <c r="AP133" i="2"/>
  <c r="AN134" i="2"/>
  <c r="AO134" i="2"/>
  <c r="AP134" i="2"/>
  <c r="AN50" i="2"/>
  <c r="AO50" i="2"/>
  <c r="AP50" i="2"/>
  <c r="AN136" i="2"/>
  <c r="AO136" i="2"/>
  <c r="AP136" i="2"/>
  <c r="AN137" i="2"/>
  <c r="AO137" i="2"/>
  <c r="AP137" i="2"/>
  <c r="AN138" i="2"/>
  <c r="AO138" i="2"/>
  <c r="AP138" i="2"/>
  <c r="AN139" i="2"/>
  <c r="AO139" i="2"/>
  <c r="AP139" i="2"/>
  <c r="AN140" i="2"/>
  <c r="AO140" i="2"/>
  <c r="AP140" i="2"/>
  <c r="AN141" i="2"/>
  <c r="AO141" i="2"/>
  <c r="AP141" i="2"/>
  <c r="N18" i="84"/>
  <c r="M18" i="84"/>
  <c r="N17" i="84"/>
  <c r="M17" i="84"/>
  <c r="N16" i="84"/>
  <c r="M16" i="84"/>
  <c r="A613" i="28" l="1"/>
  <c r="A612" i="28"/>
  <c r="A611" i="28"/>
  <c r="A610" i="28"/>
  <c r="A609" i="28"/>
  <c r="A608" i="28"/>
  <c r="A607" i="28"/>
  <c r="A606" i="28"/>
  <c r="J3" i="89"/>
  <c r="C4" i="84" a="1"/>
  <c r="C4" i="84" s="1"/>
  <c r="A979" i="88" l="1"/>
  <c r="A978" i="88"/>
  <c r="A977" i="88"/>
  <c r="A976" i="88"/>
  <c r="A975" i="88"/>
  <c r="A974" i="88"/>
  <c r="A973" i="88"/>
  <c r="A972" i="88"/>
  <c r="A971" i="88"/>
  <c r="A970" i="88"/>
  <c r="AN124" i="2" l="1"/>
  <c r="AO124" i="2"/>
  <c r="AP124" i="2"/>
  <c r="AN125" i="2"/>
  <c r="AO125" i="2"/>
  <c r="AP125" i="2"/>
  <c r="C4" i="5"/>
  <c r="AN120" i="2" l="1"/>
  <c r="AO120" i="2"/>
  <c r="AP120" i="2"/>
  <c r="AN121" i="2"/>
  <c r="AO121" i="2"/>
  <c r="AP121" i="2"/>
  <c r="AN122" i="2"/>
  <c r="AO122" i="2"/>
  <c r="AP122" i="2"/>
  <c r="AN123" i="2"/>
  <c r="AO123" i="2"/>
  <c r="AP123" i="2"/>
  <c r="A950" i="88" l="1"/>
  <c r="A951" i="88"/>
  <c r="A952" i="88"/>
  <c r="A953" i="88"/>
  <c r="A954" i="88"/>
  <c r="A955" i="88"/>
  <c r="A956" i="88"/>
  <c r="A957" i="88"/>
  <c r="A958" i="88"/>
  <c r="A959" i="88"/>
  <c r="A949" i="88"/>
  <c r="A969" i="88"/>
  <c r="A968" i="88"/>
  <c r="A967" i="88"/>
  <c r="A966" i="88"/>
  <c r="A965" i="88"/>
  <c r="A964" i="88"/>
  <c r="A963" i="88"/>
  <c r="A962" i="88"/>
  <c r="A961" i="88"/>
  <c r="A960" i="88"/>
  <c r="A948" i="88"/>
  <c r="A947" i="88"/>
  <c r="A946" i="88"/>
  <c r="A945" i="88"/>
  <c r="A944" i="88"/>
  <c r="A943" i="88"/>
  <c r="A942" i="88"/>
  <c r="A941" i="88"/>
  <c r="A940" i="88"/>
  <c r="C25" i="84" a="1"/>
  <c r="C25" i="84" s="1"/>
  <c r="C6" i="84" a="1"/>
  <c r="C6" i="84" s="1"/>
  <c r="E29" i="84" a="1"/>
  <c r="E29" i="84" s="1"/>
  <c r="D28" i="84" s="1"/>
  <c r="E27" i="84" a="1"/>
  <c r="E27" i="84" s="1"/>
  <c r="D27" i="84" s="1"/>
  <c r="E10" i="84" a="1"/>
  <c r="E10" i="84" s="1"/>
  <c r="D9" i="84" s="1"/>
  <c r="E8" i="84" a="1"/>
  <c r="E8" i="84" s="1"/>
  <c r="D8" i="84" s="1"/>
  <c r="C32" i="84" a="1"/>
  <c r="C32" i="84" s="1"/>
  <c r="C30" i="84" a="1"/>
  <c r="C30" i="84" s="1"/>
  <c r="C29" i="84" a="1"/>
  <c r="C29" i="84" s="1"/>
  <c r="C28" i="84" a="1"/>
  <c r="C28" i="84" s="1"/>
  <c r="C27" i="84" a="1"/>
  <c r="C27" i="84" s="1"/>
  <c r="C13" i="84" a="1"/>
  <c r="C13" i="84" s="1"/>
  <c r="C11" i="84" a="1"/>
  <c r="C11" i="84" s="1"/>
  <c r="C10" i="84" a="1"/>
  <c r="C10" i="84" s="1"/>
  <c r="C9" i="84" a="1"/>
  <c r="C9" i="84" s="1"/>
  <c r="C8" i="84" a="1"/>
  <c r="C8" i="84" s="1"/>
  <c r="AN6" i="2" l="1"/>
  <c r="AN7" i="2"/>
  <c r="AN8" i="2"/>
  <c r="AN9" i="2"/>
  <c r="AN10" i="2"/>
  <c r="AN11" i="2"/>
  <c r="AN12" i="2"/>
  <c r="AN13" i="2"/>
  <c r="AN130" i="2"/>
  <c r="AN132" i="2"/>
  <c r="AN16" i="2"/>
  <c r="AN17" i="2"/>
  <c r="AN18" i="2"/>
  <c r="AN107" i="2"/>
  <c r="AN20" i="2"/>
  <c r="AN21" i="2"/>
  <c r="AN19" i="2"/>
  <c r="AN22" i="2"/>
  <c r="AN14" i="2"/>
  <c r="AN25" i="2"/>
  <c r="AN23" i="2"/>
  <c r="AN84" i="2"/>
  <c r="AN28" i="2"/>
  <c r="AN29" i="2"/>
  <c r="AN127" i="2"/>
  <c r="AN128" i="2"/>
  <c r="AN32" i="2"/>
  <c r="AN33" i="2"/>
  <c r="AN108" i="2"/>
  <c r="AN109" i="2"/>
  <c r="AN62" i="2"/>
  <c r="AN15" i="2"/>
  <c r="AN38" i="2"/>
  <c r="AN72" i="2"/>
  <c r="AN40" i="2"/>
  <c r="AN24" i="2"/>
  <c r="AN26" i="2"/>
  <c r="AN43" i="2"/>
  <c r="AN44" i="2"/>
  <c r="AN27" i="2"/>
  <c r="AN46" i="2"/>
  <c r="AN47" i="2"/>
  <c r="AN48" i="2"/>
  <c r="AN30" i="2"/>
  <c r="AN31" i="2"/>
  <c r="AN51" i="2"/>
  <c r="AN52" i="2"/>
  <c r="AN53" i="2"/>
  <c r="AN54" i="2"/>
  <c r="AN55" i="2"/>
  <c r="AN56" i="2"/>
  <c r="AN57" i="2"/>
  <c r="AN58" i="2"/>
  <c r="AN59" i="2"/>
  <c r="AN60" i="2"/>
  <c r="AN61" i="2"/>
  <c r="AN73" i="2"/>
  <c r="AN63" i="2"/>
  <c r="AN64" i="2"/>
  <c r="AN65" i="2"/>
  <c r="AN66" i="2"/>
  <c r="AN67" i="2"/>
  <c r="AN68" i="2"/>
  <c r="AN69" i="2"/>
  <c r="AN70" i="2"/>
  <c r="AN71" i="2"/>
  <c r="AN34" i="2"/>
  <c r="AN103" i="2"/>
  <c r="AN74" i="2"/>
  <c r="AN75" i="2"/>
  <c r="AN76" i="2"/>
  <c r="AN77" i="2"/>
  <c r="AN78" i="2"/>
  <c r="AN79" i="2"/>
  <c r="AN80" i="2"/>
  <c r="AN81" i="2"/>
  <c r="AN82" i="2"/>
  <c r="AN83" i="2"/>
  <c r="AN135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29" i="2"/>
  <c r="AN104" i="2"/>
  <c r="AN105" i="2"/>
  <c r="AN106" i="2"/>
  <c r="AN35" i="2"/>
  <c r="AN36" i="2"/>
  <c r="AN37" i="2"/>
  <c r="AN110" i="2"/>
  <c r="AN111" i="2"/>
  <c r="AN112" i="2"/>
  <c r="AN113" i="2"/>
  <c r="AN114" i="2"/>
  <c r="AN115" i="2"/>
  <c r="AN116" i="2"/>
  <c r="AN117" i="2"/>
  <c r="AN118" i="2"/>
  <c r="AN119" i="2"/>
  <c r="AN5" i="2"/>
  <c r="B47" i="83"/>
  <c r="C47" i="83"/>
  <c r="B48" i="83"/>
  <c r="C48" i="83"/>
  <c r="C46" i="83"/>
  <c r="B46" i="83"/>
  <c r="A939" i="88"/>
  <c r="A938" i="88"/>
  <c r="A937" i="88"/>
  <c r="A936" i="88"/>
  <c r="A935" i="88"/>
  <c r="A934" i="88"/>
  <c r="A933" i="88"/>
  <c r="A932" i="88"/>
  <c r="A931" i="88"/>
  <c r="A930" i="88"/>
  <c r="A44" i="83" l="1"/>
  <c r="J13" i="89"/>
  <c r="N34" i="5"/>
  <c r="N35" i="5"/>
  <c r="N36" i="5"/>
  <c r="N28" i="5"/>
  <c r="N29" i="5"/>
  <c r="N30" i="5"/>
  <c r="N31" i="5"/>
  <c r="N32" i="5"/>
  <c r="N33" i="5"/>
  <c r="N27" i="5"/>
  <c r="AP6" i="2" l="1"/>
  <c r="AP7" i="2"/>
  <c r="AP8" i="2"/>
  <c r="AP9" i="2"/>
  <c r="AP10" i="2"/>
  <c r="AP11" i="2"/>
  <c r="AP12" i="2"/>
  <c r="AP13" i="2"/>
  <c r="AP130" i="2"/>
  <c r="AP132" i="2"/>
  <c r="AP16" i="2"/>
  <c r="AP17" i="2"/>
  <c r="AP18" i="2"/>
  <c r="AP107" i="2"/>
  <c r="AP20" i="2"/>
  <c r="AP21" i="2"/>
  <c r="AP19" i="2"/>
  <c r="AP22" i="2"/>
  <c r="AP14" i="2"/>
  <c r="AP25" i="2"/>
  <c r="AP23" i="2"/>
  <c r="AP84" i="2"/>
  <c r="AP28" i="2"/>
  <c r="AP29" i="2"/>
  <c r="AP127" i="2"/>
  <c r="AP128" i="2"/>
  <c r="AP32" i="2"/>
  <c r="AP33" i="2"/>
  <c r="AP108" i="2"/>
  <c r="AP109" i="2"/>
  <c r="AP62" i="2"/>
  <c r="AP15" i="2"/>
  <c r="AP38" i="2"/>
  <c r="AP72" i="2"/>
  <c r="AP40" i="2"/>
  <c r="AP24" i="2"/>
  <c r="AP26" i="2"/>
  <c r="AP43" i="2"/>
  <c r="AP44" i="2"/>
  <c r="AP27" i="2"/>
  <c r="AP46" i="2"/>
  <c r="AP47" i="2"/>
  <c r="AP48" i="2"/>
  <c r="AP30" i="2"/>
  <c r="AP31" i="2"/>
  <c r="AP51" i="2"/>
  <c r="AP52" i="2"/>
  <c r="AP53" i="2"/>
  <c r="AP54" i="2"/>
  <c r="AP55" i="2"/>
  <c r="AP56" i="2"/>
  <c r="AP57" i="2"/>
  <c r="AP58" i="2"/>
  <c r="AP59" i="2"/>
  <c r="AP60" i="2"/>
  <c r="AP61" i="2"/>
  <c r="AP73" i="2"/>
  <c r="AP63" i="2"/>
  <c r="AP64" i="2"/>
  <c r="AP65" i="2"/>
  <c r="AP66" i="2"/>
  <c r="AP67" i="2"/>
  <c r="AP68" i="2"/>
  <c r="AP69" i="2"/>
  <c r="AP70" i="2"/>
  <c r="AP71" i="2"/>
  <c r="AP34" i="2"/>
  <c r="AP103" i="2"/>
  <c r="AP74" i="2"/>
  <c r="AP75" i="2"/>
  <c r="AP76" i="2"/>
  <c r="AP77" i="2"/>
  <c r="AP78" i="2"/>
  <c r="AP79" i="2"/>
  <c r="AP80" i="2"/>
  <c r="AP81" i="2"/>
  <c r="AP82" i="2"/>
  <c r="AP83" i="2"/>
  <c r="AP135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29" i="2"/>
  <c r="AP104" i="2"/>
  <c r="AP105" i="2"/>
  <c r="AP106" i="2"/>
  <c r="AP35" i="2"/>
  <c r="AP36" i="2"/>
  <c r="AP37" i="2"/>
  <c r="AP110" i="2"/>
  <c r="AP111" i="2"/>
  <c r="AP112" i="2"/>
  <c r="AP113" i="2"/>
  <c r="AP114" i="2"/>
  <c r="AP115" i="2"/>
  <c r="AP116" i="2"/>
  <c r="AP117" i="2"/>
  <c r="AP118" i="2"/>
  <c r="AP119" i="2"/>
  <c r="AP5" i="2"/>
  <c r="AO5" i="2"/>
  <c r="AO6" i="2"/>
  <c r="AO7" i="2"/>
  <c r="AO8" i="2"/>
  <c r="AO9" i="2"/>
  <c r="AO10" i="2"/>
  <c r="AO11" i="2"/>
  <c r="AO12" i="2"/>
  <c r="AO13" i="2"/>
  <c r="AO130" i="2"/>
  <c r="AO132" i="2"/>
  <c r="AO16" i="2"/>
  <c r="AO17" i="2"/>
  <c r="AO18" i="2"/>
  <c r="AO107" i="2"/>
  <c r="AO20" i="2"/>
  <c r="AO21" i="2"/>
  <c r="AO19" i="2"/>
  <c r="AO22" i="2"/>
  <c r="AO14" i="2"/>
  <c r="AO25" i="2"/>
  <c r="AO23" i="2"/>
  <c r="AO84" i="2"/>
  <c r="AO28" i="2"/>
  <c r="AO29" i="2"/>
  <c r="AO127" i="2"/>
  <c r="AO128" i="2"/>
  <c r="AO32" i="2"/>
  <c r="AO33" i="2"/>
  <c r="AO108" i="2"/>
  <c r="AO109" i="2"/>
  <c r="AO62" i="2"/>
  <c r="AO15" i="2"/>
  <c r="AO38" i="2"/>
  <c r="AO72" i="2"/>
  <c r="AO40" i="2"/>
  <c r="AO24" i="2"/>
  <c r="AO26" i="2"/>
  <c r="AO43" i="2"/>
  <c r="AO44" i="2"/>
  <c r="AO27" i="2"/>
  <c r="AO46" i="2"/>
  <c r="AO47" i="2"/>
  <c r="AO48" i="2"/>
  <c r="AO30" i="2"/>
  <c r="AO31" i="2"/>
  <c r="AO51" i="2"/>
  <c r="AO52" i="2"/>
  <c r="AO53" i="2"/>
  <c r="AO54" i="2"/>
  <c r="AO55" i="2"/>
  <c r="AO56" i="2"/>
  <c r="AO57" i="2"/>
  <c r="AO58" i="2"/>
  <c r="AO59" i="2"/>
  <c r="AO60" i="2"/>
  <c r="AO61" i="2"/>
  <c r="AO73" i="2"/>
  <c r="AO63" i="2"/>
  <c r="AO64" i="2"/>
  <c r="AO65" i="2"/>
  <c r="AO66" i="2"/>
  <c r="AO67" i="2"/>
  <c r="AO68" i="2"/>
  <c r="AO69" i="2"/>
  <c r="AO70" i="2"/>
  <c r="AO71" i="2"/>
  <c r="AO34" i="2"/>
  <c r="AO103" i="2"/>
  <c r="AO74" i="2"/>
  <c r="AO75" i="2"/>
  <c r="AO76" i="2"/>
  <c r="AO77" i="2"/>
  <c r="AO78" i="2"/>
  <c r="AO79" i="2"/>
  <c r="AO80" i="2"/>
  <c r="AO81" i="2"/>
  <c r="AO82" i="2"/>
  <c r="AO83" i="2"/>
  <c r="AO135" i="2"/>
  <c r="AO85" i="2"/>
  <c r="AO86" i="2"/>
  <c r="AO87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29" i="2"/>
  <c r="AO104" i="2"/>
  <c r="AO105" i="2"/>
  <c r="AO106" i="2"/>
  <c r="AO35" i="2"/>
  <c r="AO36" i="2"/>
  <c r="AO37" i="2"/>
  <c r="AO110" i="2"/>
  <c r="AO111" i="2"/>
  <c r="AO112" i="2"/>
  <c r="AO113" i="2"/>
  <c r="AO114" i="2"/>
  <c r="AO115" i="2"/>
  <c r="AO116" i="2"/>
  <c r="AO117" i="2"/>
  <c r="AO118" i="2"/>
  <c r="AO119" i="2"/>
  <c r="AO88" i="2"/>
  <c r="A929" i="88"/>
  <c r="A928" i="88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 l="1"/>
  <c r="A912" i="88"/>
  <c r="A911" i="88"/>
  <c r="A910" i="88"/>
  <c r="A909" i="88"/>
  <c r="A908" i="88"/>
  <c r="A907" i="88"/>
  <c r="A605" i="28" l="1"/>
  <c r="A906" i="88"/>
  <c r="A905" i="88"/>
  <c r="A904" i="88"/>
  <c r="A903" i="88"/>
  <c r="A902" i="88"/>
  <c r="A901" i="88"/>
  <c r="A900" i="88"/>
  <c r="A899" i="88"/>
  <c r="A604" i="28" l="1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K8" i="84"/>
  <c r="J7" i="84"/>
  <c r="I7" i="84"/>
  <c r="H7" i="84"/>
  <c r="G7" i="84"/>
  <c r="J5" i="84"/>
  <c r="I5" i="84"/>
  <c r="H5" i="84"/>
  <c r="A898" i="88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J8" i="89" l="1"/>
  <c r="K7" i="84"/>
  <c r="K5" i="84"/>
  <c r="J6" i="84"/>
  <c r="K6" i="84" s="1"/>
  <c r="A582" i="28"/>
  <c r="A581" i="28"/>
  <c r="A580" i="28"/>
  <c r="A881" i="88" l="1"/>
  <c r="A880" i="88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3" i="88"/>
  <c r="A4" i="88"/>
  <c r="A5" i="88"/>
  <c r="A6" i="88"/>
  <c r="A7" i="88"/>
  <c r="A8" i="88"/>
  <c r="A9" i="88"/>
  <c r="A10" i="88"/>
  <c r="A11" i="88"/>
  <c r="A12" i="88"/>
  <c r="A13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867" i="88"/>
  <c r="A579" i="28" l="1"/>
  <c r="A578" i="28"/>
  <c r="A577" i="28" l="1"/>
  <c r="A576" i="28"/>
  <c r="A575" i="28"/>
  <c r="A574" i="28" l="1"/>
  <c r="A573" i="28"/>
  <c r="A572" i="28"/>
  <c r="A571" i="28"/>
  <c r="A570" i="28"/>
  <c r="A569" i="28" l="1"/>
  <c r="A568" i="28"/>
  <c r="A423" i="28" l="1"/>
  <c r="A422" i="28"/>
  <c r="A567" i="28" l="1"/>
  <c r="A566" i="28"/>
  <c r="A565" i="28"/>
  <c r="A564" i="28"/>
  <c r="A563" i="28"/>
  <c r="A562" i="28"/>
  <c r="A561" i="28"/>
  <c r="A560" i="28"/>
  <c r="A559" i="28"/>
  <c r="A558" i="28"/>
  <c r="A557" i="28"/>
  <c r="A556" i="28"/>
  <c r="C2" i="5" l="1"/>
  <c r="C1" i="6" s="1"/>
  <c r="A555" i="28" l="1"/>
  <c r="A554" i="28" l="1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 l="1"/>
  <c r="A495" i="28" l="1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 l="1"/>
  <c r="A458" i="28" l="1"/>
  <c r="A457" i="28"/>
  <c r="A456" i="28" l="1"/>
  <c r="A455" i="28" l="1"/>
  <c r="A454" i="28"/>
  <c r="A453" i="28"/>
  <c r="A452" i="28"/>
  <c r="A451" i="28"/>
  <c r="A450" i="28"/>
  <c r="A449" i="28"/>
  <c r="A448" i="28"/>
  <c r="A447" i="28"/>
  <c r="A446" i="28"/>
  <c r="A445" i="28"/>
  <c r="I9" i="84" l="1"/>
  <c r="J9" i="84" s="1"/>
  <c r="K9" i="84" l="1"/>
  <c r="A444" i="28"/>
  <c r="A443" i="28"/>
  <c r="A442" i="28"/>
  <c r="A441" i="28"/>
  <c r="A440" i="28"/>
  <c r="A439" i="28"/>
  <c r="A438" i="28"/>
  <c r="A437" i="28"/>
  <c r="A436" i="28"/>
  <c r="A435" i="28"/>
  <c r="A434" i="28"/>
  <c r="A433" i="28" l="1"/>
  <c r="A432" i="28"/>
  <c r="A431" i="28"/>
  <c r="A430" i="28"/>
  <c r="A429" i="28" l="1"/>
  <c r="A428" i="28"/>
  <c r="A427" i="28"/>
  <c r="A426" i="28"/>
  <c r="A425" i="28"/>
  <c r="A424" i="28"/>
  <c r="A421" i="28"/>
  <c r="A420" i="28"/>
  <c r="A419" i="28" l="1"/>
  <c r="A418" i="28"/>
  <c r="A417" i="28"/>
  <c r="A416" i="28"/>
  <c r="A415" i="28"/>
  <c r="A414" i="28"/>
  <c r="A413" i="28"/>
  <c r="A412" i="28"/>
  <c r="A411" i="28"/>
  <c r="A410" i="28" l="1"/>
  <c r="A409" i="28"/>
  <c r="A408" i="28"/>
  <c r="A407" i="28"/>
  <c r="A406" i="28"/>
  <c r="A405" i="28"/>
  <c r="A404" i="28"/>
  <c r="A403" i="28"/>
  <c r="A402" i="28" l="1"/>
  <c r="A401" i="28"/>
  <c r="A400" i="28"/>
  <c r="A399" i="28"/>
  <c r="A398" i="28"/>
  <c r="A397" i="28"/>
  <c r="A396" i="28"/>
  <c r="A395" i="28" l="1"/>
  <c r="A394" i="28"/>
  <c r="A393" i="28"/>
  <c r="A392" i="28" l="1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 l="1"/>
  <c r="A378" i="28"/>
  <c r="A377" i="28" l="1"/>
  <c r="A376" i="28"/>
  <c r="A375" i="28"/>
  <c r="A374" i="28"/>
  <c r="A373" i="28"/>
  <c r="A372" i="28" l="1"/>
  <c r="A371" i="28"/>
  <c r="A370" i="28"/>
  <c r="A369" i="28"/>
  <c r="A368" i="28"/>
  <c r="A367" i="28" l="1"/>
  <c r="A366" i="28" l="1"/>
  <c r="A365" i="28"/>
  <c r="A364" i="28"/>
  <c r="A363" i="28"/>
  <c r="A362" i="28"/>
  <c r="A361" i="28" l="1"/>
  <c r="A360" i="28"/>
  <c r="A359" i="28"/>
  <c r="A358" i="28"/>
  <c r="A357" i="28"/>
  <c r="A356" i="28"/>
  <c r="A355" i="28" l="1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294" i="28"/>
  <c r="A295" i="28"/>
  <c r="A296" i="28"/>
  <c r="A297" i="28"/>
  <c r="A298" i="28"/>
  <c r="A299" i="28"/>
  <c r="A300" i="28"/>
  <c r="A301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293" i="28" l="1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 l="1"/>
  <c r="A261" i="28"/>
  <c r="A260" i="28" l="1"/>
  <c r="A259" i="28"/>
  <c r="A258" i="28"/>
  <c r="A222" i="28" l="1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19" i="28"/>
  <c r="A220" i="28"/>
  <c r="A221" i="28"/>
  <c r="A218" i="28"/>
  <c r="A217" i="28" l="1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C4" i="87" l="1"/>
  <c r="A203" i="28" l="1"/>
  <c r="A202" i="28"/>
  <c r="A201" i="28"/>
  <c r="A200" i="28"/>
  <c r="A199" i="28"/>
  <c r="A198" i="28"/>
  <c r="A197" i="28"/>
  <c r="A196" i="28"/>
  <c r="A195" i="28"/>
  <c r="A194" i="28" l="1"/>
  <c r="A193" i="28"/>
  <c r="A192" i="28"/>
  <c r="A191" i="28"/>
  <c r="A190" i="28"/>
  <c r="A189" i="28"/>
  <c r="O3" i="30" l="1"/>
  <c r="C3" i="30"/>
  <c r="D3" i="30"/>
  <c r="E3" i="30"/>
  <c r="B3" i="30"/>
  <c r="P3" i="30"/>
  <c r="A188" i="28" l="1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 l="1"/>
  <c r="A174" i="28"/>
  <c r="A156" i="28" l="1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55" i="28" l="1"/>
  <c r="A154" i="28"/>
  <c r="A153" i="28" l="1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 l="1"/>
  <c r="A130" i="28"/>
  <c r="A129" i="28" l="1"/>
  <c r="A128" i="28"/>
  <c r="A127" i="28"/>
  <c r="A126" i="28" l="1"/>
  <c r="A125" i="28" l="1"/>
  <c r="A124" i="28"/>
  <c r="A123" i="28"/>
  <c r="A122" i="28"/>
  <c r="A121" i="28" l="1"/>
  <c r="A120" i="28"/>
  <c r="A119" i="28"/>
  <c r="A118" i="28"/>
  <c r="A117" i="28"/>
  <c r="A116" i="28"/>
  <c r="A115" i="28"/>
  <c r="A114" i="28" l="1"/>
  <c r="A113" i="28"/>
  <c r="A112" i="28"/>
  <c r="A98" i="28" l="1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97" i="28"/>
  <c r="A96" i="28"/>
  <c r="A28" i="28"/>
  <c r="A95" i="28" l="1"/>
  <c r="A94" i="28"/>
  <c r="A93" i="28"/>
  <c r="A92" i="28"/>
  <c r="A91" i="28"/>
  <c r="A90" i="28"/>
  <c r="A89" i="28"/>
  <c r="A88" i="28" l="1"/>
  <c r="A87" i="28"/>
  <c r="A86" i="28"/>
  <c r="A85" i="28"/>
  <c r="A84" i="28"/>
  <c r="A83" i="28" l="1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 l="1"/>
  <c r="A50" i="28"/>
  <c r="A49" i="28"/>
  <c r="A48" i="28"/>
  <c r="A47" i="28"/>
  <c r="A4" i="28" l="1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C33" i="84" l="1"/>
  <c r="C14" i="84"/>
  <c r="B1" i="6" l="1"/>
  <c r="B1" i="5"/>
  <c r="I74" i="17"/>
  <c r="G74" i="17"/>
  <c r="R1" i="30" l="1"/>
  <c r="C5" i="84" l="1"/>
  <c r="A50" i="83"/>
  <c r="A1" i="83" l="1"/>
  <c r="A29" i="89" s="1"/>
  <c r="C24" i="84"/>
  <c r="A83" i="83"/>
  <c r="E345" i="31"/>
  <c r="E194" i="31"/>
  <c r="D527" i="31"/>
  <c r="D260" i="31"/>
  <c r="D80" i="31"/>
  <c r="E18" i="31"/>
  <c r="E464" i="31"/>
  <c r="E123" i="31"/>
  <c r="E612" i="31"/>
  <c r="E55" i="31"/>
  <c r="D336" i="31"/>
  <c r="D320" i="31"/>
  <c r="E314" i="31"/>
  <c r="E72" i="31"/>
  <c r="E412" i="31"/>
  <c r="D468" i="31"/>
  <c r="E76" i="31"/>
  <c r="E226" i="31"/>
  <c r="E326" i="31"/>
  <c r="E356" i="31"/>
  <c r="D121" i="31"/>
  <c r="D545" i="31"/>
  <c r="D239" i="31"/>
  <c r="E440" i="31"/>
  <c r="D366" i="31"/>
  <c r="E100" i="31"/>
  <c r="D406" i="31"/>
  <c r="D348" i="31"/>
  <c r="D429" i="31"/>
  <c r="D272" i="31"/>
  <c r="D548" i="31"/>
  <c r="E313" i="31"/>
  <c r="D530" i="31"/>
  <c r="E615" i="31"/>
  <c r="E319" i="31"/>
  <c r="D69" i="31"/>
  <c r="D100" i="31"/>
  <c r="D385" i="31"/>
  <c r="E519" i="31"/>
  <c r="E235" i="31"/>
  <c r="E349" i="31"/>
  <c r="D171" i="31"/>
  <c r="D535" i="31"/>
  <c r="D281" i="31"/>
  <c r="D389" i="31"/>
  <c r="D611" i="31"/>
  <c r="E404" i="31"/>
  <c r="E389" i="31"/>
  <c r="E530" i="31"/>
  <c r="E112" i="31"/>
  <c r="D34" i="31"/>
  <c r="E221" i="31"/>
  <c r="E19" i="31"/>
  <c r="D434" i="31"/>
  <c r="D175" i="31"/>
  <c r="E499" i="31"/>
  <c r="D463" i="31"/>
  <c r="E554" i="31"/>
  <c r="E262" i="31"/>
  <c r="E220" i="31"/>
  <c r="D497" i="31"/>
  <c r="D135" i="31"/>
  <c r="D625" i="31"/>
  <c r="E70" i="31"/>
  <c r="E134" i="31"/>
  <c r="E170" i="31"/>
  <c r="E551" i="31"/>
  <c r="E318" i="31"/>
  <c r="D53" i="31"/>
  <c r="E567" i="31"/>
  <c r="E562" i="31"/>
  <c r="E282" i="31"/>
  <c r="D203" i="31"/>
  <c r="D294" i="31"/>
  <c r="D594" i="31"/>
  <c r="D262" i="31"/>
  <c r="D392" i="31"/>
  <c r="D371" i="31"/>
  <c r="E542" i="31"/>
  <c r="E340" i="31"/>
  <c r="E218" i="31"/>
  <c r="E243" i="31"/>
  <c r="E620" i="31"/>
  <c r="E197" i="31"/>
  <c r="E521" i="31"/>
  <c r="D584" i="31"/>
  <c r="D3" i="31"/>
  <c r="D501" i="31"/>
  <c r="D400" i="31"/>
  <c r="D323" i="31"/>
  <c r="D475" i="31"/>
  <c r="E252" i="31"/>
  <c r="E271" i="31"/>
  <c r="E343" i="31"/>
  <c r="D462" i="31"/>
  <c r="E407" i="31"/>
  <c r="D292" i="31"/>
  <c r="D431" i="31"/>
  <c r="E595" i="31"/>
  <c r="D228" i="31"/>
  <c r="E501" i="31"/>
  <c r="D241" i="31"/>
  <c r="E316" i="31"/>
  <c r="E366" i="31"/>
  <c r="E20" i="31"/>
  <c r="E374" i="31"/>
  <c r="D537" i="31"/>
  <c r="E339" i="31"/>
  <c r="E211" i="31"/>
  <c r="E201" i="31"/>
  <c r="D130" i="31"/>
  <c r="E210" i="31"/>
  <c r="D620" i="31"/>
  <c r="E545" i="31"/>
  <c r="D381" i="31"/>
  <c r="D287" i="31"/>
  <c r="E544" i="31"/>
  <c r="D138" i="31"/>
  <c r="E296" i="31"/>
  <c r="D222" i="31"/>
  <c r="D593" i="31"/>
  <c r="E59" i="31"/>
  <c r="D555" i="31"/>
  <c r="D277" i="31"/>
  <c r="D376" i="31"/>
  <c r="D81" i="31"/>
  <c r="D225" i="31"/>
  <c r="D82" i="31"/>
  <c r="D329" i="31"/>
  <c r="E497" i="31"/>
  <c r="D504" i="31"/>
  <c r="E128" i="31"/>
  <c r="E333" i="31"/>
  <c r="E592" i="31"/>
  <c r="E598" i="31"/>
  <c r="E489" i="31"/>
  <c r="D92" i="31"/>
  <c r="D54" i="31"/>
  <c r="D325" i="31"/>
  <c r="D231" i="31"/>
  <c r="E165" i="31"/>
  <c r="E364" i="31"/>
  <c r="D648" i="31"/>
  <c r="D198" i="31"/>
  <c r="D395" i="31"/>
  <c r="D524" i="31"/>
  <c r="E647" i="31"/>
  <c r="E442" i="31"/>
  <c r="E508" i="31"/>
  <c r="E358" i="31"/>
  <c r="D368" i="31"/>
  <c r="E268" i="31"/>
  <c r="E429" i="31"/>
  <c r="E381" i="31"/>
  <c r="D626" i="31"/>
  <c r="E144" i="31"/>
  <c r="D520" i="31"/>
  <c r="E388" i="31"/>
  <c r="D17" i="31"/>
  <c r="E42" i="31"/>
  <c r="E614" i="31"/>
  <c r="D252" i="31"/>
  <c r="D216" i="31"/>
  <c r="E117" i="31"/>
  <c r="D132" i="31"/>
  <c r="D158" i="31"/>
  <c r="D602" i="31"/>
  <c r="E75" i="31"/>
  <c r="D111" i="31"/>
  <c r="E212" i="31"/>
  <c r="D208" i="31"/>
  <c r="E353" i="31"/>
  <c r="E28" i="31"/>
  <c r="D409" i="31"/>
  <c r="D304" i="31"/>
  <c r="D347" i="31"/>
  <c r="D543" i="31"/>
  <c r="D411" i="31"/>
  <c r="D424" i="31"/>
  <c r="E241" i="31"/>
  <c r="D505" i="31"/>
  <c r="E10" i="31"/>
  <c r="D306" i="31"/>
  <c r="E371" i="31"/>
  <c r="E97" i="31"/>
  <c r="E336" i="31"/>
  <c r="E510" i="31"/>
  <c r="E536" i="31"/>
  <c r="D629" i="31"/>
  <c r="E106" i="31"/>
  <c r="E332" i="31"/>
  <c r="D556" i="31"/>
  <c r="E74" i="31"/>
  <c r="D569" i="31"/>
  <c r="E184" i="31"/>
  <c r="E285" i="31"/>
  <c r="D560" i="31"/>
  <c r="E638" i="31"/>
  <c r="E570" i="31"/>
  <c r="E441" i="31"/>
  <c r="D432" i="31"/>
  <c r="E428" i="31"/>
  <c r="E289" i="31"/>
  <c r="D534" i="31"/>
  <c r="E139" i="31"/>
  <c r="D598" i="31"/>
  <c r="D615" i="31"/>
  <c r="D510" i="31"/>
  <c r="D319" i="31"/>
  <c r="D308" i="31"/>
  <c r="E292" i="31"/>
  <c r="E150" i="31"/>
  <c r="E24" i="31"/>
  <c r="E114" i="31"/>
  <c r="D489" i="31"/>
  <c r="D86" i="31"/>
  <c r="D528" i="31"/>
  <c r="E375" i="31"/>
  <c r="E600" i="31"/>
  <c r="E324" i="31"/>
  <c r="D38" i="31"/>
  <c r="D258" i="31"/>
  <c r="E237" i="31"/>
  <c r="E40" i="31"/>
  <c r="E301" i="31"/>
  <c r="E49" i="31"/>
  <c r="D488" i="31"/>
  <c r="D585" i="31"/>
  <c r="E122" i="31"/>
  <c r="D373" i="31"/>
  <c r="D640" i="31"/>
  <c r="E39" i="31"/>
  <c r="D85" i="31"/>
  <c r="E518" i="31"/>
  <c r="D487" i="31"/>
  <c r="D351" i="31"/>
  <c r="D232" i="31"/>
  <c r="E57" i="31"/>
  <c r="D380" i="31"/>
  <c r="E580" i="31"/>
  <c r="E172" i="31"/>
  <c r="E152" i="31"/>
  <c r="D99" i="31"/>
  <c r="E286" i="31"/>
  <c r="E232" i="31"/>
  <c r="E8" i="31"/>
  <c r="E645" i="31"/>
  <c r="E585" i="31"/>
  <c r="D212" i="31"/>
  <c r="D503" i="31"/>
  <c r="E302" i="31"/>
  <c r="E162" i="31"/>
  <c r="D128" i="31"/>
  <c r="D192" i="31"/>
  <c r="D478" i="31"/>
  <c r="D280" i="31"/>
  <c r="E163" i="31"/>
  <c r="D384" i="31"/>
  <c r="D312" i="31"/>
  <c r="E328" i="31"/>
  <c r="D627" i="31"/>
  <c r="D455" i="31"/>
  <c r="D229" i="31"/>
  <c r="D57" i="31"/>
  <c r="D261" i="31"/>
  <c r="E397" i="31"/>
  <c r="E43" i="31"/>
  <c r="E572" i="31"/>
  <c r="E417" i="31"/>
  <c r="D474" i="31"/>
  <c r="D603" i="31"/>
  <c r="E359" i="31"/>
  <c r="E161" i="31"/>
  <c r="E12" i="31"/>
  <c r="D255" i="31"/>
  <c r="D634" i="31"/>
  <c r="D245" i="31"/>
  <c r="E107" i="31"/>
  <c r="D307" i="31"/>
  <c r="D540" i="31"/>
  <c r="D492" i="31"/>
  <c r="D619" i="31"/>
  <c r="E141" i="31"/>
  <c r="D178" i="31"/>
  <c r="E347" i="31"/>
  <c r="E619" i="31"/>
  <c r="D407" i="31"/>
  <c r="E507" i="31"/>
  <c r="E290" i="31"/>
  <c r="E493" i="31"/>
  <c r="D201" i="31"/>
  <c r="D285" i="31"/>
  <c r="D76" i="31"/>
  <c r="D526" i="31"/>
  <c r="D592" i="31"/>
  <c r="E617" i="31"/>
  <c r="D4" i="31"/>
  <c r="E360" i="31"/>
  <c r="D578" i="31"/>
  <c r="D340" i="31"/>
  <c r="E593" i="31"/>
  <c r="D103" i="31"/>
  <c r="E138" i="31"/>
  <c r="E25" i="31"/>
  <c r="E327" i="31"/>
  <c r="E247" i="31"/>
  <c r="E92" i="31"/>
  <c r="D382" i="31"/>
  <c r="E295" i="31"/>
  <c r="E222" i="31"/>
  <c r="E411" i="31"/>
  <c r="D531" i="31"/>
  <c r="E149" i="31"/>
  <c r="E466" i="31"/>
  <c r="D176" i="31"/>
  <c r="D115" i="31"/>
  <c r="E553" i="31"/>
  <c r="D328" i="31"/>
  <c r="D379" i="31"/>
  <c r="D425" i="31"/>
  <c r="D74" i="31"/>
  <c r="E255" i="31"/>
  <c r="E548" i="31"/>
  <c r="E82" i="31"/>
  <c r="E126" i="31"/>
  <c r="E181" i="31"/>
  <c r="D405" i="31"/>
  <c r="E451" i="31"/>
  <c r="E529" i="31"/>
  <c r="E581" i="31"/>
  <c r="E35" i="31"/>
  <c r="D105" i="31"/>
  <c r="D179" i="31"/>
  <c r="D618" i="31"/>
  <c r="D276" i="31"/>
  <c r="E180" i="31"/>
  <c r="E250" i="31"/>
  <c r="E251" i="31"/>
  <c r="D66" i="31"/>
  <c r="D186" i="31"/>
  <c r="D316" i="31"/>
  <c r="E5" i="31"/>
  <c r="D247" i="31"/>
  <c r="D359" i="31"/>
  <c r="D30" i="31"/>
  <c r="E642" i="31"/>
  <c r="E532" i="31"/>
  <c r="D539" i="31"/>
  <c r="E238" i="31"/>
  <c r="E263" i="31"/>
  <c r="E317" i="31"/>
  <c r="E416" i="31"/>
  <c r="E631" i="31"/>
  <c r="D567" i="31"/>
  <c r="D125" i="31"/>
  <c r="D517" i="31"/>
  <c r="D283" i="31"/>
  <c r="D467" i="31"/>
  <c r="D63" i="31"/>
  <c r="E616" i="31"/>
  <c r="D168" i="31"/>
  <c r="D357" i="31"/>
  <c r="E121" i="31"/>
  <c r="E176" i="31"/>
  <c r="D297" i="31"/>
  <c r="E51" i="31"/>
  <c r="D124" i="31"/>
  <c r="E446" i="31"/>
  <c r="E185" i="31"/>
  <c r="E579" i="31"/>
  <c r="E299" i="31"/>
  <c r="D345" i="31"/>
  <c r="D408" i="31"/>
  <c r="E423" i="31"/>
  <c r="E244" i="31"/>
  <c r="D563" i="31"/>
  <c r="D608" i="31"/>
  <c r="E481" i="31"/>
  <c r="D576" i="31"/>
  <c r="E182" i="31"/>
  <c r="D193" i="31"/>
  <c r="D443" i="31"/>
  <c r="E380" i="31"/>
  <c r="D31" i="31"/>
  <c r="E189" i="31"/>
  <c r="E337" i="31"/>
  <c r="E603" i="31"/>
  <c r="D364" i="31"/>
  <c r="E465" i="31"/>
  <c r="E307" i="31"/>
  <c r="E355" i="31"/>
  <c r="E101" i="31"/>
  <c r="E231" i="31"/>
  <c r="E330" i="31"/>
  <c r="D267" i="31"/>
  <c r="D647" i="31"/>
  <c r="E377" i="31"/>
  <c r="E483" i="31"/>
  <c r="E425" i="31"/>
  <c r="E480" i="31"/>
  <c r="D622" i="31"/>
  <c r="D595" i="31"/>
  <c r="D51" i="31"/>
  <c r="D412" i="31"/>
  <c r="E37" i="31"/>
  <c r="D352" i="31"/>
  <c r="E591" i="31"/>
  <c r="E582" i="31"/>
  <c r="D73" i="31"/>
  <c r="D97" i="31"/>
  <c r="D586" i="31"/>
  <c r="D644" i="31"/>
  <c r="D449" i="31"/>
  <c r="E239" i="31"/>
  <c r="E171" i="31"/>
  <c r="E229" i="31"/>
  <c r="D248" i="31"/>
  <c r="E610" i="31"/>
  <c r="E496" i="31"/>
  <c r="D335" i="31"/>
  <c r="E648" i="31"/>
  <c r="E537" i="31"/>
  <c r="D490" i="31"/>
  <c r="D544" i="31"/>
  <c r="D422" i="31"/>
  <c r="D522" i="31"/>
  <c r="D577" i="31"/>
  <c r="D278" i="31"/>
  <c r="D50" i="31"/>
  <c r="D206" i="31"/>
  <c r="D26" i="31"/>
  <c r="D621" i="31"/>
  <c r="E249" i="31"/>
  <c r="D439" i="31"/>
  <c r="D160" i="31"/>
  <c r="D414" i="31"/>
  <c r="E522" i="31"/>
  <c r="E520" i="31"/>
  <c r="D566" i="31"/>
  <c r="D15" i="31"/>
  <c r="D188" i="31"/>
  <c r="D461" i="31"/>
  <c r="D301" i="31"/>
  <c r="E550" i="31"/>
  <c r="E586" i="31"/>
  <c r="D94" i="31"/>
  <c r="E560" i="31"/>
  <c r="E191" i="31"/>
  <c r="D279" i="31"/>
  <c r="E637" i="31"/>
  <c r="E116" i="31"/>
  <c r="D152" i="31"/>
  <c r="D220" i="31"/>
  <c r="E431" i="31"/>
  <c r="E512" i="31"/>
  <c r="E625" i="31"/>
  <c r="D253" i="31"/>
  <c r="D129" i="31"/>
  <c r="D221" i="31"/>
  <c r="D58" i="31"/>
  <c r="E204" i="31"/>
  <c r="D291" i="31"/>
  <c r="E89" i="31"/>
  <c r="D413" i="31"/>
  <c r="E533" i="31"/>
  <c r="E469" i="31"/>
  <c r="D507" i="31"/>
  <c r="E209" i="31"/>
  <c r="D79" i="31"/>
  <c r="D440" i="31"/>
  <c r="D237" i="31"/>
  <c r="E246" i="31"/>
  <c r="E608" i="31"/>
  <c r="D142" i="31"/>
  <c r="D609" i="31"/>
  <c r="D32" i="31"/>
  <c r="D417" i="31"/>
  <c r="E590" i="31"/>
  <c r="E646" i="31"/>
  <c r="D401" i="31"/>
  <c r="D101" i="31"/>
  <c r="E504" i="31"/>
  <c r="D106" i="31"/>
  <c r="E372" i="31"/>
  <c r="D446" i="31"/>
  <c r="E354" i="31"/>
  <c r="E547" i="31"/>
  <c r="E253" i="31"/>
  <c r="D525" i="31"/>
  <c r="D268" i="31"/>
  <c r="D403" i="31"/>
  <c r="D444" i="31"/>
  <c r="D209" i="31"/>
  <c r="D146" i="31"/>
  <c r="D191" i="31"/>
  <c r="D542" i="31"/>
  <c r="E309" i="31"/>
  <c r="E473" i="31"/>
  <c r="E334" i="31"/>
  <c r="D28" i="31"/>
  <c r="E458" i="31"/>
  <c r="D25" i="31"/>
  <c r="D632" i="31"/>
  <c r="D72" i="31"/>
  <c r="D131" i="31"/>
  <c r="D136" i="31"/>
  <c r="E118" i="31"/>
  <c r="D471" i="31"/>
  <c r="D590" i="31"/>
  <c r="D249" i="31"/>
  <c r="E284" i="31"/>
  <c r="E36" i="31"/>
  <c r="E109" i="31"/>
  <c r="D613" i="31"/>
  <c r="D250" i="31"/>
  <c r="D557" i="31"/>
  <c r="D321" i="31"/>
  <c r="E535" i="31"/>
  <c r="E9" i="31"/>
  <c r="E294" i="31"/>
  <c r="E65" i="31"/>
  <c r="E33" i="31"/>
  <c r="D377" i="31"/>
  <c r="D133" i="31"/>
  <c r="E158" i="31"/>
  <c r="E200" i="31"/>
  <c r="D157" i="31"/>
  <c r="D450" i="31"/>
  <c r="E341" i="31"/>
  <c r="E409" i="31"/>
  <c r="D233" i="31"/>
  <c r="E606" i="31"/>
  <c r="D646" i="31"/>
  <c r="D117" i="31"/>
  <c r="D457" i="31"/>
  <c r="D327" i="31"/>
  <c r="E419" i="31"/>
  <c r="E626" i="31"/>
  <c r="E206" i="31"/>
  <c r="E418" i="31"/>
  <c r="D356" i="31"/>
  <c r="E500" i="31"/>
  <c r="E81" i="31"/>
  <c r="D339" i="31"/>
  <c r="E367" i="31"/>
  <c r="E276" i="31"/>
  <c r="D511" i="31"/>
  <c r="E408" i="31"/>
  <c r="D246" i="31"/>
  <c r="D500" i="31"/>
  <c r="E629" i="31"/>
  <c r="E192" i="31"/>
  <c r="D523" i="31"/>
  <c r="E298" i="31"/>
  <c r="E405" i="31"/>
  <c r="D143" i="31"/>
  <c r="D486" i="31"/>
  <c r="E435" i="31"/>
  <c r="D355" i="31"/>
  <c r="E224" i="31"/>
  <c r="E136" i="31"/>
  <c r="E587" i="31"/>
  <c r="D169" i="31"/>
  <c r="E68" i="31"/>
  <c r="E636" i="31"/>
  <c r="E632" i="31"/>
  <c r="E402" i="31"/>
  <c r="E207" i="31"/>
  <c r="D442" i="31"/>
  <c r="D90" i="31"/>
  <c r="E264" i="31"/>
  <c r="E166" i="31"/>
  <c r="D559" i="31"/>
  <c r="E256" i="31"/>
  <c r="D75" i="31"/>
  <c r="D102" i="31"/>
  <c r="E147" i="31"/>
  <c r="D190" i="31"/>
  <c r="E288" i="31"/>
  <c r="D172" i="31"/>
  <c r="E214" i="31"/>
  <c r="D161" i="31"/>
  <c r="E583" i="31"/>
  <c r="E38" i="31"/>
  <c r="D44" i="31"/>
  <c r="E120" i="31"/>
  <c r="D588" i="31"/>
  <c r="D155" i="31"/>
  <c r="D170" i="31"/>
  <c r="D189" i="31"/>
  <c r="D151" i="31"/>
  <c r="D390" i="31"/>
  <c r="D436" i="31"/>
  <c r="E300" i="31"/>
  <c r="E45" i="31"/>
  <c r="D459" i="31"/>
  <c r="D322" i="31"/>
  <c r="E577" i="31"/>
  <c r="E190" i="31"/>
  <c r="E86" i="31"/>
  <c r="E186" i="31"/>
  <c r="E63" i="31"/>
  <c r="E396" i="31"/>
  <c r="D476" i="31"/>
  <c r="E559" i="31"/>
  <c r="D349" i="31"/>
  <c r="D91" i="31"/>
  <c r="E311" i="31"/>
  <c r="D515" i="31"/>
  <c r="D513" i="31"/>
  <c r="E541" i="31"/>
  <c r="D123" i="31"/>
  <c r="E639" i="31"/>
  <c r="E589" i="31"/>
  <c r="D570" i="31"/>
  <c r="D362" i="31"/>
  <c r="E303" i="31"/>
  <c r="D84" i="31"/>
  <c r="E254" i="31"/>
  <c r="E609" i="31"/>
  <c r="E415" i="31"/>
  <c r="D273" i="31"/>
  <c r="D288" i="31"/>
  <c r="E457" i="31"/>
  <c r="E233" i="31"/>
  <c r="E320" i="31"/>
  <c r="D270" i="31"/>
  <c r="D45" i="31"/>
  <c r="E11" i="31"/>
  <c r="E605" i="31"/>
  <c r="E421" i="31"/>
  <c r="D538" i="31"/>
  <c r="D207" i="31"/>
  <c r="E558" i="31"/>
  <c r="E470" i="31"/>
  <c r="D21" i="31"/>
  <c r="E588" i="31"/>
  <c r="E561" i="31"/>
  <c r="D519" i="31"/>
  <c r="D217" i="31"/>
  <c r="E459" i="31"/>
  <c r="D398" i="31"/>
  <c r="E342" i="31"/>
  <c r="E511" i="31"/>
  <c r="D174" i="31"/>
  <c r="D149" i="31"/>
  <c r="D591" i="31"/>
  <c r="E472" i="31"/>
  <c r="D9" i="31"/>
  <c r="E644" i="31"/>
  <c r="E3" i="31"/>
  <c r="D561" i="31"/>
  <c r="E88" i="31"/>
  <c r="D116" i="31"/>
  <c r="E564" i="31"/>
  <c r="E634" i="31"/>
  <c r="E29" i="31"/>
  <c r="D337" i="31"/>
  <c r="D562" i="31"/>
  <c r="E160" i="31"/>
  <c r="D610" i="31"/>
  <c r="D64" i="31"/>
  <c r="D23" i="31"/>
  <c r="D224" i="31"/>
  <c r="E119" i="31"/>
  <c r="E584" i="31"/>
  <c r="D256" i="31"/>
  <c r="E304" i="31"/>
  <c r="D445" i="31"/>
  <c r="E132" i="31"/>
  <c r="E437" i="31"/>
  <c r="D350" i="31"/>
  <c r="E502" i="31"/>
  <c r="D177" i="31"/>
  <c r="D269" i="31"/>
  <c r="E173" i="31"/>
  <c r="D623" i="31"/>
  <c r="E623" i="31"/>
  <c r="D264" i="31"/>
  <c r="E393" i="31"/>
  <c r="D122" i="31"/>
  <c r="D107" i="31"/>
  <c r="D516" i="31"/>
  <c r="D499" i="31"/>
  <c r="E274" i="31"/>
  <c r="D223" i="31"/>
  <c r="E273" i="31"/>
  <c r="D579" i="31"/>
  <c r="E67" i="31"/>
  <c r="E454" i="31"/>
  <c r="D402" i="31"/>
  <c r="D617" i="31"/>
  <c r="D546" i="31"/>
  <c r="E578" i="31"/>
  <c r="E270" i="31"/>
  <c r="E331" i="31"/>
  <c r="D68" i="31"/>
  <c r="E505" i="31"/>
  <c r="E641" i="31"/>
  <c r="D624" i="31"/>
  <c r="D633" i="31"/>
  <c r="D529" i="31"/>
  <c r="E439" i="31"/>
  <c r="D399" i="31"/>
  <c r="D166" i="31"/>
  <c r="D636" i="31"/>
  <c r="E108" i="31"/>
  <c r="D506" i="31"/>
  <c r="E66" i="31"/>
  <c r="D47" i="31"/>
  <c r="E58" i="31"/>
  <c r="E248" i="31"/>
  <c r="E630" i="31"/>
  <c r="D134" i="31"/>
  <c r="D551" i="31"/>
  <c r="D453" i="31"/>
  <c r="D141" i="31"/>
  <c r="D552" i="31"/>
  <c r="D282" i="31"/>
  <c r="E234" i="31"/>
  <c r="D305" i="31"/>
  <c r="D40" i="31"/>
  <c r="E17" i="31"/>
  <c r="D410" i="31"/>
  <c r="D211" i="31"/>
  <c r="E618" i="31"/>
  <c r="D127" i="31"/>
  <c r="E26" i="31"/>
  <c r="E13" i="31"/>
  <c r="D184" i="31"/>
  <c r="E350" i="31"/>
  <c r="D508" i="31"/>
  <c r="E549" i="31"/>
  <c r="D643" i="31"/>
  <c r="D41" i="31"/>
  <c r="D108" i="31"/>
  <c r="D589" i="31"/>
  <c r="E227" i="31"/>
  <c r="E515" i="31"/>
  <c r="D438" i="31"/>
  <c r="D196" i="31"/>
  <c r="D275" i="31"/>
  <c r="E539" i="31"/>
  <c r="D639" i="31"/>
  <c r="D195" i="31"/>
  <c r="D236" i="31"/>
  <c r="E198" i="31"/>
  <c r="D16" i="31"/>
  <c r="E474" i="31"/>
  <c r="E643" i="31"/>
  <c r="E308" i="31"/>
  <c r="D495" i="31"/>
  <c r="D334" i="31"/>
  <c r="E335" i="31"/>
  <c r="E79" i="31"/>
  <c r="E259" i="31"/>
  <c r="E597" i="31"/>
  <c r="D470" i="31"/>
  <c r="E143" i="31"/>
  <c r="E369" i="31"/>
  <c r="E62" i="31"/>
  <c r="D104" i="31"/>
  <c r="D419" i="31"/>
  <c r="D427" i="31"/>
  <c r="D298" i="31"/>
  <c r="E293" i="31"/>
  <c r="E509" i="31"/>
  <c r="D558" i="31"/>
  <c r="E15" i="31"/>
  <c r="E159" i="31"/>
  <c r="E482" i="31"/>
  <c r="E611" i="31"/>
  <c r="D187" i="31"/>
  <c r="E95" i="31"/>
  <c r="E245" i="31"/>
  <c r="E444" i="31"/>
  <c r="E125" i="31"/>
  <c r="D78" i="31"/>
  <c r="D77" i="31"/>
  <c r="E178" i="31"/>
  <c r="D614" i="31"/>
  <c r="E22" i="31"/>
  <c r="D473" i="31"/>
  <c r="D635" i="31"/>
  <c r="E61" i="31"/>
  <c r="D271" i="31"/>
  <c r="E422" i="31"/>
  <c r="D365" i="31"/>
  <c r="D485" i="31"/>
  <c r="E53" i="31"/>
  <c r="E373" i="31"/>
  <c r="D641" i="31"/>
  <c r="D93" i="31"/>
  <c r="E413" i="31"/>
  <c r="D341" i="31"/>
  <c r="E77" i="31"/>
  <c r="E599" i="31"/>
  <c r="E168" i="31"/>
  <c r="E540" i="31"/>
  <c r="D254" i="31"/>
  <c r="E448" i="31"/>
  <c r="D226" i="31"/>
  <c r="E6" i="31"/>
  <c r="E410" i="31"/>
  <c r="E196" i="31"/>
  <c r="E633" i="31"/>
  <c r="E391" i="31"/>
  <c r="D310" i="31"/>
  <c r="E607" i="31"/>
  <c r="D369" i="31"/>
  <c r="D447" i="31"/>
  <c r="D27" i="31"/>
  <c r="E403" i="31"/>
  <c r="D302" i="31"/>
  <c r="D420" i="31"/>
  <c r="E236" i="31"/>
  <c r="D600" i="31"/>
  <c r="D575" i="31"/>
  <c r="E365" i="31"/>
  <c r="D314" i="31"/>
  <c r="E531" i="31"/>
  <c r="D153" i="31"/>
  <c r="E135" i="31"/>
  <c r="D343" i="31"/>
  <c r="E78" i="31"/>
  <c r="E601" i="31"/>
  <c r="D204" i="31"/>
  <c r="E156" i="31"/>
  <c r="D98" i="31"/>
  <c r="D494" i="31"/>
  <c r="D549" i="31"/>
  <c r="E503" i="31"/>
  <c r="D22" i="31"/>
  <c r="E157" i="31"/>
  <c r="E463" i="31"/>
  <c r="D144" i="31"/>
  <c r="D388" i="31"/>
  <c r="E177" i="31"/>
  <c r="D482" i="31"/>
  <c r="D164" i="31"/>
  <c r="E436" i="31"/>
  <c r="D421" i="31"/>
  <c r="D290" i="31"/>
  <c r="D48" i="31"/>
  <c r="D437" i="31"/>
  <c r="D451" i="31"/>
  <c r="E257" i="31"/>
  <c r="D565" i="31"/>
  <c r="E154" i="31"/>
  <c r="D344" i="31"/>
  <c r="E546" i="31"/>
  <c r="D120" i="31"/>
  <c r="E137" i="31"/>
  <c r="D394" i="31"/>
  <c r="E266" i="31"/>
  <c r="E555" i="31"/>
  <c r="D12" i="31"/>
  <c r="D14" i="31"/>
  <c r="D295" i="31"/>
  <c r="E280" i="31"/>
  <c r="D95" i="31"/>
  <c r="D11" i="31"/>
  <c r="D580" i="31"/>
  <c r="E543" i="31"/>
  <c r="D137" i="31"/>
  <c r="E215" i="31"/>
  <c r="E449" i="31"/>
  <c r="D363" i="31"/>
  <c r="E142" i="31"/>
  <c r="D240" i="31"/>
  <c r="E573" i="31"/>
  <c r="D383" i="31"/>
  <c r="E312" i="31"/>
  <c r="E148" i="31"/>
  <c r="E552" i="31"/>
  <c r="D456" i="31"/>
  <c r="D266" i="31"/>
  <c r="D210" i="31"/>
  <c r="E155" i="31"/>
  <c r="D24" i="31"/>
  <c r="D67" i="31"/>
  <c r="D564" i="31"/>
  <c r="D235" i="31"/>
  <c r="D10" i="31"/>
  <c r="E401" i="31"/>
  <c r="E495" i="31"/>
  <c r="D62" i="31"/>
  <c r="D7" i="31"/>
  <c r="E305" i="31"/>
  <c r="E414" i="31"/>
  <c r="E187" i="31"/>
  <c r="D145" i="31"/>
  <c r="E563" i="31"/>
  <c r="E348" i="31"/>
  <c r="E133" i="31"/>
  <c r="D518" i="31"/>
  <c r="E115" i="31"/>
  <c r="E69" i="31"/>
  <c r="D332" i="31"/>
  <c r="D396" i="31"/>
  <c r="E7" i="31"/>
  <c r="D631" i="31"/>
  <c r="D418" i="31"/>
  <c r="D140" i="31"/>
  <c r="D581" i="31"/>
  <c r="E85" i="31"/>
  <c r="E526" i="31"/>
  <c r="E195" i="31"/>
  <c r="D331" i="31"/>
  <c r="D112" i="31"/>
  <c r="D8" i="31"/>
  <c r="D604" i="31"/>
  <c r="E628" i="31"/>
  <c r="D387" i="31"/>
  <c r="E424" i="31"/>
  <c r="E390" i="31"/>
  <c r="E534" i="31"/>
  <c r="D35" i="31"/>
  <c r="E395" i="31"/>
  <c r="D180" i="31"/>
  <c r="E352" i="31"/>
  <c r="E517" i="31"/>
  <c r="D572" i="31"/>
  <c r="E111" i="31"/>
  <c r="D257" i="31"/>
  <c r="D165" i="31"/>
  <c r="D568" i="31"/>
  <c r="E461" i="31"/>
  <c r="E420" i="31"/>
  <c r="E624" i="31"/>
  <c r="D119" i="31"/>
  <c r="D182" i="31"/>
  <c r="D159" i="31"/>
  <c r="E394" i="31"/>
  <c r="E468" i="31"/>
  <c r="E297" i="31"/>
  <c r="D541" i="31"/>
  <c r="E102" i="31"/>
  <c r="D547" i="31"/>
  <c r="D573" i="31"/>
  <c r="D428" i="31"/>
  <c r="E48" i="31"/>
  <c r="D496" i="31"/>
  <c r="D259" i="31"/>
  <c r="D426" i="31"/>
  <c r="D218" i="31"/>
  <c r="D19" i="31"/>
  <c r="E193" i="31"/>
  <c r="E487" i="31"/>
  <c r="E216" i="31"/>
  <c r="D315" i="31"/>
  <c r="D326" i="31"/>
  <c r="E30" i="31"/>
  <c r="E34" i="31"/>
  <c r="D43" i="31"/>
  <c r="D596" i="31"/>
  <c r="D163" i="31"/>
  <c r="E438" i="31"/>
  <c r="D88" i="31"/>
  <c r="D353" i="31"/>
  <c r="D309" i="31"/>
  <c r="D230" i="31"/>
  <c r="E516" i="31"/>
  <c r="D498" i="31"/>
  <c r="E54" i="31"/>
  <c r="D480" i="31"/>
  <c r="E183" i="31"/>
  <c r="D299" i="31"/>
  <c r="D284" i="31"/>
  <c r="E524" i="31"/>
  <c r="E479" i="31"/>
  <c r="D460" i="31"/>
  <c r="E279" i="31"/>
  <c r="D423" i="31"/>
  <c r="D56" i="31"/>
  <c r="D638" i="31"/>
  <c r="E400" i="31"/>
  <c r="D150" i="31"/>
  <c r="E4" i="31"/>
  <c r="D148" i="31"/>
  <c r="D532" i="31"/>
  <c r="D360" i="31"/>
  <c r="E179" i="31"/>
  <c r="D311" i="31"/>
  <c r="D243" i="31"/>
  <c r="E514" i="31"/>
  <c r="E130" i="31"/>
  <c r="D454" i="31"/>
  <c r="D70" i="31"/>
  <c r="D197" i="31"/>
  <c r="E269" i="31"/>
  <c r="D571" i="31"/>
  <c r="E556" i="31"/>
  <c r="E21" i="31"/>
  <c r="E306" i="31"/>
  <c r="D509" i="31"/>
  <c r="E450" i="31"/>
  <c r="E47" i="31"/>
  <c r="D194" i="31"/>
  <c r="E73" i="31"/>
  <c r="D20" i="31"/>
  <c r="D452" i="31"/>
  <c r="E453" i="31"/>
  <c r="E576" i="31"/>
  <c r="D483" i="31"/>
  <c r="E96" i="31"/>
  <c r="E571" i="31"/>
  <c r="D303" i="31"/>
  <c r="E219" i="31"/>
  <c r="D36" i="31"/>
  <c r="E566" i="31"/>
  <c r="E203" i="31"/>
  <c r="E151" i="31"/>
  <c r="D242" i="31"/>
  <c r="E23" i="31"/>
  <c r="D205" i="31"/>
  <c r="D251" i="31"/>
  <c r="E523" i="31"/>
  <c r="D404" i="31"/>
  <c r="E398" i="31"/>
  <c r="E265" i="31"/>
  <c r="D300" i="31"/>
  <c r="E488" i="31"/>
  <c r="D183" i="31"/>
  <c r="D213" i="31"/>
  <c r="D293" i="31"/>
  <c r="E46" i="31"/>
  <c r="D472" i="31"/>
  <c r="D313" i="31"/>
  <c r="E455" i="31"/>
  <c r="E622" i="31"/>
  <c r="D199" i="31"/>
  <c r="E557" i="31"/>
  <c r="D433" i="31"/>
  <c r="D219" i="31"/>
  <c r="D263" i="31"/>
  <c r="E146" i="31"/>
  <c r="D167" i="31"/>
  <c r="D464" i="31"/>
  <c r="D479" i="31"/>
  <c r="D574" i="31"/>
  <c r="E129" i="31"/>
  <c r="D358" i="31"/>
  <c r="E476" i="31"/>
  <c r="E213" i="31"/>
  <c r="E175" i="31"/>
  <c r="E382" i="31"/>
  <c r="E384" i="31"/>
  <c r="D113" i="31"/>
  <c r="E640" i="31"/>
  <c r="E568" i="31"/>
  <c r="E94" i="31"/>
  <c r="E16" i="31"/>
  <c r="E50" i="31"/>
  <c r="D265" i="31"/>
  <c r="D374" i="31"/>
  <c r="E538" i="31"/>
  <c r="D215" i="31"/>
  <c r="E477" i="31"/>
  <c r="E351" i="31"/>
  <c r="D110" i="31"/>
  <c r="D448" i="31"/>
  <c r="D154" i="31"/>
  <c r="D493" i="31"/>
  <c r="E230" i="31"/>
  <c r="D393" i="31"/>
  <c r="D415" i="31"/>
  <c r="D484" i="31"/>
  <c r="E272" i="31"/>
  <c r="E124" i="31"/>
  <c r="E52" i="31"/>
  <c r="E471" i="31"/>
  <c r="D296" i="31"/>
  <c r="D391" i="31"/>
  <c r="E527" i="31"/>
  <c r="D59" i="31"/>
  <c r="E87" i="31"/>
  <c r="D18" i="31"/>
  <c r="E491" i="31"/>
  <c r="E392" i="31"/>
  <c r="D645" i="31"/>
  <c r="D554" i="31"/>
  <c r="E484" i="31"/>
  <c r="D514" i="31"/>
  <c r="D346" i="31"/>
  <c r="D42" i="31"/>
  <c r="E363" i="31"/>
  <c r="D6" i="31"/>
  <c r="E387" i="31"/>
  <c r="D238" i="31"/>
  <c r="E492" i="31"/>
  <c r="E443" i="31"/>
  <c r="E242" i="31"/>
  <c r="E145" i="31"/>
  <c r="E362" i="31"/>
  <c r="D469" i="31"/>
  <c r="D583" i="31"/>
  <c r="E60" i="31"/>
  <c r="D533" i="31"/>
  <c r="E594" i="31"/>
  <c r="D597" i="31"/>
  <c r="D49" i="31"/>
  <c r="D628" i="31"/>
  <c r="D333" i="31"/>
  <c r="E103" i="31"/>
  <c r="E434" i="31"/>
  <c r="D378" i="31"/>
  <c r="E199" i="31"/>
  <c r="D607" i="31"/>
  <c r="D87" i="31"/>
  <c r="E202" i="31"/>
  <c r="E93" i="31"/>
  <c r="E475" i="31"/>
  <c r="D587" i="31"/>
  <c r="D367" i="31"/>
  <c r="D162" i="31"/>
  <c r="D370" i="31"/>
  <c r="D29" i="31"/>
  <c r="E164" i="31"/>
  <c r="E445" i="31"/>
  <c r="E460" i="31"/>
  <c r="E370" i="31"/>
  <c r="E565" i="31"/>
  <c r="E462" i="31"/>
  <c r="D599" i="31"/>
  <c r="E467" i="31"/>
  <c r="E379" i="31"/>
  <c r="E99" i="31"/>
  <c r="E494" i="31"/>
  <c r="E153" i="31"/>
  <c r="D582" i="31"/>
  <c r="D491" i="31"/>
  <c r="D274" i="31"/>
  <c r="D441" i="31"/>
  <c r="E376" i="31"/>
  <c r="D553" i="31"/>
  <c r="D630" i="31"/>
  <c r="E90" i="31"/>
  <c r="D550" i="31"/>
  <c r="D5" i="31"/>
  <c r="D33" i="31"/>
  <c r="E14" i="31"/>
  <c r="E344" i="31"/>
  <c r="D234" i="31"/>
  <c r="E310" i="31"/>
  <c r="E217" i="31"/>
  <c r="D502" i="31"/>
  <c r="E575" i="31"/>
  <c r="E426" i="31"/>
  <c r="E321" i="31"/>
  <c r="D181" i="31"/>
  <c r="E281" i="31"/>
  <c r="E574" i="31"/>
  <c r="E378" i="31"/>
  <c r="E131" i="31"/>
  <c r="E278" i="31"/>
  <c r="E399" i="31"/>
  <c r="E432" i="31"/>
  <c r="E346" i="31"/>
  <c r="E32" i="31"/>
  <c r="E427" i="31"/>
  <c r="D65" i="31"/>
  <c r="E287" i="31"/>
  <c r="E240" i="31"/>
  <c r="D642" i="31"/>
  <c r="E596" i="31"/>
  <c r="E110" i="31"/>
  <c r="D330" i="31"/>
  <c r="D202" i="31"/>
  <c r="E31" i="31"/>
  <c r="D612" i="31"/>
  <c r="E385" i="31"/>
  <c r="D61" i="31"/>
  <c r="E322" i="31"/>
  <c r="E486" i="31"/>
  <c r="D354" i="31"/>
  <c r="E498" i="31"/>
  <c r="E513" i="31"/>
  <c r="D430" i="31"/>
  <c r="E361" i="31"/>
  <c r="D342" i="31"/>
  <c r="E261" i="31"/>
  <c r="D55" i="31"/>
  <c r="E80" i="31"/>
  <c r="D324" i="31"/>
  <c r="D606" i="31"/>
  <c r="D318" i="31"/>
  <c r="E275" i="31"/>
  <c r="E406" i="31"/>
  <c r="D616" i="31"/>
  <c r="E105" i="31"/>
  <c r="E71" i="31"/>
  <c r="E258" i="31"/>
  <c r="D173" i="31"/>
  <c r="D397" i="31"/>
  <c r="E167" i="31"/>
  <c r="D52" i="31"/>
  <c r="E430" i="31"/>
  <c r="D139" i="31"/>
  <c r="D156" i="31"/>
  <c r="E188" i="31"/>
  <c r="E91" i="31"/>
  <c r="E338" i="31"/>
  <c r="E98" i="31"/>
  <c r="D118" i="31"/>
  <c r="D289" i="31"/>
  <c r="D114" i="31"/>
  <c r="E569" i="31"/>
  <c r="D200" i="31"/>
  <c r="D126" i="31"/>
  <c r="D481" i="31"/>
  <c r="D317" i="31"/>
  <c r="D227" i="31"/>
  <c r="D435" i="31"/>
  <c r="E127" i="31"/>
  <c r="E225" i="31"/>
  <c r="D521" i="31"/>
  <c r="E447" i="31"/>
  <c r="D477" i="31"/>
  <c r="E104" i="31"/>
  <c r="E613" i="31"/>
  <c r="E525" i="31"/>
  <c r="E291" i="31"/>
  <c r="E635" i="31"/>
  <c r="E604" i="31"/>
  <c r="D361" i="31"/>
  <c r="E627" i="31"/>
  <c r="E528" i="31"/>
  <c r="D466" i="31"/>
  <c r="D338" i="31"/>
  <c r="E84" i="31"/>
  <c r="E140" i="31"/>
  <c r="E169" i="31"/>
  <c r="D601" i="31"/>
  <c r="D512" i="31"/>
  <c r="D39" i="31"/>
  <c r="E223" i="31"/>
  <c r="D637" i="31"/>
  <c r="E205" i="31"/>
  <c r="E56" i="31"/>
  <c r="D416" i="31"/>
  <c r="E452" i="31"/>
  <c r="D605" i="31"/>
  <c r="E260" i="31"/>
  <c r="E490" i="31"/>
  <c r="D37" i="31"/>
  <c r="D244" i="31"/>
  <c r="D13" i="31"/>
  <c r="E383" i="31"/>
  <c r="E386" i="31"/>
  <c r="E267" i="31"/>
  <c r="E27" i="31"/>
  <c r="D286" i="31"/>
  <c r="D46" i="31"/>
  <c r="D465" i="31"/>
  <c r="E433" i="31"/>
  <c r="E621" i="31"/>
  <c r="E368" i="31"/>
  <c r="E485" i="31"/>
  <c r="E113" i="31"/>
  <c r="E174" i="31"/>
  <c r="E357" i="31"/>
  <c r="D458" i="31"/>
  <c r="D375" i="31"/>
  <c r="E456" i="31"/>
  <c r="E602" i="31"/>
  <c r="E329" i="31"/>
  <c r="E208" i="31"/>
  <c r="E283" i="31"/>
  <c r="E506" i="31"/>
  <c r="D60" i="31"/>
  <c r="D71" i="31"/>
  <c r="D89" i="31"/>
  <c r="E64" i="31"/>
  <c r="E478" i="31"/>
  <c r="E41" i="31"/>
  <c r="E315" i="31"/>
  <c r="E323" i="31"/>
  <c r="D109" i="31"/>
  <c r="E83" i="31"/>
  <c r="D536" i="31"/>
  <c r="E277" i="31"/>
  <c r="D83" i="31"/>
  <c r="D96" i="31"/>
  <c r="E325" i="31"/>
  <c r="D386" i="31"/>
  <c r="D185" i="31"/>
  <c r="E44" i="31"/>
  <c r="D372" i="31"/>
  <c r="D214" i="31"/>
  <c r="D147" i="31"/>
  <c r="E228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<sst xmlns="http://schemas.openxmlformats.org/spreadsheetml/2006/main" count="20460" uniqueCount="6395">
  <si>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</si>
  <si>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</si>
  <si>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</si>
  <si>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</si>
  <si>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</si>
  <si>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</si>
  <si>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</si>
  <si>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</si>
  <si>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</si>
  <si>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</si>
  <si>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</si>
  <si>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</si>
  <si>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</si>
  <si>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</si>
  <si>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</si>
  <si>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</si>
  <si>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</si>
  <si>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</si>
  <si>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</si>
  <si>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</si>
  <si>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</si>
  <si>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</si>
  <si>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</si>
  <si>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</si>
  <si>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</si>
  <si>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</si>
  <si>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</si>
  <si>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</si>
  <si>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</si>
  <si>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</si>
  <si>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</si>
  <si>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</si>
  <si>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</si>
  <si>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</si>
  <si>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</si>
  <si>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</si>
  <si>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</si>
  <si>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</si>
  <si>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</si>
  <si>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</si>
  <si>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</si>
  <si>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</si>
  <si>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</si>
  <si>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</si>
  <si>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</si>
  <si>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</si>
  <si>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</si>
  <si>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</si>
  <si>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</si>
  <si>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</si>
  <si>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</si>
  <si>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</si>
  <si>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</si>
  <si>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</si>
  <si>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</si>
  <si>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</si>
  <si>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</si>
  <si>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</si>
  <si>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</si>
  <si>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</si>
  <si>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</si>
  <si>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</si>
  <si>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</si>
  <si>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</si>
  <si>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</si>
  <si>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</si>
  <si>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</si>
  <si>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</si>
  <si>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</si>
  <si>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</si>
  <si>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</si>
  <si>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</si>
  <si>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</si>
  <si>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</si>
  <si>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</si>
  <si>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</si>
  <si>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</si>
  <si>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</si>
  <si>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</si>
  <si>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</si>
  <si>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</si>
  <si>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</si>
  <si>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</si>
  <si>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</si>
  <si>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</si>
  <si>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</si>
  <si>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</si>
  <si>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</si>
  <si>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</si>
  <si>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</si>
  <si>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</si>
  <si>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</si>
  <si>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</si>
  <si>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</si>
  <si>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</si>
  <si>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</si>
  <si>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</si>
  <si>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</si>
  <si>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</si>
  <si>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</si>
  <si>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</si>
  <si>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</si>
  <si>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</si>
  <si>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</si>
  <si>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</si>
  <si>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</si>
  <si>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</si>
  <si>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</si>
  <si>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</si>
  <si>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</si>
  <si>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</si>
  <si>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</si>
  <si>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</si>
  <si>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</si>
  <si>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</si>
  <si>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</si>
  <si>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</si>
  <si>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</si>
  <si>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</si>
  <si>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</si>
  <si>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</si>
  <si>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</si>
  <si>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</si>
  <si>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</si>
  <si>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</si>
  <si>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</si>
  <si>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</si>
  <si>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</si>
  <si>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</si>
  <si>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</si>
  <si>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</si>
  <si>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</si>
  <si>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</si>
  <si>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</si>
  <si>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</si>
  <si>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</si>
  <si>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</si>
  <si>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</si>
  <si>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</si>
  <si>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</si>
  <si>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</si>
  <si>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</si>
  <si>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</si>
  <si>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</si>
  <si>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</si>
  <si>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</si>
  <si>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</si>
  <si>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</si>
  <si>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</si>
  <si>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</si>
  <si>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</si>
  <si>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</si>
  <si>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</si>
  <si>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</si>
  <si>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</si>
  <si>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</si>
  <si>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</si>
  <si>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</si>
  <si>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</si>
  <si>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</si>
  <si>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</si>
  <si>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</si>
  <si>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</si>
  <si>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</si>
  <si>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</si>
  <si>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</si>
  <si>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</si>
  <si>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</si>
  <si>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</si>
  <si>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</si>
  <si>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</si>
  <si>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</si>
  <si>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</si>
  <si>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</si>
  <si>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</si>
  <si>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</si>
  <si>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</si>
  <si>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</si>
  <si>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</si>
  <si>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</si>
  <si>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</si>
  <si>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</si>
  <si>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</si>
  <si>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</si>
  <si>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</si>
  <si>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</si>
  <si>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</si>
  <si>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</si>
  <si>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</si>
  <si>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</si>
  <si>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</si>
  <si>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</si>
  <si>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</si>
  <si>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</si>
  <si>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</si>
  <si>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</si>
  <si>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</si>
  <si>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</si>
  <si>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</si>
  <si>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</si>
  <si>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</si>
  <si>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</si>
  <si>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</si>
  <si>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</si>
  <si>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</si>
  <si>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</si>
  <si>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</si>
  <si>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</si>
  <si>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</si>
  <si>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</si>
  <si>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</si>
  <si>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</si>
  <si>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</si>
  <si>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</si>
  <si>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</si>
  <si>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</si>
  <si>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</si>
  <si>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</si>
  <si>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</si>
  <si>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</si>
  <si>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</si>
  <si>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</si>
  <si>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</si>
  <si>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</si>
  <si>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</si>
  <si>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</si>
  <si>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</si>
  <si>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</si>
  <si>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</si>
  <si>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</si>
  <si>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</si>
  <si>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</si>
  <si>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</si>
  <si>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</si>
  <si>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</si>
  <si>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</si>
  <si>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</si>
  <si>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</si>
  <si>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</si>
  <si>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</si>
  <si>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</si>
  <si>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</si>
  <si>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</si>
  <si>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</si>
  <si>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</si>
  <si>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</si>
  <si>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</si>
  <si>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</si>
  <si>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</si>
  <si>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</si>
  <si>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</si>
  <si>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</si>
  <si>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</si>
  <si>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</si>
  <si>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</si>
  <si>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</si>
  <si>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</si>
  <si>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</si>
  <si>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</si>
  <si>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</si>
  <si>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</si>
  <si>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</si>
  <si>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</si>
  <si>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</si>
  <si>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</si>
  <si>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</si>
  <si>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</si>
  <si>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</si>
  <si>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</si>
  <si>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</si>
  <si>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</si>
  <si>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</si>
  <si>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</si>
  <si>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</si>
  <si>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</si>
  <si>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</si>
  <si>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</si>
  <si>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</si>
  <si>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</si>
  <si>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</si>
  <si>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</si>
  <si>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</si>
  <si>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</si>
  <si>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</si>
  <si>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</si>
  <si>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</si>
  <si>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</si>
  <si>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</si>
  <si>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</si>
  <si>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</si>
  <si>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</si>
  <si>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</si>
  <si>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</si>
  <si>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</si>
  <si>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</si>
  <si>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</si>
  <si>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</si>
  <si>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</si>
  <si>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</si>
  <si>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</si>
  <si>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</si>
  <si>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</si>
  <si>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</si>
  <si>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</si>
  <si>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</si>
  <si>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</si>
  <si>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</si>
  <si>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</si>
  <si>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</si>
  <si>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</si>
  <si>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</si>
  <si>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</si>
  <si>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</si>
  <si>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</si>
  <si>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</si>
  <si>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</si>
  <si>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</si>
  <si>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</si>
  <si>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</si>
  <si>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</si>
  <si>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</si>
  <si>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</si>
  <si>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</si>
  <si>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</si>
  <si>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</si>
  <si>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</si>
  <si>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</si>
  <si>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</si>
  <si>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</si>
  <si>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</si>
  <si>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</si>
  <si>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</si>
  <si>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</si>
  <si>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</si>
  <si>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</si>
  <si>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</si>
  <si>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</si>
  <si>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</si>
  <si>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</si>
  <si>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</si>
  <si>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</si>
  <si>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</si>
  <si>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</si>
  <si>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</si>
  <si>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</si>
  <si>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</si>
  <si>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</si>
  <si>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</si>
  <si>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</si>
  <si>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</si>
  <si>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</si>
  <si>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</si>
  <si>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</si>
  <si>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</si>
  <si>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</si>
  <si>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</si>
  <si>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</si>
  <si>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</si>
  <si>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</si>
  <si>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</si>
  <si>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</si>
  <si>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</si>
  <si>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</si>
  <si>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</si>
  <si>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</si>
  <si>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</si>
  <si>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</si>
  <si>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</si>
  <si>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</si>
  <si>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</si>
  <si>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</si>
  <si>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</si>
  <si>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</si>
  <si>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</si>
  <si>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</si>
  <si>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</si>
  <si>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</si>
  <si>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</si>
  <si>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</si>
  <si>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</si>
  <si>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</si>
  <si>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</si>
  <si>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</si>
  <si>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</si>
  <si>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</si>
  <si>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</si>
  <si>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</si>
  <si>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</si>
  <si>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</si>
  <si>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</si>
  <si>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</si>
  <si>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</si>
  <si>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</si>
  <si>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</si>
  <si>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</si>
  <si>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</si>
  <si>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</si>
  <si>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</si>
  <si>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</si>
  <si>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</si>
  <si>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</si>
  <si>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</si>
  <si>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</si>
  <si>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</si>
  <si>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</si>
  <si>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</si>
  <si>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</si>
  <si>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</si>
  <si>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</si>
  <si>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</si>
  <si>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</si>
  <si>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</si>
  <si>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</si>
  <si>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</si>
  <si>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</si>
  <si>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</si>
  <si>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</si>
  <si>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</si>
  <si>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</si>
  <si>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</si>
  <si>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</si>
  <si>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</si>
  <si>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</si>
  <si>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</si>
  <si>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</si>
  <si>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</si>
  <si>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</si>
  <si>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</si>
  <si>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</si>
  <si>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</si>
  <si>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</si>
  <si>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</si>
  <si>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</si>
  <si>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</si>
  <si>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</si>
  <si>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</si>
  <si>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</si>
  <si>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</si>
  <si>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</si>
  <si>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</si>
  <si>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</si>
  <si>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</si>
  <si>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</si>
  <si>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</si>
  <si>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</si>
  <si>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</si>
  <si>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</si>
  <si>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</si>
  <si>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</si>
  <si>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</si>
  <si>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</si>
  <si>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</si>
  <si>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</si>
  <si>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</si>
  <si>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</si>
  <si>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</si>
  <si>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</si>
  <si>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</si>
  <si>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</si>
  <si>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</si>
  <si>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</si>
  <si>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</si>
  <si>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</si>
  <si>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</si>
  <si>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</si>
  <si>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</si>
  <si>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</si>
  <si>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</si>
  <si>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</si>
  <si>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</si>
  <si>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</si>
  <si>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</si>
  <si>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</si>
  <si>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</si>
  <si>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</si>
  <si>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</si>
  <si>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</si>
  <si>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</si>
  <si>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</si>
  <si>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</si>
  <si>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</si>
  <si>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</si>
  <si>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</si>
  <si>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</si>
  <si>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</si>
  <si>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</si>
  <si>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</si>
  <si>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</si>
  <si>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</si>
  <si>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</si>
  <si>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</si>
  <si>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</si>
  <si>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</si>
  <si>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</si>
  <si>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</si>
  <si>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</si>
  <si>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</si>
  <si>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</si>
  <si>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</si>
  <si>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</si>
  <si>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</si>
  <si>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</si>
  <si>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</si>
  <si>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</si>
  <si>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</si>
  <si>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</si>
  <si>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</si>
  <si>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</si>
  <si>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</si>
  <si>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</si>
  <si>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</si>
  <si>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</si>
  <si>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</si>
  <si>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</si>
  <si>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</si>
  <si>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</si>
  <si>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</si>
  <si>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</si>
  <si>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</si>
  <si>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</si>
  <si>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</si>
  <si>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</si>
  <si>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</si>
  <si>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</si>
  <si>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</si>
  <si>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</si>
  <si>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</si>
  <si>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</si>
  <si>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</si>
  <si>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</si>
  <si>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</si>
  <si>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</si>
  <si>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</si>
  <si>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</si>
  <si>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</si>
  <si>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</si>
  <si>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</si>
  <si>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</si>
  <si>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</si>
  <si>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</si>
  <si>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</si>
  <si>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</si>
  <si>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</si>
  <si>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</si>
  <si>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</si>
  <si>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</si>
  <si>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</si>
  <si>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</si>
  <si>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</si>
  <si>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</si>
  <si>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</si>
  <si>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</si>
  <si>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</si>
  <si>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</si>
  <si>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</si>
  <si>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</si>
  <si>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</si>
  <si>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</si>
  <si>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</si>
  <si>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</si>
  <si>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</si>
  <si>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</si>
  <si>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</si>
  <si>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</si>
  <si>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</si>
  <si>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</si>
  <si>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</si>
  <si>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</si>
  <si>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</si>
  <si>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</si>
  <si>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</si>
  <si>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</si>
  <si>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</si>
  <si>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</si>
  <si>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</si>
  <si>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</si>
  <si>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</si>
  <si>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</si>
  <si>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</si>
  <si>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</si>
  <si>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</si>
  <si>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</si>
  <si>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</si>
  <si>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</si>
  <si>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</si>
  <si>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</si>
  <si>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</si>
  <si>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</si>
  <si>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</si>
  <si>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</si>
  <si>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</si>
  <si>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</si>
  <si>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</si>
  <si>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</si>
  <si>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</si>
  <si>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</si>
  <si>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</si>
  <si>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</si>
  <si>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</si>
  <si>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</si>
  <si>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</si>
  <si>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</si>
  <si>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</si>
  <si>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</si>
  <si>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</si>
  <si>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</si>
  <si>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</si>
  <si>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</si>
  <si>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</si>
  <si>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</si>
  <si>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</si>
  <si>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</si>
  <si>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</si>
  <si>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</si>
  <si>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</si>
  <si>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</si>
  <si>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</si>
  <si>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</si>
  <si>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</si>
  <si>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</si>
  <si>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</si>
  <si>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</si>
  <si>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</si>
  <si>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</si>
  <si>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</si>
  <si>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</si>
  <si>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</si>
  <si>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</si>
  <si>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</si>
  <si>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</si>
  <si>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</si>
  <si>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</si>
  <si>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</si>
  <si>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</si>
  <si>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</si>
  <si>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</si>
  <si>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</si>
  <si>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</si>
  <si>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</si>
  <si>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</si>
  <si>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</si>
  <si>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</si>
  <si>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</si>
  <si>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</si>
  <si>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</si>
  <si>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</si>
  <si>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</si>
  <si>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</si>
  <si>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</si>
  <si>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</si>
  <si>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</si>
  <si>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</si>
  <si>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</si>
  <si>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</si>
  <si>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</si>
  <si>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</si>
  <si>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</si>
  <si>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</si>
  <si>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</si>
  <si>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</si>
  <si>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</si>
  <si>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</si>
  <si>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</si>
  <si>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</si>
  <si>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</si>
  <si>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</si>
  <si>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</si>
  <si>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</si>
  <si>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</si>
  <si>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</si>
  <si>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</si>
  <si>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</si>
  <si>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</si>
  <si>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</si>
  <si>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</si>
  <si>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</si>
  <si>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</si>
  <si>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</si>
  <si>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</si>
  <si>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</si>
  <si>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</si>
  <si>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</si>
  <si>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</si>
  <si>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</si>
  <si>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</si>
  <si>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</si>
  <si>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</si>
  <si>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</si>
  <si>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</si>
  <si>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</si>
  <si>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</si>
  <si>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</si>
  <si>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</si>
  <si>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</si>
  <si>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</si>
  <si>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</si>
  <si>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</si>
  <si>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</si>
  <si>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</si>
  <si>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</si>
  <si>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</si>
  <si>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</si>
  <si>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</si>
  <si>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</si>
  <si>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</si>
  <si>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</si>
  <si>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</si>
  <si>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</si>
  <si>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</si>
  <si>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</si>
  <si>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</si>
  <si>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</si>
  <si>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</si>
  <si>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</si>
  <si>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</si>
  <si>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</si>
  <si>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</si>
  <si>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</si>
  <si>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</si>
  <si>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</si>
  <si>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</si>
  <si>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</si>
  <si>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</si>
  <si>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</si>
  <si>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</si>
  <si>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</si>
  <si>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</si>
  <si>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</si>
  <si>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</si>
  <si>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</si>
  <si>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</si>
  <si>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</si>
  <si>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</si>
  <si>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</si>
  <si>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</si>
  <si>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</si>
  <si>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</si>
  <si>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</si>
  <si>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</si>
  <si>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</si>
  <si>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</si>
  <si>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</si>
  <si>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</si>
  <si>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</si>
  <si>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</si>
  <si>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</si>
  <si>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</si>
  <si>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</si>
  <si>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</si>
  <si>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</si>
  <si>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</si>
  <si>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</si>
  <si>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</si>
  <si>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</si>
  <si>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</si>
  <si>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</si>
  <si>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</si>
  <si>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</si>
  <si>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</si>
  <si>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</si>
  <si>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</si>
  <si>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</si>
  <si>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</si>
  <si>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</si>
  <si>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</si>
  <si>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</si>
  <si>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</si>
  <si>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</si>
  <si>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</si>
  <si>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</si>
  <si>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</si>
  <si>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</si>
  <si>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</si>
  <si>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</si>
  <si>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</si>
  <si>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</si>
  <si>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</si>
  <si>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</si>
  <si>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</si>
  <si>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</si>
  <si>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</si>
  <si>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</si>
  <si>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</si>
  <si>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</si>
  <si>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</si>
  <si>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</si>
  <si>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</si>
  <si>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</si>
  <si>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</si>
  <si>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</si>
  <si>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</si>
  <si>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</si>
  <si>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</si>
  <si>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</si>
  <si>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</si>
  <si>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</si>
  <si>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</si>
  <si>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</si>
  <si>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</si>
  <si>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</si>
  <si>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</si>
  <si>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</si>
  <si>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</si>
  <si>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</si>
  <si>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</si>
  <si>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</si>
  <si>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</si>
  <si>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</si>
  <si>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</si>
  <si>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</si>
  <si>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</si>
  <si>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</si>
  <si>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</si>
  <si>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</si>
  <si>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</si>
  <si>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</si>
  <si>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</si>
  <si>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</si>
  <si>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</si>
  <si>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</si>
  <si>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</si>
  <si>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</si>
  <si>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</si>
  <si>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</si>
  <si>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</si>
  <si>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</si>
  <si>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</si>
  <si>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</si>
  <si>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</si>
  <si>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</si>
  <si>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</si>
  <si>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</si>
  <si>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</si>
  <si>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</si>
  <si>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</si>
  <si>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</si>
  <si>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</si>
  <si>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</si>
  <si>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</si>
  <si>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</si>
  <si>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</si>
  <si>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</si>
  <si>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</si>
  <si>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</si>
  <si>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</si>
  <si>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</si>
  <si>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</si>
  <si>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</si>
  <si>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</si>
  <si>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</si>
  <si>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</si>
  <si>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</si>
  <si>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</si>
  <si>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</si>
  <si>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</si>
  <si>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</si>
  <si>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</si>
  <si>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</si>
  <si>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</si>
  <si>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</si>
  <si>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</si>
  <si>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</si>
  <si>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</si>
  <si>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</si>
  <si>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</si>
  <si>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</si>
  <si>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</si>
  <si>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</si>
  <si>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</si>
  <si>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</si>
  <si>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</si>
  <si>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</si>
  <si>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</si>
  <si>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</si>
  <si>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</si>
  <si>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</si>
  <si>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</si>
  <si>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</si>
  <si>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</si>
  <si>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</si>
  <si>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</si>
  <si>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</si>
  <si>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</si>
  <si>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</si>
  <si>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</si>
  <si>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</si>
  <si>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</si>
  <si>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</si>
  <si>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</si>
  <si>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</si>
  <si>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</si>
  <si>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</si>
  <si>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</si>
  <si>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</si>
  <si>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</si>
  <si>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</si>
  <si>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</si>
  <si>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</si>
  <si>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</si>
  <si>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</si>
  <si>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</si>
  <si>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</si>
  <si>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</si>
  <si>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</si>
  <si>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</si>
  <si>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</si>
  <si>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</si>
  <si>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</si>
  <si>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</si>
  <si>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</si>
  <si>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</si>
  <si>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</si>
  <si>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</si>
  <si>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</si>
  <si>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</si>
  <si>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</si>
  <si>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</si>
  <si>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</si>
  <si>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</si>
  <si>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</si>
  <si>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</si>
  <si>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</si>
  <si>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</si>
  <si>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</si>
  <si>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</si>
  <si>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</si>
  <si>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</si>
  <si>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</si>
  <si>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</si>
  <si>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</si>
  <si>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</si>
  <si>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</si>
  <si>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</si>
  <si>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</si>
  <si>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</si>
  <si>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</si>
  <si>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</si>
  <si>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</si>
  <si>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</si>
  <si>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</si>
  <si>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</si>
  <si>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</si>
  <si>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</si>
  <si>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</si>
  <si>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</si>
  <si>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</si>
  <si>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</si>
  <si>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</si>
  <si>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</si>
  <si>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</si>
  <si>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</si>
  <si>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</si>
  <si>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</si>
  <si>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</si>
  <si>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</si>
  <si>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</si>
  <si>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</si>
  <si>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</si>
  <si>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</si>
  <si>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</si>
  <si>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</si>
  <si>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</si>
  <si>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</si>
  <si>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</si>
  <si>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</si>
  <si>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</si>
  <si>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</si>
  <si>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</si>
  <si>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</si>
  <si>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</si>
  <si>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</si>
  <si>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</si>
  <si>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</si>
  <si>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</si>
  <si>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</si>
  <si>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</si>
  <si>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</si>
  <si>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</si>
  <si>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</si>
  <si>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</si>
  <si>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</si>
  <si>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</si>
  <si>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</si>
  <si>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</si>
  <si>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</si>
  <si>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</si>
  <si>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</si>
  <si>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</si>
  <si>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</si>
  <si>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</si>
  <si>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</si>
  <si>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</si>
  <si>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</si>
  <si>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</si>
  <si>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</si>
  <si>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</si>
  <si>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</si>
  <si>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</si>
  <si>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</si>
  <si>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</si>
  <si>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</si>
  <si>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</si>
  <si>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</si>
  <si>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</si>
  <si>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</si>
  <si>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</si>
  <si>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</si>
  <si>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</si>
  <si>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</si>
  <si>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</si>
  <si>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</si>
  <si>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</si>
  <si>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</si>
  <si>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</si>
  <si>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</si>
  <si>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</si>
  <si>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</si>
  <si>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</si>
  <si>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</si>
  <si>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</si>
  <si>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</si>
  <si>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</si>
  <si>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</si>
  <si>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</si>
  <si>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</si>
  <si>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</si>
  <si>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</si>
  <si>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</si>
  <si>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</si>
  <si>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</si>
  <si>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</si>
  <si>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</si>
  <si>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</si>
  <si>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</si>
  <si>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</si>
  <si>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</si>
  <si>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</si>
  <si>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</si>
  <si>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</si>
  <si>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</si>
  <si>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</si>
  <si>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</si>
  <si>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</si>
  <si>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</si>
  <si>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</si>
  <si>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</si>
  <si>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</si>
  <si>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</si>
  <si>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</si>
  <si>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</si>
  <si>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</si>
  <si>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</si>
  <si>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</si>
  <si>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</si>
  <si>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</si>
  <si>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</si>
  <si>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</si>
  <si>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</si>
  <si>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</si>
  <si>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</si>
  <si>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</si>
  <si>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</si>
  <si>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</si>
  <si>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</si>
  <si>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</si>
  <si>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</si>
  <si>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</si>
  <si>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</si>
  <si>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</si>
  <si>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</si>
  <si>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</si>
  <si>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</si>
  <si>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</si>
  <si>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</si>
  <si>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</si>
  <si>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</si>
  <si>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</si>
  <si>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</si>
  <si>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</si>
  <si>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</si>
  <si>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</si>
  <si>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</si>
  <si>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</si>
  <si>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</si>
  <si>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</si>
  <si>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</si>
  <si>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</si>
  <si>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</si>
  <si>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</si>
  <si>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</si>
  <si>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</si>
  <si>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</si>
  <si>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</si>
  <si>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</si>
  <si>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</si>
  <si>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</si>
  <si>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</si>
  <si>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</si>
  <si>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</si>
  <si>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</si>
  <si>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</si>
  <si>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</si>
  <si>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</si>
  <si>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</si>
  <si>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</si>
  <si>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</si>
  <si>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</si>
  <si>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</si>
  <si>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</si>
  <si>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</si>
  <si>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</si>
  <si>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</si>
  <si>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</si>
  <si>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</si>
  <si>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</si>
  <si>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</si>
  <si>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</si>
  <si>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</si>
  <si>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</si>
  <si>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</si>
  <si>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</si>
  <si>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</si>
  <si>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</si>
  <si>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</si>
  <si>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</si>
  <si>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</si>
  <si>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</si>
  <si>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</si>
  <si>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</si>
  <si>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</si>
  <si>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</si>
  <si>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</si>
  <si>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</si>
  <si>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</si>
  <si>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</si>
  <si>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</si>
  <si>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</si>
  <si>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</si>
  <si>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</si>
  <si>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</si>
  <si>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</si>
  <si>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</si>
  <si>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</si>
  <si>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</si>
  <si>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</si>
  <si>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</si>
  <si>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</si>
  <si>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</si>
  <si>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</si>
  <si>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</si>
  <si>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</si>
  <si>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</si>
  <si>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</si>
  <si>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</si>
  <si>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</si>
  <si>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</si>
  <si>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</si>
  <si>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</si>
  <si>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</si>
  <si>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</si>
  <si>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</si>
  <si>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</si>
  <si>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</si>
  <si>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</si>
  <si>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</si>
  <si>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</si>
  <si>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</si>
  <si>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</si>
  <si>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</si>
  <si>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</si>
  <si>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</si>
  <si>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</si>
  <si>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</si>
  <si>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</si>
  <si>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</si>
  <si>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</si>
  <si>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</si>
  <si>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</si>
  <si>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</si>
  <si>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</si>
  <si>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</si>
  <si>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</si>
  <si>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</si>
  <si>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</si>
  <si>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</si>
  <si>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</si>
  <si>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</si>
  <si>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</si>
  <si>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</si>
  <si>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</si>
  <si>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</si>
  <si>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</si>
  <si>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</si>
  <si>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</si>
  <si>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</si>
  <si>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</si>
  <si>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</si>
  <si>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</si>
  <si>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</si>
  <si>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</si>
  <si>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</si>
  <si>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</si>
  <si>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</si>
  <si>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</si>
  <si>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</si>
  <si>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</si>
  <si>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</si>
  <si>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</si>
  <si>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</si>
  <si>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</si>
  <si>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</si>
  <si>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</si>
  <si>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</si>
  <si>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</si>
  <si>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</si>
  <si>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</si>
  <si>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</si>
  <si>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</si>
  <si>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</si>
  <si>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</si>
  <si>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</si>
  <si>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</si>
  <si>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</si>
  <si>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</si>
  <si>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</si>
  <si>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</si>
  <si>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</si>
  <si>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</si>
  <si>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</si>
  <si>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</si>
  <si>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</si>
  <si>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</si>
  <si>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</si>
  <si>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</si>
  <si>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</si>
  <si>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</si>
  <si>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</si>
  <si>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</si>
  <si>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</si>
  <si>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</si>
  <si>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</si>
  <si>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</si>
  <si>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</si>
  <si>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</si>
  <si>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</si>
  <si>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</si>
  <si>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</si>
  <si>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</si>
  <si>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</si>
  <si>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</si>
  <si>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</si>
  <si>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</si>
  <si>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</si>
  <si>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</si>
  <si>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</si>
  <si>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</si>
  <si>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</si>
  <si>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</si>
  <si>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</si>
  <si>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</si>
  <si>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</si>
  <si>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</si>
  <si>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</si>
  <si>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</si>
  <si>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</si>
  <si>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</si>
  <si>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</si>
  <si>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</si>
  <si>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</si>
  <si>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</si>
  <si>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</si>
  <si>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</si>
  <si>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</si>
  <si>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</si>
  <si>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</si>
  <si>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</si>
  <si>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</si>
  <si>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</si>
  <si>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</si>
  <si>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</si>
  <si>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</si>
  <si>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</si>
  <si>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</si>
  <si>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</si>
  <si>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</si>
  <si>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</si>
  <si>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</si>
  <si>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</si>
  <si>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</si>
  <si>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</si>
  <si>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</si>
  <si>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</si>
  <si>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</si>
  <si>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</si>
  <si>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</si>
  <si>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</si>
  <si>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</si>
  <si>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</si>
  <si>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</si>
  <si>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</si>
  <si>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</si>
  <si>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</si>
  <si>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</si>
  <si>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</si>
  <si>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</si>
  <si>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</si>
  <si>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</si>
  <si>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</si>
  <si>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</si>
  <si>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</si>
  <si>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</si>
  <si>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</si>
  <si>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</si>
  <si>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</si>
  <si>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</si>
  <si>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</si>
  <si>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</si>
  <si>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</si>
  <si>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</si>
  <si>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</si>
  <si>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</si>
  <si>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</si>
  <si>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</si>
  <si>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</si>
  <si>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</si>
  <si>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</si>
  <si>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</si>
  <si>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</si>
  <si>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</si>
  <si>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</si>
  <si>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</si>
  <si>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</si>
  <si>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</si>
  <si>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</si>
  <si>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</si>
  <si>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</si>
  <si>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</si>
  <si>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</si>
  <si>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</si>
  <si>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</si>
  <si>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</si>
  <si>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</si>
  <si>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</si>
  <si>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</si>
  <si>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</si>
  <si>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</si>
  <si>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</si>
  <si>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</si>
  <si>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</si>
  <si>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</si>
  <si>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</si>
  <si>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</si>
  <si>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</si>
  <si>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</si>
  <si>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</si>
  <si>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</si>
  <si>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</si>
  <si>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</si>
  <si>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</si>
  <si>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</si>
  <si>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</si>
  <si>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</si>
  <si>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</si>
  <si>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</si>
  <si>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</si>
  <si>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</si>
  <si>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</si>
  <si>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</si>
  <si>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</si>
  <si>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</si>
  <si>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</si>
  <si>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</si>
  <si>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</si>
  <si>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</si>
  <si>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</si>
  <si>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</si>
  <si>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</si>
  <si>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</si>
  <si>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</si>
  <si>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</si>
  <si>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</si>
  <si>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</si>
  <si>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</si>
  <si>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</si>
  <si>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</si>
  <si>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</si>
  <si>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</si>
  <si>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</si>
  <si>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</si>
  <si>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</si>
  <si>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</si>
  <si>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</si>
  <si>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</si>
  <si>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</si>
  <si>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</si>
  <si>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</si>
  <si>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</si>
  <si>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</si>
  <si>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</si>
  <si>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</si>
  <si>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</si>
  <si>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</si>
  <si>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</si>
  <si>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</si>
  <si>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</si>
  <si>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</si>
  <si>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</si>
  <si>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</si>
  <si>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</si>
  <si>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</si>
  <si>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</si>
  <si>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</si>
  <si>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</si>
  <si>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</si>
  <si>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</si>
  <si>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</si>
  <si>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</si>
  <si>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</si>
  <si>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</si>
  <si>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</si>
  <si>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</si>
  <si>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</si>
  <si>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</si>
  <si>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</si>
  <si>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</si>
  <si>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</si>
  <si>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</si>
  <si>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</si>
  <si>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</si>
  <si>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</si>
  <si>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</si>
  <si>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</si>
  <si>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</si>
  <si>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</si>
  <si>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</si>
  <si>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</si>
  <si>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</si>
  <si>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</si>
  <si>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</si>
  <si>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</si>
  <si>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</si>
  <si>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</si>
  <si>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</si>
  <si>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</si>
  <si>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</si>
  <si>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</si>
  <si>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</si>
  <si>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</si>
  <si>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</si>
  <si>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</si>
  <si>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</si>
  <si>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</si>
  <si>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</si>
  <si>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</si>
  <si>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</si>
  <si>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</si>
  <si>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</si>
  <si>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</si>
  <si>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</si>
  <si>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</si>
  <si>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</si>
  <si>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</si>
  <si>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</si>
  <si>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</si>
  <si>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</si>
  <si>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</si>
  <si>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</si>
  <si>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</si>
  <si>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</si>
  <si>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</si>
  <si>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</si>
  <si>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</si>
  <si>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</si>
  <si>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</si>
  <si>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</si>
  <si>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</si>
  <si>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</si>
  <si>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</si>
  <si>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</si>
  <si>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</si>
  <si>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</si>
  <si>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</si>
  <si>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</si>
  <si>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</si>
  <si>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</si>
  <si>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</si>
  <si>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</si>
  <si>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</si>
  <si>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</si>
  <si>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</si>
  <si>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</si>
  <si>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</si>
  <si>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</si>
  <si>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</si>
  <si>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</si>
  <si>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</si>
  <si>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</si>
  <si>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</si>
  <si>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</si>
  <si>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</si>
  <si>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</si>
  <si>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</si>
  <si>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</si>
  <si>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</si>
  <si>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</si>
  <si>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</si>
  <si>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</si>
  <si>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</si>
  <si>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</si>
  <si>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</si>
  <si>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</si>
  <si>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</si>
  <si>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</si>
  <si>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</si>
  <si>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</si>
  <si>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</si>
  <si>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</si>
  <si>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</si>
  <si>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</si>
  <si>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</si>
  <si>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</si>
  <si>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</si>
  <si>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</si>
  <si>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</si>
  <si>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</si>
  <si>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</si>
  <si>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</si>
  <si>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</si>
  <si>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</si>
  <si>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</si>
  <si>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</si>
  <si>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</si>
  <si>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</si>
  <si>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</si>
  <si>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</si>
  <si>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</si>
  <si>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</si>
  <si>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</si>
  <si>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</si>
  <si>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</si>
  <si>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</si>
  <si>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</si>
  <si>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</si>
  <si>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</si>
  <si>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</si>
  <si>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</si>
  <si>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</si>
  <si>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</si>
  <si>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</si>
  <si>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</si>
  <si>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</si>
  <si>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</si>
  <si>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</si>
  <si>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</si>
  <si>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</si>
  <si>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</si>
  <si>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</si>
  <si>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</si>
  <si>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</si>
  <si>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</si>
  <si>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</si>
  <si>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</si>
  <si>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</si>
  <si>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</si>
  <si>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</si>
  <si>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</si>
  <si>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</si>
  <si>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</si>
  <si>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</si>
  <si>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</si>
  <si>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</si>
  <si>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</si>
  <si>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</si>
  <si>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</si>
  <si>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</si>
  <si>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</si>
  <si>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</si>
  <si>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</si>
  <si>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</si>
  <si>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</si>
  <si>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</si>
  <si>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</si>
  <si>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</si>
  <si>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</si>
  <si>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</si>
  <si>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</si>
  <si>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</si>
  <si>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</si>
  <si>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</si>
  <si>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</si>
  <si>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</si>
  <si>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</si>
  <si>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</si>
  <si>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</si>
  <si>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</si>
  <si>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</si>
  <si>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</si>
  <si>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</si>
  <si>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</si>
  <si>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</si>
  <si>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</si>
  <si>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</si>
  <si>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</si>
  <si>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</si>
  <si>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</si>
  <si>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</si>
  <si>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</si>
  <si>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</si>
  <si>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</si>
  <si>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</si>
  <si>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</si>
  <si>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</si>
  <si>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</si>
  <si>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</si>
  <si>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</si>
  <si>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</si>
  <si>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</si>
  <si>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</si>
  <si>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</si>
  <si>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</si>
  <si>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</si>
  <si>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</si>
  <si>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</si>
  <si>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</si>
  <si>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</si>
  <si>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</si>
  <si>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</si>
  <si>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</si>
  <si>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</si>
  <si>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</si>
  <si>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</si>
  <si>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</si>
  <si>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</si>
  <si>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</si>
  <si>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</si>
  <si>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</si>
  <si>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</si>
  <si>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</si>
  <si>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</si>
  <si>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</si>
  <si>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</si>
  <si>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</si>
  <si>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</si>
  <si>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</si>
  <si>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</si>
  <si>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</si>
  <si>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</si>
  <si>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</si>
  <si>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</si>
  <si>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</si>
  <si>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</si>
  <si>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</si>
  <si>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</si>
  <si>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</si>
  <si>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</si>
  <si>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</si>
  <si>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</si>
  <si>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</si>
  <si>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</si>
  <si>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</si>
  <si>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</si>
  <si>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</si>
  <si>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</si>
  <si>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</si>
  <si>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</si>
  <si>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</si>
  <si>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</si>
  <si>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</si>
  <si>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</si>
  <si>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</si>
  <si>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</si>
  <si>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</si>
  <si>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</si>
  <si>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</si>
  <si>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</si>
  <si>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</si>
  <si>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</si>
  <si>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</si>
  <si>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</si>
  <si>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</si>
  <si>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</si>
  <si>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</si>
  <si>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</si>
  <si>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</si>
  <si>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</si>
  <si>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</si>
  <si>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</si>
  <si>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</si>
  <si>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</si>
  <si>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</si>
  <si>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</si>
  <si>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</si>
  <si>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</si>
  <si>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</si>
  <si>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</si>
  <si>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</si>
  <si>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</si>
  <si>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</si>
  <si>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</si>
  <si>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</si>
  <si>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</si>
  <si>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</si>
  <si>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</si>
  <si>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</si>
  <si>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</si>
  <si>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</si>
  <si>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</si>
  <si>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</si>
  <si>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</si>
  <si>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</si>
  <si>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</si>
  <si>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</si>
  <si>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</si>
  <si>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</si>
  <si>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</si>
  <si>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</si>
  <si>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</si>
  <si>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</si>
  <si>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</si>
  <si>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</si>
  <si>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</si>
  <si>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</si>
  <si>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</si>
  <si>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</si>
  <si>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</si>
  <si>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</si>
  <si>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</si>
  <si>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</si>
  <si>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</si>
  <si>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</si>
  <si>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</si>
  <si>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</si>
  <si>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</si>
  <si>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</si>
  <si>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</si>
  <si>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</si>
  <si>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</si>
  <si>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</si>
  <si>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</si>
  <si>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</si>
  <si>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</si>
  <si>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</si>
  <si>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</si>
  <si>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</si>
  <si>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</si>
  <si>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</si>
  <si>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</si>
  <si>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</si>
  <si>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</si>
  <si>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</si>
  <si>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</si>
  <si>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</si>
  <si>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</si>
  <si>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</si>
  <si>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</si>
  <si>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</si>
  <si>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</si>
  <si>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</si>
  <si>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</si>
  <si>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</si>
  <si>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</si>
  <si>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</si>
  <si>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</si>
  <si>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</si>
  <si>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</si>
  <si>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</si>
  <si>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</si>
  <si>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</si>
  <si>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</si>
  <si>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</si>
  <si>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</si>
  <si>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</si>
  <si>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</si>
  <si>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</si>
  <si>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</si>
  <si>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</si>
  <si>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</si>
  <si>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</si>
  <si>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</si>
  <si>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</si>
  <si>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</si>
  <si>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</si>
  <si>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</si>
  <si>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</si>
  <si>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</si>
  <si>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</si>
  <si>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</si>
  <si>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</si>
  <si>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</si>
  <si>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</si>
  <si>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</si>
  <si>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</si>
  <si>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</si>
  <si>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</si>
  <si>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</si>
  <si>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</si>
  <si>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</si>
  <si>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</si>
  <si>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</si>
  <si>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</si>
  <si>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</si>
  <si>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</si>
  <si>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</si>
  <si>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</si>
  <si>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</si>
  <si>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</si>
  <si>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</si>
  <si>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</si>
  <si>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</si>
  <si>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</si>
  <si>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</si>
  <si>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</si>
  <si>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</si>
  <si>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</si>
  <si>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</si>
  <si>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</si>
  <si>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</si>
  <si>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</si>
  <si>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</si>
  <si>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</si>
  <si>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</si>
  <si>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</si>
  <si>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</si>
  <si>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</si>
  <si>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</si>
  <si>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</si>
  <si>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</si>
  <si>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</si>
  <si>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</si>
  <si>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</si>
  <si>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</si>
  <si>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</si>
  <si>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</si>
  <si>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</si>
  <si>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</si>
  <si>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</si>
  <si>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</si>
  <si>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</si>
  <si>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</si>
  <si>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</si>
  <si>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</si>
  <si>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</si>
  <si>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</si>
  <si>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</si>
  <si>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</si>
  <si>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</si>
  <si>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</si>
  <si>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</si>
  <si>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</si>
  <si>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</si>
  <si>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</si>
  <si>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</si>
  <si>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</si>
  <si>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</si>
  <si>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</si>
  <si>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</si>
  <si>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</si>
  <si>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</si>
  <si>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</si>
  <si>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</si>
  <si>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</si>
  <si>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</si>
  <si>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</si>
  <si>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</si>
  <si>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</si>
  <si>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</si>
  <si>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</si>
  <si>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</si>
  <si>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</si>
  <si>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</si>
  <si>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</si>
  <si>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</si>
  <si>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</si>
  <si>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</si>
  <si>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</si>
  <si>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</si>
  <si>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</si>
  <si>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</si>
  <si>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</si>
  <si>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</si>
  <si>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</si>
  <si>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</si>
  <si>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</si>
  <si>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</si>
  <si>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</si>
  <si>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</si>
  <si>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</si>
  <si>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</si>
  <si>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</si>
  <si>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</si>
  <si>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</si>
  <si>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</si>
  <si>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</si>
  <si>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</si>
  <si>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</si>
  <si>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</si>
  <si>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</si>
  <si>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</si>
  <si>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</si>
  <si>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</si>
  <si>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</si>
  <si>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</si>
  <si>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</si>
  <si>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</si>
  <si>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</si>
  <si>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</si>
  <si>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</si>
  <si>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</si>
  <si>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</si>
  <si>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</si>
  <si>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</si>
  <si>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</si>
  <si>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</si>
  <si>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</si>
  <si>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</si>
  <si>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</si>
  <si>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</si>
  <si>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</si>
  <si>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</si>
  <si>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</si>
  <si>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</si>
  <si>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</si>
  <si>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</si>
  <si>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</si>
  <si>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</si>
  <si>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</si>
  <si>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</si>
  <si>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</si>
  <si>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</si>
  <si>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</si>
  <si>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</si>
  <si>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</si>
  <si>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</si>
  <si>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</si>
  <si>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</si>
  <si>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</si>
  <si>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</si>
  <si>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</si>
  <si>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</si>
  <si>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</si>
  <si>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</si>
  <si>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</si>
  <si>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</si>
  <si>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</si>
  <si>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</si>
  <si>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</si>
  <si>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</si>
  <si>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</si>
  <si>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</si>
  <si>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</si>
  <si>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</si>
  <si>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</si>
  <si>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</si>
  <si>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</si>
  <si>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</si>
  <si>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</si>
  <si>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</si>
  <si>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</si>
  <si>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</si>
  <si>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</si>
  <si>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</si>
  <si>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</si>
  <si>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</si>
  <si>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</si>
  <si>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</si>
  <si>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</si>
  <si>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</si>
  <si>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</si>
  <si>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</si>
  <si>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</si>
  <si>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</si>
  <si>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</si>
  <si>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</si>
  <si>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</si>
  <si>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</si>
  <si>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</si>
  <si>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</si>
  <si>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</si>
  <si>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</si>
  <si>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</si>
  <si>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</si>
  <si>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</si>
  <si>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</si>
  <si>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</si>
  <si>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</si>
  <si>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</si>
  <si>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</si>
  <si>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</si>
  <si>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</si>
  <si>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</si>
  <si>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</si>
  <si>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</si>
  <si>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</si>
  <si>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</si>
  <si>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</si>
  <si>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</si>
  <si>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</si>
  <si>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</si>
  <si>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</si>
  <si>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</si>
  <si>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</si>
  <si>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</si>
  <si>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</si>
  <si>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</si>
  <si>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</si>
  <si>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</si>
  <si>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</si>
  <si>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</si>
  <si>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</si>
  <si>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</si>
  <si>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</si>
  <si>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</si>
  <si>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</si>
  <si>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</si>
  <si>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</si>
  <si>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</si>
  <si>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</si>
  <si>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</si>
  <si>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</si>
  <si>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</si>
  <si>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</si>
  <si>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</si>
  <si>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</si>
  <si>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</si>
  <si>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</si>
  <si>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</si>
  <si>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</si>
  <si>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</si>
  <si>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</si>
  <si>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</si>
  <si>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</si>
  <si>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</si>
  <si>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</si>
  <si>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</si>
  <si>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</si>
  <si>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</si>
  <si>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</si>
  <si>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</si>
  <si>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</si>
  <si>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</si>
  <si>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</si>
  <si>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</si>
  <si>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</si>
  <si>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</si>
  <si>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</si>
  <si>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</si>
  <si>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</si>
  <si>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</si>
  <si>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</si>
  <si>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</si>
  <si>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</si>
  <si>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</si>
  <si>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</si>
  <si>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</si>
  <si>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</si>
  <si>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</si>
  <si>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</si>
  <si>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</si>
  <si>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</si>
  <si>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</si>
  <si>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</si>
  <si>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</si>
  <si>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</si>
  <si>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</si>
  <si>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</si>
  <si>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</si>
  <si>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</si>
  <si>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</si>
  <si>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</si>
  <si>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</si>
  <si>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</si>
  <si>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</si>
  <si>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</si>
  <si>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</si>
  <si>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</si>
  <si>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</si>
  <si>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</si>
  <si>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</si>
  <si>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</si>
  <si>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</si>
  <si>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</si>
  <si>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</si>
  <si>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</si>
  <si>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</si>
  <si>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</si>
  <si>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</si>
  <si>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</si>
  <si>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</si>
  <si>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</si>
  <si>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</si>
  <si>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</si>
  <si>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</si>
  <si>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</si>
  <si>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</si>
  <si>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</si>
  <si>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</si>
  <si>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</si>
  <si>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</si>
  <si>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</si>
  <si>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</si>
  <si>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</si>
  <si>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</si>
  <si>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</si>
  <si>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</si>
  <si>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</si>
  <si>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</si>
  <si>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</si>
  <si>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</si>
  <si>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</si>
  <si>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</si>
  <si>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</si>
  <si>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</si>
  <si>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</si>
  <si>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</si>
  <si>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</si>
  <si>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</si>
  <si>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</si>
  <si>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</si>
  <si>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</si>
  <si>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</si>
  <si>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</si>
  <si>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</si>
  <si>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</si>
  <si>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</si>
  <si>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</si>
  <si>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</si>
  <si>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</si>
  <si>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</si>
  <si>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</si>
  <si>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</si>
  <si>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</si>
  <si>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</si>
  <si>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</si>
  <si>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</si>
  <si>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</si>
  <si>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</si>
  <si>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</si>
  <si>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</si>
  <si>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</si>
  <si>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</si>
  <si>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</si>
  <si>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</si>
  <si>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</si>
  <si>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</si>
  <si>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</si>
  <si>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</si>
  <si>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</si>
  <si>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</si>
  <si>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</si>
  <si>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</si>
  <si>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</si>
  <si>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</si>
  <si>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</si>
  <si>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</si>
  <si>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</si>
  <si>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</si>
  <si>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</si>
  <si>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</si>
  <si>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</si>
  <si>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</si>
  <si>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</si>
  <si>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</si>
  <si>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</si>
  <si>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</si>
  <si>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</si>
  <si>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</si>
  <si>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</si>
  <si>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</si>
  <si>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</si>
  <si>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</si>
  <si>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</si>
  <si>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</si>
  <si>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</si>
  <si>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</si>
  <si>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</si>
  <si>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</si>
  <si>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</si>
  <si>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</si>
  <si>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</si>
  <si>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</si>
  <si>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</si>
  <si>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</si>
  <si>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</si>
  <si>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</si>
  <si>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</si>
  <si>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</si>
  <si>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</si>
  <si>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</si>
  <si>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</si>
  <si>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</si>
  <si>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</si>
  <si>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</si>
  <si>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</si>
  <si>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</si>
  <si>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</si>
  <si>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</si>
  <si>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</si>
  <si>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</si>
  <si>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</si>
  <si>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</si>
  <si>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</si>
  <si>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</si>
  <si>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</si>
  <si>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</si>
  <si>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</si>
  <si>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</si>
  <si>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</si>
  <si>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</si>
  <si>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</si>
  <si>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</si>
  <si>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</si>
  <si>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</si>
  <si>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</si>
  <si>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</si>
  <si>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</si>
  <si>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</si>
  <si>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</si>
  <si>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</si>
  <si>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</si>
  <si>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</si>
  <si>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</si>
  <si>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</si>
  <si>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</si>
  <si>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</si>
  <si>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</si>
  <si>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</si>
  <si>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</si>
  <si>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</si>
  <si>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</si>
  <si>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</si>
  <si>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</si>
  <si>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</si>
  <si>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</si>
  <si>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</si>
  <si>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</si>
  <si>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</si>
  <si>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</si>
  <si>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</si>
  <si>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</si>
  <si>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</si>
  <si>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</si>
  <si>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</si>
  <si>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</si>
  <si>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</si>
  <si>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</si>
  <si>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</si>
  <si>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</si>
  <si>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</si>
  <si>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</si>
  <si>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</si>
  <si>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</si>
  <si>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</si>
  <si>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</si>
  <si>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</si>
  <si>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</si>
  <si>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</si>
  <si>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</si>
  <si>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</si>
  <si>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</si>
  <si>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</si>
  <si>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</si>
  <si>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</si>
  <si>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</si>
  <si>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</si>
  <si>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</si>
  <si>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</si>
  <si>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</si>
  <si>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</si>
  <si>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</si>
  <si>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</si>
  <si>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</si>
  <si>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</si>
  <si>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</si>
  <si>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</si>
  <si>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</si>
  <si>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</si>
  <si>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</si>
  <si>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</si>
  <si>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</si>
  <si>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</si>
  <si>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</si>
  <si>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</si>
  <si>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</si>
  <si>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</si>
  <si>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</si>
  <si>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</si>
  <si>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</si>
  <si>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</si>
  <si>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</si>
  <si>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</si>
  <si>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</si>
  <si>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</si>
  <si>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</si>
  <si>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</si>
  <si>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</si>
  <si>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</si>
  <si>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</si>
  <si>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</si>
  <si>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</si>
  <si>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</si>
  <si>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</si>
  <si>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</si>
  <si>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</si>
  <si>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</si>
  <si>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</si>
  <si>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</si>
  <si>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</si>
  <si>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</si>
  <si>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</si>
  <si>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</si>
  <si>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</si>
  <si>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</si>
  <si>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</si>
  <si>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</si>
  <si>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</si>
  <si>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</si>
  <si>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</si>
  <si>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</si>
  <si>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</si>
  <si>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</si>
  <si>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</si>
  <si>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</si>
  <si>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</si>
  <si>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</si>
  <si>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</si>
  <si>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</si>
  <si>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</si>
  <si>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</si>
  <si>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</si>
  <si>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</si>
  <si>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</si>
  <si>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</si>
  <si>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</si>
  <si>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</si>
  <si>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</si>
  <si>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</si>
  <si>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</si>
  <si>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</si>
  <si>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</si>
  <si>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</si>
  <si>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</si>
  <si>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</si>
  <si>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</si>
  <si>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</si>
  <si>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</si>
  <si>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</si>
  <si>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</si>
  <si>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</si>
  <si>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</si>
  <si>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</si>
  <si>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</si>
  <si>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</si>
  <si>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</si>
  <si>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</si>
  <si>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</si>
  <si>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</si>
  <si>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</si>
  <si>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</si>
  <si>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</si>
  <si>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</si>
  <si>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</si>
  <si>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</si>
  <si>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</si>
  <si>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</si>
  <si>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</si>
  <si>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</si>
  <si>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</si>
  <si>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</si>
  <si>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</si>
  <si>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</si>
  <si>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</si>
  <si>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</si>
  <si>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</si>
  <si>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</si>
  <si>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</si>
  <si>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</si>
  <si>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</si>
  <si>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</si>
  <si>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</si>
  <si>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</si>
  <si>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</si>
  <si>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</si>
  <si>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</si>
  <si>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</si>
  <si>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</si>
  <si>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</si>
  <si>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</si>
  <si>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</si>
  <si>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</si>
  <si>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</si>
  <si>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</si>
  <si>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</si>
  <si>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</si>
  <si>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</si>
  <si>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</si>
  <si>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</si>
  <si>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</si>
  <si>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</si>
  <si>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</si>
  <si>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</si>
  <si>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</si>
  <si>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</si>
  <si>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</si>
  <si>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</si>
  <si>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</si>
  <si>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</si>
  <si>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</si>
  <si>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</si>
  <si>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</si>
  <si>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</si>
  <si>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</si>
  <si>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</si>
  <si>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</si>
  <si>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</si>
  <si>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</si>
  <si>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</si>
  <si>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</si>
  <si>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</si>
  <si>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</si>
  <si>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</si>
  <si>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</si>
  <si>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</si>
  <si>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</si>
  <si>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</si>
  <si>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</si>
  <si>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</si>
  <si>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</si>
  <si>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</si>
  <si>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</si>
  <si>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</si>
  <si>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</si>
  <si>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</si>
  <si>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</si>
  <si>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</si>
  <si>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</si>
  <si>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</si>
  <si>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</si>
  <si>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</si>
  <si>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</si>
  <si>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</si>
  <si>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</si>
  <si>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</si>
  <si>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</si>
  <si>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</si>
  <si>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</si>
  <si>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</si>
  <si>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</si>
  <si>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</si>
  <si>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</si>
  <si>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</si>
  <si>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</si>
  <si>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</si>
  <si>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</si>
  <si>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</si>
  <si>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</si>
  <si>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</si>
  <si>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</si>
  <si>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</si>
  <si>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</si>
  <si>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</si>
  <si>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</si>
  <si>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</si>
  <si>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</si>
  <si>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</si>
  <si>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</si>
  <si>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</si>
  <si>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</si>
  <si>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</si>
  <si>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</si>
  <si>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</si>
  <si>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</si>
  <si>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</si>
  <si>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</si>
  <si>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</si>
  <si>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</si>
  <si>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</si>
  <si>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</si>
  <si>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</si>
  <si>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</si>
  <si>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</si>
  <si>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</si>
  <si>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</si>
  <si>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</si>
  <si>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</si>
  <si>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</si>
  <si>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</si>
  <si>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</si>
  <si>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</si>
  <si>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</si>
  <si>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</si>
  <si>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</si>
  <si>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</si>
  <si>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</si>
  <si>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</si>
  <si>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</si>
  <si>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</si>
  <si>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</si>
  <si>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</si>
  <si>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</si>
  <si>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</si>
  <si>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</si>
  <si>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</si>
  <si>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</si>
  <si>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</si>
  <si>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</si>
  <si>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</si>
  <si>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</si>
  <si>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</si>
  <si>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</si>
  <si>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</si>
  <si>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</si>
  <si>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</si>
  <si>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</si>
  <si>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</si>
  <si>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</si>
  <si>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</si>
  <si>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</si>
  <si>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</si>
  <si>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</si>
  <si>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</si>
  <si>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</si>
  <si>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</si>
  <si>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</si>
  <si>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</si>
  <si>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</si>
  <si>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</si>
  <si>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</si>
  <si>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</si>
  <si>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</si>
  <si>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</si>
  <si>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</si>
  <si>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</si>
  <si>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</si>
  <si>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</si>
  <si>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</si>
  <si>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</si>
  <si>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</si>
  <si>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</si>
  <si>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</si>
  <si>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</si>
  <si>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</si>
  <si>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</si>
  <si>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</si>
  <si>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</si>
  <si>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</si>
  <si>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</si>
  <si>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</si>
  <si>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</si>
  <si>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</si>
  <si>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</si>
  <si>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</si>
  <si>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</si>
  <si>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</si>
  <si>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</si>
  <si>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</si>
  <si>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</si>
  <si>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</si>
  <si>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</si>
  <si>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</si>
  <si>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</si>
  <si>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</si>
  <si>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</si>
  <si>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</si>
  <si>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</si>
  <si>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</si>
  <si>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</si>
  <si>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</si>
  <si>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</si>
  <si>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</si>
  <si>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</si>
  <si>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</si>
  <si>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</si>
  <si>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</si>
  <si>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</si>
  <si>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</si>
  <si>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</si>
  <si>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</si>
  <si>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</si>
  <si>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</si>
  <si>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</si>
  <si>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</si>
  <si>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</si>
  <si>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</si>
  <si>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</si>
  <si>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</si>
  <si>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</si>
  <si>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</si>
  <si>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</si>
  <si>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</si>
  <si>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</si>
  <si>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</si>
  <si>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</si>
  <si>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</si>
  <si>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</si>
  <si>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</si>
  <si>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</si>
  <si>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</si>
  <si>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</si>
  <si>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</si>
  <si>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</si>
  <si>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</si>
  <si>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</si>
  <si>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</si>
  <si>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</si>
  <si>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</si>
  <si>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</si>
  <si>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</si>
  <si>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</si>
  <si>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</si>
  <si>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</si>
  <si>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</si>
  <si>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</si>
  <si>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</si>
  <si>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</si>
  <si>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</si>
  <si>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</si>
  <si>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</si>
  <si>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</si>
  <si>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</si>
  <si>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</si>
  <si>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</si>
  <si>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</si>
  <si>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</si>
  <si>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</si>
  <si>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</si>
  <si>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</si>
  <si>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</si>
  <si>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</si>
  <si>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</si>
  <si>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</si>
  <si>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</si>
  <si>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</si>
  <si>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</si>
  <si>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</si>
  <si>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</si>
  <si>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</si>
  <si>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</si>
  <si>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</si>
  <si>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</si>
  <si>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</si>
  <si>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</si>
  <si>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</si>
  <si>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</si>
  <si>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</si>
  <si>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</si>
  <si>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</si>
  <si>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</si>
  <si>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</si>
  <si>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</si>
  <si>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</si>
  <si>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</si>
  <si>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</si>
  <si>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</si>
  <si>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</si>
  <si>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</si>
  <si>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</si>
  <si>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</si>
  <si>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</si>
  <si>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</si>
  <si>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</si>
  <si>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</si>
  <si>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</si>
  <si>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</si>
  <si>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</si>
  <si>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</si>
  <si>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</si>
  <si>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</si>
  <si>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</si>
  <si>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</si>
  <si>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</si>
  <si>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</si>
  <si>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</si>
  <si>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</si>
  <si>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</si>
  <si>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</si>
  <si>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</si>
  <si>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</si>
  <si>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</si>
  <si>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</si>
  <si>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</si>
  <si>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</si>
  <si>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</si>
  <si>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</si>
  <si>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</si>
  <si>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</si>
  <si>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</si>
  <si>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</si>
  <si>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</si>
  <si>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</si>
  <si>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</si>
  <si>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</si>
  <si>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</si>
  <si>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</si>
  <si>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</si>
  <si>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</si>
  <si>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</si>
  <si>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</si>
  <si>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</si>
  <si>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</si>
  <si>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</si>
  <si>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</si>
  <si>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</si>
  <si>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</si>
  <si>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</si>
  <si>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</si>
  <si>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</si>
  <si>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</si>
  <si>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</si>
  <si>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</si>
  <si>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</si>
  <si>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</si>
  <si>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</si>
  <si>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</si>
  <si>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</si>
  <si>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</si>
  <si>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</si>
  <si>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</si>
  <si>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</si>
  <si>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</si>
  <si>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</si>
  <si>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</si>
  <si>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</si>
  <si>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</si>
  <si>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</si>
  <si>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</si>
  <si>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</si>
  <si>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</si>
  <si>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</si>
  <si>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</si>
  <si>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</si>
  <si>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</si>
  <si>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</si>
  <si>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</si>
  <si>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</si>
  <si>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</si>
  <si>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</si>
  <si>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</si>
  <si>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</si>
  <si>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</si>
  <si>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</si>
  <si>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</si>
  <si>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</si>
  <si>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</si>
  <si>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</si>
  <si>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</si>
  <si>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</si>
  <si>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</si>
  <si>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</si>
  <si>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</si>
  <si>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</si>
  <si>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</si>
  <si>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</si>
  <si>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</si>
  <si>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</si>
  <si>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</si>
  <si>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</si>
  <si>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</si>
  <si>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</si>
  <si>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</si>
  <si>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</si>
  <si>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</si>
  <si>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</si>
  <si>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</si>
  <si>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</si>
  <si>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</si>
  <si>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</si>
  <si>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</si>
  <si>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</si>
  <si>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</si>
  <si>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</si>
  <si>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</si>
  <si>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</si>
  <si>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</si>
  <si>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</si>
  <si>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</si>
  <si>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</si>
  <si>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</si>
  <si>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</si>
  <si>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</si>
  <si>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</si>
  <si>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</si>
  <si>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</si>
  <si>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</si>
  <si>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</si>
  <si>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</si>
  <si>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</si>
  <si>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</si>
  <si>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</si>
  <si>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</si>
  <si>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</si>
  <si>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</si>
  <si>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</si>
  <si>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</si>
  <si>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</si>
  <si>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</si>
  <si>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</si>
  <si>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</si>
  <si>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</si>
  <si>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</si>
  <si>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</si>
  <si>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</si>
  <si>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</si>
  <si>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</si>
  <si>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</si>
  <si>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</si>
  <si>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</si>
  <si>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</si>
  <si>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</si>
  <si>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</si>
  <si>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</si>
  <si>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</si>
  <si>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</si>
  <si>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</si>
  <si>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</si>
  <si>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</si>
  <si>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</si>
  <si>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</si>
  <si>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</si>
  <si>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</si>
  <si>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</si>
  <si>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</si>
  <si>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</si>
  <si>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</si>
  <si>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</si>
  <si>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</si>
  <si>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</si>
  <si>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</si>
  <si>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</si>
  <si>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</si>
  <si>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</si>
  <si>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</si>
  <si>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</si>
  <si>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</si>
  <si>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</si>
  <si>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</si>
  <si>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</si>
  <si>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</si>
  <si>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</si>
  <si>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</si>
  <si>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</si>
  <si>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</si>
  <si>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</si>
  <si>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</si>
  <si>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</si>
  <si>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</si>
  <si>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</si>
  <si>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</si>
  <si>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</si>
  <si>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</si>
  <si>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</si>
  <si>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</si>
  <si>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</si>
  <si>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</si>
  <si>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</si>
  <si>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</si>
  <si>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</si>
  <si>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</si>
  <si>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</si>
  <si>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</si>
  <si>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</si>
  <si>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</si>
  <si>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</si>
  <si>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</si>
  <si>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</si>
  <si>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</si>
  <si>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</si>
  <si>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</si>
  <si>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</si>
  <si>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</si>
  <si>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</si>
  <si>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</si>
  <si>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</si>
  <si>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</si>
  <si>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</si>
  <si>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</si>
  <si>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</si>
  <si>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</si>
  <si>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</si>
  <si>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</si>
  <si>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</si>
  <si>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</si>
  <si>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</si>
  <si>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</si>
  <si>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</si>
  <si>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</si>
  <si>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</si>
  <si>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</si>
  <si>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</si>
  <si>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</si>
  <si>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</si>
  <si>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</si>
  <si>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</si>
  <si>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</si>
  <si>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</si>
  <si>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</si>
  <si>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</si>
  <si>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</si>
  <si>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</si>
  <si>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</si>
  <si>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</si>
  <si>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</si>
  <si>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</si>
  <si>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</si>
  <si>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</si>
  <si>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</si>
  <si>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</si>
  <si>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</si>
  <si>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</si>
  <si>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</si>
  <si>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</si>
  <si>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</si>
  <si>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</si>
  <si>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</si>
  <si>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</si>
  <si>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</si>
  <si>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</si>
  <si>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</si>
  <si>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</si>
  <si>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</si>
  <si>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</si>
  <si>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</si>
  <si>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</si>
  <si>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</si>
  <si>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</si>
  <si>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</si>
  <si>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</si>
  <si>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</si>
  <si>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</si>
  <si>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</si>
  <si>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</si>
  <si>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</si>
  <si>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</si>
  <si>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</si>
  <si>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</si>
  <si>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</si>
  <si>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</si>
  <si>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</si>
  <si>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</si>
  <si>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</si>
  <si>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</si>
  <si>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</si>
  <si>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</si>
  <si>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</si>
  <si>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</si>
  <si>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</si>
  <si>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</si>
  <si>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</si>
  <si>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</si>
  <si>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</si>
  <si>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</si>
  <si>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</si>
  <si>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</si>
  <si>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</si>
  <si>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</si>
  <si>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</si>
  <si>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</si>
  <si>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</si>
  <si>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</si>
  <si>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</si>
  <si>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</si>
  <si>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</si>
  <si>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</si>
  <si>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</si>
  <si>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</si>
  <si>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</si>
  <si>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</si>
  <si>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</si>
  <si>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</si>
  <si>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</si>
  <si>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</si>
  <si>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</si>
  <si>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</si>
  <si>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</si>
  <si>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</si>
  <si>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</si>
  <si>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</si>
  <si>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</si>
  <si>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</si>
  <si>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</si>
  <si>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</si>
  <si>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</si>
  <si>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</si>
  <si>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</si>
  <si>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</si>
  <si>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</si>
  <si>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</si>
  <si>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</si>
  <si>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</si>
  <si>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</si>
  <si>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</si>
  <si>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</si>
  <si>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</si>
  <si>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</si>
  <si>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</si>
  <si>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</si>
  <si>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</si>
  <si>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</si>
  <si>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</si>
  <si>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</si>
  <si>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</si>
  <si>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</si>
  <si>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</si>
  <si>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</si>
  <si>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</si>
  <si>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</si>
  <si>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</si>
  <si>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</si>
  <si>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</si>
  <si>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</si>
  <si>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</si>
  <si>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</si>
  <si>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</si>
  <si>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</si>
  <si>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</si>
  <si>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</si>
  <si>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</si>
  <si>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</si>
  <si>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</si>
  <si>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</si>
  <si>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</si>
  <si>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</si>
  <si>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</si>
  <si>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</si>
  <si>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</si>
  <si>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</si>
  <si>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</si>
  <si>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</si>
  <si>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</si>
  <si>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</si>
  <si>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</si>
  <si>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</si>
  <si>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</si>
  <si>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</si>
  <si>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</si>
  <si>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</si>
  <si>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</si>
  <si>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</si>
  <si>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</si>
  <si>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</si>
  <si>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</si>
  <si>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</si>
  <si>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</si>
  <si>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</si>
  <si>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</si>
  <si>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</si>
  <si>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</si>
  <si>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</si>
  <si>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</si>
  <si>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</si>
  <si>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</si>
  <si>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</si>
  <si>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</si>
  <si>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</si>
  <si>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</si>
  <si>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</si>
  <si>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</si>
  <si>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</si>
  <si>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</si>
  <si>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</si>
  <si>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</si>
  <si>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</si>
  <si>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</si>
  <si>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</si>
  <si>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</si>
  <si>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</si>
  <si>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</si>
  <si>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</si>
  <si>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</si>
  <si>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</si>
  <si>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</si>
  <si>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</si>
  <si>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</si>
  <si>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</si>
  <si>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</si>
  <si>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</si>
  <si>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</si>
  <si>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</si>
  <si>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</si>
  <si>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</si>
  <si>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</si>
  <si>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</si>
  <si>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</si>
  <si>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</si>
  <si>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</si>
  <si>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</si>
  <si>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</si>
  <si>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</si>
  <si>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</si>
  <si>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</si>
  <si>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</si>
  <si>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</si>
  <si>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</si>
  <si>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</si>
  <si>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</si>
  <si>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</si>
  <si>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</si>
  <si>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</si>
  <si>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</si>
  <si>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</si>
  <si>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</si>
  <si>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</si>
  <si>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</si>
  <si>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</si>
  <si>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</si>
  <si>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</si>
  <si>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</si>
  <si>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</si>
  <si>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</si>
  <si>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</si>
  <si>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</si>
  <si>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</si>
  <si>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</si>
  <si>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</si>
  <si>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</si>
  <si>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</si>
  <si>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</si>
  <si>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</si>
  <si>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</si>
  <si>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</si>
  <si>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</si>
  <si>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</si>
  <si>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</si>
  <si>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</si>
  <si>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</si>
  <si>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</si>
  <si>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</si>
  <si>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</si>
  <si>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</si>
  <si>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</si>
  <si>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</si>
  <si>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</si>
  <si>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</si>
  <si>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</si>
  <si>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</si>
  <si>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</si>
  <si>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</si>
  <si>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</si>
  <si>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</si>
  <si>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</si>
  <si>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</si>
  <si>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</si>
  <si>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</si>
  <si>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</si>
  <si>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</si>
  <si>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</si>
  <si>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</si>
  <si>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</si>
  <si>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</si>
  <si>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</si>
  <si>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</si>
  <si>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</si>
  <si>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</si>
  <si>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</si>
  <si>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</si>
  <si>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</si>
  <si>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</si>
  <si>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</si>
  <si>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</si>
  <si>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</si>
  <si>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</si>
  <si>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</si>
  <si>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</si>
  <si>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</si>
  <si>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</si>
  <si>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</si>
  <si>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</si>
  <si>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</si>
  <si>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</si>
  <si>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</si>
  <si>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</si>
  <si>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</si>
  <si>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</si>
  <si>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</si>
  <si>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</si>
  <si>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</si>
  <si>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</si>
  <si>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</si>
  <si>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</si>
  <si>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</si>
  <si>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</si>
  <si>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</si>
  <si>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</si>
  <si>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</si>
  <si>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</si>
  <si>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</si>
  <si>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</si>
  <si>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</si>
  <si>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</si>
  <si>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</si>
  <si>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</si>
  <si>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</si>
  <si>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</si>
  <si>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</si>
  <si>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</si>
  <si>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</si>
  <si>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</si>
  <si>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</si>
  <si>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</si>
  <si>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</si>
  <si>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</si>
  <si>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</si>
  <si>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</si>
  <si>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</si>
  <si>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</si>
  <si>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</si>
  <si>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</si>
  <si>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</si>
  <si>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</si>
  <si>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</si>
  <si>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</si>
  <si>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</si>
  <si>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</si>
  <si>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</si>
  <si>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</si>
  <si>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</si>
  <si>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</si>
  <si>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</si>
  <si>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</si>
  <si>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</si>
  <si>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</si>
  <si>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</si>
  <si>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</si>
  <si>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</si>
  <si>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</si>
  <si>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</si>
  <si>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</si>
  <si>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</si>
  <si>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</si>
  <si>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</si>
  <si>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</si>
  <si>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</si>
  <si>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</si>
  <si>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</si>
  <si>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</si>
  <si>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</si>
  <si>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</si>
  <si>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</si>
  <si>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</si>
  <si>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</si>
  <si>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</si>
  <si>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</si>
  <si>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</si>
  <si>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</si>
  <si>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</si>
  <si>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</si>
  <si>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</si>
  <si>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</si>
  <si>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</si>
  <si>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</si>
  <si>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</si>
  <si>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</si>
  <si>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</si>
  <si>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</si>
  <si>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</si>
  <si>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</si>
  <si>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</si>
  <si>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</si>
  <si>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</si>
  <si>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</si>
  <si>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</si>
  <si>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</si>
  <si>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</si>
  <si>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</si>
  <si>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</si>
  <si>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</si>
  <si>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</si>
  <si>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</si>
  <si>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</si>
  <si>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</si>
  <si>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</si>
  <si>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</si>
  <si>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</si>
  <si>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</si>
  <si>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</si>
  <si>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</si>
  <si>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</si>
  <si>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</si>
  <si>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</si>
  <si>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</si>
  <si>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</si>
  <si>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</si>
  <si>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</si>
  <si>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</si>
  <si>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</si>
  <si>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</si>
  <si>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</si>
  <si>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</si>
  <si>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</si>
  <si>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</si>
  <si>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</si>
  <si>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</si>
  <si>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</si>
  <si>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</si>
  <si>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</si>
  <si>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</si>
  <si>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</si>
  <si>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</si>
  <si>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</si>
  <si>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</si>
  <si>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</si>
  <si>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</si>
  <si>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</si>
  <si>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</si>
  <si>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</si>
  <si>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</si>
  <si>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</si>
  <si>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</si>
  <si>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</si>
  <si>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</si>
  <si>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</si>
  <si>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</si>
  <si>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</si>
  <si>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</si>
  <si>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</si>
  <si>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</si>
  <si>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</si>
  <si>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</si>
  <si>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</si>
  <si>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</si>
  <si>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</si>
  <si>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</si>
  <si>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</si>
  <si>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</si>
  <si>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</si>
  <si>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</si>
  <si>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</si>
  <si>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</si>
  <si>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</si>
  <si>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</si>
  <si>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</si>
  <si>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</si>
  <si>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</si>
  <si>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</si>
  <si>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</si>
  <si>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</si>
  <si>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</si>
  <si>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</si>
  <si>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</si>
  <si>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</si>
  <si>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</si>
  <si>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</si>
  <si>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</si>
  <si>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</si>
  <si>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</si>
  <si>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</si>
  <si>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</si>
  <si>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</si>
  <si>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</si>
  <si>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</si>
  <si>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</si>
  <si>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</si>
  <si>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</si>
  <si>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</si>
  <si>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</si>
  <si>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</si>
  <si>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</si>
  <si>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</si>
  <si>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</si>
  <si>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</si>
  <si>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</si>
  <si>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</si>
  <si>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</si>
  <si>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</si>
  <si>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</si>
  <si>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</si>
  <si>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</si>
  <si>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</si>
  <si>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</si>
  <si>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</si>
  <si>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</si>
  <si>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</si>
  <si>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</si>
  <si>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</si>
  <si>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</si>
  <si>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</si>
  <si>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</si>
  <si>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</si>
  <si>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</si>
  <si>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</si>
  <si>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</si>
  <si>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</si>
  <si>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</si>
  <si>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</si>
  <si>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</si>
  <si>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</si>
  <si>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</si>
  <si>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</si>
  <si>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</si>
  <si>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</si>
  <si>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</si>
  <si>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</si>
  <si>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</si>
  <si>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</si>
  <si>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</si>
  <si>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</si>
  <si>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</si>
  <si>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</si>
  <si>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</si>
  <si>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</si>
  <si>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</si>
  <si>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</si>
  <si>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</si>
  <si>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</si>
  <si>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</si>
  <si>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</si>
  <si>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</si>
  <si>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</si>
  <si>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</si>
  <si>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</si>
  <si>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</si>
  <si>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</si>
  <si>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</si>
  <si>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</si>
  <si>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</si>
  <si>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</si>
  <si>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</si>
  <si>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</si>
  <si>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</si>
  <si>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</si>
  <si>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</si>
  <si>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</si>
  <si>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</si>
  <si>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</si>
  <si>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</si>
  <si>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</si>
  <si>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</si>
  <si>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</si>
  <si>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</si>
  <si>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</si>
  <si>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</si>
  <si>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</si>
  <si>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</si>
  <si>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</si>
  <si>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</si>
  <si>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</si>
  <si>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</si>
  <si>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</si>
  <si>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</si>
  <si>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</si>
  <si>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</si>
  <si>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</si>
  <si>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</si>
  <si>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</si>
  <si>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</si>
  <si>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</si>
  <si>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</si>
  <si>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</si>
  <si>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</si>
  <si>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</si>
  <si>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</si>
  <si>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</si>
  <si>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</si>
  <si>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</si>
  <si>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</si>
  <si>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</si>
  <si>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</si>
  <si>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</si>
  <si>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</si>
  <si>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</si>
  <si>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</si>
  <si>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</si>
  <si>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</si>
  <si>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</si>
  <si>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</si>
  <si>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</si>
  <si>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</si>
  <si>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</si>
  <si>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</si>
  <si>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</si>
  <si>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</si>
  <si>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</si>
  <si>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</si>
  <si>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</si>
  <si>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</si>
  <si>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</si>
  <si>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</si>
  <si>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</si>
  <si>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</si>
  <si>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</si>
  <si>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</si>
  <si>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</si>
  <si>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</si>
  <si>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</si>
  <si>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</si>
  <si>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</si>
  <si>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</si>
  <si>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</si>
  <si>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</si>
  <si>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</si>
  <si>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</si>
  <si>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</si>
  <si>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</si>
  <si>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</si>
  <si>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</si>
  <si>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</si>
  <si>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</si>
  <si>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</si>
  <si>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</si>
  <si>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</si>
  <si>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</si>
  <si>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</si>
  <si>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</si>
  <si>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</si>
  <si>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</si>
  <si>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</si>
  <si>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</si>
  <si>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</si>
  <si>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</si>
  <si>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</si>
  <si>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</si>
  <si>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</si>
  <si>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</si>
  <si>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</si>
  <si>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</si>
  <si>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</si>
  <si>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</si>
  <si>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</si>
  <si>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</si>
  <si>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</si>
  <si>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</si>
  <si>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</si>
  <si>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</si>
  <si>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</si>
  <si>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</si>
  <si>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</si>
  <si>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</si>
  <si>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</si>
  <si>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</si>
  <si>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</si>
  <si>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</si>
  <si>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</si>
  <si>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</si>
  <si>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</si>
  <si>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</si>
  <si>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</si>
  <si>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</si>
  <si>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</si>
  <si>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</si>
  <si>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</si>
  <si>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</si>
  <si>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</si>
  <si>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</si>
  <si>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</si>
  <si>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</si>
  <si>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</si>
  <si>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</si>
  <si>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</si>
  <si>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</si>
  <si>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</si>
  <si>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</si>
  <si>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</si>
  <si>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</si>
  <si>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</si>
  <si>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</si>
  <si>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</si>
  <si>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</si>
  <si>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</si>
  <si>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</si>
  <si>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</si>
  <si>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</si>
  <si>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</si>
  <si>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</si>
  <si>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</si>
  <si>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</si>
  <si>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</si>
  <si>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</si>
  <si>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</si>
  <si>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</si>
  <si>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</si>
  <si>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</si>
  <si>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</si>
  <si>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</si>
  <si>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</si>
  <si>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</si>
  <si>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</si>
  <si>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</si>
  <si>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</si>
  <si>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</si>
  <si>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</si>
  <si>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</si>
  <si>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</si>
  <si>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</si>
  <si>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</si>
  <si>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</si>
  <si>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</si>
  <si>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</si>
  <si>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</si>
  <si>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</si>
  <si>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</si>
  <si>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</si>
  <si>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</si>
  <si>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</si>
  <si>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</si>
  <si>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</si>
  <si>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</si>
  <si>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</si>
  <si>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</si>
  <si>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</si>
  <si>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</si>
  <si>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</si>
  <si>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</si>
  <si>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</si>
  <si>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</si>
  <si>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</si>
  <si>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</si>
  <si>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</si>
  <si>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</si>
  <si>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</si>
  <si>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</si>
  <si>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</si>
  <si>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</si>
  <si>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</si>
  <si>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</si>
  <si>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</si>
  <si>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</si>
  <si>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</si>
  <si>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</si>
  <si>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</si>
  <si>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</si>
  <si>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</si>
  <si>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</si>
  <si>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</si>
  <si>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</si>
  <si>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</si>
  <si>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</si>
  <si>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</si>
  <si>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</si>
  <si>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</si>
  <si>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</si>
  <si>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</si>
  <si>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</si>
  <si>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</si>
  <si>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</si>
  <si>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</si>
  <si>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</si>
  <si>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</si>
  <si>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</si>
  <si>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</si>
  <si>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</si>
  <si>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</si>
  <si>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</si>
  <si>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</si>
  <si>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</si>
  <si>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</si>
  <si>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</si>
  <si>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</si>
  <si>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</si>
  <si>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</si>
  <si>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</si>
  <si>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</si>
  <si>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</si>
  <si>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</si>
  <si>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</si>
  <si>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</si>
  <si>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</si>
  <si>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</si>
  <si>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</si>
  <si>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</si>
  <si>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</si>
  <si>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</si>
  <si>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</si>
  <si>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</si>
  <si>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</si>
  <si>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</si>
  <si>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</si>
  <si>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</si>
  <si>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</si>
  <si>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</si>
  <si>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</si>
  <si>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</si>
  <si>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</si>
  <si>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</si>
  <si>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</si>
  <si>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</si>
  <si>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</si>
  <si>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</si>
  <si>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</si>
  <si>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</si>
  <si>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</si>
  <si>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</si>
  <si>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</si>
  <si>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</si>
  <si>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</si>
  <si>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</si>
  <si>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</si>
  <si>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</si>
  <si>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</si>
  <si>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</si>
  <si>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</si>
  <si>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</si>
  <si>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</si>
  <si>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</si>
  <si>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</si>
  <si>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</si>
  <si>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</si>
  <si>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</si>
  <si>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</si>
  <si>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</si>
  <si>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</si>
  <si>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</si>
  <si>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</si>
  <si>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</si>
  <si>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</si>
  <si>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</si>
  <si>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</si>
  <si>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</si>
  <si>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</si>
  <si>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</si>
  <si>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</si>
  <si>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</si>
  <si>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</si>
  <si>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</si>
  <si>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</si>
  <si>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</si>
  <si>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</si>
  <si>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</si>
  <si>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</si>
  <si>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</si>
  <si>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</si>
  <si>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</si>
  <si>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</si>
  <si>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</si>
  <si>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</si>
  <si>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</si>
  <si>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</si>
  <si>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</si>
  <si>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</si>
  <si>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</si>
  <si>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</si>
  <si>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</si>
  <si>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</si>
  <si>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</si>
  <si>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</si>
  <si>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</si>
  <si>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</si>
  <si>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</si>
  <si>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</si>
  <si>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</si>
  <si>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</si>
  <si>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</si>
  <si>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</si>
  <si>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</si>
  <si>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</si>
  <si>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</si>
  <si>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</si>
  <si>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</si>
  <si>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</si>
  <si>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</si>
  <si>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</si>
  <si>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</si>
  <si>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</si>
  <si>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</si>
  <si>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</si>
  <si>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</si>
  <si>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</si>
  <si>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</si>
  <si>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</si>
  <si>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</si>
  <si>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</si>
  <si>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</si>
  <si>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</si>
  <si>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</si>
  <si>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</si>
  <si>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</si>
  <si>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</si>
  <si>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</si>
  <si>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</si>
  <si>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</si>
  <si>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</si>
  <si>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</si>
  <si>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</si>
  <si>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</si>
  <si>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</si>
  <si>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</si>
  <si>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</si>
  <si>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</si>
  <si>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</si>
  <si>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</si>
  <si>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</si>
  <si>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</si>
  <si>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</si>
  <si>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</si>
  <si>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</si>
  <si>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</si>
  <si>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</si>
  <si>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</si>
  <si>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</si>
  <si>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</si>
  <si>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</si>
  <si>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</si>
  <si>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</si>
  <si>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</si>
  <si>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</si>
  <si>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</si>
  <si>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</si>
  <si>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</si>
  <si>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</si>
  <si>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</si>
  <si>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</si>
  <si>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</si>
  <si>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</si>
  <si>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</si>
  <si>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</si>
  <si>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</si>
  <si>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</si>
  <si>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</si>
  <si>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</si>
  <si>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</si>
  <si>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</si>
  <si>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</si>
  <si>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</si>
  <si>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</si>
  <si>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</si>
  <si>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</si>
  <si>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</si>
  <si>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</si>
  <si>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</si>
  <si>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</si>
  <si>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</si>
  <si>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</si>
  <si>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</si>
  <si>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</si>
  <si>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</si>
  <si>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</si>
  <si>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</si>
  <si>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</si>
  <si>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</si>
  <si>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</si>
  <si>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</si>
  <si>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</si>
  <si>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</si>
  <si>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</si>
  <si>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</si>
  <si>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</si>
  <si>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</si>
  <si>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</si>
  <si>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</si>
  <si>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</si>
  <si>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</si>
  <si>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</si>
  <si>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</si>
  <si>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</si>
  <si>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</si>
  <si>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</si>
  <si>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</si>
  <si>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</si>
  <si>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</si>
  <si>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</si>
  <si>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</si>
  <si>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</si>
  <si>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</si>
  <si>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</si>
  <si>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</si>
  <si>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</si>
  <si>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</si>
  <si>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</si>
  <si>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</si>
  <si>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</si>
  <si>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</si>
  <si>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</si>
  <si>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</si>
  <si>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</si>
  <si>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</si>
  <si>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</si>
  <si>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</si>
  <si>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</si>
  <si>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</si>
  <si>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</si>
  <si>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</si>
  <si>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</si>
  <si>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</si>
  <si>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</si>
  <si>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</si>
  <si>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</si>
  <si>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</si>
  <si>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</si>
  <si>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</si>
  <si>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</si>
  <si>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</si>
  <si>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</si>
  <si>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</si>
  <si>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</si>
  <si>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</si>
  <si>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</si>
  <si>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</si>
  <si>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</si>
  <si>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</si>
  <si>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</si>
  <si>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</si>
  <si>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</si>
  <si>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</si>
  <si>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</si>
  <si>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</si>
  <si>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</si>
  <si>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</si>
  <si>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</si>
  <si>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</si>
  <si>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</si>
  <si>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</si>
  <si>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</si>
  <si>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</si>
  <si>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</si>
  <si>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</si>
  <si>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</si>
  <si>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</si>
  <si>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</si>
  <si>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</si>
  <si>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</si>
  <si>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</si>
  <si>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</si>
  <si>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</si>
  <si>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</si>
  <si>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</si>
  <si>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</si>
  <si>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</si>
  <si>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</si>
  <si>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</si>
  <si>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</si>
  <si>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</si>
  <si>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</si>
  <si>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</si>
  <si>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</si>
  <si>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</si>
  <si>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</si>
  <si>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</si>
  <si>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</si>
  <si>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</si>
  <si>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</si>
  <si>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</si>
  <si>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</si>
  <si>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</si>
  <si>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</si>
  <si>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</si>
  <si>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</si>
  <si>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</si>
  <si>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</si>
  <si>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</si>
  <si>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</si>
  <si>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</si>
  <si>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</si>
  <si>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</si>
  <si>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</si>
  <si>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</si>
  <si>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</si>
  <si>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</si>
  <si>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</si>
  <si>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</si>
  <si>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</si>
  <si>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</si>
  <si>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</si>
  <si>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</si>
  <si>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</si>
  <si>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</si>
  <si>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</si>
  <si>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</si>
  <si>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</si>
  <si>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</si>
  <si>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</si>
  <si>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</si>
  <si>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</si>
  <si>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</si>
  <si>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</si>
  <si>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</si>
  <si>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</si>
  <si>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</si>
  <si>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</si>
  <si>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</si>
  <si>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</si>
  <si>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</si>
  <si>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</si>
  <si>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</si>
  <si>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</si>
  <si>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</si>
  <si>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</si>
  <si>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</si>
  <si>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</si>
  <si>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</si>
  <si>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</si>
  <si>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</si>
  <si>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</si>
  <si>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</si>
  <si>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</si>
  <si>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</si>
  <si>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</si>
  <si>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</si>
  <si>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</si>
  <si>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</si>
  <si>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</si>
  <si>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</si>
  <si>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</si>
  <si>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</si>
  <si>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</si>
  <si>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</si>
  <si>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</si>
  <si>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</si>
  <si>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</si>
  <si>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</si>
  <si>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</si>
  <si>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</si>
  <si>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</si>
  <si>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</si>
  <si>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</si>
  <si>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</si>
  <si>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</si>
  <si>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</si>
  <si>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</si>
  <si>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</si>
  <si>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</si>
  <si>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</si>
  <si>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</si>
  <si>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</si>
  <si>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</si>
  <si>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</si>
  <si>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</si>
  <si>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</si>
  <si>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</si>
  <si>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</si>
  <si>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</si>
  <si>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</si>
  <si>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</si>
  <si>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</si>
  <si>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</si>
  <si>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</si>
  <si>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</si>
  <si>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</si>
  <si>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</si>
  <si>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</si>
  <si>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</si>
  <si>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</si>
  <si>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</si>
  <si>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</si>
  <si>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</si>
  <si>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</si>
  <si>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</si>
  <si>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</si>
  <si>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</si>
  <si>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</si>
  <si>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</si>
  <si>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</si>
  <si>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</si>
  <si>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</si>
  <si>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</si>
  <si>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</si>
  <si>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</si>
  <si>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</si>
  <si>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</si>
  <si>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</si>
  <si>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</si>
  <si>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</si>
  <si>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</si>
  <si>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</si>
  <si>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</si>
  <si>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</si>
  <si>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</si>
  <si>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</si>
  <si>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</si>
  <si>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</si>
  <si>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</si>
  <si>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</si>
  <si>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</si>
  <si>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</si>
  <si>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</si>
  <si>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</si>
  <si>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</si>
  <si>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</si>
  <si>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</si>
  <si>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</si>
  <si>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</si>
  <si>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</si>
  <si>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</si>
  <si>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</si>
  <si>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</si>
  <si>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</si>
  <si>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</si>
  <si>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</si>
  <si>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</si>
  <si>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</si>
  <si>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</si>
  <si>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</si>
  <si>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</si>
  <si>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</si>
  <si>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</si>
  <si>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</si>
  <si>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</si>
  <si>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</si>
  <si>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</si>
  <si>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</si>
  <si>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</si>
  <si>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</si>
  <si>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</si>
  <si>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</si>
  <si>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</si>
  <si>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</si>
  <si>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</si>
  <si>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</si>
  <si>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</si>
  <si>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</si>
  <si>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</si>
  <si>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</si>
  <si>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</si>
  <si>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</si>
  <si>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</si>
  <si>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</si>
  <si>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</si>
  <si>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</si>
  <si>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</si>
  <si>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</si>
  <si>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</si>
  <si>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</si>
  <si>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</si>
  <si>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</si>
  <si>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</si>
  <si>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</si>
  <si>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</si>
  <si>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</si>
  <si>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</si>
  <si>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</si>
  <si>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</si>
  <si>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</si>
  <si>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</si>
  <si>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</si>
  <si>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</si>
  <si>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</si>
  <si>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</si>
  <si>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</si>
  <si>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</si>
  <si>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</si>
  <si>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</si>
  <si>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</si>
  <si>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</si>
  <si>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</si>
  <si>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</si>
  <si>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</si>
  <si>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</si>
  <si>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</si>
  <si>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</si>
  <si>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</si>
  <si>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</si>
  <si>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</si>
  <si>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</si>
  <si>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</si>
  <si>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</si>
  <si>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</si>
  <si>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</si>
  <si>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</si>
  <si>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</si>
  <si>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</si>
  <si>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</si>
  <si>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</si>
  <si>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</si>
  <si>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</si>
  <si>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</si>
  <si>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</si>
  <si>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</si>
  <si>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</si>
  <si>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</si>
  <si>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</si>
  <si>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</si>
  <si>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</si>
  <si>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</si>
  <si>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</si>
  <si>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</si>
  <si>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</si>
  <si>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</si>
  <si>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</si>
  <si>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</si>
  <si>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</si>
  <si>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</si>
  <si>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</si>
  <si>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</si>
  <si>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</si>
  <si>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</si>
  <si>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</si>
  <si>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</si>
  <si>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</si>
  <si>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</si>
  <si>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</si>
  <si>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</si>
  <si>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</si>
  <si>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</si>
  <si>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</si>
  <si>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</si>
  <si>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</si>
  <si>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</si>
  <si>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</si>
  <si>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</si>
  <si>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</si>
  <si>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</si>
  <si>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</si>
  <si>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</si>
  <si>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</si>
  <si>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</si>
  <si>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</si>
  <si>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</si>
  <si>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</si>
  <si>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</si>
  <si>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</si>
  <si>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</si>
  <si>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</si>
  <si>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</si>
  <si>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</si>
  <si>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</si>
  <si>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</si>
  <si>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</si>
  <si>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</si>
  <si>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</si>
  <si>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</si>
  <si>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</si>
  <si>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</si>
  <si>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</si>
  <si>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</si>
  <si>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</si>
  <si>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</si>
  <si>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</si>
  <si>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</si>
  <si>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</si>
  <si>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</si>
  <si>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</si>
  <si>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</si>
  <si>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</si>
  <si>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</si>
  <si>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</si>
  <si>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</si>
  <si>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</si>
  <si>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</si>
  <si>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</si>
  <si>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</si>
  <si>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</si>
  <si>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</si>
  <si>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</si>
  <si>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</si>
  <si>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</si>
  <si>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</si>
  <si>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</si>
  <si>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</si>
  <si>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</si>
  <si>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</si>
  <si>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</si>
  <si>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</si>
  <si>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</si>
  <si>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</si>
  <si>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</si>
  <si>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</si>
  <si>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</si>
  <si>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</si>
  <si>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</si>
  <si>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</si>
  <si>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</si>
  <si>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</si>
  <si>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</si>
  <si>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</si>
  <si>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</si>
  <si>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</si>
  <si>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</si>
  <si>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</si>
  <si>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</si>
  <si>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</si>
  <si>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</si>
  <si>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</si>
  <si>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</si>
  <si>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</si>
  <si>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</si>
  <si>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</si>
  <si>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</si>
  <si>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</si>
  <si>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</si>
  <si>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</si>
  <si>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</si>
  <si>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</si>
  <si>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</si>
  <si>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</si>
  <si>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</si>
  <si>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</si>
  <si>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</si>
  <si>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</si>
  <si>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</si>
  <si>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</si>
  <si>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</si>
  <si>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</si>
  <si>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</si>
  <si>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</si>
  <si>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</si>
  <si>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</si>
  <si>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</si>
  <si>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</si>
  <si>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</si>
  <si>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</si>
  <si>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</si>
  <si>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</si>
  <si>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</si>
  <si>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</si>
  <si>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</si>
  <si>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</si>
  <si>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</si>
  <si>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</si>
  <si>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</si>
  <si>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</si>
  <si>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</si>
  <si>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</si>
  <si>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</si>
  <si>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</si>
  <si>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</si>
  <si>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</si>
  <si>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</si>
  <si>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</si>
  <si>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</si>
  <si>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</si>
  <si>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</si>
  <si>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</si>
  <si>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</si>
  <si>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</si>
  <si>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</si>
  <si>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</si>
  <si>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</si>
  <si>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</si>
  <si>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</si>
  <si>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</si>
  <si>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</si>
  <si>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</si>
  <si>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</si>
  <si>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</si>
  <si>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</si>
  <si>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</si>
  <si>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</si>
  <si>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</si>
  <si>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</si>
  <si>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</si>
  <si>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</si>
  <si>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</si>
  <si>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</si>
  <si>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</si>
  <si>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</si>
  <si>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</si>
  <si>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</si>
  <si>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</si>
  <si>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</si>
  <si>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</si>
  <si>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</si>
  <si>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</si>
  <si>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</si>
  <si>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</si>
  <si>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</si>
  <si>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</si>
  <si>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</si>
  <si>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</si>
  <si>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</si>
  <si>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</si>
  <si>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</si>
  <si>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</si>
  <si>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</si>
  <si>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</si>
  <si>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</si>
  <si>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</si>
  <si>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</si>
  <si>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</si>
  <si>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</si>
  <si>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</si>
  <si>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</si>
  <si>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</si>
  <si>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</si>
  <si>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</si>
  <si>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</si>
  <si>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</si>
  <si>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</si>
  <si>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</si>
  <si>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</si>
  <si>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</si>
  <si>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</si>
  <si>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</si>
  <si>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</si>
  <si>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</si>
  <si>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</si>
  <si>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</si>
  <si>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</si>
  <si>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</si>
  <si>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</si>
  <si>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</si>
  <si>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</si>
  <si>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</si>
  <si>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</si>
  <si>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</si>
  <si>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</si>
  <si>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</si>
  <si>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</si>
  <si>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</si>
  <si>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</si>
  <si>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</si>
  <si>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</si>
  <si>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</si>
  <si>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</si>
  <si>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</si>
  <si>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</si>
  <si>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</si>
  <si>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</si>
  <si>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</si>
  <si>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</si>
  <si>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</si>
  <si>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</si>
  <si>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</si>
  <si>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</si>
  <si>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</si>
  <si>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</si>
  <si>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</si>
  <si>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</si>
  <si>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</si>
  <si>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</si>
  <si>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</si>
  <si>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</si>
  <si>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</si>
  <si>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</si>
  <si>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</si>
  <si>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</si>
  <si>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</si>
  <si>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</si>
  <si>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</si>
  <si>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</si>
  <si>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</si>
  <si>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</si>
  <si>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</si>
  <si>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</si>
  <si>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</si>
  <si>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</si>
  <si>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</si>
  <si>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</si>
  <si>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</si>
  <si>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</si>
  <si>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</si>
  <si>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</si>
  <si>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</si>
  <si>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</si>
  <si>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</si>
  <si>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</si>
  <si>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</si>
  <si>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</si>
  <si>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</si>
  <si>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</si>
  <si>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</si>
  <si>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</si>
  <si>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</si>
  <si>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</si>
  <si>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</si>
  <si>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</si>
  <si>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</si>
  <si>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</si>
  <si>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</si>
  <si>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</si>
  <si>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</si>
  <si>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</si>
  <si>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</si>
  <si>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</si>
  <si>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</si>
  <si>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</si>
  <si>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</si>
  <si>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</si>
  <si>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</si>
  <si>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</si>
  <si>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</si>
  <si>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</si>
  <si>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</si>
  <si>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</si>
  <si>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</si>
  <si>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</si>
  <si>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</si>
  <si>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</si>
  <si>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</si>
  <si>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</si>
  <si>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</si>
  <si>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</si>
  <si>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</si>
  <si>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</si>
  <si>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</si>
  <si>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</si>
  <si>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</si>
  <si>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</si>
  <si>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</si>
  <si>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</si>
  <si>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</si>
  <si>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</si>
  <si>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</si>
  <si>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</si>
  <si>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</si>
  <si>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</si>
  <si>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</si>
  <si>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</si>
  <si>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</si>
  <si>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</si>
  <si>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</si>
  <si>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</si>
  <si>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</si>
  <si>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</si>
  <si>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</si>
  <si>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</si>
  <si>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</si>
  <si>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</si>
  <si>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</si>
  <si>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</si>
  <si>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</si>
  <si>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</si>
  <si>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</si>
  <si>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</si>
  <si>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</si>
  <si>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</si>
  <si>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</si>
  <si>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</si>
  <si>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</si>
  <si>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</si>
  <si>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</si>
  <si>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</si>
  <si>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</si>
  <si>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</si>
  <si>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</si>
  <si>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</si>
  <si>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</si>
  <si>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</si>
  <si>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</si>
  <si>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</si>
  <si>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</si>
  <si>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</si>
  <si>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</si>
  <si>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</si>
  <si>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</si>
  <si>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</si>
  <si>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</si>
  <si>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</si>
  <si>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</si>
  <si>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</si>
  <si>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</si>
  <si>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</si>
  <si>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</si>
  <si>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</si>
  <si>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</si>
  <si>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</si>
  <si>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</si>
  <si>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</si>
  <si>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</si>
  <si>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</si>
  <si>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</si>
  <si>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</si>
  <si>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</si>
  <si>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</si>
  <si>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</si>
  <si>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</si>
  <si>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</si>
  <si>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</si>
  <si>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</si>
  <si>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</si>
  <si>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</si>
  <si>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</si>
  <si>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</si>
  <si>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</si>
  <si>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</si>
  <si>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</si>
  <si>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</si>
  <si>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</si>
  <si>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</si>
  <si>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</si>
  <si>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</si>
  <si>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</si>
  <si>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</si>
  <si>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</si>
  <si>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</si>
  <si>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</si>
  <si>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</si>
  <si>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</si>
  <si>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</si>
  <si>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</si>
  <si>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</si>
  <si>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</si>
  <si>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</si>
  <si>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</si>
  <si>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</si>
  <si>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</si>
  <si>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</si>
  <si>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</si>
  <si>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</si>
  <si>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</si>
  <si>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</si>
  <si>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</si>
  <si>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</si>
  <si>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</si>
  <si>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</si>
  <si>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</si>
  <si>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</si>
  <si>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</si>
  <si>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</si>
  <si>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</si>
  <si>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</si>
  <si>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</si>
  <si>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</si>
  <si>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</si>
  <si>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</si>
  <si>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</si>
  <si>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</si>
  <si>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</si>
  <si>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</si>
  <si>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</si>
  <si>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</si>
  <si>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</si>
  <si>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</si>
  <si>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</si>
  <si>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</si>
  <si>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</si>
  <si>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</si>
  <si>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</si>
  <si>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</si>
  <si>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</si>
  <si>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</si>
  <si>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</si>
  <si>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</si>
  <si>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</si>
  <si>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</si>
  <si>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</si>
  <si>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</si>
  <si>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</si>
  <si>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</si>
  <si>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</si>
  <si>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</si>
  <si>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</si>
  <si>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</si>
  <si>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</si>
  <si>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</si>
  <si>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</si>
  <si>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</si>
  <si>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</si>
  <si>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</si>
  <si>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</si>
  <si>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</si>
  <si>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</si>
  <si>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</si>
  <si>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</si>
  <si>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</si>
  <si>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</si>
  <si>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</si>
  <si>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</si>
  <si>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</si>
  <si>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</si>
  <si>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</si>
  <si>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</si>
  <si>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</si>
  <si>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</si>
  <si>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</si>
  <si>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</si>
  <si>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</si>
  <si>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</si>
  <si>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</si>
  <si>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</si>
  <si>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</si>
  <si>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</si>
  <si>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</si>
  <si>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</si>
  <si>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</si>
  <si>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</si>
  <si>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</si>
  <si>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</si>
  <si>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</si>
  <si>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</si>
  <si>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</si>
  <si>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</si>
  <si>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</si>
  <si>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</si>
  <si>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</si>
  <si>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</si>
  <si>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</si>
  <si>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</si>
  <si>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</si>
  <si>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</si>
  <si>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</si>
  <si>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</si>
  <si>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</si>
  <si>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</si>
  <si>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</si>
  <si>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</si>
  <si>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</si>
  <si>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</si>
  <si>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</si>
  <si>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</si>
  <si>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ETC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</si>
  <si>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</si>
  <si>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</si>
  <si>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</si>
  <si>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</si>
  <si>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</si>
  <si>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</si>
  <si>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</si>
  <si>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</si>
  <si>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</si>
  <si>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</si>
  <si>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</si>
  <si>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</si>
  <si>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</si>
  <si>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</si>
  <si>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</si>
  <si>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</si>
  <si>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</si>
  <si>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</si>
  <si>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</si>
  <si>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</si>
  <si>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</si>
  <si>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</si>
  <si>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</si>
  <si>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</si>
  <si>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</si>
  <si>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</si>
  <si>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</si>
  <si>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</si>
  <si>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</si>
  <si>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</si>
  <si>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</si>
  <si>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</si>
  <si>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</si>
  <si>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</si>
  <si>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</si>
  <si>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</si>
  <si>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</si>
  <si>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</si>
  <si>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</si>
  <si>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</si>
  <si>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</si>
  <si>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</si>
  <si>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</si>
  <si>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</si>
  <si>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</si>
  <si>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</si>
  <si>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</si>
  <si>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</si>
  <si>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</si>
  <si>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</si>
  <si>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</si>
  <si>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</si>
  <si>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</si>
  <si>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</si>
  <si>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</si>
  <si>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</si>
  <si>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</si>
  <si>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</si>
  <si>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</si>
  <si>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</si>
  <si>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</si>
  <si>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</si>
  <si>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</si>
  <si>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</si>
  <si>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</si>
  <si>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</si>
  <si>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</si>
  <si>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</si>
  <si>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</si>
  <si>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</si>
  <si>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</si>
  <si>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</si>
  <si>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</si>
  <si>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</si>
  <si>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</si>
  <si>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</si>
  <si>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</si>
  <si>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</si>
  <si>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</si>
  <si>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</si>
  <si>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</si>
  <si>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</si>
  <si>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</si>
  <si>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</si>
  <si>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</si>
  <si>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</si>
  <si>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</si>
  <si>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</si>
  <si>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</si>
  <si>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</si>
  <si>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</si>
  <si>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</si>
  <si>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</si>
  <si>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</si>
  <si>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</si>
  <si>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</si>
  <si>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</si>
  <si>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</si>
  <si>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</si>
  <si>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</si>
  <si>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</si>
  <si>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</si>
  <si>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</si>
  <si>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</si>
  <si>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</si>
  <si>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</si>
  <si>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</si>
  <si>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</si>
  <si>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</si>
  <si>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</si>
  <si>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</si>
  <si>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</si>
  <si>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</si>
  <si>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</si>
  <si>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</si>
  <si>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</si>
  <si>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</si>
  <si>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</si>
  <si>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</si>
  <si>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</si>
  <si>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</si>
  <si>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</si>
  <si>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</si>
  <si>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</si>
  <si>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</si>
  <si>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</si>
  <si>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</si>
  <si>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Hoang Long Clinic\FMSV2023020034</t>
  </si>
  <si>
    <t>GDKT-2302022</t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</si>
  <si>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</si>
  <si>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</si>
  <si>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</si>
  <si>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</si>
  <si>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</si>
  <si>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</si>
  <si>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</si>
  <si>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</si>
  <si>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</si>
  <si>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</si>
  <si>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</si>
  <si>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</si>
  <si>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</si>
  <si>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</si>
  <si>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</si>
  <si>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</si>
  <si>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</si>
  <si>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</si>
  <si>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</si>
  <si>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</si>
  <si>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</si>
  <si>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</si>
  <si>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</si>
  <si>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</si>
  <si>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</si>
  <si>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</si>
  <si>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</si>
  <si>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</si>
  <si>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</si>
  <si>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Hanoi Medical University\FMSV2023020067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</si>
  <si>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</si>
  <si>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</si>
  <si>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</si>
  <si>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</si>
  <si>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</si>
  <si>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</si>
  <si>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</si>
  <si>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</si>
  <si>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</si>
  <si>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</si>
  <si>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</si>
  <si>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</si>
  <si>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</si>
  <si>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</si>
  <si>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</si>
  <si>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</si>
  <si>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</si>
  <si>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</si>
  <si>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</si>
  <si>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</si>
  <si>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</si>
  <si>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</si>
  <si>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</si>
  <si>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</si>
  <si>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</si>
  <si>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</si>
  <si>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</si>
  <si>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</si>
  <si>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</si>
  <si>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</si>
  <si>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</si>
  <si>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</si>
  <si>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</si>
  <si>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</si>
  <si>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</si>
  <si>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</si>
  <si>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</si>
  <si>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</si>
  <si>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</si>
  <si>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</si>
  <si>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</si>
  <si>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</si>
  <si>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</si>
  <si>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</si>
  <si>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</si>
  <si>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</si>
  <si>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</si>
  <si>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</si>
  <si>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</si>
  <si>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</si>
  <si>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</si>
  <si>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</si>
  <si>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</si>
  <si>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</si>
  <si>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</si>
  <si>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</si>
  <si>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</si>
  <si>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</si>
  <si>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</si>
  <si>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</si>
  <si>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</si>
  <si>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</si>
  <si>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</si>
  <si>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</si>
  <si>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</si>
  <si>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</si>
  <si>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</si>
  <si>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Authorization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</si>
  <si>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</si>
  <si>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</si>
  <si>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</si>
  <si>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</si>
  <si>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</si>
  <si>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</si>
  <si>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</si>
  <si>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</si>
  <si>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</si>
  <si>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</si>
  <si>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</si>
  <si>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</si>
  <si>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</si>
  <si>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</si>
  <si>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</si>
  <si>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</si>
  <si>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</si>
  <si>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</si>
  <si>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</si>
  <si>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</si>
  <si>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</si>
  <si>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</si>
  <si>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</si>
  <si>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</si>
  <si>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</si>
  <si>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</si>
  <si>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</si>
  <si>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</si>
  <si>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</si>
  <si>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</si>
  <si>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</si>
  <si>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</si>
  <si>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</si>
  <si>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</si>
  <si>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</si>
  <si>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</si>
  <si>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</si>
  <si>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</si>
  <si>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</si>
  <si>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</si>
  <si>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</si>
  <si>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</si>
  <si>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</si>
  <si>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</si>
  <si>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</si>
  <si>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</si>
  <si>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</si>
  <si>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</si>
  <si>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</si>
  <si>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</si>
  <si>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</si>
  <si>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</si>
  <si>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</si>
  <si>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</si>
  <si>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</si>
  <si>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</si>
  <si>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</si>
  <si>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</si>
  <si>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</si>
  <si>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</si>
  <si>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</si>
  <si>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</si>
  <si>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</si>
  <si>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</si>
  <si>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</si>
  <si>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</si>
  <si>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</si>
  <si>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</si>
  <si>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</si>
  <si>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</si>
  <si>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</si>
  <si>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</si>
  <si>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</si>
  <si>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</si>
  <si>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</si>
  <si>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</si>
  <si>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</si>
  <si>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</si>
  <si>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</si>
  <si>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</si>
  <si>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</si>
  <si>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</si>
  <si>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</si>
  <si>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</si>
  <si>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</si>
  <si>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</si>
  <si>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</si>
  <si>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</si>
  <si>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</si>
  <si>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</si>
  <si>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</si>
  <si>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</si>
  <si>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</si>
  <si>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</si>
  <si>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</si>
  <si>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</si>
  <si>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</si>
  <si>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</si>
  <si>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</si>
  <si>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</si>
  <si>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</si>
  <si>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</si>
  <si>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</si>
  <si>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</si>
  <si>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</si>
  <si>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</si>
  <si>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</si>
  <si>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</si>
  <si>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</si>
  <si>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</si>
  <si>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</si>
  <si>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</si>
  <si>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</si>
  <si>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</si>
  <si>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</si>
  <si>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</si>
  <si>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</si>
  <si>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</si>
  <si>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</si>
  <si>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</si>
  <si>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</si>
  <si>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</si>
  <si>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</si>
  <si>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</si>
  <si>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</si>
  <si>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</si>
  <si>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</si>
  <si>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4G374K157</t>
  </si>
  <si>
    <t>FMSV2023040019</t>
  </si>
  <si>
    <t>private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</si>
  <si>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</si>
  <si>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</si>
  <si>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</si>
  <si>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</si>
  <si>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</si>
  <si>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</si>
  <si>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</si>
  <si>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</si>
  <si>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</si>
  <si>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Hanoi Medical University\FMSV2023040010</t>
  </si>
  <si>
    <t>2304047TR</t>
  </si>
  <si>
    <t>GDKT-2304062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</si>
  <si>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</si>
  <si>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</si>
  <si>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</si>
  <si>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</si>
  <si>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</si>
  <si>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</si>
  <si>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</si>
  <si>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</si>
  <si>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</si>
  <si>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</si>
  <si>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</si>
  <si>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</si>
  <si>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</si>
  <si>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</si>
  <si>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</si>
  <si>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</si>
  <si>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</si>
  <si>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</si>
  <si>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</si>
  <si>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</si>
  <si>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</si>
  <si>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</si>
  <si>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</si>
  <si>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</si>
  <si>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</si>
  <si>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</si>
  <si>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</si>
  <si>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</si>
  <si>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1C692K648</t>
  </si>
  <si>
    <t>BSA, DEC, FSA, SUT, VCA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</si>
  <si>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</si>
  <si>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</si>
  <si>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</si>
  <si>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</si>
  <si>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</si>
  <si>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</si>
  <si>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</si>
  <si>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</si>
  <si>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</si>
  <si>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</si>
  <si>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</si>
  <si>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</si>
  <si>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</si>
  <si>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</si>
  <si>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</si>
  <si>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</si>
  <si>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GDKT-2304067</t>
  </si>
  <si>
    <t>115 People Hospital\FMSV2023040038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</si>
  <si>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</si>
  <si>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</si>
  <si>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</si>
  <si>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</si>
  <si>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</si>
  <si>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</si>
  <si>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</si>
  <si>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Vietnam – Cuba Donghoi Friendship Hospital\FMSV2023040024</t>
  </si>
  <si>
    <t>Vietnam – Cuba Donghoi Friendship Hospital\FMSV2023040025</t>
  </si>
  <si>
    <t>End: 17-Apr.Start: 13-Apr.</t>
  </si>
  <si>
    <t>FMSV2023040049</t>
  </si>
  <si>
    <t>8G391K423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</si>
  <si>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</si>
  <si>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</si>
  <si>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</si>
  <si>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</si>
  <si>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</si>
  <si>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</si>
  <si>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</si>
  <si>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</si>
  <si>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</si>
  <si>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</si>
  <si>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</si>
  <si>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</si>
  <si>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</si>
  <si>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</si>
  <si>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GDKT-2304071</t>
  </si>
  <si>
    <t>GDKT-2304072</t>
  </si>
  <si>
    <t>Nghe An Friendship General Hospital\FMSV2023040041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</si>
  <si>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</si>
  <si>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</si>
  <si>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</si>
  <si>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</si>
  <si>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</si>
  <si>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</si>
  <si>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GDKT-2304075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</si>
  <si>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</si>
  <si>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</si>
  <si>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</si>
  <si>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</si>
  <si>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</si>
  <si>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</si>
  <si>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</si>
  <si>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</si>
  <si>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</si>
  <si>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</si>
  <si>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</si>
  <si>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</si>
  <si>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</si>
  <si>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GDKT-2304076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</si>
  <si>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</si>
  <si>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</si>
  <si>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</si>
  <si>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</si>
  <si>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</si>
  <si>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</si>
  <si>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</si>
  <si>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</si>
  <si>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</si>
  <si>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</si>
  <si>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</si>
  <si>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Quang Ninh Obstetrics And Pediatrics Hospital\FMSV2023040060</t>
  </si>
  <si>
    <t>GDKT-2304078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</si>
  <si>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</si>
  <si>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</si>
  <si>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</si>
  <si>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</si>
  <si>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</si>
  <si>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</si>
  <si>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</si>
  <si>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</si>
  <si>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</si>
  <si>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</si>
  <si>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</si>
  <si>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</si>
  <si>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</si>
  <si>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</si>
  <si>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</si>
  <si>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</si>
  <si>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</si>
  <si>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</si>
  <si>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</si>
  <si>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</si>
  <si>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GDKT-2304084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</si>
  <si>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</si>
  <si>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</si>
  <si>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</si>
  <si>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</si>
  <si>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</si>
  <si>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</si>
  <si>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</si>
  <si>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</si>
  <si>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</si>
  <si>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</si>
  <si>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</si>
  <si>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</si>
  <si>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</si>
  <si>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</si>
  <si>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1C643K395</t>
  </si>
  <si>
    <t>FMSV2023050001</t>
  </si>
  <si>
    <t>LG361K010</t>
  </si>
  <si>
    <t>Phu Tho General Hospital\FMSV2023040017</t>
  </si>
  <si>
    <t>Bach Mai Hospital\FMSV2023040049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</si>
  <si>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</si>
  <si>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</si>
  <si>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</si>
  <si>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</si>
  <si>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</si>
  <si>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</si>
  <si>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</si>
  <si>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</si>
  <si>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</si>
  <si>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</si>
  <si>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</si>
  <si>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</si>
  <si>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</si>
  <si>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</si>
  <si>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</si>
  <si>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</si>
  <si>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</si>
  <si>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</si>
  <si>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</si>
  <si>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</si>
  <si>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</si>
  <si>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</si>
  <si>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</si>
  <si>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</si>
  <si>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</si>
  <si>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</si>
  <si>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</si>
  <si>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Dam Doi Hospital</t>
  </si>
  <si>
    <t>SG202A469</t>
  </si>
  <si>
    <t>LGB, FSA, FSB, PCB</t>
  </si>
  <si>
    <t>FMSV2023050019</t>
  </si>
  <si>
    <t>3S094K394</t>
  </si>
  <si>
    <t>FMSV2023050021</t>
  </si>
  <si>
    <t>FSA, FSB, VCA, BSA, DWA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</si>
  <si>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</si>
  <si>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</si>
  <si>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</si>
  <si>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</si>
  <si>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</si>
  <si>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</si>
  <si>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</si>
  <si>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</si>
  <si>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</si>
  <si>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</si>
  <si>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</si>
  <si>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</si>
  <si>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</si>
  <si>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</si>
  <si>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</si>
  <si>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</si>
  <si>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</si>
  <si>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</si>
  <si>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</si>
  <si>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</si>
  <si>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Hanoi Medical University\FMSV2023040077</t>
  </si>
  <si>
    <t>Dam Doi hospital\FMSV2023040063</t>
  </si>
  <si>
    <t>GDKT-2023050018</t>
  </si>
  <si>
    <t>Ship out Date</t>
  </si>
  <si>
    <t>End: 09-May.Start: 04-May.</t>
  </si>
  <si>
    <t>Bac Giang Hospital\FMSV2023040092</t>
  </si>
  <si>
    <t>GDKT-2023050021</t>
  </si>
  <si>
    <t>Bach Mai Hospital\FMSV2023050021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</si>
  <si>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</si>
  <si>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</si>
  <si>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</si>
  <si>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</si>
  <si>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</si>
  <si>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</si>
  <si>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</si>
  <si>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</si>
  <si>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</si>
  <si>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</si>
  <si>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</si>
  <si>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</si>
  <si>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</si>
  <si>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</si>
  <si>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</si>
  <si>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</si>
  <si>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</si>
  <si>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</si>
  <si>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</si>
  <si>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</si>
  <si>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CHA, BSA, FSA, LPA</t>
  </si>
  <si>
    <t>DEC, CHA, FSA, BSA</t>
  </si>
  <si>
    <t>CHA, WGB/NOZ</t>
  </si>
  <si>
    <t>CHA, FCT, FSB</t>
  </si>
  <si>
    <t>FSA, CHA, DEC, FSB, LGB</t>
  </si>
  <si>
    <t>BSA, CHA, FSA, DEC, LGB, FSB</t>
  </si>
  <si>
    <t>RBS, DRY, OSA</t>
  </si>
  <si>
    <t>LGB, FSA, FCT, FSB, BSA, VCA</t>
  </si>
  <si>
    <t>FSA, FSB, VCA, BSA, FCT</t>
  </si>
  <si>
    <t>RBS, ISA, BSA</t>
  </si>
  <si>
    <t>OSA, BSA, FCT</t>
  </si>
  <si>
    <t>CHA, WJT, BSA</t>
  </si>
  <si>
    <t>AWT, LGB, BSA, AWB</t>
  </si>
  <si>
    <t>CHA, FCT, BSA, FSA</t>
  </si>
  <si>
    <t>FSA, CHA</t>
  </si>
  <si>
    <t>CHA, OSA</t>
  </si>
  <si>
    <t>FSA, FSB, BSA, FCT</t>
  </si>
  <si>
    <t>DRY</t>
  </si>
  <si>
    <t>VCA, FCT, BSA</t>
  </si>
  <si>
    <t>DRY, FCT, FSB, BSA, VCA</t>
  </si>
  <si>
    <t>FSA, BSA, LGB, DEC, VCA, FSB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</si>
  <si>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</si>
  <si>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</si>
  <si>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</si>
  <si>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</si>
  <si>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</si>
  <si>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</si>
  <si>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</si>
  <si>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</si>
  <si>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</si>
  <si>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</si>
  <si>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</si>
  <si>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</si>
  <si>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</si>
  <si>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</si>
  <si>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</si>
  <si>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Lam Hoa Private Hospital\FMSV2023050024</t>
  </si>
  <si>
    <t>End: Nguyen Tuan Minh.End: Nguyen Tuan Minh.End: Nguyen Tuan Minh.</t>
  </si>
  <si>
    <t>PCB, CHA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</si>
  <si>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</si>
  <si>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</si>
  <si>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</si>
  <si>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</si>
  <si>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</si>
  <si>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</si>
  <si>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</si>
  <si>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GDKT-2023040090</t>
  </si>
  <si>
    <t>Bach Mai Hospital\FMSV2023040091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</si>
  <si>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</si>
  <si>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</si>
  <si>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</si>
  <si>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</si>
  <si>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</si>
  <si>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GDKT-2023040049</t>
  </si>
  <si>
    <t>GDKT-2023040091</t>
  </si>
  <si>
    <t>GDKT-2023050024</t>
  </si>
  <si>
    <t>GDKT-2023050025</t>
  </si>
  <si>
    <t>FMSV2023050041</t>
  </si>
  <si>
    <t>8G403K090</t>
  </si>
  <si>
    <t>FSB, DRY</t>
  </si>
  <si>
    <t>FMSV2023050042</t>
  </si>
  <si>
    <t>2V567K886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</si>
  <si>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</si>
  <si>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</si>
  <si>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</si>
  <si>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</si>
  <si>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</si>
  <si>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</si>
  <si>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</si>
  <si>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1B083K279</t>
  </si>
  <si>
    <t>FMSV2023050048</t>
  </si>
  <si>
    <t>FMSV2023050049</t>
  </si>
  <si>
    <t>1C692K270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</si>
  <si>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</si>
  <si>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</si>
  <si>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</si>
  <si>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</si>
  <si>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</si>
  <si>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</si>
  <si>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</si>
  <si>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</si>
  <si>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</si>
  <si>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</si>
  <si>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</si>
  <si>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</si>
  <si>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</si>
  <si>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</si>
  <si>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</si>
  <si>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</si>
  <si>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</si>
  <si>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</si>
  <si>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</si>
  <si>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</si>
  <si>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</si>
  <si>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</si>
  <si>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</si>
  <si>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</si>
  <si>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2G391K780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</si>
  <si>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</si>
  <si>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</si>
  <si>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</si>
  <si>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</si>
  <si>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</si>
  <si>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</si>
  <si>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</si>
  <si>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</si>
  <si>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</si>
  <si>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</si>
  <si>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</si>
  <si>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</si>
  <si>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</si>
  <si>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</si>
  <si>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</si>
  <si>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Phu Tho General Hospital - Pediatric Center\FMSV2023050033</t>
  </si>
  <si>
    <t>GDKT-2023050034</t>
  </si>
  <si>
    <t>Thai Nguyen General Hospital\FMSV2023050034</t>
  </si>
  <si>
    <t>GDKT-2023050035</t>
  </si>
  <si>
    <t>Thai Nguyen General Hospital\FMSV2023050035</t>
  </si>
  <si>
    <t>Thai Binh Hospital\FMSV2023050047</t>
  </si>
  <si>
    <t>GDKT-2023050047</t>
  </si>
  <si>
    <t>GDKT-2023050048</t>
  </si>
  <si>
    <t>Thai Binh Hospital\FMSV2023050048</t>
  </si>
  <si>
    <t>GDKT-2023050049</t>
  </si>
  <si>
    <t>Bac Giang Hospital\FMSV2023050053</t>
  </si>
  <si>
    <t>RU: 29-May. (waiting confirm</t>
  </si>
  <si>
    <t>RU: 08-May</t>
  </si>
  <si>
    <t>GDKT-2023050042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</si>
  <si>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</si>
  <si>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</si>
  <si>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</si>
  <si>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</si>
  <si>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</si>
  <si>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</si>
  <si>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</si>
  <si>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</si>
  <si>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8G391K430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</si>
  <si>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</si>
  <si>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</si>
  <si>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</si>
  <si>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</si>
  <si>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</si>
  <si>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</si>
  <si>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</si>
  <si>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</si>
  <si>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</si>
  <si>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</si>
  <si>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1S094A412</t>
  </si>
  <si>
    <t>POW, IRS, FUS</t>
  </si>
  <si>
    <t>FMSV2023060001</t>
  </si>
  <si>
    <t>7G403K081</t>
  </si>
  <si>
    <t>FCT, CHA, BSA, FSA</t>
  </si>
  <si>
    <t>DWA, DTA</t>
  </si>
  <si>
    <t>PCB, BSA</t>
  </si>
  <si>
    <t>DRY, FSA, BSA, DEC</t>
  </si>
  <si>
    <t>FSA, CHA, BSA, FSB, VCAC</t>
  </si>
  <si>
    <t>FSB, CHA, FCT, BSA, FSA</t>
  </si>
  <si>
    <t>CHA, FCT, PCB</t>
  </si>
  <si>
    <t>CHA, BSA, FSB</t>
  </si>
  <si>
    <t>CHA, FSB, VCA, BSA</t>
  </si>
  <si>
    <t>DRY, DTA, OSA</t>
  </si>
  <si>
    <t>SW, VCA</t>
  </si>
  <si>
    <t>BSA, CLN</t>
  </si>
  <si>
    <t>FSA, BSA, FCT, FSB, VCA</t>
  </si>
  <si>
    <t>DRY, BSA, FCT, DEC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</si>
  <si>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</si>
  <si>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</si>
  <si>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</si>
  <si>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</si>
  <si>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</si>
  <si>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</si>
  <si>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</si>
  <si>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</si>
  <si>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</si>
  <si>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</si>
  <si>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</si>
  <si>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</si>
  <si>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</si>
  <si>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</si>
  <si>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</si>
  <si>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</si>
  <si>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</si>
  <si>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</si>
  <si>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GDKT-2023050053</t>
  </si>
  <si>
    <t>GDKT-2023050071</t>
  </si>
  <si>
    <t>Bai Chay Hospital\FMSV2023050071</t>
  </si>
  <si>
    <t>FUJIFILM Vietnam Co., Ltd\FMSV2023050072</t>
  </si>
  <si>
    <t>Bach Mai Hospital\FMSV2023050075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</si>
  <si>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</si>
  <si>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</si>
  <si>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</si>
  <si>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</si>
  <si>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</si>
  <si>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</si>
  <si>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</si>
  <si>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</si>
  <si>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</si>
  <si>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>GDKT-2023040092</t>
  </si>
  <si>
    <t xml:space="preserve">RU: 06-Jun. (Received). </t>
  </si>
  <si>
    <t>QC Passed (115 Hs Demo)</t>
  </si>
  <si>
    <t>DRY, FSB, FCT, VCA, BSA</t>
  </si>
  <si>
    <t>INS, INS</t>
  </si>
  <si>
    <t>FMSV2023060011</t>
  </si>
  <si>
    <t>CHA, FCT, BSA, OSA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</si>
  <si>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</si>
  <si>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</si>
  <si>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</si>
  <si>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</si>
  <si>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</si>
  <si>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</si>
  <si>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</si>
  <si>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</si>
  <si>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</si>
  <si>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</si>
  <si>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</si>
  <si>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</si>
  <si>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</si>
  <si>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</si>
  <si>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</si>
  <si>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</si>
  <si>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</si>
  <si>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</si>
  <si>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</si>
  <si>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GDKT-2023050062</t>
  </si>
  <si>
    <t>Hanoi Medical University\FMSV2023050062</t>
  </si>
  <si>
    <t>GDKT-2023050075</t>
  </si>
  <si>
    <t>FFAP asset\FMSV2023050081</t>
  </si>
  <si>
    <t>Bach Mai Hospital\FMSV2023060011</t>
  </si>
  <si>
    <t>FMSV2023060023</t>
  </si>
  <si>
    <t>3G402K145</t>
  </si>
  <si>
    <t>FMSV2023060024</t>
  </si>
  <si>
    <t>3G402K143</t>
  </si>
  <si>
    <t>Bai Chay Hospital\FMSV2023050049</t>
  </si>
  <si>
    <t>GDKT-2023050076</t>
  </si>
  <si>
    <t>Bach Mai Hospital\FMSV2023050076</t>
  </si>
  <si>
    <t xml:space="preserve">End: 09-Jun.Start: .Approved: 15-May-23. </t>
  </si>
  <si>
    <t>GDKT-2023050033</t>
  </si>
  <si>
    <t>TR-2023050072</t>
  </si>
  <si>
    <t>GDKT-2023060011</t>
  </si>
  <si>
    <t>GDKT-2023060018</t>
  </si>
  <si>
    <t>FUJIFILM Vietnam Co., Ltd\FMSV2023060018</t>
  </si>
  <si>
    <t>End: 09-Jun.Start: .</t>
  </si>
  <si>
    <t>GDKT-2023060016</t>
  </si>
  <si>
    <t xml:space="preserve">Approved: 12-Jun-23. Warranty Parts. </t>
  </si>
  <si>
    <t>Hanoi Medical University\FMSV2023060016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</si>
  <si>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</si>
  <si>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</si>
  <si>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</si>
  <si>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</si>
  <si>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</si>
  <si>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</si>
  <si>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</si>
  <si>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</si>
  <si>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</si>
  <si>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</si>
  <si>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</si>
  <si>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</si>
  <si>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</si>
  <si>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</si>
  <si>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</si>
  <si>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</si>
  <si>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</si>
  <si>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</si>
  <si>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</si>
  <si>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</si>
  <si>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</si>
  <si>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</si>
  <si>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</si>
  <si>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</si>
  <si>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</si>
  <si>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</si>
  <si>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</si>
  <si>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</si>
  <si>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</si>
  <si>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</si>
  <si>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</si>
  <si>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</si>
  <si>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</si>
  <si>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</si>
  <si>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</si>
  <si>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</si>
  <si>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</si>
  <si>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</si>
  <si>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</si>
  <si>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</si>
  <si>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</si>
  <si>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</si>
  <si>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</si>
  <si>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</si>
  <si>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</si>
  <si>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</si>
  <si>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</si>
  <si>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</si>
  <si>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</si>
  <si>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</si>
  <si>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8G391K431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</si>
  <si>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</si>
  <si>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</si>
  <si>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</si>
  <si>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</si>
  <si>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</si>
  <si>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</si>
  <si>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</si>
  <si>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</si>
  <si>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</si>
  <si>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</si>
  <si>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</si>
  <si>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</si>
  <si>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</si>
  <si>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</si>
  <si>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</si>
  <si>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</si>
  <si>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</si>
  <si>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</si>
  <si>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7G391K122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</si>
  <si>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</si>
  <si>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</si>
  <si>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</si>
  <si>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</si>
  <si>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</si>
  <si>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</si>
  <si>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</si>
  <si>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</si>
  <si>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BSA, CHA, VCA, FSB</t>
  </si>
  <si>
    <t>OSA, AWT</t>
  </si>
  <si>
    <t>FMSV2023060057</t>
  </si>
  <si>
    <t>FMSV2023060058</t>
  </si>
  <si>
    <t>FMSV2023060059</t>
  </si>
  <si>
    <t>FMSV2023060060</t>
  </si>
  <si>
    <t>Hoang Long Clinic\FMSV2023060042</t>
  </si>
  <si>
    <t>GDKT-2023060042</t>
  </si>
  <si>
    <t>GDKT-2023060043</t>
  </si>
  <si>
    <t>Hoang Long Clinic\FMSV2023060043</t>
  </si>
  <si>
    <t>GDKT-2023060044</t>
  </si>
  <si>
    <t>Hoang Long Clinic\FMSV2023060044</t>
  </si>
  <si>
    <t>Hoang Long Clinic\FMSV2023060045</t>
  </si>
  <si>
    <t>GDKT-2023060045</t>
  </si>
  <si>
    <t>GDKT-2023060046</t>
  </si>
  <si>
    <t>Hoang Long Clinic\FMSV2023060046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</si>
  <si>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</si>
  <si>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</si>
  <si>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</si>
  <si>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</si>
  <si>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</si>
  <si>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</si>
  <si>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</si>
  <si>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</si>
  <si>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GDKT-2023040070</t>
  </si>
  <si>
    <t>Bach Mai Hospital\FMSV2023060038</t>
  </si>
  <si>
    <t>Bach Mai Hospital\FMSV2023060040</t>
  </si>
  <si>
    <t>GDKT-2023060058</t>
  </si>
  <si>
    <t>Hoang Long Clinic\FMSV2023060058</t>
  </si>
  <si>
    <t>TR-2023050081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</si>
  <si>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</si>
  <si>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</si>
  <si>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</si>
  <si>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</si>
  <si>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</si>
  <si>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</si>
  <si>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</si>
  <si>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</si>
  <si>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</si>
  <si>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</si>
  <si>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</si>
  <si>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</si>
  <si>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2V567K846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</si>
  <si>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</si>
  <si>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</si>
  <si>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</si>
  <si>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</si>
  <si>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</si>
  <si>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</si>
  <si>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\FUJIFILM Vietnam Co., Ltd\FMSV2023060027</t>
  </si>
  <si>
    <t>End: 26-Jun.Start: .</t>
  </si>
  <si>
    <t>End: 27-Jun.</t>
  </si>
  <si>
    <t>End: 27-Jun.Start: .</t>
  </si>
  <si>
    <t>GDKT-2023060027</t>
  </si>
  <si>
    <t>GDKT-2023060053</t>
  </si>
  <si>
    <t>Hanoi Medical University\FMSV2023060053</t>
  </si>
  <si>
    <t>GDKT-2023060054</t>
  </si>
  <si>
    <t>Hanoi Medical University\FMSV2023060054</t>
  </si>
  <si>
    <t>OSA, CHA, FSA, BSA</t>
  </si>
  <si>
    <t>AWB, DRY, BSA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</si>
  <si>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</si>
  <si>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</si>
  <si>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</si>
  <si>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</si>
  <si>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</si>
  <si>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</si>
  <si>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</si>
  <si>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</si>
  <si>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</si>
  <si>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</si>
  <si>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</si>
  <si>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</si>
  <si>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</si>
  <si>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BSA, FSB, FCT</t>
  </si>
  <si>
    <t>FMSV2023070002</t>
  </si>
  <si>
    <t>FMSV2023070003</t>
  </si>
  <si>
    <t>BSA, FSB, FCT, FSA, SUV</t>
  </si>
  <si>
    <t>FMSV2023070004</t>
  </si>
  <si>
    <t>VCA, FSA, BSA</t>
  </si>
  <si>
    <t>FMSV2023070005</t>
  </si>
  <si>
    <t>2G391K093</t>
  </si>
  <si>
    <t>WJT, FSB, VCA, FSA</t>
  </si>
  <si>
    <t>FMSV2023070006</t>
  </si>
  <si>
    <t>FMSV2023070007</t>
  </si>
  <si>
    <t>FMSV2023070008</t>
  </si>
  <si>
    <t>FSA, BSA, VCA, FSB</t>
  </si>
  <si>
    <t>FMSV2023070009</t>
  </si>
  <si>
    <t>1D102K254</t>
  </si>
  <si>
    <t>ISA, VCA, ANGL, FSA</t>
  </si>
  <si>
    <t>FMSV2023070011</t>
  </si>
  <si>
    <t>FMSV2023070012</t>
  </si>
  <si>
    <t>SUV, FSB, VCA, BSA, LPA</t>
  </si>
  <si>
    <t>GDKT-2023060059</t>
  </si>
  <si>
    <t>Thanh An- Ha Noi limited company\FMSV2023060059</t>
  </si>
  <si>
    <t>GDKT-2023060065</t>
  </si>
  <si>
    <t>Bai Chay Hospital\FMSV2023060065</t>
  </si>
  <si>
    <t>Start: .</t>
  </si>
  <si>
    <t>End: 03-Jul.</t>
  </si>
  <si>
    <t>TR-2023060068</t>
  </si>
  <si>
    <t>FUJIFILM Vietnam Co., Ltd\FMSV2023060068</t>
  </si>
  <si>
    <t>GDKT-2023060069</t>
  </si>
  <si>
    <t>Minh Duc Hospital\FMSV2023060069</t>
  </si>
  <si>
    <t>Hanoi Medical University\FMSV2023070001</t>
  </si>
  <si>
    <t>Hanoi Medical University\FMSV2023070003</t>
  </si>
  <si>
    <t>Hanoi Medical University\FMSV2023070004</t>
  </si>
  <si>
    <t>GDKT-2023070005</t>
  </si>
  <si>
    <t>Hanoi Medical University\FMSV2023070005</t>
  </si>
  <si>
    <t>Hanoi Medical University\FMSV2023070008</t>
  </si>
  <si>
    <t>GDKT-2023070008</t>
  </si>
  <si>
    <t>GDKT-2023070009</t>
  </si>
  <si>
    <t>Hoan My Sai Gon Premier Hospital\FMSV2023070009</t>
  </si>
  <si>
    <t>FUJIFILM Vietnam Co., Ltd\FMSV2023050045L</t>
  </si>
  <si>
    <t>GDKT-2023050045L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</si>
  <si>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</si>
  <si>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</si>
  <si>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</si>
  <si>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</si>
  <si>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</si>
  <si>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</si>
  <si>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</si>
  <si>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</si>
  <si>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</si>
  <si>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</si>
  <si>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</si>
  <si>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</si>
  <si>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</si>
  <si>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</si>
  <si>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</si>
  <si>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</si>
  <si>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BSA, FCT, FSB, ISA, WGB</t>
  </si>
  <si>
    <t>CHA, FCT</t>
  </si>
  <si>
    <t>FMSV2023070013</t>
  </si>
  <si>
    <t>CLN, BSA, FCT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</si>
  <si>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</si>
  <si>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</si>
  <si>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</si>
  <si>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</si>
  <si>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</si>
  <si>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</si>
  <si>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1G202K277</t>
  </si>
  <si>
    <t>FSA, BSA, FCT, DEC</t>
  </si>
  <si>
    <t>FMSV2023070017</t>
  </si>
  <si>
    <t>BSA, LGB, FSB, FCT, VCA</t>
  </si>
  <si>
    <t>FMSV2023070018</t>
  </si>
  <si>
    <t>DEC, DRY, BSA, DWA</t>
  </si>
  <si>
    <t>FMSV2023070019</t>
  </si>
  <si>
    <t>CHA, LGB, FSA, FCT</t>
  </si>
  <si>
    <t>FMSV2023070020</t>
  </si>
  <si>
    <t>FCT, CHA, BSA, FSA, LGB, FSB</t>
  </si>
  <si>
    <t>FMSV2023070021</t>
  </si>
  <si>
    <t>CHA, DEC, DWA, BSA</t>
  </si>
  <si>
    <t>FMSV2023070022</t>
  </si>
  <si>
    <t>FSA, CHA, BSA</t>
  </si>
  <si>
    <t>FMSV2023070023</t>
  </si>
  <si>
    <t>VCA, CHA, FSB, PCB</t>
  </si>
  <si>
    <t>FMSV2023070024</t>
  </si>
  <si>
    <t>5B084K008</t>
  </si>
  <si>
    <t>CHA, LGB, FCT, PCB</t>
  </si>
  <si>
    <t>FMSV2023070025</t>
  </si>
  <si>
    <t>CHA, BSA, FCT, FSA, FSB</t>
  </si>
  <si>
    <t>FMSV2023070026</t>
  </si>
  <si>
    <t>AWT, FSA, FSB, BSA, FCT, CHA</t>
  </si>
  <si>
    <t>FMSV2023070027</t>
  </si>
  <si>
    <t>2G403K153</t>
  </si>
  <si>
    <t>FMSV2023070028</t>
  </si>
  <si>
    <t>FSB, CHA, BSA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</si>
  <si>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</si>
  <si>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</si>
  <si>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</si>
  <si>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</si>
  <si>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</si>
  <si>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</si>
  <si>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</si>
  <si>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</si>
  <si>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</si>
  <si>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</si>
  <si>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</si>
  <si>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</si>
  <si>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4C449B024</t>
  </si>
  <si>
    <t>FMSV2023070037</t>
  </si>
  <si>
    <t>4G361A641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</si>
  <si>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</si>
  <si>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</si>
  <si>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</si>
  <si>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</si>
  <si>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</si>
  <si>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</si>
  <si>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</si>
  <si>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</si>
  <si>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</si>
  <si>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Hanoi Medical University\FMSV2023070012</t>
  </si>
  <si>
    <t>Bach Mai Hospital\FMSV2023070013</t>
  </si>
  <si>
    <t>GDKT-2023070012</t>
  </si>
  <si>
    <t>GDKT-2023070016</t>
  </si>
  <si>
    <t>Northwestern Nghe An hospital\FMSV2023070016</t>
  </si>
  <si>
    <t>GDKT-2023070017</t>
  </si>
  <si>
    <t>Nghe An Friendship General Hospital\FMSV2023070017</t>
  </si>
  <si>
    <t>Nghe An Friendship General Hospital\FMSV2023070018</t>
  </si>
  <si>
    <t>GDKT-2023070018</t>
  </si>
  <si>
    <t>GDKT-2023070019</t>
  </si>
  <si>
    <t>Nghe An Friendship General Hospital\FMSV2023070019</t>
  </si>
  <si>
    <t>Nghe An Friendship General Hospital\FMSV2023070020</t>
  </si>
  <si>
    <t>GDKT-2023070020</t>
  </si>
  <si>
    <t>Nghe An Friendship General Hospital\FMSV2023070021</t>
  </si>
  <si>
    <t>GDKT-2023070021</t>
  </si>
  <si>
    <t>GDKT-2023070022</t>
  </si>
  <si>
    <t>Nghe An Friendship General Hospital\FMSV2023070022</t>
  </si>
  <si>
    <t>GDKT-2023070023</t>
  </si>
  <si>
    <t>Nghe An Friendship General Hospital\FMSV2023070023</t>
  </si>
  <si>
    <t>GDKT-2023070024</t>
  </si>
  <si>
    <t>Nghe An Friendship General Hospital\FMSV2023070024</t>
  </si>
  <si>
    <t>GDKT-2023070025</t>
  </si>
  <si>
    <t>Nghe An Friendship General Hospital\FMSV2023070025</t>
  </si>
  <si>
    <t>GDKT-2023070026</t>
  </si>
  <si>
    <t>Nghe An Friendship General Hospital\FMSV2023070026</t>
  </si>
  <si>
    <t>GDKT-2023070028</t>
  </si>
  <si>
    <t>Nghe An Friendship General Hospital\FMSV2023070028</t>
  </si>
  <si>
    <t>Completed Repair</t>
  </si>
  <si>
    <t xml:space="preserve">I would like to update Master List from </t>
  </si>
  <si>
    <t>WJT, FCT, CHA, FSA, BSA</t>
  </si>
  <si>
    <t>FSA, FSB, BSA, VCA</t>
  </si>
  <si>
    <t>CHA, FSB, BSA, FSA, VCA</t>
  </si>
  <si>
    <t>CHA, FSA, FSB, VCA, BSA, SW</t>
  </si>
  <si>
    <t>AWT, CHA, FSB, BSA,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</si>
  <si>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</si>
  <si>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</si>
  <si>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</si>
  <si>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</si>
  <si>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</si>
  <si>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</si>
  <si>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</si>
  <si>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</si>
  <si>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</si>
  <si>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</si>
  <si>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</si>
  <si>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</si>
  <si>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</si>
  <si>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</si>
  <si>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</si>
  <si>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</si>
  <si>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</si>
  <si>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</si>
  <si>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</si>
  <si>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</si>
  <si>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</si>
  <si>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</si>
  <si>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</si>
  <si>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</si>
  <si>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</si>
  <si>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</si>
  <si>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</si>
  <si>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</si>
  <si>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</si>
  <si>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</si>
  <si>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</si>
  <si>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</si>
  <si>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</si>
  <si>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</si>
  <si>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</si>
  <si>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</si>
  <si>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</si>
  <si>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</si>
  <si>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</si>
  <si>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</si>
  <si>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</si>
  <si>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</si>
  <si>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</si>
  <si>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GDKT-2023070027</t>
  </si>
  <si>
    <t>Vinmec Times City International Hospital\FMSV2023070027</t>
  </si>
  <si>
    <t>End: 27-Jul.</t>
  </si>
  <si>
    <t>GDKT-2023070034</t>
  </si>
  <si>
    <t>Nam Dinh General Hospital\FMSV2023070034</t>
  </si>
  <si>
    <t>GDKT-2023070035</t>
  </si>
  <si>
    <t>Nam Dinh General Hospital\FMSV2023070035</t>
  </si>
  <si>
    <t>GDKT-2023070036</t>
  </si>
  <si>
    <t>Nam Dinh General Hospital\FMSV2023070036</t>
  </si>
  <si>
    <t>GDKT-2023070037</t>
  </si>
  <si>
    <t>Nam Dinh General Hospital\FMSV2023070037</t>
  </si>
  <si>
    <t>FFVN-2307024R</t>
  </si>
  <si>
    <t xml:space="preserve">Approved: 27-Jul-23. Warranty Parts. </t>
  </si>
  <si>
    <t>FFVN-2307021</t>
  </si>
  <si>
    <t>Vietnam – Cuba Donghoi Friendship Hospital\FMSV2023070043</t>
  </si>
  <si>
    <t>GDKT-2023070044</t>
  </si>
  <si>
    <t>FSB, ANGL</t>
  </si>
  <si>
    <t>Endoscopy No. 91 Clinic\FMSV2023070044</t>
  </si>
  <si>
    <t>GDKT-2023070046</t>
  </si>
  <si>
    <t>FUJIFILM Vietnam Co., Ltd\FMSV2023070046</t>
  </si>
  <si>
    <t>Tuyen Quang General Hospital\FMSV2023070047</t>
  </si>
  <si>
    <t>CHA, BSA, FSA, DEC, LGB</t>
  </si>
  <si>
    <t>Tuyen Quang General Hospital\FMSV2023070049</t>
  </si>
  <si>
    <t>FSB, CHA, BSA, PCB, VCA, FSA</t>
  </si>
  <si>
    <t>Tuyen Quang General Hospital\FMSV2023070050</t>
  </si>
  <si>
    <t>FSB, PCB, BSA</t>
  </si>
  <si>
    <t>Tuyen Quang General Hospital\FMSV2023070051</t>
  </si>
  <si>
    <t>End: 24-Jul.</t>
  </si>
  <si>
    <t>Endoscopy No. 91 Clinic\FMSV2023070054</t>
  </si>
  <si>
    <t>FMSV2023070055</t>
  </si>
  <si>
    <t>FMSV2023070056</t>
  </si>
  <si>
    <t>GDKT-2023070056</t>
  </si>
  <si>
    <t>BSA, FSA, VCA</t>
  </si>
  <si>
    <t>FUJIFILM Vietnam Co., Ltd\FMSV2023070056</t>
  </si>
  <si>
    <t>FMSV2023070057</t>
  </si>
  <si>
    <t>MEKONG HIGH TECH JOINT STOCK COMPANY</t>
  </si>
  <si>
    <t>5G412K189</t>
  </si>
  <si>
    <t>FFVN-2307025</t>
  </si>
  <si>
    <t>BSA, AWT</t>
  </si>
  <si>
    <t>FMSV2023070058</t>
  </si>
  <si>
    <t>FMSV2023070059</t>
  </si>
  <si>
    <t>Hanoi Medical University\FMSV2023070059</t>
  </si>
  <si>
    <t>FMSV2023070060</t>
  </si>
  <si>
    <t>FMSV2023070061</t>
  </si>
  <si>
    <t>Hanoi Medical University\FMSV2023070061</t>
  </si>
  <si>
    <t>FMSV2023070062</t>
  </si>
  <si>
    <t>FMSV2023070063</t>
  </si>
  <si>
    <t>FMSV2023070064</t>
  </si>
  <si>
    <t>End: 25-Jul.Start: .</t>
  </si>
  <si>
    <t>FMSV2023070065</t>
  </si>
  <si>
    <t>GDKT-2023070065</t>
  </si>
  <si>
    <t>FSA, DWA, BSA, NOZ, VCA, FSB</t>
  </si>
  <si>
    <t>UONG BI HOSPITAL\FMSV2023070065</t>
  </si>
  <si>
    <t>FMSV2023070066</t>
  </si>
  <si>
    <t>1G374K023</t>
  </si>
  <si>
    <t>GDKT-2023070066</t>
  </si>
  <si>
    <t>ISA, BSA, FSA, FSB, VCA, PCB</t>
  </si>
  <si>
    <t>FMSV2023070067</t>
  </si>
  <si>
    <t>1C642K104</t>
  </si>
  <si>
    <t>FMSV2023070068</t>
  </si>
  <si>
    <t>FUJIFILM Vietnam Co., Ltd\FMSV2023070068</t>
  </si>
  <si>
    <t>FMSV2023070069</t>
  </si>
  <si>
    <t>BSA, FSB</t>
  </si>
  <si>
    <t>FMSV2023070070</t>
  </si>
  <si>
    <t>RBS, DRY, FSA, FSB, BSA, VCA</t>
  </si>
  <si>
    <t>FMSV2023070071</t>
  </si>
  <si>
    <t>FMSV2023070072</t>
  </si>
  <si>
    <t>BSA, FCT, FSA, FSB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</si>
  <si>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</si>
  <si>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</si>
  <si>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</si>
  <si>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</si>
  <si>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</si>
  <si>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</si>
  <si>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</si>
  <si>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</si>
  <si>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</si>
  <si>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</si>
  <si>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</si>
  <si>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</si>
  <si>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</si>
  <si>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Hoan My Da g Hospital\FMSV2023050042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</si>
  <si>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</si>
  <si>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</si>
  <si>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</si>
  <si>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</si>
  <si>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</si>
  <si>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</si>
  <si>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</si>
  <si>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</si>
  <si>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</si>
  <si>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</si>
  <si>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</si>
  <si>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CHA, FSA, FSB, LGB, OSA</t>
  </si>
  <si>
    <t>GDKT-2023070067</t>
  </si>
  <si>
    <t>DA NANG HOSPITAL\FMSV2023070066</t>
  </si>
  <si>
    <t>DA NANG HOSPITAL\FMSV2023070067</t>
  </si>
  <si>
    <t>End: 27-Jul.Start: .</t>
  </si>
  <si>
    <t>Start: 27-Jul.PO#108</t>
  </si>
  <si>
    <t>GDKT-2023070072</t>
  </si>
  <si>
    <t>Bach Mai Hospital\FMSV2023070072</t>
  </si>
  <si>
    <t>esql select Customer, Model, SN,repair_size,Issue,PIC,Status,Note from mlist where status like '%Plan for next week' or status like '%under repair'</t>
  </si>
  <si>
    <t xml:space="preserve">esql select  rma,customer,model, sn,repair_size,issue,pic,note,location,receive,quotation,confirmation,part_order_date, part_received_date,start_repair,qc_date,return_date from mlist where status like'%Completed repair' order by rma </t>
  </si>
  <si>
    <t>FMSV2023070076</t>
  </si>
  <si>
    <t>FSB, VCA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</si>
  <si>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</si>
  <si>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</si>
  <si>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</si>
  <si>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</si>
  <si>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</si>
  <si>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</si>
  <si>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</si>
  <si>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</si>
  <si>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</si>
  <si>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</si>
  <si>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</si>
  <si>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</si>
  <si>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</si>
  <si>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</si>
  <si>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</si>
  <si>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</si>
  <si>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</si>
  <si>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</si>
  <si>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</si>
  <si>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</si>
  <si>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</si>
  <si>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</si>
  <si>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</si>
  <si>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</si>
  <si>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</si>
  <si>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</si>
  <si>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</si>
  <si>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</si>
  <si>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</si>
  <si>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GDKT-2023070069</t>
  </si>
  <si>
    <t>Bach Mai Hospital\FMSV2023070069</t>
  </si>
  <si>
    <t>Bach Mai Hospital\FMSV2023070070</t>
  </si>
  <si>
    <t>GDKT-2023070074</t>
  </si>
  <si>
    <t>Tuyen Quang General Hospital\FMSV2023070074</t>
  </si>
  <si>
    <t>Tuyen Quang General Hospital\FMSV2023070075</t>
  </si>
  <si>
    <t>FTYO - Loaner Asset\FMSV2023070076</t>
  </si>
  <si>
    <t>FUJIFILM Vietnam Co., Ltd\FMSV2023070077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</si>
  <si>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</si>
  <si>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</si>
  <si>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</si>
  <si>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</si>
  <si>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</si>
  <si>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Vinh Duc General Hospital\FMSV2023070082</t>
  </si>
  <si>
    <t>GDKT-2023070082</t>
  </si>
  <si>
    <t>GDKT-2023070083</t>
  </si>
  <si>
    <t>Thien Hanh hospital\FMSV2023070083</t>
  </si>
  <si>
    <t>Thien Hanh hospital\FMSV2023070084</t>
  </si>
  <si>
    <t>GDKT-2023070084</t>
  </si>
  <si>
    <t>GDKT-2023070070</t>
  </si>
  <si>
    <t>link</t>
  </si>
  <si>
    <t>status</t>
  </si>
  <si>
    <t>FMSV2023080008</t>
  </si>
  <si>
    <t>FMSV2023080010</t>
  </si>
  <si>
    <t>FMSV2023080011</t>
  </si>
  <si>
    <t>FSA, FSB</t>
  </si>
  <si>
    <t>FMSV2023080012</t>
  </si>
  <si>
    <t>FMSV2023080013</t>
  </si>
  <si>
    <t>FUJIFILM Vietnam Co., Ltd\FMSV2023040070</t>
  </si>
  <si>
    <t>Confirmed: 07-Aug. 2. dealer sending price to hospital</t>
  </si>
  <si>
    <t>GDKT-2023070075</t>
  </si>
  <si>
    <t>esql select customer, model, sn,repair_size ,receive,quotation,issue,PIC, note,rma,inspection,price,confirmation,location from mlist where status like '%transfer to sale team' order by note asc</t>
  </si>
  <si>
    <t>GDKT-2023070047</t>
  </si>
  <si>
    <t>GDKT-2023070049</t>
  </si>
  <si>
    <t>GDKT-2023070050</t>
  </si>
  <si>
    <t>GDKT-2023070051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</si>
  <si>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</si>
  <si>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</si>
  <si>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</si>
  <si>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</si>
  <si>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</si>
  <si>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</si>
  <si>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</si>
  <si>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</si>
  <si>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</si>
  <si>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CHA, FCT, BSA, FSA, FSB, PCB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</si>
  <si>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</si>
  <si>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</si>
  <si>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</si>
  <si>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</si>
  <si>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</si>
  <si>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</si>
  <si>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</si>
  <si>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</si>
  <si>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</si>
  <si>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</si>
  <si>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</si>
  <si>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</si>
  <si>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VCA, LGB, ISA, FSB</t>
  </si>
  <si>
    <t>FMSV2023080024</t>
  </si>
  <si>
    <t>FMSV2023080025</t>
  </si>
  <si>
    <t>5C692K031</t>
  </si>
  <si>
    <t>FMSV2023080026</t>
  </si>
  <si>
    <t>DRY, FSB, LC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</si>
  <si>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</si>
  <si>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</si>
  <si>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</si>
  <si>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</si>
  <si>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</si>
  <si>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</si>
  <si>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</si>
  <si>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DRY, BSA, FCT</t>
  </si>
  <si>
    <t>FMSV2023080034</t>
  </si>
  <si>
    <t>FMSV2023080035</t>
  </si>
  <si>
    <t>FMSV2023080036</t>
  </si>
  <si>
    <t>FMSV2023080038</t>
  </si>
  <si>
    <t xml:space="preserve">Approved: 10-Aug-23. </t>
  </si>
  <si>
    <t>Bac Giang Hospital\FMSV2023070078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</si>
  <si>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</si>
  <si>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</si>
  <si>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</si>
  <si>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</si>
  <si>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</si>
  <si>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</si>
  <si>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Tuyen Quang General Hospital\FMSV2023080012</t>
  </si>
  <si>
    <t>GDKT-2023080014</t>
  </si>
  <si>
    <t>DA NANG HOSPITAL\FMSV2023080023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</si>
  <si>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</si>
  <si>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</si>
  <si>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</si>
  <si>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</si>
  <si>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</si>
  <si>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</si>
  <si>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</si>
  <si>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</si>
  <si>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FSA, BSA, FSB, FCT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</si>
  <si>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</si>
  <si>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</si>
  <si>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</si>
  <si>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</si>
  <si>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</si>
  <si>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</si>
  <si>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GDKT-2023070061</t>
  </si>
  <si>
    <t>GDKT-2023080012</t>
  </si>
  <si>
    <t>Bach Mai Hospital\FMSV2023080014</t>
  </si>
  <si>
    <t>GDKT-2023080015</t>
  </si>
  <si>
    <t>Bach Mai Hospital\FMSV2023080015</t>
  </si>
  <si>
    <t>Hanoi Medical University\FMSV2023080033</t>
  </si>
  <si>
    <t>End: 14-Aug.Start: .</t>
  </si>
  <si>
    <t>End: 10-Aug.Start: 09-Aug.</t>
  </si>
  <si>
    <t>End: 14-Aug.Start: 10-Aug.</t>
  </si>
  <si>
    <t>End: 10-Aug.Start: 10-Aug.</t>
  </si>
  <si>
    <t>GDKT-2023070054</t>
  </si>
  <si>
    <t>Bach Mai Hospital\FMSV2023080016</t>
  </si>
  <si>
    <t>Bach Mai Hospital\FMSV2023080017</t>
  </si>
  <si>
    <t>Bach Mai Hospital\FMSV2023080018</t>
  </si>
  <si>
    <t>Part OK: 14-Aug. #PO109</t>
  </si>
  <si>
    <t>Yes</t>
  </si>
  <si>
    <t>Issue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</si>
  <si>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</si>
  <si>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</si>
  <si>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</si>
  <si>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</si>
  <si>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</si>
  <si>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</si>
  <si>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</si>
  <si>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</si>
  <si>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WTY-FFVN-2303011R</t>
  </si>
  <si>
    <t>LC, BSA, FCT, FSB</t>
  </si>
  <si>
    <t>CHA, BSA, FSA, FCT, FSB</t>
  </si>
  <si>
    <t>DRY, RBS</t>
  </si>
  <si>
    <t>BSA, DEC, CHA</t>
  </si>
  <si>
    <t>FMSV2023080044</t>
  </si>
  <si>
    <t>FMSV2023080045</t>
  </si>
  <si>
    <t>2V567K601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</si>
  <si>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</si>
  <si>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</si>
  <si>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</si>
  <si>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</si>
  <si>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</si>
  <si>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</si>
  <si>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</si>
  <si>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</si>
  <si>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</si>
  <si>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</si>
  <si>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</si>
  <si>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</si>
  <si>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</si>
  <si>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</si>
  <si>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</si>
  <si>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</si>
  <si>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GDKT-2023080017</t>
  </si>
  <si>
    <t>GDKT-2023080018</t>
  </si>
  <si>
    <t>FUJIFILM Vietnam Co., Ltd\FMSV2023080022</t>
  </si>
  <si>
    <t>LP/under inspection</t>
  </si>
  <si>
    <t>Bach Mai Hospital\FMSV2023080024</t>
  </si>
  <si>
    <t>Hanoi Medical University\FMSV2023080025</t>
  </si>
  <si>
    <t>Hanoi Medical University\FMSV2023080026</t>
  </si>
  <si>
    <t>Hanoi Medical University\FMSV2023080035</t>
  </si>
  <si>
    <t>FUJIFILM Vietnam Co., Ltd\FMSV2023080038</t>
  </si>
  <si>
    <t>GDKT-2023080042</t>
  </si>
  <si>
    <t>Hoan My Sai Gon Premier Hospital\FMSV2023080042</t>
  </si>
  <si>
    <t>GDKT-2023080045</t>
  </si>
  <si>
    <t>Song An Clinic\FMSV2023080045</t>
  </si>
  <si>
    <t>GDKT-2023080050</t>
  </si>
  <si>
    <t>Thien Hanh hospital\FMSV2023080050</t>
  </si>
  <si>
    <t>GDKT-2023080059</t>
  </si>
  <si>
    <t>Endoscopy No. 91 Clinic\FMSV2023080059</t>
  </si>
  <si>
    <t>GDKT-2023070078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</si>
  <si>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</si>
  <si>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</si>
  <si>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</si>
  <si>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</si>
  <si>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</si>
  <si>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</si>
  <si>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</si>
  <si>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</si>
  <si>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</si>
  <si>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</si>
  <si>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</si>
  <si>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</si>
  <si>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</si>
  <si>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</si>
  <si>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</si>
  <si>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</si>
  <si>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</si>
  <si>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</si>
  <si>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>TR-2023070059</t>
  </si>
  <si>
    <t xml:space="preserve">Warranty Parts. </t>
  </si>
  <si>
    <t>TR-2023080019</t>
  </si>
  <si>
    <t>Bach Mai Hospital\FMSV2023080019 (FOC DW)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</si>
  <si>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</si>
  <si>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</si>
  <si>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</si>
  <si>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</si>
  <si>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</si>
  <si>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</si>
  <si>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</si>
  <si>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</si>
  <si>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</si>
  <si>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</si>
  <si>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</t>
  </si>
  <si>
    <t>2</t>
  </si>
  <si>
    <t>3</t>
  </si>
  <si>
    <t>pending dealer</t>
  </si>
  <si>
    <t>1. Send quotation to dealer</t>
  </si>
  <si>
    <t>2. Dealer working with end user</t>
  </si>
  <si>
    <t>7 days</t>
  </si>
  <si>
    <t>1-3 Months</t>
  </si>
  <si>
    <t>3. Tender process (confirmed)</t>
  </si>
  <si>
    <t xml:space="preserve">Confirmed: 23-Aug. </t>
  </si>
  <si>
    <t>hospital consider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</si>
  <si>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</si>
  <si>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</si>
  <si>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</si>
  <si>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</si>
  <si>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</si>
  <si>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</si>
  <si>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</si>
  <si>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</si>
  <si>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</si>
  <si>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</si>
  <si>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201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</si>
  <si>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</si>
  <si>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</si>
  <si>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</si>
  <si>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</si>
  <si>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</si>
  <si>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</si>
  <si>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</si>
  <si>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</si>
  <si>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</si>
  <si>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</si>
  <si>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</si>
  <si>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</si>
  <si>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</si>
  <si>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</si>
  <si>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</si>
  <si>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</si>
  <si>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</si>
  <si>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</si>
  <si>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</si>
  <si>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</si>
  <si>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</si>
  <si>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</si>
  <si>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</si>
  <si>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</si>
  <si>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</si>
  <si>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</si>
  <si>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</si>
  <si>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</si>
  <si>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</si>
  <si>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</si>
  <si>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</si>
  <si>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</si>
  <si>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</si>
  <si>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</si>
  <si>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</si>
  <si>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</si>
  <si>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</si>
  <si>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</si>
  <si>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</si>
  <si>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</si>
  <si>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</si>
  <si>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</si>
  <si>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</si>
  <si>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</si>
  <si>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</si>
  <si>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</si>
  <si>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</si>
  <si>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</si>
  <si>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</si>
  <si>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</si>
  <si>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</si>
  <si>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</si>
  <si>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</si>
  <si>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</si>
  <si>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</si>
  <si>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</si>
  <si>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</si>
  <si>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</si>
  <si>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</si>
  <si>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</si>
  <si>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</si>
  <si>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</si>
  <si>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</si>
  <si>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</si>
  <si>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</si>
  <si>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</si>
  <si>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</si>
  <si>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</si>
  <si>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</si>
  <si>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Nam Lien Chieu hospital\FMSV2023080083</t>
  </si>
  <si>
    <t>GDKT-2023080084</t>
  </si>
  <si>
    <t>Trung Vuong Hospital\FMSV2023080084</t>
  </si>
  <si>
    <t>245 Clinic-Dr.Cuong Clinic\FMSV2023080088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</si>
  <si>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</si>
  <si>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</si>
  <si>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</si>
  <si>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</si>
  <si>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</si>
  <si>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</si>
  <si>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</si>
  <si>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</si>
  <si>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</si>
  <si>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</si>
  <si>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</si>
  <si>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</si>
  <si>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</si>
  <si>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</si>
  <si>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</si>
  <si>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45082</t>
  </si>
  <si>
    <t>8389</t>
  </si>
  <si>
    <t>4760</t>
  </si>
  <si>
    <t>45044</t>
  </si>
  <si>
    <t>9761</t>
  </si>
  <si>
    <t>45054</t>
  </si>
  <si>
    <t>4620</t>
  </si>
  <si>
    <t>45050</t>
  </si>
  <si>
    <t>14077</t>
  </si>
  <si>
    <t>2615</t>
  </si>
  <si>
    <t>45036</t>
  </si>
  <si>
    <t>6995</t>
  </si>
  <si>
    <t>45126</t>
  </si>
  <si>
    <t>8534</t>
  </si>
  <si>
    <t>44984</t>
  </si>
  <si>
    <t>Start: 25-Aug.</t>
  </si>
  <si>
    <t>1. Transfer 3 scopes Hoang Long's from Hanoi to HCM for repair</t>
  </si>
  <si>
    <t>2. Thong san travel to Hanoi support Inspect/repair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</si>
  <si>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</si>
  <si>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</si>
  <si>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</si>
  <si>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</si>
  <si>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</si>
  <si>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</si>
  <si>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>fmsv2023080069</t>
  </si>
  <si>
    <t xml:space="preserve">3. Tender process </t>
  </si>
  <si>
    <t>FFVN Endo Service Weekly Report: Aug 21-25, 2023</t>
  </si>
  <si>
    <t>4. Prepairing PO110 for Hoang Long Clinic (5 scopes)</t>
  </si>
  <si>
    <t>3. Change breakdown status for "waiting confirm" ,add New sheet "4. Waiting confirm" to monitor and keep update from Sale Service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</si>
  <si>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</si>
  <si>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</si>
  <si>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</si>
  <si>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</si>
  <si>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</si>
  <si>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</si>
  <si>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</si>
  <si>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</si>
  <si>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</si>
  <si>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</si>
  <si>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</si>
  <si>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</si>
  <si>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</si>
  <si>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</si>
  <si>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</si>
  <si>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</si>
  <si>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ac</t>
  </si>
  <si>
    <t>đã gửi báo giá, bx xin discount</t>
  </si>
  <si>
    <t>Dealer đã gửi báo giá cho BV</t>
  </si>
  <si>
    <t>note2</t>
  </si>
  <si>
    <t>chuẩn bị sửa</t>
  </si>
  <si>
    <t>Mặc định làm thầu đối với HMU</t>
  </si>
  <si>
    <t>ffvn gửi dealr</t>
  </si>
  <si>
    <t>Duc update sau</t>
  </si>
  <si>
    <t>nhan bao gia, ka nang khong sua</t>
  </si>
  <si>
    <t>repair</t>
  </si>
  <si>
    <t>da gui trang thi, hôm nay trang thi gui vien</t>
  </si>
  <si>
    <t>RU: . Old Stt: waiting confirm. 2. Dealer working with end user</t>
  </si>
  <si>
    <t>bv dang tham dinh gia</t>
  </si>
  <si>
    <t>kha nang cao se suwa</t>
  </si>
  <si>
    <t>mở thầu 29-Aug</t>
  </si>
  <si>
    <t>đã gửi báo giá, BV xin discount</t>
  </si>
  <si>
    <t>không có thông tin</t>
  </si>
  <si>
    <t>Thang Update</t>
  </si>
  <si>
    <t>TR-2023080035</t>
  </si>
  <si>
    <t>Approved: 30-Aug-23. FOC</t>
  </si>
  <si>
    <t>Approved: 10-Aug-23 Warranty</t>
  </si>
  <si>
    <t>chờ SG xuất parts</t>
  </si>
  <si>
    <t>PO110</t>
  </si>
  <si>
    <t>chưa có thông tin</t>
  </si>
  <si>
    <t>đang làm việc với BV</t>
  </si>
  <si>
    <t>GDKT-2023080061</t>
  </si>
  <si>
    <t>Nghe An Friendship General Hospital\FMSV2023080061</t>
  </si>
  <si>
    <t>Thắng đang check part list</t>
  </si>
  <si>
    <t>GDKT-2023080068</t>
  </si>
  <si>
    <t>GDKT-2023080074</t>
  </si>
  <si>
    <t>GDKT-2023080075</t>
  </si>
  <si>
    <t>GDKT-2023080076</t>
  </si>
  <si>
    <t>GDKT-2023080079</t>
  </si>
  <si>
    <t>đang làm báo giá</t>
  </si>
  <si>
    <t>Nguyên in charge</t>
  </si>
  <si>
    <t>BV confirm nhận báo giá</t>
  </si>
  <si>
    <t>Hoan My Da Nang Hospital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</si>
</sst>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sz val="11"/>
      <color indexed="62"/>
      <name val="游ゴシック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4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168" fontId="2" fillId="7" borderId="0" xfId="1" applyNumberFormat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64" fontId="53" fillId="0" borderId="0" xfId="1" applyNumberFormat="1" applyFont="1" applyAlignment="1">
      <alignment horizontal="center" vertical="center"/>
    </xf>
    <xf numFmtId="164" fontId="40" fillId="0" borderId="0" xfId="1" applyNumberFormat="1" applyFont="1" applyAlignment="1">
      <alignment horizontal="center"/>
    </xf>
    <xf numFmtId="171" fontId="39" fillId="0" borderId="0" xfId="9" applyNumberFormat="1" applyFont="1"/>
    <xf numFmtId="0" fontId="39" fillId="0" borderId="0" xfId="1" applyFont="1" applyAlignment="1">
      <alignment wrapText="1"/>
    </xf>
    <xf numFmtId="0" fontId="39" fillId="0" borderId="0" xfId="1" applyFont="1" applyAlignment="1">
      <alignment horizontal="left"/>
    </xf>
    <xf numFmtId="173" fontId="39" fillId="0" borderId="0" xfId="1" applyNumberFormat="1" applyFont="1" applyAlignment="1">
      <alignment horizontal="center" vertical="center"/>
    </xf>
    <xf numFmtId="173" fontId="40" fillId="0" borderId="0" xfId="1" applyNumberFormat="1" applyFont="1" applyAlignment="1">
      <alignment horizont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4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4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4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4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5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6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39" fillId="0" borderId="0" xfId="1" applyNumberFormat="1" applyFont="1" applyAlignment="1">
      <alignment horizontal="center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173" fontId="0" fillId="0" borderId="0" xfId="0" applyNumberFormat="1"/>
    <xf numFmtId="0" fontId="0" fillId="0" borderId="0" xfId="0" applyAlignment="1">
      <alignment horizontal="centerContinuous"/>
    </xf>
    <xf numFmtId="173" fontId="0" fillId="0" borderId="0" xfId="0" applyNumberFormat="1" applyAlignment="1">
      <alignment horizontal="center"/>
    </xf>
    <xf numFmtId="0" fontId="0" fillId="6" borderId="0" xfId="0" applyFill="1"/>
    <xf numFmtId="164" fontId="0" fillId="0" borderId="0" xfId="1" applyNumberFormat="1" applyFont="1" applyAlignment="1">
      <alignment horizontal="center" vertical="center"/>
    </xf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14" fontId="0" fillId="0" borderId="38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0" fontId="0" fillId="0" borderId="39" xfId="0" applyBorder="1"/>
    <xf numFmtId="164" fontId="0" fillId="0" borderId="40" xfId="0" applyNumberFormat="1" applyBorder="1"/>
    <xf numFmtId="14" fontId="0" fillId="0" borderId="40" xfId="0" applyNumberFormat="1" applyBorder="1"/>
    <xf numFmtId="0" fontId="0" fillId="0" borderId="40" xfId="0" applyBorder="1"/>
    <xf numFmtId="164" fontId="0" fillId="0" borderId="41" xfId="0" applyNumberFormat="1" applyBorder="1"/>
    <xf numFmtId="14" fontId="0" fillId="0" borderId="41" xfId="0" applyNumberFormat="1" applyBorder="1"/>
    <xf numFmtId="0" fontId="0" fillId="0" borderId="41" xfId="0" applyBorder="1"/>
    <xf numFmtId="164" fontId="0" fillId="0" borderId="42" xfId="0" applyNumberFormat="1" applyBorder="1"/>
    <xf numFmtId="0" fontId="0" fillId="0" borderId="42" xfId="0" applyBorder="1"/>
    <xf numFmtId="1" fontId="0" fillId="0" borderId="42" xfId="0" applyNumberFormat="1" applyBorder="1"/>
    <xf numFmtId="164" fontId="0" fillId="0" borderId="43" xfId="0" applyNumberFormat="1" applyBorder="1"/>
    <xf numFmtId="14" fontId="0" fillId="0" borderId="43" xfId="0" applyNumberFormat="1" applyBorder="1"/>
    <xf numFmtId="1" fontId="0" fillId="0" borderId="43" xfId="0" applyNumberFormat="1" applyBorder="1"/>
    <xf numFmtId="0" fontId="0" fillId="0" borderId="43" xfId="0" applyBorder="1"/>
    <xf numFmtId="164" fontId="0" fillId="0" borderId="44" xfId="0" applyNumberFormat="1" applyBorder="1"/>
    <xf numFmtId="14" fontId="0" fillId="0" borderId="44" xfId="0" applyNumberFormat="1" applyBorder="1"/>
    <xf numFmtId="0" fontId="0" fillId="0" borderId="44" xfId="0" applyBorder="1"/>
    <xf numFmtId="1" fontId="0" fillId="0" borderId="44" xfId="0" applyNumberFormat="1" applyBorder="1"/>
    <xf numFmtId="14" fontId="0" fillId="0" borderId="42" xfId="0" applyNumberFormat="1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4" fontId="0" fillId="0" borderId="0" xfId="0" applyNumberFormat="1" applyAlignment="1">
      <alignment wrapText="1"/>
    </xf>
    <xf numFmtId="167" fontId="0" fillId="0" borderId="44" xfId="0" applyNumberFormat="1" applyBorder="1"/>
    <xf numFmtId="14" fontId="0" fillId="0" borderId="45" xfId="0" applyNumberFormat="1" applyBorder="1"/>
    <xf numFmtId="0" fontId="0" fillId="0" borderId="45" xfId="0" applyBorder="1"/>
    <xf numFmtId="0" fontId="0" fillId="0" borderId="46" xfId="0" applyBorder="1"/>
    <xf numFmtId="14" fontId="0" fillId="0" borderId="46" xfId="0" applyNumberFormat="1" applyBorder="1"/>
    <xf numFmtId="167" fontId="0" fillId="0" borderId="46" xfId="0" applyNumberFormat="1" applyBorder="1"/>
    <xf numFmtId="22" fontId="0" fillId="0" borderId="46" xfId="0" applyNumberFormat="1" applyBorder="1"/>
    <xf numFmtId="0" fontId="0" fillId="0" borderId="46" xfId="0" applyBorder="1" applyAlignment="1">
      <alignment vertical="center"/>
    </xf>
    <xf numFmtId="0" fontId="57" fillId="24" borderId="0" xfId="0" applyFont="1" applyFill="1" applyAlignment="1">
      <alignment horizontal="center" vertical="center"/>
    </xf>
    <xf numFmtId="0" fontId="57" fillId="16" borderId="0" xfId="0" applyFont="1" applyFill="1" applyAlignment="1">
      <alignment horizontal="center" vertical="center"/>
    </xf>
    <xf numFmtId="0" fontId="57" fillId="25" borderId="0" xfId="0" applyFont="1" applyFill="1" applyAlignment="1">
      <alignment horizontal="center" vertical="center"/>
    </xf>
    <xf numFmtId="0" fontId="57" fillId="6" borderId="0" xfId="0" applyFont="1" applyFill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</cellXfs>
  <cellStyles count="11">
    <cellStyle name="Comma [0]" xfId="7" builtinId="6"/>
    <cellStyle name="Comma 2" xfId="4" xr:uid="{00000000-0005-0000-0000-000001000000}"/>
    <cellStyle name="Currency" xfId="9" builtinId="4"/>
    <cellStyle name="Hyperlink 2" xfId="2" xr:uid="{00000000-0005-0000-0000-000003000000}"/>
    <cellStyle name="Normal" xfId="0" builtinId="0"/>
    <cellStyle name="Normal 2" xfId="6" xr:uid="{00000000-0005-0000-0000-000005000000}"/>
    <cellStyle name="Normal 3" xfId="5" xr:uid="{00000000-0005-0000-0000-000006000000}"/>
    <cellStyle name="Normal 4" xfId="1" xr:uid="{00000000-0005-0000-0000-000007000000}"/>
    <cellStyle name="Normal 4 2" xfId="3" xr:uid="{00000000-0005-0000-0000-000008000000}"/>
    <cellStyle name="Normal 5" xfId="8" xr:uid="{00000000-0005-0000-0000-000009000000}"/>
    <cellStyle name="Percent" xfId="10" builtinId="5"/>
  </cellStyles>
  <dxfs count="20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3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25-Aug'!$A$46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25-Aug'!$B$45:$C$45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25-Aug'!$B$46:$C$46</c:f>
              <c:numCache>
                <c:formatCode>General</c:formatCode>
                <c:ptCount val="2"/>
                <c:pt idx="0">
                  <c:v>7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25-Aug'!$A$47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25-Aug'!$B$45:$C$45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25-Aug'!$B$47:$C$47</c:f>
              <c:numCache>
                <c:formatCode>General</c:formatCode>
                <c:ptCount val="2"/>
                <c:pt idx="0">
                  <c:v>7</c:v>
                </c:pt>
                <c:pt idx="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25-Aug'!$A$48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25-Aug'!$B$45:$C$45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25-Aug'!$B$48:$C$48</c:f>
              <c:numCache>
                <c:formatCode>General</c:formatCode>
                <c:ptCount val="2"/>
                <c:pt idx="0">
                  <c:v>2</c:v>
                </c:pt>
                <c:pt idx="1">
                  <c:v>17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25-Aug'!$B$45:$C$45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20 - 6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300926</xdr:colOff>
      <xdr:row>0</xdr:row>
      <xdr:rowOff>40821</xdr:rowOff>
    </xdr:from>
    <xdr:to>
      <xdr:col>1</xdr:col>
      <xdr:colOff>304531</xdr:colOff>
      <xdr:row>0</xdr:row>
      <xdr:rowOff>262345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596809</xdr:colOff>
      <xdr:row>0</xdr:row>
      <xdr:rowOff>58239</xdr:rowOff>
    </xdr:from>
    <xdr:to>
      <xdr:col>31</xdr:col>
      <xdr:colOff>1374320</xdr:colOff>
      <xdr:row>1</xdr:row>
      <xdr:rowOff>13607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1185666" y="58239"/>
          <a:ext cx="3226797" cy="36358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Report\Master%20List%20Endo_220722.xlsx" TargetMode="External"/><Relationship Id="rId1" Type="http://schemas.openxmlformats.org/officeDocument/2006/relationships/externalLinkPath" Target="/Users/thong.le/Local_Drive/Report/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nh.nguyenbao/Downloads/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Unapproval\Template\Excel%20Template_E.xlsx" TargetMode="External"/><Relationship Id="rId1" Type="http://schemas.openxmlformats.org/officeDocument/2006/relationships/externalLinkPath" Target="Template/Excel%20Template_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/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/>
          <cell r="R5">
            <v>44603</v>
          </cell>
          <cell r="S5"/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/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/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/>
          <cell r="Q6"/>
          <cell r="R6">
            <v>44636</v>
          </cell>
          <cell r="S6"/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/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/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/>
          <cell r="Q7"/>
          <cell r="R7">
            <v>44658</v>
          </cell>
          <cell r="S7"/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/>
          <cell r="AB7" t="str">
            <v>Inspection</v>
          </cell>
          <cell r="AC7"/>
          <cell r="AD7"/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/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/>
          <cell r="Q8"/>
          <cell r="R8">
            <v>44691</v>
          </cell>
          <cell r="S8"/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/>
          <cell r="AB8" t="str">
            <v>Inspection</v>
          </cell>
          <cell r="AC8"/>
          <cell r="AD8"/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/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/>
          <cell r="Q9"/>
          <cell r="R9">
            <v>44666</v>
          </cell>
          <cell r="S9"/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/>
          <cell r="AD9"/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/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/>
          <cell r="M10"/>
          <cell r="N10">
            <v>44659</v>
          </cell>
          <cell r="O10">
            <v>44666</v>
          </cell>
          <cell r="P10"/>
          <cell r="Q10"/>
          <cell r="R10">
            <v>44666</v>
          </cell>
          <cell r="S10"/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/>
          <cell r="AD10"/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/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/>
          <cell r="Q11"/>
          <cell r="R11">
            <v>44666</v>
          </cell>
          <cell r="S11"/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/>
          <cell r="AD11"/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/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/>
          <cell r="Q12"/>
          <cell r="R12">
            <v>44677</v>
          </cell>
          <cell r="S12"/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/>
          <cell r="AD12"/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/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/>
          <cell r="Q13"/>
          <cell r="R13">
            <v>44677</v>
          </cell>
          <cell r="S13"/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/>
          <cell r="AD13"/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/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/>
          <cell r="Q14"/>
          <cell r="R14">
            <v>44677</v>
          </cell>
          <cell r="S14"/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/>
          <cell r="AD14"/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/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/>
          <cell r="Q15"/>
          <cell r="R15">
            <v>44714</v>
          </cell>
          <cell r="S15"/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/>
          <cell r="AD15"/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/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/>
          <cell r="Q16"/>
          <cell r="R16">
            <v>44687</v>
          </cell>
          <cell r="S16"/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/>
          <cell r="AD16"/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/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/>
          <cell r="Q17"/>
          <cell r="R17">
            <v>44686</v>
          </cell>
          <cell r="S17"/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/>
          <cell r="AB17" t="str">
            <v>Inspection</v>
          </cell>
          <cell r="AC17"/>
          <cell r="AD17"/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/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/>
          <cell r="Q18"/>
          <cell r="R18">
            <v>44686</v>
          </cell>
          <cell r="S18"/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/>
          <cell r="AB18" t="str">
            <v>Inspection</v>
          </cell>
          <cell r="AC18"/>
          <cell r="AD18"/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/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/>
          <cell r="Q19"/>
          <cell r="R19">
            <v>44676</v>
          </cell>
          <cell r="S19"/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/>
          <cell r="AD19"/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/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/>
          <cell r="Q20"/>
          <cell r="R20">
            <v>44686</v>
          </cell>
          <cell r="S20"/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/>
          <cell r="AD20"/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/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/>
          <cell r="Q21"/>
          <cell r="R21">
            <v>44714</v>
          </cell>
          <cell r="S21"/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/>
          <cell r="AD21"/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/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/>
          <cell r="Q22"/>
          <cell r="R22">
            <v>44698</v>
          </cell>
          <cell r="S22"/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/>
          <cell r="AD22"/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/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/>
          <cell r="Q23"/>
          <cell r="R23">
            <v>44687</v>
          </cell>
          <cell r="S23"/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/>
          <cell r="AD23"/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/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/>
          <cell r="Q24"/>
          <cell r="R24" t="str">
            <v>FOC</v>
          </cell>
          <cell r="S24"/>
          <cell r="T24">
            <v>44690</v>
          </cell>
          <cell r="U24" t="str">
            <v>Minor</v>
          </cell>
          <cell r="V24" t="str">
            <v>CHA. FCT</v>
          </cell>
          <cell r="W24"/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/>
          <cell r="AB24" t="str">
            <v>Inspection</v>
          </cell>
          <cell r="AC24"/>
          <cell r="AD24"/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/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/>
          <cell r="Q25"/>
          <cell r="R25">
            <v>44714</v>
          </cell>
          <cell r="S25"/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/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/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/>
          <cell r="N26">
            <v>44686</v>
          </cell>
          <cell r="O26">
            <v>44689</v>
          </cell>
          <cell r="P26"/>
          <cell r="Q26"/>
          <cell r="R26">
            <v>44691</v>
          </cell>
          <cell r="S26"/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/>
          <cell r="AD26"/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/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/>
          <cell r="Q27"/>
          <cell r="R27">
            <v>44714</v>
          </cell>
          <cell r="S27"/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/>
          <cell r="AD27"/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/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/>
          <cell r="Q28"/>
          <cell r="R28" t="str">
            <v>FOC</v>
          </cell>
          <cell r="S28"/>
          <cell r="T28">
            <v>44701</v>
          </cell>
          <cell r="U28" t="str">
            <v>Major</v>
          </cell>
          <cell r="V28" t="str">
            <v>RBS. BSA. FSA. FSB</v>
          </cell>
          <cell r="W28"/>
          <cell r="X28" t="str">
            <v>FUJIFILM Vietnam Co., Ltd\FMSV2022050043</v>
          </cell>
          <cell r="Y28"/>
          <cell r="Z28" t="str">
            <v>waiting approved</v>
          </cell>
          <cell r="AA28"/>
          <cell r="AB28" t="str">
            <v>Inspection</v>
          </cell>
          <cell r="AC28"/>
          <cell r="AD28"/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/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/>
          <cell r="Q29"/>
          <cell r="R29">
            <v>44714</v>
          </cell>
          <cell r="S29"/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/>
          <cell r="AD29"/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/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/>
          <cell r="Q30"/>
          <cell r="R30">
            <v>44714</v>
          </cell>
          <cell r="S30"/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/>
          <cell r="AD30"/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/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/>
          <cell r="Q31"/>
          <cell r="R31">
            <v>44714</v>
          </cell>
          <cell r="S31"/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/>
          <cell r="AD31"/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/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/>
          <cell r="Q32"/>
          <cell r="R32">
            <v>44713</v>
          </cell>
          <cell r="S32"/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/>
          <cell r="AD32"/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/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/>
          <cell r="Q33"/>
          <cell r="R33" t="str">
            <v>FOC</v>
          </cell>
          <cell r="S33"/>
          <cell r="T33">
            <v>44720</v>
          </cell>
          <cell r="U33" t="str">
            <v>Major</v>
          </cell>
          <cell r="V33" t="str">
            <v>CHA. BSA. DWA. DEC</v>
          </cell>
          <cell r="W33"/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/>
          <cell r="AB33" t="str">
            <v>Inspection</v>
          </cell>
          <cell r="AC33"/>
          <cell r="AD33"/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/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/>
          <cell r="Q34"/>
          <cell r="R34">
            <v>44728</v>
          </cell>
          <cell r="S34"/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/>
          <cell r="AD34"/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/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/>
          <cell r="P35" t="str">
            <v>FFVN-2206014</v>
          </cell>
          <cell r="Q35"/>
          <cell r="R35" t="str">
            <v>WARRANTY</v>
          </cell>
          <cell r="S35"/>
          <cell r="T35">
            <v>44715</v>
          </cell>
          <cell r="U35" t="str">
            <v>Major</v>
          </cell>
          <cell r="V35" t="str">
            <v>FSA</v>
          </cell>
          <cell r="W35"/>
          <cell r="X35"/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/>
          <cell r="AD35"/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/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/>
          <cell r="Q36"/>
          <cell r="R36">
            <v>44728</v>
          </cell>
          <cell r="S36"/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/>
          <cell r="AD36"/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/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/>
          <cell r="Q37"/>
          <cell r="R37">
            <v>44748</v>
          </cell>
          <cell r="S37"/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/>
          <cell r="AD37"/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/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/>
          <cell r="Q38"/>
          <cell r="R38">
            <v>44748</v>
          </cell>
          <cell r="S38"/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/>
          <cell r="AD38"/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/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/>
          <cell r="Q39"/>
          <cell r="R39">
            <v>44727</v>
          </cell>
          <cell r="S39"/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/>
          <cell r="AD39"/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/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/>
          <cell r="Q40"/>
          <cell r="R40">
            <v>44727</v>
          </cell>
          <cell r="S40"/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/>
          <cell r="AD40"/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/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/>
          <cell r="Q41"/>
          <cell r="R41">
            <v>44728</v>
          </cell>
          <cell r="S41"/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/>
          <cell r="AD41"/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/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/>
          <cell r="Q42"/>
          <cell r="R42">
            <v>44728</v>
          </cell>
          <cell r="S42"/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/>
          <cell r="AD42"/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/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/>
          <cell r="Q43"/>
          <cell r="R43">
            <v>44728</v>
          </cell>
          <cell r="S43"/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/>
          <cell r="AD43"/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/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/>
          <cell r="Q44"/>
          <cell r="R44">
            <v>44728</v>
          </cell>
          <cell r="S44"/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/>
          <cell r="AD44"/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/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/>
          <cell r="Q45"/>
          <cell r="R45">
            <v>44748</v>
          </cell>
          <cell r="S45"/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/>
          <cell r="AD45"/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/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/>
          <cell r="Q46"/>
          <cell r="R46">
            <v>44728</v>
          </cell>
          <cell r="S46"/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/>
          <cell r="AD46"/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/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/>
          <cell r="Q47"/>
          <cell r="R47">
            <v>44729</v>
          </cell>
          <cell r="S47"/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/>
          <cell r="AD47"/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/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/>
          <cell r="Q48"/>
          <cell r="R48">
            <v>44729</v>
          </cell>
          <cell r="S48"/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/>
          <cell r="AD48"/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/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/>
          <cell r="Q49"/>
          <cell r="R49">
            <v>44748</v>
          </cell>
          <cell r="S49"/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/>
          <cell r="AD49"/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/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/>
          <cell r="Q50"/>
          <cell r="R50">
            <v>44748</v>
          </cell>
          <cell r="S50"/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/>
          <cell r="AD50"/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/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/>
          <cell r="Q51"/>
          <cell r="R51" t="str">
            <v>FOC</v>
          </cell>
          <cell r="S51"/>
          <cell r="T51">
            <v>44727</v>
          </cell>
          <cell r="U51" t="str">
            <v>Major</v>
          </cell>
          <cell r="V51" t="str">
            <v>FSB. VCA. BSA</v>
          </cell>
          <cell r="W51"/>
          <cell r="X51"/>
          <cell r="Y51" t="str">
            <v>Nguyen Thai</v>
          </cell>
          <cell r="Z51" t="str">
            <v>waiting approved</v>
          </cell>
          <cell r="AA51"/>
          <cell r="AB51" t="str">
            <v>Inspection</v>
          </cell>
          <cell r="AC51"/>
          <cell r="AD51"/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/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/>
          <cell r="Q52"/>
          <cell r="R52">
            <v>44728</v>
          </cell>
          <cell r="S52"/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/>
          <cell r="AD52"/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/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/>
          <cell r="Q53"/>
          <cell r="R53" t="str">
            <v>FOC</v>
          </cell>
          <cell r="S53"/>
          <cell r="T53">
            <v>44732</v>
          </cell>
          <cell r="U53" t="str">
            <v>Minor</v>
          </cell>
          <cell r="V53" t="str">
            <v>DWA</v>
          </cell>
          <cell r="W53"/>
          <cell r="X53"/>
          <cell r="Y53" t="str">
            <v>Nguyen Khac Thang (Hanoi)</v>
          </cell>
          <cell r="Z53" t="str">
            <v>waiting approved</v>
          </cell>
          <cell r="AA53"/>
          <cell r="AB53" t="str">
            <v>Inspection</v>
          </cell>
          <cell r="AC53"/>
          <cell r="AD53"/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/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/>
          <cell r="Q54"/>
          <cell r="R54">
            <v>44753</v>
          </cell>
          <cell r="S54"/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/>
          <cell r="AD54"/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/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/>
          <cell r="Q55"/>
          <cell r="R55">
            <v>44753</v>
          </cell>
          <cell r="S55"/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/>
          <cell r="AD55"/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/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/>
          <cell r="Q56"/>
          <cell r="R56">
            <v>44753</v>
          </cell>
          <cell r="S56"/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/>
          <cell r="AD56"/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/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/>
          <cell r="Q57"/>
          <cell r="R57">
            <v>44748</v>
          </cell>
          <cell r="S57"/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/>
          <cell r="AD57"/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/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/>
          <cell r="Q58"/>
          <cell r="R58">
            <v>44748</v>
          </cell>
          <cell r="S58"/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/>
          <cell r="AD58"/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/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/>
          <cell r="Q59"/>
          <cell r="R59">
            <v>44748</v>
          </cell>
          <cell r="S59"/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/>
          <cell r="AD59"/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/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/>
          <cell r="Q60"/>
          <cell r="R60">
            <v>44748</v>
          </cell>
          <cell r="S60"/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/>
          <cell r="AB60" t="str">
            <v>Inspection</v>
          </cell>
          <cell r="AC60"/>
          <cell r="AD60"/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/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/>
          <cell r="Q61"/>
          <cell r="R61">
            <v>44748</v>
          </cell>
          <cell r="S61"/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/>
          <cell r="AD61"/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/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/>
          <cell r="Q62"/>
          <cell r="R62">
            <v>44748</v>
          </cell>
          <cell r="S62"/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/>
          <cell r="AD62"/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/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/>
          <cell r="P63" t="str">
            <v>FFVN-2206018</v>
          </cell>
          <cell r="Q63"/>
          <cell r="R63" t="str">
            <v>WARRANTY</v>
          </cell>
          <cell r="S63"/>
          <cell r="T63">
            <v>44735</v>
          </cell>
          <cell r="U63" t="str">
            <v>Major</v>
          </cell>
          <cell r="V63" t="str">
            <v>CHA. BSA</v>
          </cell>
          <cell r="W63"/>
          <cell r="X63"/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/>
          <cell r="AD63"/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/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/>
          <cell r="Q64"/>
          <cell r="R64">
            <v>44748</v>
          </cell>
          <cell r="S64"/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/>
          <cell r="AD64"/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/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/>
          <cell r="Q65"/>
          <cell r="R65">
            <v>44741</v>
          </cell>
          <cell r="S65"/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/>
          <cell r="AD65"/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/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/>
          <cell r="Q66"/>
          <cell r="R66">
            <v>44741</v>
          </cell>
          <cell r="S66"/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/>
          <cell r="AD66"/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/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/>
          <cell r="Q67"/>
          <cell r="R67">
            <v>44741</v>
          </cell>
          <cell r="S67"/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/>
          <cell r="AB67" t="str">
            <v>Inspection</v>
          </cell>
          <cell r="AC67"/>
          <cell r="AD67"/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/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/>
          <cell r="Q68"/>
          <cell r="R68"/>
          <cell r="S68"/>
          <cell r="T68">
            <v>44736</v>
          </cell>
          <cell r="U68" t="str">
            <v>Other</v>
          </cell>
          <cell r="V68" t="str">
            <v>PCB</v>
          </cell>
          <cell r="W68"/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/>
          <cell r="AD68"/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/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/>
          <cell r="Q69"/>
          <cell r="R69">
            <v>44685</v>
          </cell>
          <cell r="S69"/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/>
          <cell r="AD69"/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/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/>
          <cell r="Q70"/>
          <cell r="R70">
            <v>44750</v>
          </cell>
          <cell r="S70"/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/>
          <cell r="AD70"/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/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/>
          <cell r="Q71"/>
          <cell r="R71">
            <v>44755</v>
          </cell>
          <cell r="S71"/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/>
          <cell r="AD71"/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/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/>
          <cell r="Q72"/>
          <cell r="R72" t="str">
            <v>FOC</v>
          </cell>
          <cell r="S72"/>
          <cell r="T72">
            <v>44746</v>
          </cell>
          <cell r="U72" t="str">
            <v>Major</v>
          </cell>
          <cell r="V72" t="str">
            <v>LGB. BSA</v>
          </cell>
          <cell r="W72"/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/>
          <cell r="AB72" t="str">
            <v>Inspection</v>
          </cell>
          <cell r="AC72"/>
          <cell r="AD72"/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/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/>
          <cell r="R73">
            <v>44757</v>
          </cell>
          <cell r="S73"/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/>
          <cell r="AD73"/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/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/>
          <cell r="R74">
            <v>44757</v>
          </cell>
          <cell r="S74"/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/>
          <cell r="AD74"/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/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/>
          <cell r="R75"/>
          <cell r="S75"/>
          <cell r="T75">
            <v>44754</v>
          </cell>
          <cell r="U75" t="str">
            <v>Other</v>
          </cell>
          <cell r="V75" t="str">
            <v>PCB</v>
          </cell>
          <cell r="W75"/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/>
          <cell r="AD75"/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/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/>
          <cell r="P76"/>
          <cell r="Q76"/>
          <cell r="R76"/>
          <cell r="S76"/>
          <cell r="T76">
            <v>44755</v>
          </cell>
          <cell r="U76" t="str">
            <v>Major</v>
          </cell>
          <cell r="V76" t="str">
            <v>CHA</v>
          </cell>
          <cell r="W76"/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/>
          <cell r="AD76"/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/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/>
          <cell r="N77">
            <v>44749</v>
          </cell>
          <cell r="O77">
            <v>44764</v>
          </cell>
          <cell r="P77" t="str">
            <v>GDKT-2207159</v>
          </cell>
          <cell r="Q77"/>
          <cell r="R77"/>
          <cell r="S77"/>
          <cell r="T77"/>
          <cell r="U77" t="str">
            <v>Major</v>
          </cell>
          <cell r="V77" t="str">
            <v>BSA. FCT</v>
          </cell>
          <cell r="W77"/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/>
          <cell r="AD77"/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/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/>
          <cell r="P78"/>
          <cell r="Q78"/>
          <cell r="R78"/>
          <cell r="S78"/>
          <cell r="T78">
            <v>44760</v>
          </cell>
          <cell r="U78" t="str">
            <v>Major</v>
          </cell>
          <cell r="V78" t="str">
            <v>CHA</v>
          </cell>
          <cell r="W78"/>
          <cell r="X78"/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/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/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/>
          <cell r="N79">
            <v>44749</v>
          </cell>
          <cell r="O79">
            <v>44753</v>
          </cell>
          <cell r="P79"/>
          <cell r="Q79"/>
          <cell r="R79" t="str">
            <v>FOC</v>
          </cell>
          <cell r="S79"/>
          <cell r="T79">
            <v>44749</v>
          </cell>
          <cell r="U79" t="str">
            <v>Major</v>
          </cell>
          <cell r="V79" t="str">
            <v>BSA. NOZ</v>
          </cell>
          <cell r="W79"/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/>
          <cell r="AB79" t="str">
            <v>Inspection</v>
          </cell>
          <cell r="AC79"/>
          <cell r="AD79"/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/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/>
          <cell r="R80"/>
          <cell r="S80"/>
          <cell r="T80"/>
          <cell r="U80" t="str">
            <v>Major</v>
          </cell>
          <cell r="V80" t="str">
            <v>CHA. DEC. FSB</v>
          </cell>
          <cell r="W80"/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/>
          <cell r="AD80"/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/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/>
          <cell r="R81"/>
          <cell r="S81"/>
          <cell r="T81">
            <v>44755</v>
          </cell>
          <cell r="U81" t="str">
            <v>Minor</v>
          </cell>
          <cell r="V81" t="str">
            <v>SW</v>
          </cell>
          <cell r="W81"/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/>
          <cell r="AD81"/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/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/>
          <cell r="R82"/>
          <cell r="S82"/>
          <cell r="T82">
            <v>44764</v>
          </cell>
          <cell r="U82"/>
          <cell r="V82"/>
          <cell r="W82"/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/>
          <cell r="AD82"/>
          <cell r="AE82">
            <v>44762.513539525498</v>
          </cell>
          <cell r="AF82"/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/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/>
          <cell r="N83">
            <v>44755</v>
          </cell>
          <cell r="O83">
            <v>44756</v>
          </cell>
          <cell r="P83" t="str">
            <v>GKDT-2207154</v>
          </cell>
          <cell r="Q83"/>
          <cell r="R83"/>
          <cell r="S83"/>
          <cell r="T83">
            <v>44755</v>
          </cell>
          <cell r="U83" t="str">
            <v>Major</v>
          </cell>
          <cell r="V83" t="str">
            <v>CHA. BSA. PCB</v>
          </cell>
          <cell r="W83"/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/>
          <cell r="AD83"/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/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/>
          <cell r="R84"/>
          <cell r="S84"/>
          <cell r="T84">
            <v>44755</v>
          </cell>
          <cell r="U84" t="str">
            <v>Major</v>
          </cell>
          <cell r="V84" t="str">
            <v>CHA. NOZ</v>
          </cell>
          <cell r="W84"/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/>
          <cell r="AD84"/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/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/>
          <cell r="R85"/>
          <cell r="S85"/>
          <cell r="T85">
            <v>44756</v>
          </cell>
          <cell r="U85" t="str">
            <v>Major</v>
          </cell>
          <cell r="V85" t="str">
            <v>VCA. ISA</v>
          </cell>
          <cell r="W85"/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/>
          <cell r="AD85"/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/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 t="str">
            <v>FFAP0064</v>
          </cell>
          <cell r="Z86" t="str">
            <v>Received</v>
          </cell>
          <cell r="AA86"/>
          <cell r="AB86" t="str">
            <v>Receive</v>
          </cell>
          <cell r="AC86"/>
          <cell r="AD86"/>
          <cell r="AE86">
            <v>44762.584179756901</v>
          </cell>
          <cell r="AF86"/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/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/>
          <cell r="N87">
            <v>44760</v>
          </cell>
          <cell r="O87">
            <v>44765</v>
          </cell>
          <cell r="P87" t="str">
            <v>GDKT-2207161</v>
          </cell>
          <cell r="Q87"/>
          <cell r="R87"/>
          <cell r="S87"/>
          <cell r="T87"/>
          <cell r="U87" t="str">
            <v>Other</v>
          </cell>
          <cell r="V87" t="str">
            <v>POW. PCB. LMP</v>
          </cell>
          <cell r="W87"/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/>
          <cell r="AD87"/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/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/>
          <cell r="P88"/>
          <cell r="Q88"/>
          <cell r="R88"/>
          <cell r="S88"/>
          <cell r="T88"/>
          <cell r="U88"/>
          <cell r="V88" t="str">
            <v>RBS. CHA</v>
          </cell>
          <cell r="W88"/>
          <cell r="X88"/>
          <cell r="Y88" t="str">
            <v>thong</v>
          </cell>
          <cell r="Z88" t="str">
            <v>Under inspection</v>
          </cell>
          <cell r="AA88"/>
          <cell r="AB88" t="str">
            <v>Receive</v>
          </cell>
          <cell r="AC88"/>
          <cell r="AD88"/>
          <cell r="AE88">
            <v>44762.540179189797</v>
          </cell>
          <cell r="AF88"/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/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/>
          <cell r="P89"/>
          <cell r="Q89"/>
          <cell r="R89"/>
          <cell r="S89"/>
          <cell r="T89"/>
          <cell r="U89" t="str">
            <v>Major</v>
          </cell>
          <cell r="V89" t="str">
            <v>CHA. BSA. FCT</v>
          </cell>
          <cell r="W89"/>
          <cell r="X89"/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/>
          <cell r="AD89"/>
          <cell r="AE89">
            <v>44762.556021851902</v>
          </cell>
          <cell r="AF89"/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/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 t="str">
            <v>FFAP0070</v>
          </cell>
          <cell r="Z90" t="str">
            <v>Received</v>
          </cell>
          <cell r="AA90"/>
          <cell r="AB90" t="str">
            <v>Receive</v>
          </cell>
          <cell r="AC90"/>
          <cell r="AD90"/>
          <cell r="AE90">
            <v>44763.764893125001</v>
          </cell>
          <cell r="AF90"/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/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 t="str">
            <v>FFAP0064</v>
          </cell>
          <cell r="Z91" t="str">
            <v>Received</v>
          </cell>
          <cell r="AA91"/>
          <cell r="AB91" t="str">
            <v>Receive</v>
          </cell>
          <cell r="AC91"/>
          <cell r="AD91"/>
          <cell r="AE91">
            <v>44763.483116898104</v>
          </cell>
          <cell r="AF91"/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/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 t="str">
            <v>sang</v>
          </cell>
          <cell r="Z92" t="str">
            <v>Received</v>
          </cell>
          <cell r="AA92"/>
          <cell r="AB92"/>
          <cell r="AC92"/>
          <cell r="AD92"/>
          <cell r="AE92"/>
          <cell r="AF92"/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/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/>
          <cell r="N93">
            <v>44764</v>
          </cell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 t="str">
            <v>sang</v>
          </cell>
          <cell r="Z93" t="str">
            <v>Received</v>
          </cell>
          <cell r="AA93"/>
          <cell r="AB93"/>
          <cell r="AC93"/>
          <cell r="AD93"/>
          <cell r="AE93"/>
          <cell r="AF93"/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/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 t="str">
            <v>sang</v>
          </cell>
          <cell r="Z94" t="str">
            <v>Received</v>
          </cell>
          <cell r="AA94"/>
          <cell r="AB94"/>
          <cell r="AC94"/>
          <cell r="AD94"/>
          <cell r="AE94"/>
          <cell r="AF94"/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/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/>
          <cell r="N95">
            <v>44764</v>
          </cell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 t="str">
            <v>sang</v>
          </cell>
          <cell r="Z95" t="str">
            <v>Received</v>
          </cell>
          <cell r="AA95"/>
          <cell r="AB95"/>
          <cell r="AC95"/>
          <cell r="AD95"/>
          <cell r="AE95"/>
          <cell r="AF95"/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DF19B-F430-4DB3-928F-15ACE3CADBD7}" name="Table1" displayName="Table1" ref="A2:R92" totalsRowShown="0" headerRowDxfId="35">
  <autoFilter ref="A2:R92" xr:uid="{9C4DF19B-F430-4DB3-928F-15ACE3CADBD7}"/>
  <tableColumns count="18">
    <tableColumn id="1" xr3:uid="{5F99B9B8-4C08-462F-9352-41345C314809}" name="No.">
      <calculatedColumnFormula>SUBTOTAL(103,$B$3:B3)</calculatedColumnFormula>
    </tableColumn>
    <tableColumn id="2" xr3:uid="{AB1A5750-061D-4FE2-9918-0098D08074E4}" name="RMA"/>
    <tableColumn id="3" xr3:uid="{81E1355D-95A2-4ED3-834D-35CE0AE59646}" name="Customer">
      <calculatedColumnFormula>IF(INDEX(mlist,MATCH($B3,mNo,0),MATCH('4. Waiting confirm'!C$2,mTitle,0))="","",INDEX(mlist,MATCH($B3,mNo,0),MATCH('4. Waiting confirm'!C$2,mTitle,0)))</calculatedColumnFormula>
    </tableColumn>
    <tableColumn id="16" xr3:uid="{9040E953-48BB-461B-B9CE-9C9847233265}" name="Location">
      <calculatedColumnFormula>IF(INDEX(mlist,MATCH($B3,mNo,0),MATCH('4. Waiting confirm'!D$2,mTitle,0))="","",INDEX(mlist,MATCH($B3,mNo,0),MATCH('4. Waiting confirm'!D$2,mTitle,0)))</calculatedColumnFormula>
    </tableColumn>
    <tableColumn id="4" xr3:uid="{F709ECAE-7B29-497C-B52A-9177500E0CD6}" name="Model">
      <calculatedColumnFormula>IF(INDEX(mlist,MATCH($B3,mNo,0),MATCH('4. Waiting confirm'!E$2,mTitle,0))="","",INDEX(mlist,MATCH($B3,mNo,0),MATCH('4. Waiting confirm'!E$2,mTitle,0)))</calculatedColumnFormula>
    </tableColumn>
    <tableColumn id="5" xr3:uid="{7D4CC33A-3B43-467E-80ED-661149F327A5}" name="sn">
      <calculatedColumnFormula>IF(INDEX(mlist,MATCH($B3,mNo,0),MATCH('4. Waiting confirm'!F$2,mTitle,0))="","",INDEX(mlist,MATCH($B3,mNo,0),MATCH('4. Waiting confirm'!F$2,mTitle,0)))</calculatedColumnFormula>
    </tableColumn>
    <tableColumn id="6" xr3:uid="{DFA9739D-85E3-4530-A5FB-C4819E9B87CE}" name="receive" dataDxfId="34" dataCellStyle="Normal 4">
      <calculatedColumnFormula>IF(INDEX(mlist,MATCH($B3,mNo,0),MATCH('4. Waiting confirm'!G$2,mTitle,0))="","",INDEX(mlist,MATCH($B3,mNo,0),MATCH('4. Waiting confirm'!G$2,mTitle,0)))</calculatedColumnFormula>
    </tableColumn>
    <tableColumn id="7" xr3:uid="{C4E26E6C-C6E6-446D-AA64-64C5B9ABE4C8}" name="inspection" dataDxfId="33" dataCellStyle="Normal 4">
      <calculatedColumnFormula>IF(INDEX(mlist,MATCH($B3,mNo,0),MATCH('4. Waiting confirm'!H$2,mTitle,0))="","",INDEX(mlist,MATCH($B3,mNo,0),MATCH('4. Waiting confirm'!H$2,mTitle,0)))</calculatedColumnFormula>
    </tableColumn>
    <tableColumn id="8" xr3:uid="{59C2BD2D-422F-4FB5-8C58-6B261B5F4F07}" name="repair_size">
      <calculatedColumnFormula>IF(INDEX(mlist,MATCH($B3,mNo,0),MATCH('4. Waiting confirm'!I$2,mTitle,0))="","",INDEX(mlist,MATCH($B3,mNo,0),MATCH('4. Waiting confirm'!I$2,mTitle,0)))</calculatedColumnFormula>
    </tableColumn>
    <tableColumn id="9" xr3:uid="{F98CC0F2-6E64-426C-B113-AB9453B6ECAF}" name="issue">
      <calculatedColumnFormula>IF(INDEX(mlist,MATCH($B3,mNo,0),MATCH('4. Waiting confirm'!J$2,mTitle,0))="","",INDEX(mlist,MATCH($B3,mNo,0),MATCH('4. Waiting confirm'!J$2,mTitle,0)))</calculatedColumnFormula>
    </tableColumn>
    <tableColumn id="10" xr3:uid="{E0CC91DD-10B2-4A01-BD4F-CE12D7F871EC}" name="price" dataDxfId="32">
      <calculatedColumnFormula>IF(INDEX(mlist,MATCH($B3,mNo,0),MATCH('4. Waiting confirm'!K$2,mTitle,0))="","",INDEX(mlist,MATCH($B3,mNo,0),MATCH('4. Waiting confirm'!K$2,mTitle,0)))</calculatedColumnFormula>
    </tableColumn>
    <tableColumn id="11" xr3:uid="{121B10A1-11D9-4593-9909-11C91C7E6828}" name="quotation" dataDxfId="31" dataCellStyle="Normal 4">
      <calculatedColumnFormula>IF(INDEX(mlist,MATCH($B3,mNo,0),MATCH('4. Waiting confirm'!L$2,mTitle,0))="","",INDEX(mlist,MATCH($B3,mNo,0),MATCH('4. Waiting confirm'!L$2,mTitle,0)))</calculatedColumnFormula>
    </tableColumn>
    <tableColumn id="12" xr3:uid="{A853693C-6BAA-4181-9C20-2667478D0906}" name="note">
      <calculatedColumnFormula>IF(INDEX(mlist,MATCH($B3,mNo,0),MATCH('4. Waiting confirm'!M$2,mTitle,0))="","",INDEX(mlist,MATCH($B3,mNo,0),MATCH('4. Waiting confirm'!M$2,mTitle,0)))</calculatedColumnFormula>
    </tableColumn>
    <tableColumn id="18" xr3:uid="{187A5372-30D5-4BAB-AE6D-9BFC3369E989}" name="note2">
      <calculatedColumnFormula>IF(INDEX(mlist,MATCH($B3,mNo,0),MATCH('4. Waiting confirm'!N$2,mTitle,0))="","",INDEX(mlist,MATCH($B3,mNo,0),MATCH('4. Waiting confirm'!N$2,mTitle,0)))</calculatedColumnFormula>
    </tableColumn>
    <tableColumn id="13" xr3:uid="{6B3CD2B0-904F-4AD7-B049-C7A1E581EA8F}" name="1"/>
    <tableColumn id="14" xr3:uid="{B8BA6644-E183-4F74-84BE-C01676BBB8E3}" name="2"/>
    <tableColumn id="15" xr3:uid="{4345244F-D981-45DF-9144-473557C1E0B6}" name="3"/>
    <tableColumn id="17" xr3:uid="{C2225A85-4783-4E63-8175-40F8872F21B3}" name="Progress" dataDxfId="30" dataCellStyle="Percent">
      <calculatedColumnFormula>COUNTA(O3:Q3)/3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7618-D092-4556-8E63-637ED5DC324A}">
  <sheetPr codeName="Sheet2"/>
  <dimension ref="A1:J29"/>
  <sheetViews>
    <sheetView showGridLines="0" zoomScaleNormal="100" zoomScaleSheetLayoutView="100" workbookViewId="0">
      <selection activeCell="J13" sqref="J13:J15"/>
    </sheetView>
  </sheetViews>
  <sheetFormatPr defaultRowHeight="15"/>
  <cols>
    <col min="1" max="1" width="29.85546875" customWidth="1"/>
    <col min="3" max="3" width="3" customWidth="1"/>
    <col min="4" max="4" width="12.42578125" customWidth="1"/>
    <col min="9" max="9" width="9" customWidth="1"/>
    <col min="10" max="10" width="14" style="82" customWidth="1"/>
    <col min="11" max="11" width="2.5703125" customWidth="1"/>
    <col min="12" max="12" width="2.42578125" customWidth="1"/>
    <col min="13" max="13" width="2.7109375" customWidth="1"/>
    <col min="14" max="14" width="11.28515625" customWidth="1"/>
    <col min="15" max="15" width="9.42578125" customWidth="1"/>
    <col min="16" max="16" width="10.85546875" customWidth="1"/>
    <col min="17" max="17" width="3.7109375" customWidth="1"/>
    <col min="18" max="18" width="4.140625" customWidth="1"/>
    <col min="19" max="19" width="14" bestFit="1" customWidth="1"/>
    <col min="20" max="20" width="4.42578125" customWidth="1"/>
    <col min="21" max="21" width="3.85546875" customWidth="1"/>
    <col min="22" max="22" width="13.5703125" customWidth="1"/>
  </cols>
  <sheetData>
    <row r="1" spans="1:10" ht="59.25" customHeight="1">
      <c r="A1" s="281" t="s">
        <v>6339</v>
      </c>
    </row>
    <row r="2" spans="1:10">
      <c r="J2" s="282" t="s">
        <v>6040</v>
      </c>
    </row>
    <row r="3" spans="1:10">
      <c r="J3" s="335">
        <f>COUNTIF('Summary 25-Aug'!E:E,"H*")</f>
        <v>26</v>
      </c>
    </row>
    <row r="4" spans="1:10">
      <c r="J4" s="335"/>
    </row>
    <row r="5" spans="1:10">
      <c r="J5" s="335"/>
    </row>
    <row r="7" spans="1:10">
      <c r="J7" s="282" t="s">
        <v>6041</v>
      </c>
    </row>
    <row r="8" spans="1:10">
      <c r="J8" s="336">
        <f>SUM(FFAP!H7:J8)</f>
        <v>12</v>
      </c>
    </row>
    <row r="9" spans="1:10">
      <c r="J9" s="336"/>
    </row>
    <row r="10" spans="1:10">
      <c r="J10" s="336"/>
    </row>
    <row r="12" spans="1:10">
      <c r="J12" s="282" t="s">
        <v>6038</v>
      </c>
    </row>
    <row r="13" spans="1:10">
      <c r="J13" s="337">
        <f>SUM('Summary 25-Aug'!B:C)</f>
        <v>94</v>
      </c>
    </row>
    <row r="14" spans="1:10">
      <c r="J14" s="337"/>
    </row>
    <row r="15" spans="1:10">
      <c r="J15" s="337"/>
    </row>
    <row r="17" spans="1:10">
      <c r="J17" s="282" t="s">
        <v>6039</v>
      </c>
    </row>
    <row r="18" spans="1:10">
      <c r="J18" s="338">
        <f>COUNTIF('1.MasterPendingList'!AE:AE,"*Plan*")</f>
        <v>4</v>
      </c>
    </row>
    <row r="19" spans="1:10">
      <c r="J19" s="338"/>
    </row>
    <row r="20" spans="1:10">
      <c r="J20" s="338"/>
    </row>
    <row r="28" spans="1:10" ht="14.25" customHeight="1"/>
    <row r="29" spans="1:10" ht="18.75">
      <c r="A29" s="279" t="str">
        <f>"*"&amp;'Summary 25-Aug'!A1</f>
        <v>*Received: Hanoi 20 - 6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207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3"/>
  <dimension ref="A1:V121"/>
  <sheetViews>
    <sheetView topLeftCell="A42" zoomScaleNormal="100" workbookViewId="0">
      <selection activeCell="B35" sqref="B35"/>
    </sheetView>
  </sheetViews>
  <sheetFormatPr defaultColWidth="9.28515625" defaultRowHeight="15"/>
  <cols>
    <col min="1" max="1" width="43.140625" customWidth="1"/>
    <col min="2" max="2" width="12.7109375" customWidth="1"/>
    <col min="3" max="3" width="14" customWidth="1"/>
    <col min="4" max="4" width="10.7109375" bestFit="1" customWidth="1"/>
    <col min="5" max="5" width="10.42578125" customWidth="1"/>
    <col min="6" max="6" width="28.28515625" customWidth="1"/>
    <col min="7" max="7" width="24.42578125" customWidth="1"/>
    <col min="8" max="8" width="26.7109375" customWidth="1"/>
    <col min="9" max="9" width="23.5703125" customWidth="1"/>
    <col min="12" max="12" width="25.42578125" customWidth="1"/>
  </cols>
  <sheetData>
    <row r="1" spans="1:7" ht="19.5">
      <c r="A1" s="76" t="str">
        <f>"Received: Hanoi "&amp;COUNTIF(E:E,"Hanoi")&amp;" - "&amp;COUNTIF(E:E,"HCM")&amp;" HCM"</f>
        <v>Received: Hanoi 20 - 6 HCM</v>
      </c>
      <c r="C1" s="138" t="s">
        <v>1243</v>
      </c>
      <c r="D1" s="9"/>
      <c r="F1" s="105"/>
    </row>
    <row r="2" spans="1:7">
      <c r="A2" s="304" t="s">
        <v>6</v>
      </c>
      <c r="B2" s="304" t="s">
        <v>7</v>
      </c>
      <c r="C2" s="304" t="s">
        <v>73</v>
      </c>
      <c r="D2" s="304" t="s">
        <v>69</v>
      </c>
      <c r="E2" s="304" t="s">
        <v>13</v>
      </c>
      <c r="F2" s="305" t="s">
        <v>11</v>
      </c>
      <c r="G2" s="304" t="s">
        <v>9</v>
      </c>
    </row>
    <row r="3" spans="1:7">
      <c r="A3" s="306" t="s">
        <v>2484</v>
      </c>
      <c r="B3" s="306" t="s">
        <v>64</v>
      </c>
      <c r="C3" s="306" t="s">
        <v>4594</v>
      </c>
      <c r="D3" s="307">
        <v>45161.505104166667</v>
      </c>
      <c r="E3" s="307" t="s">
        <v>22</v>
      </c>
      <c r="F3" s="307" t="s">
        <v>35</v>
      </c>
      <c r="G3" s="306"/>
    </row>
    <row r="4" spans="1:7">
      <c r="A4" s="306" t="s">
        <v>2767</v>
      </c>
      <c r="B4" s="306" t="s">
        <v>51</v>
      </c>
      <c r="C4" s="306" t="s">
        <v>6265</v>
      </c>
      <c r="D4" s="307">
        <v>45161.792939814812</v>
      </c>
      <c r="E4" s="307" t="s">
        <v>129</v>
      </c>
      <c r="F4" s="307" t="s">
        <v>1053</v>
      </c>
      <c r="G4" s="306"/>
    </row>
    <row r="5" spans="1:7">
      <c r="A5" s="306" t="s">
        <v>21</v>
      </c>
      <c r="B5" s="306" t="s">
        <v>30</v>
      </c>
      <c r="C5" s="306" t="s">
        <v>6236</v>
      </c>
      <c r="D5" s="307">
        <v>45159.720752314817</v>
      </c>
      <c r="E5" s="307" t="s">
        <v>129</v>
      </c>
      <c r="F5" s="307" t="s">
        <v>300</v>
      </c>
      <c r="G5" s="306" t="s">
        <v>6328</v>
      </c>
    </row>
    <row r="6" spans="1:7">
      <c r="A6" s="306" t="s">
        <v>21</v>
      </c>
      <c r="B6" s="306" t="s">
        <v>25</v>
      </c>
      <c r="C6" s="306" t="s">
        <v>298</v>
      </c>
      <c r="D6" s="307">
        <v>45159.723321759258</v>
      </c>
      <c r="E6" s="307" t="s">
        <v>129</v>
      </c>
      <c r="F6" s="308" t="s">
        <v>62</v>
      </c>
      <c r="G6" s="306"/>
    </row>
    <row r="7" spans="1:7">
      <c r="A7" s="306" t="s">
        <v>21</v>
      </c>
      <c r="B7" s="306" t="s">
        <v>34</v>
      </c>
      <c r="C7" s="306" t="s">
        <v>5632</v>
      </c>
      <c r="D7" s="307">
        <v>45159.724004629628</v>
      </c>
      <c r="E7" s="307" t="s">
        <v>129</v>
      </c>
      <c r="F7" s="308" t="s">
        <v>1053</v>
      </c>
      <c r="G7" s="306"/>
    </row>
    <row r="8" spans="1:7">
      <c r="A8" s="306" t="s">
        <v>21</v>
      </c>
      <c r="B8" s="306" t="s">
        <v>58</v>
      </c>
      <c r="C8" s="306" t="s">
        <v>1258</v>
      </c>
      <c r="D8" s="307">
        <v>45159.724560185183</v>
      </c>
      <c r="E8" s="307" t="s">
        <v>129</v>
      </c>
      <c r="F8" s="308" t="s">
        <v>1053</v>
      </c>
      <c r="G8" s="306"/>
    </row>
    <row r="9" spans="1:7">
      <c r="A9" s="306" t="s">
        <v>21</v>
      </c>
      <c r="B9" s="306" t="s">
        <v>1139</v>
      </c>
      <c r="C9" s="306" t="s">
        <v>6246</v>
      </c>
      <c r="D9" s="307">
        <v>45159.725266203706</v>
      </c>
      <c r="E9" s="307" t="s">
        <v>129</v>
      </c>
      <c r="F9" s="308" t="s">
        <v>2671</v>
      </c>
      <c r="G9" s="306"/>
    </row>
    <row r="10" spans="1:7">
      <c r="A10" s="306" t="s">
        <v>21</v>
      </c>
      <c r="B10" s="306" t="s">
        <v>30</v>
      </c>
      <c r="C10" s="306" t="s">
        <v>6232</v>
      </c>
      <c r="D10" s="307">
        <v>45159.720069444447</v>
      </c>
      <c r="E10" s="307" t="s">
        <v>129</v>
      </c>
      <c r="F10" s="308" t="s">
        <v>60</v>
      </c>
      <c r="G10" s="306" t="s">
        <v>6190</v>
      </c>
    </row>
    <row r="11" spans="1:7">
      <c r="A11" s="306" t="s">
        <v>21</v>
      </c>
      <c r="B11" s="306" t="s">
        <v>34</v>
      </c>
      <c r="C11" s="306" t="s">
        <v>6248</v>
      </c>
      <c r="D11" s="307">
        <v>45159.725787037038</v>
      </c>
      <c r="E11" s="307" t="s">
        <v>129</v>
      </c>
      <c r="F11" s="308" t="s">
        <v>2671</v>
      </c>
      <c r="G11" s="306"/>
    </row>
    <row r="12" spans="1:7">
      <c r="A12" s="306" t="s">
        <v>21</v>
      </c>
      <c r="B12" s="306" t="s">
        <v>30</v>
      </c>
      <c r="C12" s="306" t="s">
        <v>1888</v>
      </c>
      <c r="D12" s="307">
        <v>45159.722731481481</v>
      </c>
      <c r="E12" s="307" t="s">
        <v>129</v>
      </c>
      <c r="F12" s="308" t="s">
        <v>62</v>
      </c>
      <c r="G12" s="306"/>
    </row>
    <row r="13" spans="1:7">
      <c r="A13" s="306" t="s">
        <v>21</v>
      </c>
      <c r="B13" s="306" t="s">
        <v>30</v>
      </c>
      <c r="C13" s="306" t="s">
        <v>6238</v>
      </c>
      <c r="D13" s="307">
        <v>45159.721782407411</v>
      </c>
      <c r="E13" s="307" t="s">
        <v>129</v>
      </c>
      <c r="F13" s="308" t="s">
        <v>62</v>
      </c>
      <c r="G13" s="306"/>
    </row>
    <row r="14" spans="1:7">
      <c r="A14" s="306" t="s">
        <v>44</v>
      </c>
      <c r="B14" s="306" t="s">
        <v>45</v>
      </c>
      <c r="C14" s="306" t="s">
        <v>152</v>
      </c>
      <c r="D14" s="307">
        <v>45159.726736111108</v>
      </c>
      <c r="E14" s="307" t="s">
        <v>129</v>
      </c>
      <c r="F14" s="308" t="s">
        <v>2673</v>
      </c>
      <c r="G14" s="306"/>
    </row>
    <row r="15" spans="1:7">
      <c r="A15" s="306" t="s">
        <v>41</v>
      </c>
      <c r="B15" s="306" t="s">
        <v>32</v>
      </c>
      <c r="C15" s="306" t="s">
        <v>2695</v>
      </c>
      <c r="D15" s="307">
        <v>45159.551701388889</v>
      </c>
      <c r="E15" s="307" t="s">
        <v>129</v>
      </c>
      <c r="F15" s="308" t="s">
        <v>62</v>
      </c>
      <c r="G15" s="306"/>
    </row>
    <row r="16" spans="1:7">
      <c r="A16" s="306" t="s">
        <v>41</v>
      </c>
      <c r="B16" s="306" t="s">
        <v>1115</v>
      </c>
      <c r="C16" s="306" t="s">
        <v>1228</v>
      </c>
      <c r="D16" s="307">
        <v>45163</v>
      </c>
      <c r="E16" s="307" t="s">
        <v>129</v>
      </c>
      <c r="F16" s="308" t="s">
        <v>1053</v>
      </c>
      <c r="G16" s="306"/>
    </row>
    <row r="17" spans="1:14">
      <c r="A17" s="306" t="s">
        <v>41</v>
      </c>
      <c r="B17" s="306" t="s">
        <v>34</v>
      </c>
      <c r="C17" s="306" t="s">
        <v>2461</v>
      </c>
      <c r="D17" s="307">
        <v>45160.530023148145</v>
      </c>
      <c r="E17" s="307" t="s">
        <v>129</v>
      </c>
      <c r="F17" s="308" t="s">
        <v>2671</v>
      </c>
      <c r="G17" s="306"/>
    </row>
    <row r="18" spans="1:14">
      <c r="A18" s="306" t="s">
        <v>41</v>
      </c>
      <c r="B18" s="306" t="s">
        <v>51</v>
      </c>
      <c r="C18" s="306" t="s">
        <v>6234</v>
      </c>
      <c r="D18" s="307">
        <v>45159</v>
      </c>
      <c r="E18" s="307" t="s">
        <v>129</v>
      </c>
      <c r="F18" s="308" t="s">
        <v>67</v>
      </c>
      <c r="G18" s="306"/>
    </row>
    <row r="19" spans="1:14">
      <c r="A19" s="306" t="s">
        <v>41</v>
      </c>
      <c r="B19" s="306" t="s">
        <v>30</v>
      </c>
      <c r="C19" s="306" t="s">
        <v>1722</v>
      </c>
      <c r="D19" s="307">
        <v>45162.809368495371</v>
      </c>
      <c r="E19" s="307" t="s">
        <v>129</v>
      </c>
      <c r="F19" s="308" t="s">
        <v>1053</v>
      </c>
      <c r="G19" s="306"/>
    </row>
    <row r="20" spans="1:14">
      <c r="A20" s="306" t="s">
        <v>40</v>
      </c>
      <c r="B20" s="306" t="s">
        <v>56</v>
      </c>
      <c r="C20" s="306" t="s">
        <v>6307</v>
      </c>
      <c r="D20" s="307">
        <v>45162.805281550929</v>
      </c>
      <c r="E20" s="307" t="s">
        <v>129</v>
      </c>
      <c r="F20" s="308" t="s">
        <v>1053</v>
      </c>
      <c r="G20" s="306"/>
    </row>
    <row r="21" spans="1:14">
      <c r="A21" s="306" t="s">
        <v>40</v>
      </c>
      <c r="B21" s="306" t="s">
        <v>1123</v>
      </c>
      <c r="C21" s="306" t="s">
        <v>6309</v>
      </c>
      <c r="D21" s="307">
        <v>45162.805869849537</v>
      </c>
      <c r="E21" s="307" t="s">
        <v>129</v>
      </c>
      <c r="F21" s="308" t="s">
        <v>1053</v>
      </c>
      <c r="G21" s="306"/>
    </row>
    <row r="22" spans="1:14">
      <c r="A22" s="306" t="s">
        <v>40</v>
      </c>
      <c r="B22" s="306" t="s">
        <v>49</v>
      </c>
      <c r="C22" s="306" t="s">
        <v>5381</v>
      </c>
      <c r="D22" s="307">
        <v>45162.806418784719</v>
      </c>
      <c r="E22" s="307" t="s">
        <v>129</v>
      </c>
      <c r="F22" s="308" t="s">
        <v>1053</v>
      </c>
      <c r="G22" s="306"/>
    </row>
    <row r="23" spans="1:14">
      <c r="A23" s="306" t="s">
        <v>5097</v>
      </c>
      <c r="B23" s="306" t="s">
        <v>1123</v>
      </c>
      <c r="C23" s="306" t="s">
        <v>6260</v>
      </c>
      <c r="D23" s="307">
        <v>45160</v>
      </c>
      <c r="E23" s="307" t="s">
        <v>129</v>
      </c>
      <c r="F23" s="308" t="s">
        <v>67</v>
      </c>
      <c r="G23" s="306" t="s">
        <v>6266</v>
      </c>
    </row>
    <row r="24" spans="1:14">
      <c r="A24" s="306" t="s">
        <v>6254</v>
      </c>
      <c r="B24" s="306" t="s">
        <v>38</v>
      </c>
      <c r="C24" s="306" t="s">
        <v>6255</v>
      </c>
      <c r="D24" s="307">
        <v>45161.555277777778</v>
      </c>
      <c r="E24" s="307" t="s">
        <v>22</v>
      </c>
      <c r="F24" s="308" t="s">
        <v>35</v>
      </c>
      <c r="G24" s="306"/>
    </row>
    <row r="25" spans="1:14">
      <c r="A25" s="306" t="s">
        <v>3049</v>
      </c>
      <c r="B25" s="306" t="s">
        <v>16</v>
      </c>
      <c r="C25" s="306" t="s">
        <v>6262</v>
      </c>
      <c r="D25" s="307"/>
      <c r="E25" s="307" t="s">
        <v>22</v>
      </c>
      <c r="F25" s="308" t="s">
        <v>1053</v>
      </c>
      <c r="G25" s="306"/>
    </row>
    <row r="26" spans="1:14">
      <c r="A26" s="306" t="s">
        <v>299</v>
      </c>
      <c r="B26" s="306" t="s">
        <v>104</v>
      </c>
      <c r="C26" s="306" t="s">
        <v>6251</v>
      </c>
      <c r="D26" s="307">
        <v>45160.415567129632</v>
      </c>
      <c r="E26" s="307" t="s">
        <v>22</v>
      </c>
      <c r="F26" s="308" t="s">
        <v>35</v>
      </c>
      <c r="G26" s="306"/>
    </row>
    <row r="27" spans="1:14">
      <c r="A27" s="306" t="s">
        <v>1077</v>
      </c>
      <c r="B27" s="306" t="s">
        <v>58</v>
      </c>
      <c r="C27" s="306" t="s">
        <v>2482</v>
      </c>
      <c r="D27" s="307">
        <v>45162.70872195602</v>
      </c>
      <c r="E27" s="307" t="s">
        <v>22</v>
      </c>
      <c r="F27" s="308" t="s">
        <v>1053</v>
      </c>
      <c r="G27" s="306"/>
    </row>
    <row r="28" spans="1:14">
      <c r="A28" s="306" t="s">
        <v>4541</v>
      </c>
      <c r="B28" s="306" t="s">
        <v>16</v>
      </c>
      <c r="C28" s="306" t="s">
        <v>6257</v>
      </c>
      <c r="D28" s="307">
        <v>45162.71130787037</v>
      </c>
      <c r="E28" s="307" t="s">
        <v>22</v>
      </c>
      <c r="F28" s="308" t="s">
        <v>1029</v>
      </c>
      <c r="G28" s="306"/>
    </row>
    <row r="29" spans="1:14">
      <c r="A29" s="75"/>
      <c r="B29" s="75"/>
      <c r="C29" s="75"/>
      <c r="D29" s="8"/>
      <c r="F29" s="75"/>
    </row>
    <row r="30" spans="1:14" ht="19.5">
      <c r="A30" s="106" t="s">
        <v>2595</v>
      </c>
      <c r="B30" s="107"/>
    </row>
    <row r="31" spans="1:14">
      <c r="A31" s="304" t="s">
        <v>74</v>
      </c>
      <c r="B31" s="304" t="s">
        <v>75</v>
      </c>
      <c r="C31" s="304" t="s">
        <v>76</v>
      </c>
      <c r="D31" s="304" t="s">
        <v>5841</v>
      </c>
      <c r="E31" s="304" t="s">
        <v>98</v>
      </c>
      <c r="F31" s="305" t="s">
        <v>5716</v>
      </c>
      <c r="G31" s="304" t="s">
        <v>92</v>
      </c>
      <c r="H31" s="304" t="s">
        <v>10</v>
      </c>
      <c r="I31" s="304" t="s">
        <v>77</v>
      </c>
      <c r="J31" s="304" t="s">
        <v>5715</v>
      </c>
      <c r="K31" s="305" t="s">
        <v>5839</v>
      </c>
      <c r="L31" s="305" t="s">
        <v>5717</v>
      </c>
      <c r="M31" s="305" t="s">
        <v>2408</v>
      </c>
      <c r="N31" s="305" t="s">
        <v>3057</v>
      </c>
    </row>
    <row r="32" spans="1:14">
      <c r="A32" s="306" t="s">
        <v>1092</v>
      </c>
      <c r="B32" s="306" t="s">
        <v>49</v>
      </c>
      <c r="C32" s="306" t="s">
        <v>5219</v>
      </c>
      <c r="D32" s="307" t="s">
        <v>2</v>
      </c>
      <c r="E32" s="307">
        <v>45054.711319444446</v>
      </c>
      <c r="F32" s="308" t="s">
        <v>6313</v>
      </c>
      <c r="G32" s="306" t="s">
        <v>5304</v>
      </c>
      <c r="H32" s="306" t="s">
        <v>33</v>
      </c>
      <c r="I32" s="306" t="s">
        <v>6271</v>
      </c>
      <c r="J32" s="306" t="s">
        <v>5218</v>
      </c>
      <c r="K32" s="307">
        <v>45061.668171296296</v>
      </c>
      <c r="L32" s="308" t="s">
        <v>6314</v>
      </c>
      <c r="M32" s="307"/>
      <c r="N32" s="308" t="s">
        <v>129</v>
      </c>
    </row>
    <row r="33" spans="1:14">
      <c r="A33" s="306" t="s">
        <v>1092</v>
      </c>
      <c r="B33" s="306" t="s">
        <v>1123</v>
      </c>
      <c r="C33" s="306" t="s">
        <v>5215</v>
      </c>
      <c r="D33" s="307" t="s">
        <v>2</v>
      </c>
      <c r="E33" s="307">
        <v>45054.680219907408</v>
      </c>
      <c r="F33" s="308" t="s">
        <v>6313</v>
      </c>
      <c r="G33" s="306" t="s">
        <v>5302</v>
      </c>
      <c r="H33" s="306" t="s">
        <v>33</v>
      </c>
      <c r="I33" s="306" t="s">
        <v>6271</v>
      </c>
      <c r="J33" s="306" t="s">
        <v>5214</v>
      </c>
      <c r="K33" s="307">
        <v>45061.652118055557</v>
      </c>
      <c r="L33" s="308" t="s">
        <v>6315</v>
      </c>
      <c r="M33" s="307"/>
      <c r="N33" s="308" t="s">
        <v>129</v>
      </c>
    </row>
    <row r="34" spans="1:14">
      <c r="A34" s="306" t="s">
        <v>5146</v>
      </c>
      <c r="B34" s="306" t="s">
        <v>49</v>
      </c>
      <c r="C34" s="306" t="s">
        <v>3704</v>
      </c>
      <c r="D34" s="307" t="s">
        <v>2</v>
      </c>
      <c r="E34" s="307">
        <v>45040.477592592593</v>
      </c>
      <c r="F34" s="308" t="s">
        <v>6316</v>
      </c>
      <c r="G34" s="306" t="s">
        <v>5292</v>
      </c>
      <c r="H34" s="306" t="s">
        <v>33</v>
      </c>
      <c r="I34" s="306" t="s">
        <v>6271</v>
      </c>
      <c r="J34" s="306" t="s">
        <v>5149</v>
      </c>
      <c r="K34" s="307">
        <v>45042.715462962966</v>
      </c>
      <c r="L34" s="308" t="s">
        <v>6317</v>
      </c>
      <c r="M34" s="307"/>
      <c r="N34" s="308" t="s">
        <v>129</v>
      </c>
    </row>
    <row r="35" spans="1:14">
      <c r="A35" s="306" t="s">
        <v>5146</v>
      </c>
      <c r="B35" s="306" t="s">
        <v>51</v>
      </c>
      <c r="C35" s="306" t="s">
        <v>3703</v>
      </c>
      <c r="D35" s="307" t="s">
        <v>2</v>
      </c>
      <c r="E35" s="307">
        <v>45040.476689814815</v>
      </c>
      <c r="F35" s="308" t="s">
        <v>6318</v>
      </c>
      <c r="G35" s="306" t="s">
        <v>5291</v>
      </c>
      <c r="H35" s="306" t="s">
        <v>33</v>
      </c>
      <c r="I35" s="306" t="s">
        <v>6271</v>
      </c>
      <c r="J35" s="306" t="s">
        <v>5148</v>
      </c>
      <c r="K35" s="307">
        <v>45041.54582175926</v>
      </c>
      <c r="L35" s="308" t="s">
        <v>6319</v>
      </c>
      <c r="M35" s="307"/>
      <c r="N35" s="308" t="s">
        <v>129</v>
      </c>
    </row>
    <row r="36" spans="1:14">
      <c r="A36" s="306" t="s">
        <v>5146</v>
      </c>
      <c r="B36" s="306" t="s">
        <v>51</v>
      </c>
      <c r="C36" s="306" t="s">
        <v>3683</v>
      </c>
      <c r="D36" s="307" t="s">
        <v>2</v>
      </c>
      <c r="E36" s="307">
        <v>45040.47451388889</v>
      </c>
      <c r="F36" s="308" t="s">
        <v>6320</v>
      </c>
      <c r="G36" s="306" t="s">
        <v>5290</v>
      </c>
      <c r="H36" s="306" t="s">
        <v>33</v>
      </c>
      <c r="I36" s="306" t="s">
        <v>6271</v>
      </c>
      <c r="J36" s="306" t="s">
        <v>5147</v>
      </c>
      <c r="K36" s="307">
        <v>45042.766875000001</v>
      </c>
      <c r="L36" s="308" t="s">
        <v>6321</v>
      </c>
      <c r="M36" s="307"/>
      <c r="N36" s="308" t="s">
        <v>129</v>
      </c>
    </row>
    <row r="37" spans="1:14">
      <c r="A37" s="306" t="s">
        <v>5146</v>
      </c>
      <c r="B37" s="306" t="s">
        <v>49</v>
      </c>
      <c r="C37" s="306" t="s">
        <v>3682</v>
      </c>
      <c r="D37" s="307" t="s">
        <v>2</v>
      </c>
      <c r="E37" s="307">
        <v>45040.472546296296</v>
      </c>
      <c r="F37" s="308" t="s">
        <v>6320</v>
      </c>
      <c r="G37" s="306" t="s">
        <v>5289</v>
      </c>
      <c r="H37" s="306" t="s">
        <v>33</v>
      </c>
      <c r="I37" s="306" t="s">
        <v>6271</v>
      </c>
      <c r="J37" s="306" t="s">
        <v>5145</v>
      </c>
      <c r="K37" s="307">
        <v>45042.703298611108</v>
      </c>
      <c r="L37" s="308" t="s">
        <v>6322</v>
      </c>
      <c r="M37" s="307"/>
      <c r="N37" s="308" t="s">
        <v>129</v>
      </c>
    </row>
    <row r="38" spans="1:14">
      <c r="A38" s="306" t="s">
        <v>1279</v>
      </c>
      <c r="B38" s="306" t="s">
        <v>1103</v>
      </c>
      <c r="C38" s="306" t="s">
        <v>2770</v>
      </c>
      <c r="D38" s="307" t="s">
        <v>2</v>
      </c>
      <c r="E38" s="307">
        <v>45022.462141203701</v>
      </c>
      <c r="F38" s="308" t="s">
        <v>6323</v>
      </c>
      <c r="G38" s="306" t="s">
        <v>5280</v>
      </c>
      <c r="H38" s="306" t="s">
        <v>33</v>
      </c>
      <c r="I38" s="306" t="s">
        <v>6271</v>
      </c>
      <c r="J38" s="306" t="s">
        <v>5032</v>
      </c>
      <c r="K38" s="307">
        <v>45030.776122685187</v>
      </c>
      <c r="L38" s="308" t="s">
        <v>6324</v>
      </c>
      <c r="M38" s="307"/>
      <c r="N38" s="308" t="s">
        <v>129</v>
      </c>
    </row>
    <row r="39" spans="1:14">
      <c r="A39" s="306" t="s">
        <v>3752</v>
      </c>
      <c r="B39" s="306" t="s">
        <v>31</v>
      </c>
      <c r="C39" s="306" t="s">
        <v>3753</v>
      </c>
      <c r="D39" s="307" t="s">
        <v>2</v>
      </c>
      <c r="E39" s="307">
        <v>45154.85628472222</v>
      </c>
      <c r="F39" s="308"/>
      <c r="G39" s="306" t="s">
        <v>6143</v>
      </c>
      <c r="H39" s="306" t="s">
        <v>33</v>
      </c>
      <c r="I39" s="306" t="s">
        <v>6269</v>
      </c>
      <c r="J39" s="306" t="s">
        <v>6142</v>
      </c>
      <c r="K39" s="307">
        <v>45155.793043981481</v>
      </c>
      <c r="L39" s="308"/>
      <c r="M39" s="307"/>
      <c r="N39" s="308" t="s">
        <v>129</v>
      </c>
    </row>
    <row r="40" spans="1:14">
      <c r="A40" s="306" t="s">
        <v>40</v>
      </c>
      <c r="B40" s="306" t="s">
        <v>51</v>
      </c>
      <c r="C40" s="306" t="s">
        <v>3710</v>
      </c>
      <c r="D40" s="307" t="s">
        <v>2</v>
      </c>
      <c r="E40" s="307">
        <v>45096.678506944445</v>
      </c>
      <c r="F40" s="308"/>
      <c r="G40" s="306" t="s">
        <v>5420</v>
      </c>
      <c r="H40" s="306" t="s">
        <v>54</v>
      </c>
      <c r="I40" s="306" t="s">
        <v>6274</v>
      </c>
      <c r="J40" s="306" t="s">
        <v>5574</v>
      </c>
      <c r="K40" s="307">
        <v>45097.505914351852</v>
      </c>
      <c r="L40" s="308"/>
      <c r="M40" s="307"/>
      <c r="N40" s="308" t="s">
        <v>129</v>
      </c>
    </row>
    <row r="41" spans="1:14">
      <c r="A41" s="306" t="s">
        <v>41</v>
      </c>
      <c r="B41" s="306" t="s">
        <v>2129</v>
      </c>
      <c r="C41" s="306" t="s">
        <v>5640</v>
      </c>
      <c r="D41" s="307" t="s">
        <v>2</v>
      </c>
      <c r="E41" s="307">
        <v>45103.527349537035</v>
      </c>
      <c r="F41" s="308" t="s">
        <v>66</v>
      </c>
      <c r="G41" s="306" t="s">
        <v>5641</v>
      </c>
      <c r="H41" s="306" t="s">
        <v>54</v>
      </c>
      <c r="I41" s="306" t="s">
        <v>6275</v>
      </c>
      <c r="J41" s="306" t="s">
        <v>5639</v>
      </c>
      <c r="K41" s="307">
        <v>45103.732581018521</v>
      </c>
      <c r="L41" s="308"/>
      <c r="M41" s="307"/>
      <c r="N41" s="308" t="s">
        <v>129</v>
      </c>
    </row>
    <row r="42" spans="1:14">
      <c r="A42" s="309" t="s">
        <v>1134</v>
      </c>
      <c r="B42" s="309" t="s">
        <v>124</v>
      </c>
      <c r="C42" s="309" t="s">
        <v>5738</v>
      </c>
      <c r="D42" s="310" t="s">
        <v>2</v>
      </c>
      <c r="E42" s="310">
        <v>45117.495162037034</v>
      </c>
      <c r="F42" s="311" t="s">
        <v>6325</v>
      </c>
      <c r="G42" s="309" t="s">
        <v>5772</v>
      </c>
      <c r="H42" s="309" t="s">
        <v>54</v>
      </c>
      <c r="I42" s="309" t="s">
        <v>6276</v>
      </c>
      <c r="J42" s="309" t="s">
        <v>5737</v>
      </c>
      <c r="K42" s="310">
        <v>45120.508958333332</v>
      </c>
      <c r="L42" s="311" t="s">
        <v>6326</v>
      </c>
      <c r="M42" s="310"/>
      <c r="N42" s="311" t="s">
        <v>129</v>
      </c>
    </row>
    <row r="43" spans="1:14" ht="15.75">
      <c r="A43" s="139"/>
      <c r="C43" s="75"/>
      <c r="D43" s="75"/>
    </row>
    <row r="44" spans="1:14" ht="19.5">
      <c r="A44" s="106" t="str">
        <f>"Scope Waiting confirm BreakDown: (Total " &amp; SUM(B:C) &amp;")"</f>
        <v>Scope Waiting confirm BreakDown: (Total 94)</v>
      </c>
      <c r="D44" s="75"/>
    </row>
    <row r="45" spans="1:14" ht="19.5">
      <c r="A45" s="290" t="s">
        <v>11</v>
      </c>
      <c r="B45" s="283" t="s">
        <v>3198</v>
      </c>
      <c r="C45" s="283" t="s">
        <v>3199</v>
      </c>
      <c r="D45" s="75"/>
    </row>
    <row r="46" spans="1:14" ht="15.75">
      <c r="A46" s="291" t="s">
        <v>6207</v>
      </c>
      <c r="B46" s="292">
        <f>COUNTIFS('1.MasterPendingList'!$AE:$AE,"waiting confirm",'1.MasterPendingList'!$AF:$AF,$A46,'1.MasterPendingList'!$C:$C,B$45)</f>
        <v>7</v>
      </c>
      <c r="C46" s="292">
        <f>COUNTIFS('1.MasterPendingList'!$AE:$AE,"waiting confirm",'1.MasterPendingList'!$AF:$AF,$A46,'1.MasterPendingList'!$C:$C,C$45)</f>
        <v>9</v>
      </c>
      <c r="D46" s="75" t="s">
        <v>6206</v>
      </c>
      <c r="F46" s="297" t="s">
        <v>6207</v>
      </c>
      <c r="G46" t="s">
        <v>6209</v>
      </c>
    </row>
    <row r="47" spans="1:14" ht="15.75">
      <c r="A47" s="291" t="s">
        <v>6208</v>
      </c>
      <c r="B47" s="292">
        <f>COUNTIFS('1.MasterPendingList'!$AE:$AE,"waiting confirm",'1.MasterPendingList'!$AF:$AF,$A47,'1.MasterPendingList'!$C:$C,B$45)</f>
        <v>7</v>
      </c>
      <c r="C47" s="292">
        <f>COUNTIFS('1.MasterPendingList'!$AE:$AE,"waiting confirm",'1.MasterPendingList'!$AF:$AF,$A47,'1.MasterPendingList'!$C:$C,C$45)</f>
        <v>52</v>
      </c>
      <c r="D47" s="75"/>
      <c r="F47" s="297" t="s">
        <v>6208</v>
      </c>
      <c r="G47" t="s">
        <v>6209</v>
      </c>
    </row>
    <row r="48" spans="1:14" ht="15.75">
      <c r="A48" s="291" t="s">
        <v>6338</v>
      </c>
      <c r="B48" s="292">
        <f>COUNTIFS('1.MasterPendingList'!$AE:$AE,"waiting confirm",'1.MasterPendingList'!$AF:$AF,$A48,'1.MasterPendingList'!$C:$C,B$45)</f>
        <v>2</v>
      </c>
      <c r="C48" s="292">
        <f>COUNTIFS('1.MasterPendingList'!$AE:$AE,"waiting confirm",'1.MasterPendingList'!$AF:$AF,$A48,'1.MasterPendingList'!$C:$C,C$45)</f>
        <v>17</v>
      </c>
      <c r="D48" s="75" t="s">
        <v>6213</v>
      </c>
      <c r="F48" t="s">
        <v>6211</v>
      </c>
      <c r="G48" t="s">
        <v>6210</v>
      </c>
    </row>
    <row r="49" spans="1:10" ht="15.75">
      <c r="A49" s="139"/>
      <c r="B49" s="140"/>
      <c r="C49" s="75"/>
      <c r="D49" s="75"/>
    </row>
    <row r="50" spans="1:10" ht="19.5">
      <c r="A50" s="107" t="str">
        <f>"Inspection this week ("&amp;SUM(COUNTIFS(F:F,{"Minor","Major","Other","Maintain"}))&amp;" items)"</f>
        <v>Inspection this week (30 items)</v>
      </c>
      <c r="B50" s="75"/>
      <c r="C50" s="75"/>
      <c r="D50" s="75"/>
    </row>
    <row r="51" spans="1:10">
      <c r="A51" s="304" t="s">
        <v>74</v>
      </c>
      <c r="B51" s="304" t="s">
        <v>75</v>
      </c>
      <c r="C51" s="304" t="s">
        <v>76</v>
      </c>
      <c r="D51" s="304" t="s">
        <v>98</v>
      </c>
      <c r="E51" s="304" t="s">
        <v>68</v>
      </c>
      <c r="F51" s="305" t="s">
        <v>5841</v>
      </c>
      <c r="G51" s="304" t="s">
        <v>92</v>
      </c>
      <c r="H51" s="304" t="s">
        <v>10</v>
      </c>
      <c r="I51" s="304" t="s">
        <v>77</v>
      </c>
      <c r="J51" s="304" t="s">
        <v>3057</v>
      </c>
    </row>
    <row r="52" spans="1:10">
      <c r="A52" s="306" t="s">
        <v>41</v>
      </c>
      <c r="B52" s="306" t="s">
        <v>1193</v>
      </c>
      <c r="C52" s="306" t="s">
        <v>4257</v>
      </c>
      <c r="D52" s="307">
        <v>45145.787453703706</v>
      </c>
      <c r="E52" s="307">
        <v>45160.507951388892</v>
      </c>
      <c r="F52" s="307" t="s">
        <v>1110</v>
      </c>
      <c r="G52" s="306" t="s">
        <v>4769</v>
      </c>
      <c r="H52" s="306" t="s">
        <v>33</v>
      </c>
      <c r="I52" s="306" t="s">
        <v>6267</v>
      </c>
      <c r="J52" s="307" t="s">
        <v>129</v>
      </c>
    </row>
    <row r="53" spans="1:10">
      <c r="A53" s="306" t="s">
        <v>41</v>
      </c>
      <c r="B53" s="306" t="s">
        <v>2052</v>
      </c>
      <c r="C53" s="306" t="s">
        <v>2114</v>
      </c>
      <c r="D53" s="307">
        <v>45152.771319444444</v>
      </c>
      <c r="E53" s="307">
        <v>45160.521689814814</v>
      </c>
      <c r="F53" s="307" t="s">
        <v>1110</v>
      </c>
      <c r="G53" s="306" t="s">
        <v>4769</v>
      </c>
      <c r="H53" s="306" t="s">
        <v>33</v>
      </c>
      <c r="I53" s="306" t="s">
        <v>6267</v>
      </c>
      <c r="J53" s="306" t="s">
        <v>129</v>
      </c>
    </row>
    <row r="54" spans="1:10">
      <c r="A54" s="306" t="s">
        <v>2484</v>
      </c>
      <c r="B54" s="306" t="s">
        <v>64</v>
      </c>
      <c r="C54" s="306" t="s">
        <v>1160</v>
      </c>
      <c r="D54" s="307">
        <v>45160.700937499998</v>
      </c>
      <c r="E54" s="307">
        <v>45160.707141203704</v>
      </c>
      <c r="F54" s="307" t="s">
        <v>2</v>
      </c>
      <c r="G54" s="306" t="s">
        <v>6147</v>
      </c>
      <c r="H54" s="306" t="s">
        <v>18</v>
      </c>
      <c r="I54" s="306"/>
      <c r="J54" s="306" t="s">
        <v>22</v>
      </c>
    </row>
    <row r="55" spans="1:10">
      <c r="A55" s="306" t="s">
        <v>41</v>
      </c>
      <c r="B55" s="306" t="s">
        <v>51</v>
      </c>
      <c r="C55" s="306" t="s">
        <v>4607</v>
      </c>
      <c r="D55" s="307">
        <v>45154.808483796296</v>
      </c>
      <c r="E55" s="307">
        <v>45159.555520833332</v>
      </c>
      <c r="F55" s="308" t="s">
        <v>3</v>
      </c>
      <c r="G55" s="306" t="s">
        <v>2153</v>
      </c>
      <c r="H55" s="306"/>
      <c r="I55" s="306" t="s">
        <v>3846</v>
      </c>
      <c r="J55" s="306" t="s">
        <v>129</v>
      </c>
    </row>
    <row r="56" spans="1:10">
      <c r="A56" s="306" t="s">
        <v>41</v>
      </c>
      <c r="B56" s="306" t="s">
        <v>49</v>
      </c>
      <c r="C56" s="306" t="s">
        <v>1143</v>
      </c>
      <c r="D56" s="307">
        <v>45154.86546296296</v>
      </c>
      <c r="E56" s="307">
        <v>45159.563321759262</v>
      </c>
      <c r="F56" s="308" t="s">
        <v>2</v>
      </c>
      <c r="G56" s="306" t="s">
        <v>2597</v>
      </c>
      <c r="H56" s="306" t="s">
        <v>1120</v>
      </c>
      <c r="I56" s="306"/>
      <c r="J56" s="306" t="s">
        <v>129</v>
      </c>
    </row>
    <row r="57" spans="1:10">
      <c r="A57" s="306" t="s">
        <v>3766</v>
      </c>
      <c r="B57" s="306" t="s">
        <v>38</v>
      </c>
      <c r="C57" s="306" t="s">
        <v>3981</v>
      </c>
      <c r="D57" s="307">
        <v>45160.7109375</v>
      </c>
      <c r="E57" s="307">
        <v>45162.418356481481</v>
      </c>
      <c r="F57" s="308" t="s">
        <v>2</v>
      </c>
      <c r="G57" s="306" t="s">
        <v>4772</v>
      </c>
      <c r="H57" s="306" t="s">
        <v>18</v>
      </c>
      <c r="I57" s="306"/>
      <c r="J57" s="306" t="s">
        <v>22</v>
      </c>
    </row>
    <row r="58" spans="1:10">
      <c r="A58" s="306" t="s">
        <v>6175</v>
      </c>
      <c r="B58" s="306" t="s">
        <v>58</v>
      </c>
      <c r="C58" s="306" t="s">
        <v>6176</v>
      </c>
      <c r="D58" s="307">
        <v>45156.665717592594</v>
      </c>
      <c r="E58" s="307">
        <v>45159.715798611112</v>
      </c>
      <c r="F58" s="308" t="s">
        <v>2</v>
      </c>
      <c r="G58" s="306" t="s">
        <v>4859</v>
      </c>
      <c r="H58" s="306" t="s">
        <v>33</v>
      </c>
      <c r="I58" s="306" t="s">
        <v>6283</v>
      </c>
      <c r="J58" s="306" t="s">
        <v>129</v>
      </c>
    </row>
    <row r="59" spans="1:10">
      <c r="A59" s="306" t="s">
        <v>1106</v>
      </c>
      <c r="B59" s="306" t="s">
        <v>16</v>
      </c>
      <c r="C59" s="306" t="s">
        <v>2844</v>
      </c>
      <c r="D59" s="307">
        <v>45159.435868055552</v>
      </c>
      <c r="E59" s="307">
        <v>45160.6595069213</v>
      </c>
      <c r="F59" s="308" t="s">
        <v>2</v>
      </c>
      <c r="G59" s="306" t="s">
        <v>6225</v>
      </c>
      <c r="H59" s="306" t="s">
        <v>1102</v>
      </c>
      <c r="I59" s="306"/>
      <c r="J59" s="306" t="s">
        <v>129</v>
      </c>
    </row>
    <row r="60" spans="1:10">
      <c r="A60" s="306" t="s">
        <v>37</v>
      </c>
      <c r="B60" s="306" t="s">
        <v>34</v>
      </c>
      <c r="C60" s="306" t="s">
        <v>1676</v>
      </c>
      <c r="D60" s="307">
        <v>45159.45034722222</v>
      </c>
      <c r="E60" s="307">
        <v>45162.540960648148</v>
      </c>
      <c r="F60" s="308" t="s">
        <v>2</v>
      </c>
      <c r="G60" s="306" t="s">
        <v>6226</v>
      </c>
      <c r="H60" s="306" t="s">
        <v>33</v>
      </c>
      <c r="I60" s="306"/>
      <c r="J60" s="306" t="s">
        <v>129</v>
      </c>
    </row>
    <row r="61" spans="1:10">
      <c r="A61" s="306" t="s">
        <v>37</v>
      </c>
      <c r="B61" s="306" t="s">
        <v>30</v>
      </c>
      <c r="C61" s="306" t="s">
        <v>2558</v>
      </c>
      <c r="D61" s="307">
        <v>45159.454131944447</v>
      </c>
      <c r="E61" s="307">
        <v>45160.758171296293</v>
      </c>
      <c r="F61" s="308" t="s">
        <v>2</v>
      </c>
      <c r="G61" s="306" t="s">
        <v>6227</v>
      </c>
      <c r="H61" s="306" t="s">
        <v>1120</v>
      </c>
      <c r="I61" s="306"/>
      <c r="J61" s="306" t="s">
        <v>129</v>
      </c>
    </row>
    <row r="62" spans="1:10">
      <c r="A62" s="306" t="s">
        <v>37</v>
      </c>
      <c r="B62" s="306" t="s">
        <v>30</v>
      </c>
      <c r="C62" s="306" t="s">
        <v>5115</v>
      </c>
      <c r="D62" s="307">
        <v>45159.455509259256</v>
      </c>
      <c r="E62" s="307">
        <v>45160.586435185185</v>
      </c>
      <c r="F62" s="308" t="s">
        <v>3</v>
      </c>
      <c r="G62" s="306" t="s">
        <v>1720</v>
      </c>
      <c r="H62" s="306" t="s">
        <v>33</v>
      </c>
      <c r="I62" s="306" t="s">
        <v>6270</v>
      </c>
      <c r="J62" s="306" t="s">
        <v>129</v>
      </c>
    </row>
    <row r="63" spans="1:10">
      <c r="A63" s="306" t="s">
        <v>37</v>
      </c>
      <c r="B63" s="306" t="s">
        <v>30</v>
      </c>
      <c r="C63" s="306" t="s">
        <v>4932</v>
      </c>
      <c r="D63" s="307">
        <v>45159.456412037034</v>
      </c>
      <c r="E63" s="307">
        <v>45160.540775462963</v>
      </c>
      <c r="F63" s="308" t="s">
        <v>3</v>
      </c>
      <c r="G63" s="306" t="s">
        <v>1212</v>
      </c>
      <c r="H63" s="306"/>
      <c r="I63" s="306" t="s">
        <v>3837</v>
      </c>
      <c r="J63" s="306" t="s">
        <v>129</v>
      </c>
    </row>
    <row r="64" spans="1:10">
      <c r="A64" s="306" t="s">
        <v>37</v>
      </c>
      <c r="B64" s="306" t="s">
        <v>30</v>
      </c>
      <c r="C64" s="306" t="s">
        <v>2634</v>
      </c>
      <c r="D64" s="307">
        <v>45159.457430555558</v>
      </c>
      <c r="E64" s="307">
        <v>45162.551160798612</v>
      </c>
      <c r="F64" s="308" t="s">
        <v>2</v>
      </c>
      <c r="G64" s="306" t="s">
        <v>5296</v>
      </c>
      <c r="H64" s="306" t="s">
        <v>33</v>
      </c>
      <c r="I64" s="306"/>
      <c r="J64" s="306" t="s">
        <v>129</v>
      </c>
    </row>
    <row r="65" spans="1:10">
      <c r="A65" s="306" t="s">
        <v>37</v>
      </c>
      <c r="B65" s="306" t="s">
        <v>30</v>
      </c>
      <c r="C65" s="306" t="s">
        <v>5450</v>
      </c>
      <c r="D65" s="307">
        <v>45159.4609837963</v>
      </c>
      <c r="E65" s="307">
        <v>45160.745081018518</v>
      </c>
      <c r="F65" s="308" t="s">
        <v>2</v>
      </c>
      <c r="G65" s="306" t="s">
        <v>6228</v>
      </c>
      <c r="H65" s="306" t="s">
        <v>1120</v>
      </c>
      <c r="I65" s="306"/>
      <c r="J65" s="306" t="s">
        <v>129</v>
      </c>
    </row>
    <row r="66" spans="1:10">
      <c r="A66" s="306" t="s">
        <v>41</v>
      </c>
      <c r="B66" s="306" t="s">
        <v>32</v>
      </c>
      <c r="C66" s="306" t="s">
        <v>2695</v>
      </c>
      <c r="D66" s="307">
        <v>45159.551701388889</v>
      </c>
      <c r="E66" s="307">
        <v>45159.568796296298</v>
      </c>
      <c r="F66" s="308" t="s">
        <v>3</v>
      </c>
      <c r="G66" s="306" t="s">
        <v>6230</v>
      </c>
      <c r="H66" s="306" t="s">
        <v>1120</v>
      </c>
      <c r="I66" s="306"/>
      <c r="J66" s="306" t="s">
        <v>129</v>
      </c>
    </row>
    <row r="67" spans="1:10">
      <c r="A67" s="306" t="s">
        <v>21</v>
      </c>
      <c r="B67" s="306" t="s">
        <v>30</v>
      </c>
      <c r="C67" s="306" t="s">
        <v>6232</v>
      </c>
      <c r="D67" s="307">
        <v>45159.720069444447</v>
      </c>
      <c r="E67" s="307">
        <v>45160.554016203707</v>
      </c>
      <c r="F67" s="308" t="s">
        <v>2</v>
      </c>
      <c r="G67" s="306" t="s">
        <v>1485</v>
      </c>
      <c r="H67" s="306" t="s">
        <v>33</v>
      </c>
      <c r="I67" s="306" t="s">
        <v>6190</v>
      </c>
      <c r="J67" s="306" t="s">
        <v>129</v>
      </c>
    </row>
    <row r="68" spans="1:10">
      <c r="A68" s="306" t="s">
        <v>41</v>
      </c>
      <c r="B68" s="306" t="s">
        <v>51</v>
      </c>
      <c r="C68" s="306" t="s">
        <v>6234</v>
      </c>
      <c r="D68" s="307">
        <v>45159.720196759263</v>
      </c>
      <c r="E68" s="307">
        <v>45162.523333333331</v>
      </c>
      <c r="F68" s="308" t="s">
        <v>3</v>
      </c>
      <c r="G68" s="306" t="s">
        <v>6299</v>
      </c>
      <c r="H68" s="306" t="s">
        <v>1120</v>
      </c>
      <c r="I68" s="306"/>
      <c r="J68" s="306" t="s">
        <v>129</v>
      </c>
    </row>
    <row r="69" spans="1:10">
      <c r="A69" s="306" t="s">
        <v>21</v>
      </c>
      <c r="B69" s="306" t="s">
        <v>30</v>
      </c>
      <c r="C69" s="306" t="s">
        <v>6236</v>
      </c>
      <c r="D69" s="307">
        <v>45159.720752314817</v>
      </c>
      <c r="E69" s="307">
        <v>45163.564363425925</v>
      </c>
      <c r="F69" s="308" t="s">
        <v>3</v>
      </c>
      <c r="G69" s="306" t="s">
        <v>6300</v>
      </c>
      <c r="H69" s="306" t="s">
        <v>1120</v>
      </c>
      <c r="I69" s="306"/>
      <c r="J69" s="306" t="s">
        <v>129</v>
      </c>
    </row>
    <row r="70" spans="1:10">
      <c r="A70" s="306" t="s">
        <v>21</v>
      </c>
      <c r="B70" s="306" t="s">
        <v>30</v>
      </c>
      <c r="C70" s="306" t="s">
        <v>6238</v>
      </c>
      <c r="D70" s="307">
        <v>45159.721782407411</v>
      </c>
      <c r="E70" s="307">
        <v>45161.754525462966</v>
      </c>
      <c r="F70" s="308" t="s">
        <v>2</v>
      </c>
      <c r="G70" s="306" t="s">
        <v>6239</v>
      </c>
      <c r="H70" s="306" t="s">
        <v>1120</v>
      </c>
      <c r="I70" s="306"/>
      <c r="J70" s="306" t="s">
        <v>129</v>
      </c>
    </row>
    <row r="71" spans="1:10">
      <c r="A71" s="306" t="s">
        <v>21</v>
      </c>
      <c r="B71" s="306" t="s">
        <v>30</v>
      </c>
      <c r="C71" s="306" t="s">
        <v>1888</v>
      </c>
      <c r="D71" s="307">
        <v>45159.722731481481</v>
      </c>
      <c r="E71" s="307">
        <v>45161.577094907407</v>
      </c>
      <c r="F71" s="308" t="s">
        <v>2</v>
      </c>
      <c r="G71" s="306" t="s">
        <v>5848</v>
      </c>
      <c r="H71" s="306" t="s">
        <v>1102</v>
      </c>
      <c r="I71" s="306"/>
      <c r="J71" s="306" t="s">
        <v>129</v>
      </c>
    </row>
    <row r="72" spans="1:10">
      <c r="A72" s="306" t="s">
        <v>21</v>
      </c>
      <c r="B72" s="306" t="s">
        <v>25</v>
      </c>
      <c r="C72" s="306" t="s">
        <v>298</v>
      </c>
      <c r="D72" s="307">
        <v>45159.723321759258</v>
      </c>
      <c r="E72" s="307">
        <v>45161.778900462959</v>
      </c>
      <c r="F72" s="308" t="s">
        <v>2</v>
      </c>
      <c r="G72" s="306" t="s">
        <v>6242</v>
      </c>
      <c r="H72" s="306" t="s">
        <v>1120</v>
      </c>
      <c r="I72" s="306"/>
      <c r="J72" s="306" t="s">
        <v>129</v>
      </c>
    </row>
    <row r="73" spans="1:10">
      <c r="A73" s="306" t="s">
        <v>21</v>
      </c>
      <c r="B73" s="306" t="s">
        <v>1139</v>
      </c>
      <c r="C73" s="306" t="s">
        <v>6246</v>
      </c>
      <c r="D73" s="307">
        <v>45159.725266203706</v>
      </c>
      <c r="E73" s="307">
        <v>45162.702465277776</v>
      </c>
      <c r="F73" s="308" t="s">
        <v>2</v>
      </c>
      <c r="G73" s="306" t="s">
        <v>6301</v>
      </c>
      <c r="H73" s="306" t="s">
        <v>53</v>
      </c>
      <c r="I73" s="306"/>
      <c r="J73" s="306" t="s">
        <v>129</v>
      </c>
    </row>
    <row r="74" spans="1:10">
      <c r="A74" s="306" t="s">
        <v>21</v>
      </c>
      <c r="B74" s="306" t="s">
        <v>34</v>
      </c>
      <c r="C74" s="306" t="s">
        <v>6248</v>
      </c>
      <c r="D74" s="307">
        <v>45159.725787037038</v>
      </c>
      <c r="E74" s="307">
        <v>45161.532476851855</v>
      </c>
      <c r="F74" s="308" t="s">
        <v>3</v>
      </c>
      <c r="G74" s="306" t="s">
        <v>1666</v>
      </c>
      <c r="H74" s="306" t="s">
        <v>1102</v>
      </c>
      <c r="I74" s="306"/>
      <c r="J74" s="306" t="s">
        <v>129</v>
      </c>
    </row>
    <row r="75" spans="1:10">
      <c r="A75" s="306" t="s">
        <v>44</v>
      </c>
      <c r="B75" s="306" t="s">
        <v>45</v>
      </c>
      <c r="C75" s="306" t="s">
        <v>152</v>
      </c>
      <c r="D75" s="307">
        <v>45159.726736111108</v>
      </c>
      <c r="E75" s="307">
        <v>45163.719525462962</v>
      </c>
      <c r="F75" s="308" t="s">
        <v>4</v>
      </c>
      <c r="G75" s="306" t="s">
        <v>4871</v>
      </c>
      <c r="H75" s="306" t="s">
        <v>53</v>
      </c>
      <c r="I75" s="306"/>
      <c r="J75" s="306" t="s">
        <v>129</v>
      </c>
    </row>
    <row r="76" spans="1:10">
      <c r="A76" s="306" t="s">
        <v>299</v>
      </c>
      <c r="B76" s="306" t="s">
        <v>104</v>
      </c>
      <c r="C76" s="306" t="s">
        <v>6251</v>
      </c>
      <c r="D76" s="307">
        <v>45160.415567129632</v>
      </c>
      <c r="E76" s="307">
        <v>45160.427974537037</v>
      </c>
      <c r="F76" s="308" t="s">
        <v>2</v>
      </c>
      <c r="G76" s="306" t="s">
        <v>6252</v>
      </c>
      <c r="H76" s="306" t="s">
        <v>18</v>
      </c>
      <c r="I76" s="306"/>
      <c r="J76" s="306" t="s">
        <v>22</v>
      </c>
    </row>
    <row r="77" spans="1:10">
      <c r="A77" s="306" t="s">
        <v>6254</v>
      </c>
      <c r="B77" s="306" t="s">
        <v>38</v>
      </c>
      <c r="C77" s="306" t="s">
        <v>6255</v>
      </c>
      <c r="D77" s="307">
        <v>45161.555277777778</v>
      </c>
      <c r="E77" s="307">
        <v>45161.557529305559</v>
      </c>
      <c r="F77" s="308" t="s">
        <v>2</v>
      </c>
      <c r="G77" s="306" t="s">
        <v>5599</v>
      </c>
      <c r="H77" s="306" t="s">
        <v>20</v>
      </c>
      <c r="I77" s="306"/>
      <c r="J77" s="306" t="s">
        <v>22</v>
      </c>
    </row>
    <row r="78" spans="1:10">
      <c r="A78" s="306" t="s">
        <v>4541</v>
      </c>
      <c r="B78" s="306" t="s">
        <v>16</v>
      </c>
      <c r="C78" s="306" t="s">
        <v>6257</v>
      </c>
      <c r="D78" s="307">
        <v>45162.71130787037</v>
      </c>
      <c r="E78" s="307">
        <v>45162.719189814816</v>
      </c>
      <c r="F78" s="308" t="s">
        <v>3</v>
      </c>
      <c r="G78" s="306" t="s">
        <v>6302</v>
      </c>
      <c r="H78" s="306" t="s">
        <v>18</v>
      </c>
      <c r="I78" s="306"/>
      <c r="J78" s="306" t="s">
        <v>22</v>
      </c>
    </row>
    <row r="79" spans="1:10">
      <c r="A79" s="306" t="s">
        <v>41</v>
      </c>
      <c r="B79" s="306" t="s">
        <v>34</v>
      </c>
      <c r="C79" s="306" t="s">
        <v>2461</v>
      </c>
      <c r="D79" s="307">
        <v>45160.530023148145</v>
      </c>
      <c r="E79" s="307">
        <v>45162.729780092595</v>
      </c>
      <c r="F79" s="308" t="s">
        <v>2</v>
      </c>
      <c r="G79" s="306" t="s">
        <v>6303</v>
      </c>
      <c r="H79" s="306" t="s">
        <v>54</v>
      </c>
      <c r="I79" s="306"/>
      <c r="J79" s="306" t="s">
        <v>129</v>
      </c>
    </row>
    <row r="80" spans="1:10">
      <c r="A80" s="306" t="s">
        <v>5097</v>
      </c>
      <c r="B80" s="306" t="s">
        <v>1123</v>
      </c>
      <c r="C80" s="306" t="s">
        <v>6260</v>
      </c>
      <c r="D80" s="307">
        <v>45160.534108796295</v>
      </c>
      <c r="E80" s="307">
        <v>45161.714467592596</v>
      </c>
      <c r="F80" s="308" t="s">
        <v>3</v>
      </c>
      <c r="G80" s="306" t="s">
        <v>2153</v>
      </c>
      <c r="H80" s="306" t="s">
        <v>54</v>
      </c>
      <c r="I80" s="306" t="s">
        <v>6266</v>
      </c>
      <c r="J80" s="306" t="s">
        <v>129</v>
      </c>
    </row>
    <row r="81" spans="1:22">
      <c r="A81" s="309" t="s">
        <v>2484</v>
      </c>
      <c r="B81" s="309" t="s">
        <v>64</v>
      </c>
      <c r="C81" s="309" t="s">
        <v>4594</v>
      </c>
      <c r="D81" s="310">
        <v>45161.505104166667</v>
      </c>
      <c r="E81" s="310">
        <v>45161.55281927083</v>
      </c>
      <c r="F81" s="311" t="s">
        <v>2</v>
      </c>
      <c r="G81" s="309" t="s">
        <v>5274</v>
      </c>
      <c r="H81" s="309" t="s">
        <v>20</v>
      </c>
      <c r="I81" s="309"/>
      <c r="J81" s="309" t="s">
        <v>22</v>
      </c>
    </row>
    <row r="82" spans="1:22" ht="15.75">
      <c r="A82" s="139"/>
    </row>
    <row r="83" spans="1:22" ht="19.5">
      <c r="A83" s="106" t="str">
        <f>"Completed repair: " &amp;COUNTIF(E:E,"Major")&amp; " Major, "&amp;COUNTIF(E:E,"Minor")&amp; " Minor, "&amp;COUNTIF(E:E,"Other")&amp; " Other"</f>
        <v>Completed repair: 3 Major, 8 Minor, 0 Other</v>
      </c>
      <c r="E83" s="8"/>
    </row>
    <row r="84" spans="1:22">
      <c r="A84" s="312" t="s">
        <v>74</v>
      </c>
      <c r="B84" s="312" t="s">
        <v>75</v>
      </c>
      <c r="C84" s="312" t="s">
        <v>76</v>
      </c>
      <c r="D84" s="312" t="s">
        <v>3057</v>
      </c>
      <c r="E84" s="312" t="s">
        <v>5841</v>
      </c>
      <c r="F84" s="313" t="s">
        <v>92</v>
      </c>
      <c r="G84" s="312" t="s">
        <v>5960</v>
      </c>
      <c r="H84" s="312" t="s">
        <v>77</v>
      </c>
      <c r="I84" s="312" t="s">
        <v>98</v>
      </c>
      <c r="J84" s="313" t="s">
        <v>5716</v>
      </c>
      <c r="K84" s="313" t="s">
        <v>2408</v>
      </c>
      <c r="L84" s="313" t="s">
        <v>5842</v>
      </c>
      <c r="M84" s="313" t="s">
        <v>5954</v>
      </c>
      <c r="N84" s="313" t="s">
        <v>5957</v>
      </c>
      <c r="O84" s="314" t="s">
        <v>5958</v>
      </c>
      <c r="P84" s="313" t="s">
        <v>5959</v>
      </c>
    </row>
    <row r="85" spans="1:22">
      <c r="A85" s="315" t="s">
        <v>37</v>
      </c>
      <c r="B85" s="315" t="s">
        <v>34</v>
      </c>
      <c r="C85" s="316" t="s">
        <v>296</v>
      </c>
      <c r="D85" s="315" t="s">
        <v>129</v>
      </c>
      <c r="E85" s="316" t="s">
        <v>3</v>
      </c>
      <c r="F85" s="316" t="s">
        <v>1666</v>
      </c>
      <c r="G85" s="315" t="s">
        <v>33</v>
      </c>
      <c r="H85" s="315" t="s">
        <v>4808</v>
      </c>
      <c r="I85" s="316">
        <v>44978.568194444444</v>
      </c>
      <c r="J85" s="316" t="s">
        <v>6327</v>
      </c>
      <c r="K85" s="316">
        <v>44984</v>
      </c>
      <c r="L85" s="316"/>
      <c r="M85" s="316"/>
      <c r="N85" s="316"/>
      <c r="O85" s="316"/>
      <c r="P85" s="316"/>
    </row>
    <row r="86" spans="1:22">
      <c r="A86" s="315" t="s">
        <v>41</v>
      </c>
      <c r="B86" s="315" t="s">
        <v>1193</v>
      </c>
      <c r="C86" s="316" t="s">
        <v>4257</v>
      </c>
      <c r="D86" s="315" t="s">
        <v>129</v>
      </c>
      <c r="E86" s="316" t="s">
        <v>3</v>
      </c>
      <c r="F86" s="316" t="s">
        <v>4769</v>
      </c>
      <c r="G86" s="315" t="s">
        <v>33</v>
      </c>
      <c r="H86" s="315" t="s">
        <v>6267</v>
      </c>
      <c r="I86" s="316">
        <v>45145</v>
      </c>
      <c r="J86" s="316"/>
      <c r="K86" s="316"/>
      <c r="L86" s="316"/>
      <c r="M86" s="316"/>
      <c r="N86" s="316"/>
      <c r="O86" s="317"/>
      <c r="P86" s="316"/>
    </row>
    <row r="87" spans="1:22">
      <c r="A87" s="315" t="s">
        <v>41</v>
      </c>
      <c r="B87" s="315" t="s">
        <v>49</v>
      </c>
      <c r="C87" s="316" t="s">
        <v>4919</v>
      </c>
      <c r="D87" s="315" t="s">
        <v>22</v>
      </c>
      <c r="E87" s="316" t="s">
        <v>2</v>
      </c>
      <c r="F87" s="316" t="s">
        <v>6172</v>
      </c>
      <c r="G87" s="315"/>
      <c r="H87" s="315" t="s">
        <v>6273</v>
      </c>
      <c r="I87" s="316">
        <v>45156.705231481479</v>
      </c>
      <c r="J87" s="316"/>
      <c r="K87" s="316"/>
      <c r="L87" s="316"/>
      <c r="M87" s="316"/>
      <c r="N87" s="316"/>
      <c r="O87" s="317"/>
      <c r="P87" s="316"/>
    </row>
    <row r="88" spans="1:22">
      <c r="A88" s="315" t="s">
        <v>4122</v>
      </c>
      <c r="B88" s="315" t="s">
        <v>16</v>
      </c>
      <c r="C88" s="316" t="s">
        <v>4774</v>
      </c>
      <c r="D88" s="315" t="s">
        <v>22</v>
      </c>
      <c r="E88" s="316" t="s">
        <v>2</v>
      </c>
      <c r="F88" s="318" t="s">
        <v>6133</v>
      </c>
      <c r="G88" s="315" t="s">
        <v>20</v>
      </c>
      <c r="H88" s="315" t="s">
        <v>6268</v>
      </c>
      <c r="I88" s="316">
        <v>45149.690127314818</v>
      </c>
      <c r="J88" s="316" t="s">
        <v>55</v>
      </c>
      <c r="K88" s="316"/>
      <c r="L88" s="316">
        <v>45153</v>
      </c>
      <c r="M88" s="316"/>
      <c r="N88" s="316"/>
      <c r="O88" s="317"/>
      <c r="P88" s="316"/>
    </row>
    <row r="89" spans="1:22">
      <c r="A89" s="315" t="s">
        <v>4122</v>
      </c>
      <c r="B89" s="315" t="s">
        <v>16</v>
      </c>
      <c r="C89" s="316" t="s">
        <v>5019</v>
      </c>
      <c r="D89" s="315" t="s">
        <v>22</v>
      </c>
      <c r="E89" s="316" t="s">
        <v>2</v>
      </c>
      <c r="F89" s="318" t="s">
        <v>17</v>
      </c>
      <c r="G89" s="315"/>
      <c r="H89" s="315" t="s">
        <v>6272</v>
      </c>
      <c r="I89" s="316">
        <v>45152.661689814813</v>
      </c>
      <c r="J89" s="316"/>
      <c r="K89" s="316"/>
      <c r="L89" s="316">
        <v>45153</v>
      </c>
      <c r="M89" s="316"/>
      <c r="N89" s="316"/>
      <c r="O89" s="317"/>
      <c r="P89" s="316"/>
    </row>
    <row r="90" spans="1:22">
      <c r="A90" s="315" t="s">
        <v>41</v>
      </c>
      <c r="B90" s="315" t="s">
        <v>2052</v>
      </c>
      <c r="C90" s="316" t="s">
        <v>2114</v>
      </c>
      <c r="D90" s="315" t="s">
        <v>129</v>
      </c>
      <c r="E90" s="316" t="s">
        <v>3</v>
      </c>
      <c r="F90" s="318" t="s">
        <v>4769</v>
      </c>
      <c r="G90" s="315" t="s">
        <v>33</v>
      </c>
      <c r="H90" s="315" t="s">
        <v>6267</v>
      </c>
      <c r="I90" s="316">
        <v>45152</v>
      </c>
      <c r="J90" s="316"/>
      <c r="K90" s="316"/>
      <c r="L90" s="316"/>
      <c r="M90" s="316"/>
      <c r="N90" s="316"/>
      <c r="O90" s="317"/>
      <c r="P90" s="316"/>
    </row>
    <row r="91" spans="1:22">
      <c r="A91" s="315" t="s">
        <v>41</v>
      </c>
      <c r="B91" s="315" t="s">
        <v>51</v>
      </c>
      <c r="C91" s="316" t="s">
        <v>4607</v>
      </c>
      <c r="D91" s="315" t="s">
        <v>129</v>
      </c>
      <c r="E91" s="316" t="s">
        <v>3</v>
      </c>
      <c r="F91" s="318" t="s">
        <v>2153</v>
      </c>
      <c r="G91" s="315" t="s">
        <v>33</v>
      </c>
      <c r="H91" s="315" t="s">
        <v>3846</v>
      </c>
      <c r="I91" s="316">
        <v>45154</v>
      </c>
      <c r="J91" s="316"/>
      <c r="K91" s="316"/>
      <c r="L91" s="316"/>
      <c r="M91" s="316"/>
      <c r="N91" s="316"/>
      <c r="O91" s="317"/>
      <c r="P91" s="316"/>
      <c r="V91" s="8"/>
    </row>
    <row r="92" spans="1:22">
      <c r="A92" s="315" t="s">
        <v>37</v>
      </c>
      <c r="B92" s="315" t="s">
        <v>30</v>
      </c>
      <c r="C92" s="316" t="s">
        <v>5115</v>
      </c>
      <c r="D92" s="315" t="s">
        <v>129</v>
      </c>
      <c r="E92" s="316" t="s">
        <v>3</v>
      </c>
      <c r="F92" s="318" t="s">
        <v>1720</v>
      </c>
      <c r="G92" s="315" t="s">
        <v>125</v>
      </c>
      <c r="H92" s="315" t="s">
        <v>6270</v>
      </c>
      <c r="I92" s="316">
        <v>45159</v>
      </c>
      <c r="J92" s="316"/>
      <c r="K92" s="316"/>
      <c r="L92" s="316"/>
      <c r="M92" s="316"/>
      <c r="N92" s="316"/>
      <c r="O92" s="317"/>
      <c r="P92" s="316"/>
    </row>
    <row r="93" spans="1:22">
      <c r="A93" s="315" t="s">
        <v>37</v>
      </c>
      <c r="B93" s="315" t="s">
        <v>30</v>
      </c>
      <c r="C93" s="316" t="s">
        <v>4932</v>
      </c>
      <c r="D93" s="315" t="s">
        <v>129</v>
      </c>
      <c r="E93" s="316" t="s">
        <v>3</v>
      </c>
      <c r="F93" s="318" t="s">
        <v>1212</v>
      </c>
      <c r="G93" s="315"/>
      <c r="H93" s="315" t="s">
        <v>3837</v>
      </c>
      <c r="I93" s="316">
        <v>45159.456412037034</v>
      </c>
      <c r="J93" s="316"/>
      <c r="K93" s="316"/>
      <c r="L93" s="316"/>
      <c r="M93" s="316"/>
      <c r="N93" s="316"/>
      <c r="O93" s="317"/>
      <c r="P93" s="316"/>
    </row>
    <row r="94" spans="1:22">
      <c r="A94" s="315" t="s">
        <v>41</v>
      </c>
      <c r="B94" s="315" t="s">
        <v>51</v>
      </c>
      <c r="C94" s="316" t="s">
        <v>6234</v>
      </c>
      <c r="D94" s="315" t="s">
        <v>129</v>
      </c>
      <c r="E94" s="316" t="s">
        <v>3</v>
      </c>
      <c r="F94" s="318" t="s">
        <v>6299</v>
      </c>
      <c r="G94" s="315" t="s">
        <v>33</v>
      </c>
      <c r="H94" s="315"/>
      <c r="I94" s="316">
        <v>45159</v>
      </c>
      <c r="J94" s="316"/>
      <c r="K94" s="316"/>
      <c r="L94" s="316"/>
      <c r="M94" s="316"/>
      <c r="N94" s="316"/>
      <c r="O94" s="317"/>
      <c r="P94" s="316"/>
    </row>
    <row r="95" spans="1:22">
      <c r="A95" s="319" t="s">
        <v>5097</v>
      </c>
      <c r="B95" s="319" t="s">
        <v>1123</v>
      </c>
      <c r="C95" s="320" t="s">
        <v>6260</v>
      </c>
      <c r="D95" s="319" t="s">
        <v>129</v>
      </c>
      <c r="E95" s="320" t="s">
        <v>3</v>
      </c>
      <c r="F95" s="321" t="s">
        <v>2153</v>
      </c>
      <c r="G95" s="319" t="s">
        <v>33</v>
      </c>
      <c r="H95" s="319" t="s">
        <v>6266</v>
      </c>
      <c r="I95" s="320">
        <v>45160</v>
      </c>
      <c r="J95" s="320"/>
      <c r="K95" s="320"/>
      <c r="L95" s="320"/>
      <c r="M95" s="320"/>
      <c r="N95" s="320"/>
      <c r="O95" s="322"/>
      <c r="P95" s="320"/>
    </row>
    <row r="96" spans="1:22">
      <c r="A96" s="75"/>
      <c r="B96" s="75"/>
      <c r="C96" s="8"/>
      <c r="D96" s="75"/>
      <c r="E96" s="8"/>
      <c r="G96" s="75"/>
      <c r="H96" s="75"/>
      <c r="I96" s="8"/>
      <c r="J96" s="8"/>
      <c r="K96" s="8"/>
      <c r="L96" s="8"/>
      <c r="M96" s="8"/>
      <c r="N96" s="8"/>
      <c r="O96" s="182"/>
      <c r="P96" s="8"/>
    </row>
    <row r="97" spans="1:17">
      <c r="A97" s="75"/>
      <c r="E97" s="8"/>
    </row>
    <row r="98" spans="1:17" ht="19.5">
      <c r="A98" s="106" t="s">
        <v>3010</v>
      </c>
      <c r="B98" s="105"/>
      <c r="C98" s="105"/>
      <c r="D98" s="105"/>
      <c r="E98" s="105"/>
      <c r="F98" s="105"/>
      <c r="G98" s="105"/>
    </row>
    <row r="99" spans="1:17">
      <c r="A99" s="304" t="s">
        <v>6</v>
      </c>
      <c r="B99" s="304" t="s">
        <v>7</v>
      </c>
      <c r="C99" s="304" t="s">
        <v>73</v>
      </c>
      <c r="D99" s="304" t="s">
        <v>5841</v>
      </c>
      <c r="E99" s="304" t="s">
        <v>6120</v>
      </c>
      <c r="F99" s="305" t="s">
        <v>10</v>
      </c>
      <c r="G99" s="304" t="s">
        <v>11</v>
      </c>
      <c r="H99" s="304" t="s">
        <v>9</v>
      </c>
    </row>
    <row r="100" spans="1:17">
      <c r="A100" s="306" t="s">
        <v>40</v>
      </c>
      <c r="B100" s="306" t="s">
        <v>49</v>
      </c>
      <c r="C100" s="306" t="s">
        <v>2255</v>
      </c>
      <c r="D100" s="307" t="s">
        <v>2</v>
      </c>
      <c r="E100" s="307" t="s">
        <v>5576</v>
      </c>
      <c r="F100" s="307" t="s">
        <v>24</v>
      </c>
      <c r="G100" s="306" t="s">
        <v>99</v>
      </c>
      <c r="H100" s="306" t="s">
        <v>6128</v>
      </c>
    </row>
    <row r="101" spans="1:17">
      <c r="A101" s="306" t="s">
        <v>40</v>
      </c>
      <c r="B101" s="306" t="s">
        <v>30</v>
      </c>
      <c r="C101" s="306" t="s">
        <v>2243</v>
      </c>
      <c r="D101" s="307" t="s">
        <v>2</v>
      </c>
      <c r="E101" s="307" t="s">
        <v>357</v>
      </c>
      <c r="F101" s="307" t="s">
        <v>20</v>
      </c>
      <c r="G101" s="306" t="s">
        <v>99</v>
      </c>
      <c r="H101" s="306"/>
    </row>
    <row r="102" spans="1:17">
      <c r="A102" s="309" t="s">
        <v>40</v>
      </c>
      <c r="B102" s="309" t="s">
        <v>30</v>
      </c>
      <c r="C102" s="309" t="s">
        <v>2679</v>
      </c>
      <c r="D102" s="310" t="s">
        <v>2</v>
      </c>
      <c r="E102" s="310" t="s">
        <v>357</v>
      </c>
      <c r="F102" s="310" t="s">
        <v>20</v>
      </c>
      <c r="G102" s="309" t="s">
        <v>99</v>
      </c>
      <c r="H102" s="309" t="s">
        <v>6128</v>
      </c>
    </row>
    <row r="103" spans="1:17">
      <c r="A103" s="303" t="s">
        <v>21</v>
      </c>
      <c r="B103" s="303" t="s">
        <v>30</v>
      </c>
      <c r="C103" s="303" t="s">
        <v>6236</v>
      </c>
      <c r="D103" s="302" t="s">
        <v>3</v>
      </c>
      <c r="E103" s="302" t="s">
        <v>6300</v>
      </c>
      <c r="F103" s="301" t="s">
        <v>1120</v>
      </c>
      <c r="G103" s="303" t="s">
        <v>300</v>
      </c>
      <c r="H103" s="303" t="s">
        <v>6328</v>
      </c>
      <c r="I103" s="75"/>
      <c r="J103" s="8"/>
      <c r="K103" s="8"/>
      <c r="L103" s="8"/>
      <c r="M103" s="8"/>
      <c r="N103" s="8"/>
      <c r="O103" s="8"/>
      <c r="P103" s="182"/>
      <c r="Q103" s="8"/>
    </row>
    <row r="104" spans="1:17" ht="19.5">
      <c r="A104" s="73"/>
      <c r="C104" s="189"/>
      <c r="F104" s="208"/>
    </row>
    <row r="105" spans="1:17">
      <c r="A105" s="75" t="s">
        <v>6329</v>
      </c>
      <c r="C105" s="105"/>
    </row>
    <row r="106" spans="1:17">
      <c r="A106" s="75" t="s">
        <v>6330</v>
      </c>
      <c r="C106" s="105"/>
      <c r="F106" s="105"/>
      <c r="G106" s="105"/>
    </row>
    <row r="107" spans="1:17" ht="45">
      <c r="A107" s="326" t="s">
        <v>6341</v>
      </c>
      <c r="C107" s="105"/>
      <c r="F107" s="105"/>
      <c r="G107" s="105"/>
    </row>
    <row r="108" spans="1:17">
      <c r="A108" s="75" t="s">
        <v>6340</v>
      </c>
      <c r="C108" s="105"/>
      <c r="F108" s="105"/>
      <c r="G108" s="105"/>
    </row>
    <row r="109" spans="1:17">
      <c r="C109" s="189"/>
      <c r="F109" s="105"/>
      <c r="G109" s="105"/>
    </row>
    <row r="110" spans="1:17">
      <c r="C110" s="189"/>
      <c r="G110" s="105"/>
    </row>
    <row r="111" spans="1:17" ht="19.5">
      <c r="C111" s="189"/>
      <c r="F111" s="208"/>
      <c r="G111" s="105"/>
    </row>
    <row r="112" spans="1:17">
      <c r="C112" s="189"/>
      <c r="F112" s="209"/>
      <c r="G112" s="209"/>
    </row>
    <row r="113" spans="2:7">
      <c r="C113" s="105"/>
      <c r="F113" s="209"/>
      <c r="G113" s="105"/>
    </row>
    <row r="114" spans="2:7">
      <c r="B114" s="105"/>
      <c r="C114" s="105"/>
      <c r="F114" s="209"/>
      <c r="G114" s="105"/>
    </row>
    <row r="115" spans="2:7">
      <c r="B115" s="105"/>
      <c r="C115" s="105"/>
      <c r="F115" s="209"/>
      <c r="G115" s="105"/>
    </row>
    <row r="116" spans="2:7">
      <c r="B116" s="105"/>
      <c r="C116" s="105"/>
      <c r="F116" s="209"/>
      <c r="G116" s="105"/>
    </row>
    <row r="117" spans="2:7">
      <c r="F117" s="209"/>
      <c r="G117" s="105"/>
    </row>
    <row r="118" spans="2:7">
      <c r="F118" s="105"/>
      <c r="G118" s="105"/>
    </row>
    <row r="121" spans="2:7">
      <c r="E121" s="105"/>
    </row>
  </sheetData>
  <dataConsolidate/>
  <phoneticPr fontId="36" type="noConversion"/>
  <conditionalFormatting sqref="F111:F117 F104 A43 A1 A30:B30 A82:A83 A45:A50">
    <cfRule type="containsText" dxfId="206" priority="2813" operator="containsText" text="plan">
      <formula>NOT(ISERROR(SEARCH("plan",A1)))</formula>
    </cfRule>
    <cfRule type="containsText" dxfId="205" priority="2814" operator="containsText" text="BreakDown">
      <formula>NOT(ISERROR(SEARCH("BreakDown",A1)))</formula>
    </cfRule>
    <cfRule type="containsText" dxfId="204" priority="2815" operator="containsText" text="Completed">
      <formula>NOT(ISERROR(SEARCH("Completed",A1)))</formula>
    </cfRule>
    <cfRule type="containsText" dxfId="203" priority="2816" operator="containsText" text="transfer">
      <formula>NOT(ISERROR(SEARCH("transfer",A1)))</formula>
    </cfRule>
    <cfRule type="containsText" dxfId="202" priority="2817" operator="containsText" text="Received:">
      <formula>NOT(ISERROR(SEARCH("Received:",A1)))</formula>
    </cfRule>
  </conditionalFormatting>
  <conditionalFormatting sqref="A98">
    <cfRule type="containsText" dxfId="201" priority="2808" operator="containsText" text="plan">
      <formula>NOT(ISERROR(SEARCH("plan",A98)))</formula>
    </cfRule>
    <cfRule type="containsText" dxfId="200" priority="2809" operator="containsText" text="Inspect">
      <formula>NOT(ISERROR(SEARCH("Inspect",A98)))</formula>
    </cfRule>
    <cfRule type="containsText" dxfId="199" priority="2810" operator="containsText" text="Completed">
      <formula>NOT(ISERROR(SEARCH("Completed",A98)))</formula>
    </cfRule>
    <cfRule type="containsText" dxfId="198" priority="2811" operator="containsText" text="transfer">
      <formula>NOT(ISERROR(SEARCH("transfer",A98)))</formula>
    </cfRule>
    <cfRule type="containsText" dxfId="197" priority="2812" operator="containsText" text="Received:">
      <formula>NOT(ISERROR(SEARCH("Received:",A98)))</formula>
    </cfRule>
  </conditionalFormatting>
  <conditionalFormatting sqref="A44">
    <cfRule type="containsText" dxfId="196" priority="1146" operator="containsText" text="plan">
      <formula>NOT(ISERROR(SEARCH("plan",A44)))</formula>
    </cfRule>
    <cfRule type="containsText" dxfId="195" priority="1147" operator="containsText" text="BreakDown">
      <formula>NOT(ISERROR(SEARCH("BreakDown",A44)))</formula>
    </cfRule>
    <cfRule type="containsText" dxfId="194" priority="1148" operator="containsText" text="Completed">
      <formula>NOT(ISERROR(SEARCH("Completed",A44)))</formula>
    </cfRule>
    <cfRule type="containsText" dxfId="193" priority="1149" operator="containsText" text="transfer">
      <formula>NOT(ISERROR(SEARCH("transfer",A44)))</formula>
    </cfRule>
    <cfRule type="containsText" dxfId="192" priority="1150" operator="containsText" text="Received:">
      <formula>NOT(ISERROR(SEARCH("Received:",A44)))</formula>
    </cfRule>
  </conditionalFormatting>
  <conditionalFormatting sqref="C43">
    <cfRule type="duplicateValues" dxfId="191" priority="1151"/>
  </conditionalFormatting>
  <conditionalFormatting sqref="C1">
    <cfRule type="expression" dxfId="190" priority="8713">
      <formula>IF(SEARCH("Received",#REF!),1,0)</formula>
    </cfRule>
    <cfRule type="expression" dxfId="189" priority="8714">
      <formula>IF(SEARCH("under inspection",#REF!),1,0)</formula>
    </cfRule>
    <cfRule type="expression" dxfId="188" priority="8715">
      <formula>IF(SEARCH("prepairing quotation",#REF!),1,0)</formula>
    </cfRule>
    <cfRule type="expression" dxfId="187" priority="8716">
      <formula>IF(SEARCH("waiting confirm",#REF!),1,0)</formula>
    </cfRule>
    <cfRule type="expression" dxfId="186" priority="8717">
      <formula>IF(SEARCH("waiting approved",#REF!),1,0)</formula>
    </cfRule>
    <cfRule type="expression" dxfId="185" priority="8718">
      <formula>IF(SEARCH("waiting for part",#REF!),1,0)</formula>
    </cfRule>
    <cfRule type="expression" dxfId="184" priority="8719">
      <formula>IF(SEARCH("under repair",#REF!),1,0)</formula>
    </cfRule>
    <cfRule type="expression" dxfId="183" priority="8720">
      <formula>IF(SEARCH("waiting for repair",#REF!),1,0)</formula>
    </cfRule>
    <cfRule type="expression" dxfId="182" priority="8721">
      <formula>IF(SEARCH("Completed repair",#REF!),1,0)</formula>
    </cfRule>
    <cfRule type="expression" dxfId="181" priority="8722">
      <formula>IF(SEARCH("Transfer to sale team",#REF!),1,0)</formula>
    </cfRule>
    <cfRule type="expression" dxfId="180" priority="8723">
      <formula>MOD($A1,2)</formula>
    </cfRule>
  </conditionalFormatting>
  <conditionalFormatting sqref="C109:C110 F106:F109">
    <cfRule type="expression" dxfId="179" priority="17014">
      <formula>IF(SEARCH("Received",#REF!),1,0)</formula>
    </cfRule>
    <cfRule type="expression" dxfId="178" priority="17015">
      <formula>IF(SEARCH("under inspection",#REF!),1,0)</formula>
    </cfRule>
    <cfRule type="expression" dxfId="177" priority="17016">
      <formula>IF(SEARCH("prepairing quotation",#REF!),1,0)</formula>
    </cfRule>
    <cfRule type="expression" dxfId="176" priority="17017">
      <formula>IF(SEARCH("waiting confirm",#REF!),1,0)</formula>
    </cfRule>
    <cfRule type="expression" dxfId="175" priority="17018">
      <formula>IF(SEARCH("waiting approved",#REF!),1,0)</formula>
    </cfRule>
    <cfRule type="expression" dxfId="174" priority="17019">
      <formula>IF(SEARCH("waiting for part",#REF!),1,0)</formula>
    </cfRule>
    <cfRule type="expression" dxfId="173" priority="17020">
      <formula>IF(SEARCH("under repair",#REF!),1,0)</formula>
    </cfRule>
    <cfRule type="expression" dxfId="172" priority="17021">
      <formula>IF(SEARCH("waiting for repair",#REF!),1,0)</formula>
    </cfRule>
    <cfRule type="expression" dxfId="171" priority="17022">
      <formula>IF(SEARCH("Completed repair",#REF!),1,0)</formula>
    </cfRule>
    <cfRule type="expression" dxfId="170" priority="17023">
      <formula>IF(SEARCH("Transfer to sale team",#REF!),1,0)</formula>
    </cfRule>
    <cfRule type="expression" dxfId="169" priority="17024">
      <formula>MOD(#REF!,2)</formula>
    </cfRule>
  </conditionalFormatting>
  <conditionalFormatting sqref="C29:C30">
    <cfRule type="duplicateValues" dxfId="168" priority="18747"/>
  </conditionalFormatting>
  <conditionalFormatting sqref="C104">
    <cfRule type="expression" dxfId="167" priority="18834">
      <formula>IF(SEARCH("Received",#REF!),1,0)</formula>
    </cfRule>
    <cfRule type="expression" dxfId="166" priority="18835">
      <formula>IF(SEARCH("under inspection",#REF!),1,0)</formula>
    </cfRule>
    <cfRule type="expression" dxfId="165" priority="18836">
      <formula>IF(SEARCH("prepairing quotation",#REF!),1,0)</formula>
    </cfRule>
    <cfRule type="expression" dxfId="164" priority="18837">
      <formula>IF(SEARCH("waiting confirm",#REF!),1,0)</formula>
    </cfRule>
    <cfRule type="expression" dxfId="163" priority="18838">
      <formula>IF(SEARCH("waiting approved",#REF!),1,0)</formula>
    </cfRule>
    <cfRule type="expression" dxfId="162" priority="18839">
      <formula>IF(SEARCH("waiting for part",#REF!),1,0)</formula>
    </cfRule>
    <cfRule type="expression" dxfId="161" priority="18840">
      <formula>IF(SEARCH("under repair",#REF!),1,0)</formula>
    </cfRule>
    <cfRule type="expression" dxfId="160" priority="18841">
      <formula>IF(SEARCH("waiting for repair",#REF!),1,0)</formula>
    </cfRule>
    <cfRule type="expression" dxfId="159" priority="18842">
      <formula>IF(SEARCH("Completed repair",#REF!),1,0)</formula>
    </cfRule>
    <cfRule type="expression" dxfId="158" priority="18843">
      <formula>IF(SEARCH("Transfer to sale team",#REF!),1,0)</formula>
    </cfRule>
    <cfRule type="expression" dxfId="157" priority="18844">
      <formula>MOD($F111,2)</formula>
    </cfRule>
  </conditionalFormatting>
  <conditionalFormatting sqref="C111:C112">
    <cfRule type="expression" dxfId="156" priority="18845">
      <formula>IF(SEARCH("Received",#REF!),1,0)</formula>
    </cfRule>
    <cfRule type="expression" dxfId="155" priority="18846">
      <formula>IF(SEARCH("under inspection",#REF!),1,0)</formula>
    </cfRule>
    <cfRule type="expression" dxfId="154" priority="18847">
      <formula>IF(SEARCH("prepairing quotation",#REF!),1,0)</formula>
    </cfRule>
    <cfRule type="expression" dxfId="153" priority="18848">
      <formula>IF(SEARCH("waiting confirm",#REF!),1,0)</formula>
    </cfRule>
    <cfRule type="expression" dxfId="152" priority="18849">
      <formula>IF(SEARCH("waiting approved",#REF!),1,0)</formula>
    </cfRule>
    <cfRule type="expression" dxfId="151" priority="18850">
      <formula>IF(SEARCH("waiting for part",#REF!),1,0)</formula>
    </cfRule>
    <cfRule type="expression" dxfId="150" priority="18851">
      <formula>IF(SEARCH("under repair",#REF!),1,0)</formula>
    </cfRule>
    <cfRule type="expression" dxfId="149" priority="18852">
      <formula>IF(SEARCH("waiting for repair",#REF!),1,0)</formula>
    </cfRule>
    <cfRule type="expression" dxfId="148" priority="18853">
      <formula>IF(SEARCH("Completed repair",#REF!),1,0)</formula>
    </cfRule>
    <cfRule type="expression" dxfId="147" priority="18854">
      <formula>IF(SEARCH("Transfer to sale team",#REF!),1,0)</formula>
    </cfRule>
    <cfRule type="expression" dxfId="146" priority="18855">
      <formula>MOD($F116,2)</formula>
    </cfRule>
  </conditionalFormatting>
  <conditionalFormatting sqref="A2">
    <cfRule type="containsText" dxfId="145" priority="46" operator="containsText" text="plan">
      <formula>NOT(ISERROR(SEARCH("plan",A2)))</formula>
    </cfRule>
    <cfRule type="containsText" dxfId="144" priority="47" operator="containsText" text="Inspect">
      <formula>NOT(ISERROR(SEARCH("Inspect",A2)))</formula>
    </cfRule>
    <cfRule type="containsText" dxfId="143" priority="48" operator="containsText" text="Completed">
      <formula>NOT(ISERROR(SEARCH("Completed",A2)))</formula>
    </cfRule>
    <cfRule type="containsText" dxfId="142" priority="49" operator="containsText" text="transfer">
      <formula>NOT(ISERROR(SEARCH("transfer",A2)))</formula>
    </cfRule>
    <cfRule type="containsText" dxfId="141" priority="50" operator="containsText" text="Received:">
      <formula>NOT(ISERROR(SEARCH("Received:",A2)))</formula>
    </cfRule>
  </conditionalFormatting>
  <conditionalFormatting sqref="C2">
    <cfRule type="duplicateValues" dxfId="140" priority="52"/>
  </conditionalFormatting>
  <conditionalFormatting sqref="A31">
    <cfRule type="containsText" dxfId="139" priority="38" operator="containsText" text="plan">
      <formula>NOT(ISERROR(SEARCH("plan",A31)))</formula>
    </cfRule>
    <cfRule type="containsText" dxfId="138" priority="39" operator="containsText" text="Inspect">
      <formula>NOT(ISERROR(SEARCH("Inspect",A31)))</formula>
    </cfRule>
    <cfRule type="containsText" dxfId="137" priority="40" operator="containsText" text="Completed">
      <formula>NOT(ISERROR(SEARCH("Completed",A31)))</formula>
    </cfRule>
    <cfRule type="containsText" dxfId="136" priority="41" operator="containsText" text="transfer">
      <formula>NOT(ISERROR(SEARCH("transfer",A31)))</formula>
    </cfRule>
    <cfRule type="containsText" dxfId="135" priority="42" operator="containsText" text="Received:">
      <formula>NOT(ISERROR(SEARCH("Received:",A31)))</formula>
    </cfRule>
  </conditionalFormatting>
  <conditionalFormatting sqref="C31">
    <cfRule type="duplicateValues" dxfId="134" priority="44"/>
  </conditionalFormatting>
  <conditionalFormatting sqref="A51">
    <cfRule type="containsText" dxfId="133" priority="30" operator="containsText" text="plan">
      <formula>NOT(ISERROR(SEARCH("plan",A51)))</formula>
    </cfRule>
    <cfRule type="containsText" dxfId="132" priority="31" operator="containsText" text="Inspect">
      <formula>NOT(ISERROR(SEARCH("Inspect",A51)))</formula>
    </cfRule>
    <cfRule type="containsText" dxfId="131" priority="32" operator="containsText" text="Completed">
      <formula>NOT(ISERROR(SEARCH("Completed",A51)))</formula>
    </cfRule>
    <cfRule type="containsText" dxfId="130" priority="33" operator="containsText" text="transfer">
      <formula>NOT(ISERROR(SEARCH("transfer",A51)))</formula>
    </cfRule>
    <cfRule type="containsText" dxfId="129" priority="34" operator="containsText" text="Received:">
      <formula>NOT(ISERROR(SEARCH("Received:",A51)))</formula>
    </cfRule>
  </conditionalFormatting>
  <conditionalFormatting sqref="C51:C81">
    <cfRule type="duplicateValues" dxfId="128" priority="29"/>
  </conditionalFormatting>
  <conditionalFormatting sqref="C52:C81">
    <cfRule type="duplicateValues" dxfId="127" priority="35"/>
  </conditionalFormatting>
  <conditionalFormatting sqref="C51">
    <cfRule type="duplicateValues" dxfId="126" priority="36"/>
  </conditionalFormatting>
  <conditionalFormatting sqref="A99">
    <cfRule type="containsText" dxfId="125" priority="14" operator="containsText" text="plan">
      <formula>NOT(ISERROR(SEARCH("plan",A99)))</formula>
    </cfRule>
    <cfRule type="containsText" dxfId="124" priority="15" operator="containsText" text="Inspect">
      <formula>NOT(ISERROR(SEARCH("Inspect",A99)))</formula>
    </cfRule>
    <cfRule type="containsText" dxfId="123" priority="16" operator="containsText" text="Completed">
      <formula>NOT(ISERROR(SEARCH("Completed",A99)))</formula>
    </cfRule>
    <cfRule type="containsText" dxfId="122" priority="17" operator="containsText" text="transfer">
      <formula>NOT(ISERROR(SEARCH("transfer",A99)))</formula>
    </cfRule>
    <cfRule type="containsText" dxfId="121" priority="18" operator="containsText" text="Received:">
      <formula>NOT(ISERROR(SEARCH("Received:",A99)))</formula>
    </cfRule>
  </conditionalFormatting>
  <conditionalFormatting sqref="C99:C102">
    <cfRule type="duplicateValues" dxfId="120" priority="13"/>
  </conditionalFormatting>
  <conditionalFormatting sqref="C100:C102">
    <cfRule type="duplicateValues" dxfId="119" priority="19"/>
  </conditionalFormatting>
  <conditionalFormatting sqref="C99">
    <cfRule type="duplicateValues" dxfId="118" priority="20"/>
  </conditionalFormatting>
  <conditionalFormatting sqref="C103">
    <cfRule type="duplicateValues" dxfId="117" priority="11"/>
  </conditionalFormatting>
  <conditionalFormatting sqref="C103">
    <cfRule type="duplicateValues" dxfId="116" priority="12"/>
  </conditionalFormatting>
  <conditionalFormatting sqref="A84">
    <cfRule type="containsText" dxfId="115" priority="4" operator="containsText" text="plan">
      <formula>NOT(ISERROR(SEARCH("plan",A84)))</formula>
    </cfRule>
    <cfRule type="containsText" dxfId="114" priority="5" operator="containsText" text="Inspect">
      <formula>NOT(ISERROR(SEARCH("Inspect",A84)))</formula>
    </cfRule>
    <cfRule type="containsText" dxfId="113" priority="6" operator="containsText" text="Completed">
      <formula>NOT(ISERROR(SEARCH("Completed",A84)))</formula>
    </cfRule>
    <cfRule type="containsText" dxfId="112" priority="7" operator="containsText" text="transfer">
      <formula>NOT(ISERROR(SEARCH("transfer",A84)))</formula>
    </cfRule>
    <cfRule type="containsText" dxfId="111" priority="8" operator="containsText" text="Received:">
      <formula>NOT(ISERROR(SEARCH("Received:",A84)))</formula>
    </cfRule>
  </conditionalFormatting>
  <conditionalFormatting sqref="C84:C95">
    <cfRule type="duplicateValues" dxfId="110" priority="3"/>
  </conditionalFormatting>
  <conditionalFormatting sqref="C85:C95">
    <cfRule type="duplicateValues" dxfId="109" priority="9"/>
  </conditionalFormatting>
  <conditionalFormatting sqref="B84:C84">
    <cfRule type="duplicateValues" dxfId="108" priority="10"/>
  </conditionalFormatting>
  <conditionalFormatting sqref="B84:B95">
    <cfRule type="duplicateValues" dxfId="107" priority="1"/>
  </conditionalFormatting>
  <conditionalFormatting sqref="B85:B95">
    <cfRule type="duplicateValues" dxfId="106" priority="2"/>
  </conditionalFormatting>
  <conditionalFormatting sqref="C2:C28">
    <cfRule type="duplicateValues" dxfId="105" priority="18856"/>
  </conditionalFormatting>
  <conditionalFormatting sqref="C3:C28">
    <cfRule type="duplicateValues" dxfId="104" priority="18857"/>
  </conditionalFormatting>
  <conditionalFormatting sqref="C31:C42">
    <cfRule type="duplicateValues" dxfId="103" priority="18858"/>
  </conditionalFormatting>
  <conditionalFormatting sqref="C32:C42">
    <cfRule type="duplicateValues" dxfId="102" priority="18860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0"/>
  <sheetViews>
    <sheetView zoomScale="90" zoomScaleNormal="90" workbookViewId="0">
      <selection activeCell="K4" sqref="K4:K9"/>
    </sheetView>
  </sheetViews>
  <sheetFormatPr defaultRowHeight="15"/>
  <cols>
    <col min="1" max="1" width="7.28515625" style="110" bestFit="1" customWidth="1"/>
    <col min="2" max="2" width="29.42578125" style="137" customWidth="1"/>
    <col min="3" max="3" width="7.28515625" style="137" bestFit="1" customWidth="1"/>
    <col min="9" max="9" width="18" customWidth="1"/>
    <col min="18" max="18" width="11.7109375" customWidth="1"/>
    <col min="19" max="19" width="11.5703125" bestFit="1" customWidth="1"/>
  </cols>
  <sheetData>
    <row r="1" spans="1:22" ht="15.75">
      <c r="A1" s="108" t="s">
        <v>272</v>
      </c>
      <c r="B1" s="108" t="s">
        <v>1814</v>
      </c>
      <c r="C1" s="109" t="s">
        <v>5718</v>
      </c>
      <c r="K1" t="s">
        <v>5719</v>
      </c>
    </row>
    <row r="2" spans="1:22">
      <c r="B2" s="111" t="s">
        <v>1815</v>
      </c>
      <c r="C2"/>
      <c r="R2" t="s">
        <v>6121</v>
      </c>
      <c r="S2" s="8">
        <v>45152</v>
      </c>
      <c r="T2" t="s">
        <v>1815</v>
      </c>
      <c r="V2" t="s">
        <v>6124</v>
      </c>
    </row>
    <row r="3" spans="1:22" ht="18.75">
      <c r="A3" s="112"/>
      <c r="B3" s="113" t="s">
        <v>1816</v>
      </c>
      <c r="C3" s="114"/>
      <c r="O3" s="1"/>
      <c r="R3" t="s">
        <v>6122</v>
      </c>
      <c r="S3" s="284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.75">
      <c r="A4" s="108" t="s">
        <v>129</v>
      </c>
      <c r="B4" s="115" t="s">
        <v>1817</v>
      </c>
      <c r="C4" s="115" cm="1">
        <f t="array" ref="C4">COUNTIF('1.MasterPendingList'!F:F,"Hanoi")-SUM(COUNTIFS('1.MasterPendingList'!F:F,FFAP!$A$4,'1.MasterPendingList'!AE:AE,{"*completed*"}))</f>
        <v>138</v>
      </c>
      <c r="K4" s="191" t="s">
        <v>5819</v>
      </c>
      <c r="O4" s="1"/>
      <c r="R4" t="s">
        <v>6123</v>
      </c>
      <c r="S4" s="284">
        <f>S2-3</f>
        <v>45149</v>
      </c>
      <c r="T4">
        <f>MONTH(S4)</f>
        <v>8</v>
      </c>
      <c r="U4">
        <f>DAY(S4)</f>
        <v>11</v>
      </c>
    </row>
    <row r="5" spans="1:22" ht="18.75">
      <c r="A5" s="339" t="s">
        <v>1818</v>
      </c>
      <c r="B5" s="116" t="s">
        <v>1819</v>
      </c>
      <c r="C5" s="117">
        <f>COUNTIF('Summary 25-Aug'!E:E,FFAP!$A$4)</f>
        <v>20</v>
      </c>
      <c r="H5" s="190">
        <f>COUNTIF('Summary 25-Aug'!E:E,"H*")</f>
        <v>26</v>
      </c>
      <c r="I5">
        <f>COUNTIF('Summary 25-Aug'!E:E,"Hanoi")</f>
        <v>20</v>
      </c>
      <c r="J5">
        <f>COUNTIF('Summary 25-Aug'!E:E,"HCM")</f>
        <v>6</v>
      </c>
      <c r="K5" s="192" t="str">
        <f>"1. In-coming: "&amp;H5&amp;" items (Hanoi "&amp;I5&amp;" - "&amp;J5&amp;" HCM)"</f>
        <v>1. In-coming: 26 items (Hanoi 20 - 6 HCM)</v>
      </c>
      <c r="O5" s="1"/>
    </row>
    <row r="6" spans="1:22">
      <c r="A6" s="340"/>
      <c r="B6" s="118" t="s">
        <v>1820</v>
      </c>
      <c r="C6" s="119" cm="1">
        <f t="array" ref="C6">SUM(COUNTIFS('1.MasterPendingList'!F:F,FFAP!$A$4,'1.MasterPendingList'!AE:AE,{"*Completed*"}))</f>
        <v>0</v>
      </c>
      <c r="J6" s="190">
        <f>SUM(H7:J8)</f>
        <v>12</v>
      </c>
      <c r="K6" s="192" t="str">
        <f>"2. Outgoing: "&amp;J6&amp;" items"</f>
        <v>2. Outgoing: 12 items</v>
      </c>
    </row>
    <row r="7" spans="1:22">
      <c r="A7" s="340"/>
      <c r="B7" s="120" t="s">
        <v>1821</v>
      </c>
      <c r="C7" s="121"/>
      <c r="G7">
        <f>SUM(COUNTIF('Summary 25-Aug'!E:E,"Major"),COUNTIF('Summary 25-Aug'!E:E,"Minor"),COUNTIF('Summary 25-Aug'!E:E,"Other"))</f>
        <v>11</v>
      </c>
      <c r="H7">
        <f>COUNTIF('Summary 25-Aug'!E:E,"Major")</f>
        <v>3</v>
      </c>
      <c r="I7">
        <f>COUNTIF('Summary 25-Aug'!E:E,"Minor")</f>
        <v>8</v>
      </c>
      <c r="J7">
        <f>COUNTIF('Summary 25-Aug'!E:E,"Other")</f>
        <v>0</v>
      </c>
      <c r="K7" s="192" t="str">
        <f>"         A. Completed repair: "&amp;G7&amp;" items ("&amp;H7&amp;" Major - "&amp;I7&amp;" Minor - "&amp;J7&amp;" Other)"</f>
        <v>         A. Completed repair: 11 items (3 Major - 8 Minor - 0 Other)</v>
      </c>
      <c r="V7" s="284"/>
    </row>
    <row r="8" spans="1:22">
      <c r="A8" s="340"/>
      <c r="B8" s="122" t="s">
        <v>1822</v>
      </c>
      <c r="C8" s="122" cm="1">
        <f t="array" ref="C8">SUM(COUNTIFS('1.MasterPendingList'!F:F,FFAP!$A$4,'1.MasterPendingList'!AE:AE,{"*Received","*Under inspection","*quotation"}))</f>
        <v>28</v>
      </c>
      <c r="D8" t="str">
        <f>IF(E8&gt;0,"(included "&amp;E8&amp;" items ""prepairing quotation"")","")</f>
        <v>(included 7 items "prepairing quotation")</v>
      </c>
      <c r="E8" cm="1">
        <f t="array" ref="E8">SUM(COUNTIFS('1.MasterPendingList'!F:F,FFAP!$A$4,'1.MasterPendingList'!AE:AE,{"*quotation"}))</f>
        <v>7</v>
      </c>
      <c r="J8">
        <v>1</v>
      </c>
      <c r="K8" s="192" t="str">
        <f>"    B. Transfer to sale last week: "&amp;J8&amp;" items"</f>
        <v>    B. Transfer to sale last week: 1 items</v>
      </c>
    </row>
    <row r="9" spans="1:22" ht="15.75">
      <c r="A9" s="340"/>
      <c r="B9" s="122" t="s">
        <v>1823</v>
      </c>
      <c r="C9" s="122" cm="1">
        <f t="array" ref="C9">SUM(COUNTIFS('1.MasterPendingList'!F:F,FFAP!$A$4,'1.MasterPendingList'!AE:AE,{"*confirm","*approved"}))</f>
        <v>76</v>
      </c>
      <c r="D9" t="str">
        <f>IF(E10=0,"","(included "&amp;E10&amp;" items ""waiting approved"")")</f>
        <v>(included 2 items "waiting approved")</v>
      </c>
      <c r="H9" s="193">
        <v>175</v>
      </c>
      <c r="I9" s="190">
        <f>MAX('1.MasterPendingList'!A:A)</f>
        <v>178</v>
      </c>
      <c r="J9">
        <f>I9-COUNTIF('1.MasterPendingList'!AE:AE,"LP/*")</f>
        <v>165</v>
      </c>
      <c r="K9" s="192" t="str">
        <f>"Pending: "&amp;H9&amp;" (last week)  + "&amp;H5&amp;" - "&amp;J6&amp;" = "&amp;I9&amp;" items ("&amp;J9&amp;" scopes)"</f>
        <v>Pending: 175 (last week)  + 26 - 12 = 178 items (165 scopes)</v>
      </c>
    </row>
    <row r="10" spans="1:22">
      <c r="A10" s="340"/>
      <c r="B10" s="122" t="s">
        <v>1824</v>
      </c>
      <c r="C10" s="122" cm="1">
        <f t="array" ref="C10">SUM(COUNTIFS('1.MasterPendingList'!F:F,FFAP!$A$4,'1.MasterPendingList'!AE:AE,{"*waiting for part"}))</f>
        <v>27</v>
      </c>
      <c r="E10" cm="1">
        <f t="array" ref="E10">SUM(COUNTIFS('1.MasterPendingList'!F:F,FFAP!$A$4,'1.MasterPendingList'!AE:AE,{"*approved"}))</f>
        <v>2</v>
      </c>
    </row>
    <row r="11" spans="1:22">
      <c r="A11" s="340"/>
      <c r="B11" s="122" t="s">
        <v>1825</v>
      </c>
      <c r="C11" s="122" cm="1">
        <f t="array" ref="C11">SUM(COUNTIFS('1.MasterPendingList'!F:F,FFAP!$A$4,'1.MasterPendingList'!AE:AE,{"*waiting for repair"}))</f>
        <v>4</v>
      </c>
    </row>
    <row r="12" spans="1:22">
      <c r="A12" s="340"/>
      <c r="B12" s="122" t="s">
        <v>1826</v>
      </c>
      <c r="C12" s="122" cm="1">
        <f t="array" ref="C12">SUM(COUNTIFS('1.MasterPendingList'!F:F,FFAP!$A$4,'1.MasterPendingList'!AE:AE,{"*completed repair"}))</f>
        <v>0</v>
      </c>
    </row>
    <row r="13" spans="1:22">
      <c r="A13" s="340"/>
      <c r="B13" s="122" t="s">
        <v>1827</v>
      </c>
      <c r="C13" s="122" cm="1">
        <f t="array" ref="C13">SUM(COUNTIFS('1.MasterPendingList'!F:F,FFAP!$A$4,'1.MasterPendingList'!AE:AE,{"*transfer to sale team"}))</f>
        <v>1</v>
      </c>
    </row>
    <row r="14" spans="1:22" ht="15.75">
      <c r="A14" s="341"/>
      <c r="B14" s="115" t="s">
        <v>1828</v>
      </c>
      <c r="C14" s="115">
        <f>C4</f>
        <v>138</v>
      </c>
      <c r="K14" s="191"/>
    </row>
    <row r="15" spans="1:22">
      <c r="A15" s="123"/>
      <c r="B15" s="124"/>
      <c r="C15" s="125"/>
      <c r="I15" t="s">
        <v>6</v>
      </c>
      <c r="K15" s="192"/>
      <c r="L15" t="s">
        <v>5818</v>
      </c>
      <c r="M15" t="s">
        <v>22</v>
      </c>
      <c r="N15" t="s">
        <v>129</v>
      </c>
    </row>
    <row r="16" spans="1:22">
      <c r="A16" s="126"/>
      <c r="B16" s="127" t="s">
        <v>1829</v>
      </c>
      <c r="C16" s="128" cm="1">
        <f t="array" ref="C16">SUM(COUNTIFS('1.MasterPendingList'!F:F,FFAP!$A$4,'1.MasterPendingList'!AE:AE,{"*Plan for next week"}))</f>
        <v>1</v>
      </c>
      <c r="I16" t="s">
        <v>21</v>
      </c>
      <c r="J16">
        <v>9</v>
      </c>
      <c r="K16" s="192"/>
      <c r="L16" t="s">
        <v>2</v>
      </c>
      <c r="M16">
        <f>COUNTIFS('Summary 25-Aug'!$E:$E,FFAP!$L16,'Summary 25-Aug'!$D:$D,FFAP!M$15)</f>
        <v>3</v>
      </c>
      <c r="N16">
        <f>COUNTIFS('Summary 25-Aug'!$E:$E,FFAP!$L16,'Summary 25-Aug'!$D:$D,FFAP!N$15)</f>
        <v>0</v>
      </c>
    </row>
    <row r="17" spans="1:14">
      <c r="A17" s="129"/>
      <c r="B17" s="130"/>
      <c r="C17" s="131"/>
      <c r="I17" t="s">
        <v>41</v>
      </c>
      <c r="J17">
        <v>5</v>
      </c>
      <c r="K17" s="192"/>
      <c r="L17" t="s">
        <v>3</v>
      </c>
      <c r="M17">
        <f>COUNTIFS('Summary 25-Aug'!$E:$E,FFAP!$L17,'Summary 25-Aug'!$D:$D,FFAP!M$15)</f>
        <v>0</v>
      </c>
      <c r="N17">
        <f>COUNTIFS('Summary 25-Aug'!$E:$E,FFAP!$L17,'Summary 25-Aug'!$D:$D,FFAP!N$15)</f>
        <v>8</v>
      </c>
    </row>
    <row r="18" spans="1:14">
      <c r="A18" s="132"/>
      <c r="B18" s="132" t="s">
        <v>1830</v>
      </c>
      <c r="C18" s="133"/>
      <c r="I18" t="s">
        <v>40</v>
      </c>
      <c r="J18">
        <v>3</v>
      </c>
      <c r="K18" s="192"/>
      <c r="L18" t="s">
        <v>4</v>
      </c>
      <c r="M18">
        <f>COUNTIFS('Summary 25-Aug'!$E:$E,FFAP!$L18,'Summary 25-Aug'!$D:$D,FFAP!M$15)</f>
        <v>0</v>
      </c>
      <c r="N18">
        <f>COUNTIFS('Summary 25-Aug'!$E:$E,FFAP!$L18,'Summary 25-Aug'!$D:$D,FFAP!N$15)</f>
        <v>0</v>
      </c>
    </row>
    <row r="19" spans="1:14">
      <c r="A19" s="134"/>
      <c r="B19" s="134" t="s">
        <v>1831</v>
      </c>
      <c r="C19" s="135">
        <v>3</v>
      </c>
      <c r="I19" t="s">
        <v>1714</v>
      </c>
      <c r="J19">
        <v>1</v>
      </c>
      <c r="K19" s="192"/>
    </row>
    <row r="20" spans="1:14">
      <c r="A20" s="134"/>
      <c r="B20" s="134" t="s">
        <v>1832</v>
      </c>
      <c r="C20" s="134">
        <v>2</v>
      </c>
      <c r="I20" t="s">
        <v>6200</v>
      </c>
      <c r="J20">
        <v>8</v>
      </c>
    </row>
    <row r="21" spans="1:14">
      <c r="A21" s="136"/>
      <c r="B21" s="134" t="s">
        <v>1833</v>
      </c>
      <c r="C21" s="134">
        <v>0</v>
      </c>
    </row>
    <row r="22" spans="1:14">
      <c r="B22" s="111"/>
      <c r="C22" s="111"/>
    </row>
    <row r="23" spans="1:14" ht="15.75">
      <c r="A23" s="108" t="s">
        <v>22</v>
      </c>
      <c r="B23" s="115" t="s">
        <v>1817</v>
      </c>
      <c r="C23" s="115" cm="1">
        <f t="array" ref="C23">COUNTIF('1.MasterPendingList'!F:F,"HCM")-SUM(COUNTIFS('1.MasterPendingList'!F:F,FFAP!$A$23,'1.MasterPendingList'!AE:AE,{"*completed*"}))</f>
        <v>40</v>
      </c>
      <c r="I23" t="s">
        <v>6200</v>
      </c>
      <c r="J23">
        <v>14</v>
      </c>
    </row>
    <row r="24" spans="1:14">
      <c r="A24" s="339" t="s">
        <v>1818</v>
      </c>
      <c r="B24" s="116" t="s">
        <v>1819</v>
      </c>
      <c r="C24" s="117">
        <f>COUNTIF('Summary 25-Aug'!E:E,FFAP!$A$23)</f>
        <v>6</v>
      </c>
    </row>
    <row r="25" spans="1:14">
      <c r="A25" s="340"/>
      <c r="B25" s="118" t="s">
        <v>1820</v>
      </c>
      <c r="C25" s="119" cm="1">
        <f t="array" ref="C25">SUM(COUNTIFS('1.MasterPendingList'!F:F,FFAP!$A$23,'1.MasterPendingList'!AE:AE,{"*Completed*"}))</f>
        <v>0</v>
      </c>
    </row>
    <row r="26" spans="1:14">
      <c r="A26" s="340"/>
      <c r="B26" s="120" t="s">
        <v>1821</v>
      </c>
      <c r="C26" s="121"/>
    </row>
    <row r="27" spans="1:14">
      <c r="A27" s="340"/>
      <c r="B27" s="122" t="s">
        <v>1822</v>
      </c>
      <c r="C27" s="122" cm="1">
        <f t="array" ref="C27">SUM(COUNTIFS('1.MasterPendingList'!F:F,FFAP!$A$23,'1.MasterPendingList'!AE:AE,{"*Received","*Under inspection","*quotation"}))</f>
        <v>4</v>
      </c>
      <c r="D27" t="str">
        <f>IF(E27&gt;0,"(included "&amp;E27&amp;" items ""prepairing quotation"")","")</f>
        <v>(included 2 items "prepairing quotation")</v>
      </c>
      <c r="E27" cm="1">
        <f t="array" ref="E27">SUM(COUNTIFS('1.MasterPendingList'!F:F,FFAP!$A$23,'1.MasterPendingList'!AE:AE,{"*quotation"}))</f>
        <v>2</v>
      </c>
    </row>
    <row r="28" spans="1:14">
      <c r="A28" s="340"/>
      <c r="B28" s="122" t="s">
        <v>1823</v>
      </c>
      <c r="C28" s="122" cm="1">
        <f t="array" ref="C28">SUM(COUNTIFS('1.MasterPendingList'!F:F,FFAP!$A$23,'1.MasterPendingList'!AE:AE,{"*confirm","*approved"}))</f>
        <v>29</v>
      </c>
      <c r="D28" t="str">
        <f>IF(E29=0,"","(included " &amp; E29&amp; " items ""waiting approved"")")</f>
        <v>(included 4 items "waiting approved")</v>
      </c>
    </row>
    <row r="29" spans="1:14">
      <c r="A29" s="340"/>
      <c r="B29" s="122" t="s">
        <v>1824</v>
      </c>
      <c r="C29" s="122" cm="1">
        <f t="array" ref="C29">SUM(COUNTIFS('1.MasterPendingList'!F:F,FFAP!$A$23,'1.MasterPendingList'!AE:AE,{"*waiting for part"}))</f>
        <v>3</v>
      </c>
      <c r="E29" cm="1">
        <f t="array" ref="E29">SUM(COUNTIFS('1.MasterPendingList'!F:F,FFAP!$A$23,'1.MasterPendingList'!AE:AE,{"*approved"}))</f>
        <v>4</v>
      </c>
    </row>
    <row r="30" spans="1:14">
      <c r="A30" s="340"/>
      <c r="B30" s="122" t="s">
        <v>1825</v>
      </c>
      <c r="C30" s="122" cm="1">
        <f t="array" ref="C30">SUM(COUNTIFS('1.MasterPendingList'!F:F,FFAP!$A$23,'1.MasterPendingList'!AE:AE,{"*waiting for repair"}))</f>
        <v>1</v>
      </c>
    </row>
    <row r="31" spans="1:14">
      <c r="A31" s="340"/>
      <c r="B31" s="122" t="s">
        <v>1826</v>
      </c>
      <c r="C31" s="122" cm="1">
        <f t="array" ref="C31">SUM(COUNTIFS('1.MasterPendingList'!F:F,FFAP!$A$23,'1.MasterPendingList'!AE:AE,{"*completed repair"}))</f>
        <v>0</v>
      </c>
    </row>
    <row r="32" spans="1:14">
      <c r="A32" s="340"/>
      <c r="B32" s="122" t="s">
        <v>1827</v>
      </c>
      <c r="C32" s="122" cm="1">
        <f t="array" ref="C32">SUM(COUNTIFS('1.MasterPendingList'!F:F,FFAP!$A$23,'1.MasterPendingList'!AE:AE,{"*transfer to sale team"}))</f>
        <v>0</v>
      </c>
    </row>
    <row r="33" spans="1:3">
      <c r="A33" s="341"/>
      <c r="B33" s="115" t="s">
        <v>1828</v>
      </c>
      <c r="C33" s="115">
        <f>C23</f>
        <v>40</v>
      </c>
    </row>
    <row r="34" spans="1:3">
      <c r="A34" s="123"/>
      <c r="B34" s="124"/>
      <c r="C34" s="125"/>
    </row>
    <row r="35" spans="1:3">
      <c r="A35" s="126"/>
      <c r="B35" s="127" t="s">
        <v>1829</v>
      </c>
      <c r="C35" s="128" cm="1">
        <f t="array" ref="C35">SUM(COUNTIFS('1.MasterPendingList'!F:F,FFAP!$A$23,'1.MasterPendingList'!AE:AE,{"*Plan for next week"}))</f>
        <v>3</v>
      </c>
    </row>
    <row r="36" spans="1:3">
      <c r="A36" s="129"/>
      <c r="B36" s="130"/>
      <c r="C36" s="131"/>
    </row>
    <row r="37" spans="1:3">
      <c r="A37" s="132"/>
      <c r="B37" s="132" t="s">
        <v>1830</v>
      </c>
      <c r="C37" s="133"/>
    </row>
    <row r="38" spans="1:3">
      <c r="A38" s="134"/>
      <c r="B38" s="134" t="s">
        <v>1831</v>
      </c>
      <c r="C38" s="135">
        <v>3</v>
      </c>
    </row>
    <row r="39" spans="1:3">
      <c r="A39" s="134"/>
      <c r="B39" s="134" t="s">
        <v>1832</v>
      </c>
      <c r="C39" s="134">
        <v>1</v>
      </c>
    </row>
    <row r="40" spans="1:3">
      <c r="A40" s="136"/>
      <c r="B40" s="134" t="s">
        <v>1833</v>
      </c>
      <c r="C40" s="134">
        <v>0</v>
      </c>
    </row>
  </sheetData>
  <mergeCells count="2">
    <mergeCell ref="A5:A14"/>
    <mergeCell ref="A24:A33"/>
  </mergeCells>
  <conditionalFormatting sqref="I15:J31">
    <cfRule type="expression" dxfId="101" priority="2">
      <formula>I15&lt;&gt;""</formula>
    </cfRule>
  </conditionalFormatting>
  <conditionalFormatting sqref="L15:N18">
    <cfRule type="expression" dxfId="100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V135"/>
  <sheetViews>
    <sheetView zoomScale="110" zoomScaleNormal="110" zoomScaleSheetLayoutView="50" workbookViewId="0">
      <selection activeCell="A3" sqref="A3:XFD3"/>
    </sheetView>
  </sheetViews>
  <sheetFormatPr defaultRowHeight="15"/>
  <cols>
    <col min="1" max="1" width="22.140625" style="75" customWidth="1"/>
    <col min="2" max="2" width="24.28515625" style="75" customWidth="1"/>
    <col min="3" max="3" width="10.42578125" style="75" bestFit="1" customWidth="1"/>
    <col min="4" max="4" width="12.5703125" style="75" customWidth="1"/>
    <col min="5" max="5" width="15.7109375" style="75" customWidth="1"/>
    <col min="6" max="6" width="20.28515625" customWidth="1"/>
    <col min="7" max="7" width="18" style="75" customWidth="1"/>
    <col min="8" max="8" width="17.42578125" style="75" customWidth="1"/>
    <col min="9" max="9" width="18.42578125" style="75" customWidth="1"/>
    <col min="10" max="10" width="9.7109375" style="75" customWidth="1"/>
    <col min="11" max="11" width="10.7109375" customWidth="1"/>
    <col min="12" max="12" width="9.28515625" customWidth="1"/>
    <col min="13" max="13" width="10.7109375" customWidth="1"/>
    <col min="14" max="14" width="9.28515625" customWidth="1"/>
    <col min="15" max="15" width="10.42578125" bestFit="1" customWidth="1"/>
    <col min="16" max="16" width="10.7109375" style="182" bestFit="1" customWidth="1"/>
  </cols>
  <sheetData>
    <row r="1" spans="1:22" s="9" customFormat="1" ht="48.75" customHeight="1">
      <c r="A1" s="101" t="s">
        <v>29</v>
      </c>
      <c r="B1" s="74">
        <f>COUNTA($B$3:$B$72)</f>
        <v>11</v>
      </c>
      <c r="C1" s="15" t="str">
        <f>VLOOKUP(A1,Sheet1!A1:C19,3,0)</f>
        <v>esql select customer, model, sn,repair_size ,receive,quotation,issue,PIC, note,rma,inspection,price,confirmation,location from mlist where status like '%transfer to sale team' order by note asc</v>
      </c>
      <c r="D1" s="85" t="s">
        <v>6337</v>
      </c>
      <c r="E1" s="73"/>
      <c r="G1" s="73"/>
      <c r="H1" s="73"/>
      <c r="I1" s="73"/>
      <c r="J1" s="73"/>
      <c r="P1" s="182"/>
    </row>
    <row r="2" spans="1:22" s="153" customFormat="1">
      <c r="A2" s="161" t="s">
        <v>74</v>
      </c>
      <c r="B2" s="161" t="s">
        <v>75</v>
      </c>
      <c r="C2" s="161" t="s">
        <v>76</v>
      </c>
      <c r="D2" s="161" t="s">
        <v>5841</v>
      </c>
      <c r="E2" s="161" t="s">
        <v>98</v>
      </c>
      <c r="F2" s="153" t="s">
        <v>5716</v>
      </c>
      <c r="G2" s="161" t="s">
        <v>92</v>
      </c>
      <c r="H2" s="161" t="s">
        <v>10</v>
      </c>
      <c r="I2" s="161" t="s">
        <v>77</v>
      </c>
      <c r="J2" s="161" t="s">
        <v>5715</v>
      </c>
      <c r="K2" s="153" t="s">
        <v>5839</v>
      </c>
      <c r="L2" s="153" t="s">
        <v>5717</v>
      </c>
      <c r="M2" s="153" t="s">
        <v>2408</v>
      </c>
      <c r="N2" s="153" t="s">
        <v>3057</v>
      </c>
      <c r="P2" s="182"/>
    </row>
    <row r="3" spans="1:22">
      <c r="A3" s="75" t="s">
        <v>1092</v>
      </c>
      <c r="B3" s="75" t="s">
        <v>49</v>
      </c>
      <c r="C3" s="75" t="s">
        <v>5219</v>
      </c>
      <c r="D3" s="8" t="s">
        <v>2</v>
      </c>
      <c r="E3" s="8">
        <v>45054.711319444446</v>
      </c>
      <c r="F3" s="8" t="s">
        <v>6313</v>
      </c>
      <c r="G3" s="75" t="s">
        <v>5304</v>
      </c>
      <c r="H3" s="75" t="s">
        <v>33</v>
      </c>
      <c r="I3" s="75" t="s">
        <v>6271</v>
      </c>
      <c r="J3" s="8" t="s">
        <v>5218</v>
      </c>
      <c r="K3" s="8">
        <v>45061.668171296296</v>
      </c>
      <c r="L3" s="8" t="s">
        <v>6314</v>
      </c>
      <c r="M3" s="8"/>
      <c r="N3" s="8" t="s">
        <v>129</v>
      </c>
      <c r="O3" s="8"/>
      <c r="Q3" s="8"/>
      <c r="V3" s="8"/>
    </row>
    <row r="4" spans="1:22">
      <c r="A4" s="75" t="s">
        <v>1092</v>
      </c>
      <c r="B4" s="75" t="s">
        <v>1123</v>
      </c>
      <c r="C4" s="75" t="s">
        <v>5215</v>
      </c>
      <c r="D4" s="8" t="s">
        <v>2</v>
      </c>
      <c r="E4" s="8">
        <v>45054.680219907408</v>
      </c>
      <c r="F4" s="8" t="s">
        <v>6313</v>
      </c>
      <c r="G4" s="75" t="s">
        <v>5302</v>
      </c>
      <c r="H4" s="75" t="s">
        <v>33</v>
      </c>
      <c r="I4" s="75" t="s">
        <v>6271</v>
      </c>
      <c r="J4" s="8" t="s">
        <v>5214</v>
      </c>
      <c r="K4" s="8">
        <v>45061.652118055557</v>
      </c>
      <c r="L4" s="8" t="s">
        <v>6315</v>
      </c>
      <c r="M4" s="8"/>
      <c r="N4" s="8" t="s">
        <v>129</v>
      </c>
      <c r="O4" s="8"/>
      <c r="Q4" s="8"/>
      <c r="V4" s="8"/>
    </row>
    <row r="5" spans="1:22">
      <c r="A5" s="75" t="s">
        <v>5146</v>
      </c>
      <c r="B5" s="75" t="s">
        <v>49</v>
      </c>
      <c r="C5" s="75" t="s">
        <v>3704</v>
      </c>
      <c r="D5" s="8" t="s">
        <v>2</v>
      </c>
      <c r="E5" s="8">
        <v>45040.477592592593</v>
      </c>
      <c r="F5" t="s">
        <v>6316</v>
      </c>
      <c r="G5" s="75" t="s">
        <v>5292</v>
      </c>
      <c r="H5" s="75" t="s">
        <v>33</v>
      </c>
      <c r="I5" s="75" t="s">
        <v>6271</v>
      </c>
      <c r="J5" s="8" t="s">
        <v>5149</v>
      </c>
      <c r="K5" s="8">
        <v>45042.715462962966</v>
      </c>
      <c r="L5" s="8" t="s">
        <v>6317</v>
      </c>
      <c r="M5" s="8"/>
      <c r="N5" s="8" t="s">
        <v>129</v>
      </c>
      <c r="O5" s="8"/>
      <c r="Q5" s="8"/>
      <c r="V5" s="8"/>
    </row>
    <row r="6" spans="1:22">
      <c r="A6" s="75" t="s">
        <v>5146</v>
      </c>
      <c r="B6" s="75" t="s">
        <v>51</v>
      </c>
      <c r="C6" s="75" t="s">
        <v>3703</v>
      </c>
      <c r="D6" s="8" t="s">
        <v>2</v>
      </c>
      <c r="E6" s="8">
        <v>45040.476689814815</v>
      </c>
      <c r="F6" t="s">
        <v>6318</v>
      </c>
      <c r="G6" s="75" t="s">
        <v>5291</v>
      </c>
      <c r="H6" s="75" t="s">
        <v>33</v>
      </c>
      <c r="I6" s="75" t="s">
        <v>6271</v>
      </c>
      <c r="J6" s="8" t="s">
        <v>5148</v>
      </c>
      <c r="K6" s="8">
        <v>45041.54582175926</v>
      </c>
      <c r="L6" s="8" t="s">
        <v>6319</v>
      </c>
      <c r="M6" s="8"/>
      <c r="N6" s="8" t="s">
        <v>129</v>
      </c>
      <c r="O6" s="8"/>
      <c r="Q6" s="8"/>
      <c r="V6" s="8"/>
    </row>
    <row r="7" spans="1:22">
      <c r="A7" s="75" t="s">
        <v>5146</v>
      </c>
      <c r="B7" s="75" t="s">
        <v>51</v>
      </c>
      <c r="C7" s="75" t="s">
        <v>3683</v>
      </c>
      <c r="D7" s="8" t="s">
        <v>2</v>
      </c>
      <c r="E7" s="8">
        <v>45040.47451388889</v>
      </c>
      <c r="F7" t="s">
        <v>6320</v>
      </c>
      <c r="G7" s="75" t="s">
        <v>5290</v>
      </c>
      <c r="H7" s="75" t="s">
        <v>33</v>
      </c>
      <c r="I7" s="75" t="s">
        <v>6271</v>
      </c>
      <c r="J7" s="8" t="s">
        <v>5147</v>
      </c>
      <c r="K7" s="8">
        <v>45042.766875000001</v>
      </c>
      <c r="L7" s="8" t="s">
        <v>6321</v>
      </c>
      <c r="M7" s="8"/>
      <c r="N7" s="8" t="s">
        <v>129</v>
      </c>
      <c r="O7" s="8"/>
      <c r="Q7" s="8"/>
      <c r="V7" s="8"/>
    </row>
    <row r="8" spans="1:22">
      <c r="A8" s="75" t="s">
        <v>5146</v>
      </c>
      <c r="B8" s="75" t="s">
        <v>49</v>
      </c>
      <c r="C8" s="75" t="s">
        <v>3682</v>
      </c>
      <c r="D8" s="8" t="s">
        <v>2</v>
      </c>
      <c r="E8" s="8">
        <v>45040.472546296296</v>
      </c>
      <c r="F8" t="s">
        <v>6320</v>
      </c>
      <c r="G8" s="75" t="s">
        <v>5289</v>
      </c>
      <c r="H8" s="75" t="s">
        <v>33</v>
      </c>
      <c r="I8" s="75" t="s">
        <v>6271</v>
      </c>
      <c r="J8" s="8" t="s">
        <v>5145</v>
      </c>
      <c r="K8" s="8">
        <v>45042.703298611108</v>
      </c>
      <c r="L8" s="8" t="s">
        <v>6322</v>
      </c>
      <c r="M8" s="8"/>
      <c r="N8" s="8" t="s">
        <v>129</v>
      </c>
      <c r="O8" s="8"/>
      <c r="Q8" s="8"/>
      <c r="V8" s="8"/>
    </row>
    <row r="9" spans="1:22">
      <c r="A9" s="75" t="s">
        <v>1279</v>
      </c>
      <c r="B9" s="75" t="s">
        <v>1103</v>
      </c>
      <c r="C9" s="75" t="s">
        <v>2770</v>
      </c>
      <c r="D9" s="8" t="s">
        <v>2</v>
      </c>
      <c r="E9" s="8">
        <v>45022.462141203701</v>
      </c>
      <c r="F9" t="s">
        <v>6323</v>
      </c>
      <c r="G9" s="75" t="s">
        <v>5280</v>
      </c>
      <c r="H9" s="75" t="s">
        <v>33</v>
      </c>
      <c r="I9" s="75" t="s">
        <v>6271</v>
      </c>
      <c r="J9" s="8" t="s">
        <v>5032</v>
      </c>
      <c r="K9" s="8">
        <v>45030.776122685187</v>
      </c>
      <c r="L9" s="8" t="s">
        <v>6324</v>
      </c>
      <c r="M9" s="8"/>
      <c r="N9" s="8" t="s">
        <v>129</v>
      </c>
      <c r="O9" s="8"/>
      <c r="Q9" s="8"/>
      <c r="V9" s="8"/>
    </row>
    <row r="10" spans="1:22">
      <c r="A10" s="75" t="s">
        <v>3752</v>
      </c>
      <c r="B10" s="75" t="s">
        <v>31</v>
      </c>
      <c r="C10" s="75" t="s">
        <v>3753</v>
      </c>
      <c r="D10" s="8" t="s">
        <v>2</v>
      </c>
      <c r="E10" s="8">
        <v>45154.85628472222</v>
      </c>
      <c r="G10" s="75" t="s">
        <v>6143</v>
      </c>
      <c r="H10" s="75" t="s">
        <v>33</v>
      </c>
      <c r="I10" s="75" t="s">
        <v>6269</v>
      </c>
      <c r="J10" s="8" t="s">
        <v>6142</v>
      </c>
      <c r="K10" s="8">
        <v>45155.793043981481</v>
      </c>
      <c r="L10" s="8"/>
      <c r="M10" s="8"/>
      <c r="N10" s="8" t="s">
        <v>129</v>
      </c>
      <c r="O10" s="8"/>
      <c r="Q10" s="8"/>
      <c r="V10" s="8"/>
    </row>
    <row r="11" spans="1:22">
      <c r="A11" s="75" t="s">
        <v>40</v>
      </c>
      <c r="B11" s="75" t="s">
        <v>51</v>
      </c>
      <c r="C11" s="75" t="s">
        <v>3710</v>
      </c>
      <c r="D11" s="8" t="s">
        <v>2</v>
      </c>
      <c r="E11" s="8">
        <v>45096.678506944445</v>
      </c>
      <c r="G11" s="75" t="s">
        <v>5420</v>
      </c>
      <c r="H11" s="75" t="s">
        <v>54</v>
      </c>
      <c r="I11" s="75" t="s">
        <v>6274</v>
      </c>
      <c r="J11" s="8" t="s">
        <v>5574</v>
      </c>
      <c r="K11" s="8">
        <v>45097.505914351852</v>
      </c>
      <c r="L11" s="8"/>
      <c r="M11" s="8"/>
      <c r="N11" s="8" t="s">
        <v>129</v>
      </c>
      <c r="O11" s="8"/>
      <c r="Q11" s="8"/>
      <c r="V11" s="8"/>
    </row>
    <row r="12" spans="1:22">
      <c r="A12" s="75" t="s">
        <v>41</v>
      </c>
      <c r="B12" s="75" t="s">
        <v>2129</v>
      </c>
      <c r="C12" s="75" t="s">
        <v>5640</v>
      </c>
      <c r="D12" s="8" t="s">
        <v>2</v>
      </c>
      <c r="E12" s="8">
        <v>45103.527349537035</v>
      </c>
      <c r="F12" t="s">
        <v>66</v>
      </c>
      <c r="G12" s="75" t="s">
        <v>5641</v>
      </c>
      <c r="H12" s="75" t="s">
        <v>54</v>
      </c>
      <c r="I12" s="75" t="s">
        <v>6275</v>
      </c>
      <c r="J12" s="8" t="s">
        <v>5639</v>
      </c>
      <c r="K12" s="8">
        <v>45103.732581018521</v>
      </c>
      <c r="L12" s="8"/>
      <c r="M12" s="8"/>
      <c r="N12" s="8" t="s">
        <v>129</v>
      </c>
      <c r="O12" s="8"/>
      <c r="Q12" s="8"/>
      <c r="V12" s="8"/>
    </row>
    <row r="13" spans="1:22">
      <c r="A13" s="75" t="s">
        <v>1134</v>
      </c>
      <c r="B13" s="75" t="s">
        <v>124</v>
      </c>
      <c r="C13" s="75" t="s">
        <v>5738</v>
      </c>
      <c r="D13" s="8" t="s">
        <v>2</v>
      </c>
      <c r="E13" s="8">
        <v>45117.495162037034</v>
      </c>
      <c r="F13" t="s">
        <v>6325</v>
      </c>
      <c r="G13" s="75" t="s">
        <v>5772</v>
      </c>
      <c r="H13" s="75" t="s">
        <v>54</v>
      </c>
      <c r="I13" s="75" t="s">
        <v>6276</v>
      </c>
      <c r="J13" s="75" t="s">
        <v>5737</v>
      </c>
      <c r="K13" s="8">
        <v>45120.508958333332</v>
      </c>
      <c r="L13" t="s">
        <v>6326</v>
      </c>
      <c r="M13" s="8"/>
      <c r="N13" t="s">
        <v>129</v>
      </c>
    </row>
    <row r="14" spans="1:22">
      <c r="D14" s="8"/>
      <c r="E14" s="8"/>
      <c r="K14" s="8"/>
      <c r="M14" s="8"/>
    </row>
    <row r="15" spans="1:22">
      <c r="D15" s="8"/>
      <c r="E15" s="8"/>
      <c r="K15" s="8"/>
      <c r="M15" s="8"/>
    </row>
    <row r="16" spans="1:22">
      <c r="D16" s="8"/>
      <c r="E16" s="8"/>
      <c r="K16" s="8"/>
      <c r="M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99" priority="6" operator="containsText" text="plan">
      <formula>NOT(ISERROR(SEARCH("plan",A2)))</formula>
    </cfRule>
    <cfRule type="containsText" dxfId="98" priority="7" operator="containsText" text="Inspect">
      <formula>NOT(ISERROR(SEARCH("Inspect",A2)))</formula>
    </cfRule>
    <cfRule type="containsText" dxfId="97" priority="8" operator="containsText" text="Completed">
      <formula>NOT(ISERROR(SEARCH("Completed",A2)))</formula>
    </cfRule>
    <cfRule type="containsText" dxfId="96" priority="9" operator="containsText" text="transfer">
      <formula>NOT(ISERROR(SEARCH("transfer",A2)))</formula>
    </cfRule>
    <cfRule type="containsText" dxfId="95" priority="10" operator="containsText" text="Received:">
      <formula>NOT(ISERROR(SEARCH("Received:",A2)))</formula>
    </cfRule>
  </conditionalFormatting>
  <conditionalFormatting sqref="C1:C1048576">
    <cfRule type="duplicateValues" dxfId="94" priority="1"/>
  </conditionalFormatting>
  <conditionalFormatting sqref="C3:C1048576 C1">
    <cfRule type="duplicateValues" dxfId="93" priority="6185"/>
  </conditionalFormatting>
  <conditionalFormatting sqref="C2">
    <cfRule type="duplicateValues" dxfId="92" priority="6824"/>
  </conditionalFormatting>
  <dataValidations count="1">
    <dataValidation showInputMessage="1" showErrorMessage="1" sqref="B1:H1" xr:uid="{00000000-0002-0000-04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0676-444F-4B30-AC26-784A6CDF4DDD}">
  <sheetPr codeName="Sheet8"/>
  <dimension ref="A3:M52"/>
  <sheetViews>
    <sheetView topLeftCell="A6" zoomScaleNormal="100" workbookViewId="0">
      <selection activeCell="B30" sqref="B30"/>
    </sheetView>
  </sheetViews>
  <sheetFormatPr defaultRowHeight="15"/>
  <cols>
    <col min="1" max="1" width="4.5703125" customWidth="1"/>
    <col min="2" max="2" width="31" customWidth="1"/>
    <col min="3" max="4" width="12.5703125" customWidth="1"/>
    <col min="9" max="9" width="12.5703125" customWidth="1"/>
    <col min="11" max="11" width="17.7109375" customWidth="1"/>
    <col min="12" max="12" width="14.28515625" bestFit="1" customWidth="1"/>
    <col min="13" max="13" width="22" bestFit="1" customWidth="1"/>
  </cols>
  <sheetData>
    <row r="3" spans="1:13">
      <c r="B3" s="154"/>
      <c r="C3" s="155" t="s">
        <v>1</v>
      </c>
      <c r="D3" s="156">
        <v>44736</v>
      </c>
      <c r="E3" s="156">
        <v>44743</v>
      </c>
      <c r="F3" s="156">
        <v>44750</v>
      </c>
      <c r="G3" s="156">
        <v>44757</v>
      </c>
      <c r="H3" s="156">
        <v>44764</v>
      </c>
      <c r="I3" s="156">
        <v>44771</v>
      </c>
      <c r="J3" s="156">
        <v>44778</v>
      </c>
      <c r="K3" s="156">
        <v>44785</v>
      </c>
      <c r="L3" s="165"/>
    </row>
    <row r="4" spans="1:13" ht="18.75">
      <c r="B4" s="153" t="s">
        <v>3506</v>
      </c>
      <c r="C4" s="157">
        <f>SUM(D4:M4)</f>
        <v>33</v>
      </c>
      <c r="D4" s="158">
        <v>1</v>
      </c>
      <c r="E4" s="158">
        <v>8</v>
      </c>
      <c r="F4" s="158">
        <v>6</v>
      </c>
      <c r="G4" s="158">
        <v>7</v>
      </c>
      <c r="H4" s="158">
        <v>3</v>
      </c>
      <c r="I4" s="158">
        <v>6</v>
      </c>
      <c r="J4" s="162">
        <v>1</v>
      </c>
      <c r="K4" s="162">
        <v>1</v>
      </c>
      <c r="L4" s="166"/>
    </row>
    <row r="6" spans="1:13" ht="30.75" customHeight="1">
      <c r="A6" s="153" t="s">
        <v>94</v>
      </c>
      <c r="B6" s="159" t="s">
        <v>3382</v>
      </c>
      <c r="C6" s="159" t="s">
        <v>3383</v>
      </c>
      <c r="D6" s="159" t="s">
        <v>3384</v>
      </c>
      <c r="E6" s="342" t="s">
        <v>3385</v>
      </c>
      <c r="F6" s="342"/>
      <c r="G6" s="342"/>
      <c r="H6" s="342"/>
      <c r="I6" s="159" t="s">
        <v>3386</v>
      </c>
      <c r="J6" s="159" t="s">
        <v>10</v>
      </c>
      <c r="K6" s="159" t="s">
        <v>11</v>
      </c>
      <c r="L6" s="164"/>
      <c r="M6" s="164" t="s">
        <v>3769</v>
      </c>
    </row>
    <row r="7" spans="1:13">
      <c r="A7" s="160">
        <v>1</v>
      </c>
      <c r="B7" s="160" t="s">
        <v>37</v>
      </c>
      <c r="C7" s="160" t="s">
        <v>271</v>
      </c>
      <c r="D7" s="160" t="s">
        <v>3365</v>
      </c>
      <c r="E7" s="160" t="s">
        <v>3387</v>
      </c>
      <c r="F7" s="160"/>
      <c r="G7" s="160"/>
      <c r="H7" s="160"/>
      <c r="I7" s="160" t="s">
        <v>22</v>
      </c>
      <c r="J7" s="160" t="s">
        <v>3388</v>
      </c>
      <c r="K7" s="160" t="s">
        <v>3474</v>
      </c>
      <c r="L7" s="167"/>
    </row>
    <row r="8" spans="1:13">
      <c r="A8" s="160">
        <v>2</v>
      </c>
      <c r="B8" s="160" t="s">
        <v>37</v>
      </c>
      <c r="C8" s="160" t="s">
        <v>271</v>
      </c>
      <c r="D8" s="160" t="s">
        <v>1109</v>
      </c>
      <c r="E8" s="160" t="s">
        <v>3389</v>
      </c>
      <c r="F8" s="160"/>
      <c r="G8" s="160"/>
      <c r="H8" s="160"/>
      <c r="I8" s="160" t="s">
        <v>22</v>
      </c>
      <c r="J8" s="160" t="s">
        <v>3390</v>
      </c>
      <c r="K8" s="160" t="s">
        <v>3542</v>
      </c>
      <c r="L8" s="167"/>
    </row>
    <row r="9" spans="1:13">
      <c r="A9" s="160">
        <v>3</v>
      </c>
      <c r="B9" s="160" t="s">
        <v>37</v>
      </c>
      <c r="C9" s="160" t="s">
        <v>275</v>
      </c>
      <c r="D9" s="160" t="s">
        <v>1782</v>
      </c>
      <c r="E9" s="160" t="s">
        <v>3391</v>
      </c>
      <c r="F9" s="160"/>
      <c r="G9" s="160"/>
      <c r="H9" s="160"/>
      <c r="I9" s="160" t="s">
        <v>22</v>
      </c>
      <c r="J9" s="160" t="s">
        <v>24</v>
      </c>
      <c r="K9" s="160" t="s">
        <v>3454</v>
      </c>
      <c r="L9" s="167"/>
    </row>
    <row r="10" spans="1:13">
      <c r="A10" s="160">
        <v>4</v>
      </c>
      <c r="B10" s="160" t="s">
        <v>37</v>
      </c>
      <c r="C10" s="160" t="s">
        <v>275</v>
      </c>
      <c r="D10" s="160" t="s">
        <v>1263</v>
      </c>
      <c r="E10" s="160" t="s">
        <v>3392</v>
      </c>
      <c r="F10" s="160"/>
      <c r="G10" s="160"/>
      <c r="H10" s="160"/>
      <c r="I10" s="160" t="s">
        <v>22</v>
      </c>
      <c r="J10" s="160" t="s">
        <v>3393</v>
      </c>
      <c r="K10" s="160" t="s">
        <v>3618</v>
      </c>
      <c r="L10" s="167"/>
    </row>
    <row r="11" spans="1:13">
      <c r="A11" s="160">
        <v>5</v>
      </c>
      <c r="B11" s="160" t="s">
        <v>37</v>
      </c>
      <c r="C11" s="160" t="s">
        <v>271</v>
      </c>
      <c r="D11" s="160" t="s">
        <v>1227</v>
      </c>
      <c r="E11" s="160" t="s">
        <v>3394</v>
      </c>
      <c r="F11" s="160"/>
      <c r="G11" s="160"/>
      <c r="H11" s="160"/>
      <c r="I11" s="160" t="s">
        <v>22</v>
      </c>
      <c r="J11" s="160" t="s">
        <v>3390</v>
      </c>
      <c r="K11" s="160" t="s">
        <v>3474</v>
      </c>
      <c r="L11" s="167"/>
    </row>
    <row r="12" spans="1:13">
      <c r="A12" s="160">
        <v>6</v>
      </c>
      <c r="B12" s="160" t="s">
        <v>37</v>
      </c>
      <c r="C12" s="160" t="s">
        <v>271</v>
      </c>
      <c r="D12" s="160" t="s">
        <v>1669</v>
      </c>
      <c r="E12" s="160" t="s">
        <v>3392</v>
      </c>
      <c r="F12" s="160"/>
      <c r="G12" s="160"/>
      <c r="H12" s="160"/>
      <c r="I12" s="160" t="s">
        <v>22</v>
      </c>
      <c r="J12" s="160" t="s">
        <v>3393</v>
      </c>
      <c r="K12" s="160" t="s">
        <v>3474</v>
      </c>
      <c r="L12" s="167"/>
    </row>
    <row r="13" spans="1:13">
      <c r="A13" s="160">
        <v>7</v>
      </c>
      <c r="B13" s="160" t="s">
        <v>37</v>
      </c>
      <c r="C13" s="160" t="s">
        <v>275</v>
      </c>
      <c r="D13" s="160" t="s">
        <v>1807</v>
      </c>
      <c r="E13" s="160" t="s">
        <v>3395</v>
      </c>
      <c r="F13" s="160"/>
      <c r="G13" s="160"/>
      <c r="H13" s="160"/>
      <c r="I13" s="160" t="s">
        <v>129</v>
      </c>
      <c r="J13" s="160" t="s">
        <v>33</v>
      </c>
      <c r="K13" s="160" t="s">
        <v>3765</v>
      </c>
      <c r="L13" s="167"/>
    </row>
    <row r="14" spans="1:13">
      <c r="A14" s="160">
        <v>8</v>
      </c>
      <c r="B14" s="160" t="s">
        <v>37</v>
      </c>
      <c r="C14" s="160" t="s">
        <v>275</v>
      </c>
      <c r="D14" s="160" t="s">
        <v>3379</v>
      </c>
      <c r="E14" s="160" t="s">
        <v>3396</v>
      </c>
      <c r="F14" s="160"/>
      <c r="G14" s="160"/>
      <c r="H14" s="160"/>
      <c r="I14" s="160" t="s">
        <v>22</v>
      </c>
      <c r="J14" s="160" t="s">
        <v>3393</v>
      </c>
      <c r="K14" s="160" t="s">
        <v>3474</v>
      </c>
      <c r="L14" s="167"/>
    </row>
    <row r="15" spans="1:13">
      <c r="A15" s="160">
        <v>9</v>
      </c>
      <c r="B15" s="160" t="s">
        <v>37</v>
      </c>
      <c r="C15" s="160" t="s">
        <v>271</v>
      </c>
      <c r="D15" s="160" t="s">
        <v>3376</v>
      </c>
      <c r="E15" s="160" t="s">
        <v>3397</v>
      </c>
      <c r="F15" s="160"/>
      <c r="G15" s="160"/>
      <c r="H15" s="160"/>
      <c r="I15" s="160" t="s">
        <v>22</v>
      </c>
      <c r="J15" s="160" t="s">
        <v>3390</v>
      </c>
      <c r="K15" s="160" t="s">
        <v>3455</v>
      </c>
      <c r="L15" s="167"/>
    </row>
    <row r="16" spans="1:13">
      <c r="A16" s="160">
        <v>10</v>
      </c>
      <c r="B16" s="160" t="s">
        <v>37</v>
      </c>
      <c r="C16" s="160" t="s">
        <v>275</v>
      </c>
      <c r="D16" s="160" t="s">
        <v>3375</v>
      </c>
      <c r="E16" s="160" t="s">
        <v>3398</v>
      </c>
      <c r="F16" s="160"/>
      <c r="G16" s="160"/>
      <c r="H16" s="160"/>
      <c r="I16" s="160" t="s">
        <v>22</v>
      </c>
      <c r="J16" s="160" t="s">
        <v>3388</v>
      </c>
      <c r="K16" s="160" t="s">
        <v>3455</v>
      </c>
      <c r="L16" s="167"/>
    </row>
    <row r="17" spans="1:13">
      <c r="A17" s="160">
        <v>11</v>
      </c>
      <c r="B17" s="160" t="s">
        <v>37</v>
      </c>
      <c r="C17" s="160" t="s">
        <v>275</v>
      </c>
      <c r="D17" s="160" t="s">
        <v>3374</v>
      </c>
      <c r="E17" s="160" t="s">
        <v>3399</v>
      </c>
      <c r="F17" s="160"/>
      <c r="G17" s="160"/>
      <c r="H17" s="160"/>
      <c r="I17" s="160" t="s">
        <v>22</v>
      </c>
      <c r="J17" s="160" t="s">
        <v>20</v>
      </c>
      <c r="K17" s="160" t="s">
        <v>3618</v>
      </c>
      <c r="L17" s="167"/>
    </row>
    <row r="18" spans="1:13">
      <c r="A18" s="160">
        <v>12</v>
      </c>
      <c r="B18" s="160" t="s">
        <v>37</v>
      </c>
      <c r="C18" s="160" t="s">
        <v>271</v>
      </c>
      <c r="D18" s="160" t="s">
        <v>3372</v>
      </c>
      <c r="E18" s="160" t="s">
        <v>3398</v>
      </c>
      <c r="F18" s="160"/>
      <c r="G18" s="160"/>
      <c r="H18" s="160"/>
      <c r="I18" s="160" t="s">
        <v>22</v>
      </c>
      <c r="J18" s="160" t="s">
        <v>3390</v>
      </c>
      <c r="K18" s="160" t="s">
        <v>3620</v>
      </c>
      <c r="L18" s="167"/>
    </row>
    <row r="19" spans="1:13">
      <c r="A19" s="160">
        <v>13</v>
      </c>
      <c r="B19" s="160" t="s">
        <v>37</v>
      </c>
      <c r="C19" s="160" t="s">
        <v>271</v>
      </c>
      <c r="D19" s="160" t="s">
        <v>3371</v>
      </c>
      <c r="E19" s="160" t="s">
        <v>3394</v>
      </c>
      <c r="F19" s="160"/>
      <c r="G19" s="160"/>
      <c r="H19" s="160"/>
      <c r="I19" s="160" t="s">
        <v>22</v>
      </c>
      <c r="J19" s="160" t="s">
        <v>3388</v>
      </c>
      <c r="K19" s="160" t="s">
        <v>3542</v>
      </c>
      <c r="L19" s="167"/>
    </row>
    <row r="20" spans="1:13">
      <c r="A20" s="160">
        <v>14</v>
      </c>
      <c r="B20" s="160" t="s">
        <v>37</v>
      </c>
      <c r="C20" s="160" t="s">
        <v>271</v>
      </c>
      <c r="D20" s="160" t="s">
        <v>3370</v>
      </c>
      <c r="E20" s="160" t="s">
        <v>3394</v>
      </c>
      <c r="F20" s="160"/>
      <c r="G20" s="160"/>
      <c r="H20" s="160"/>
      <c r="I20" s="160" t="s">
        <v>22</v>
      </c>
      <c r="J20" s="160" t="s">
        <v>3390</v>
      </c>
      <c r="K20" s="160" t="s">
        <v>3542</v>
      </c>
      <c r="L20" s="167"/>
    </row>
    <row r="21" spans="1:13">
      <c r="A21" s="160">
        <v>15</v>
      </c>
      <c r="B21" s="160" t="s">
        <v>37</v>
      </c>
      <c r="C21" s="160" t="s">
        <v>271</v>
      </c>
      <c r="D21" s="160" t="s">
        <v>3288</v>
      </c>
      <c r="E21" s="160" t="s">
        <v>3400</v>
      </c>
      <c r="F21" s="160"/>
      <c r="G21" s="160"/>
      <c r="H21" s="160"/>
      <c r="I21" s="160" t="s">
        <v>22</v>
      </c>
      <c r="J21" s="160" t="s">
        <v>3393</v>
      </c>
      <c r="K21" s="160" t="s">
        <v>3455</v>
      </c>
      <c r="L21" s="167"/>
    </row>
    <row r="22" spans="1:13">
      <c r="A22" s="160">
        <v>16</v>
      </c>
      <c r="B22" s="160" t="s">
        <v>37</v>
      </c>
      <c r="C22" s="160" t="s">
        <v>275</v>
      </c>
      <c r="D22" s="160" t="s">
        <v>3369</v>
      </c>
      <c r="E22" s="160" t="s">
        <v>3401</v>
      </c>
      <c r="F22" s="160"/>
      <c r="G22" s="160"/>
      <c r="H22" s="160"/>
      <c r="I22" s="160" t="s">
        <v>22</v>
      </c>
      <c r="J22" s="160" t="s">
        <v>3388</v>
      </c>
      <c r="K22" s="160" t="s">
        <v>3455</v>
      </c>
      <c r="L22" s="167"/>
    </row>
    <row r="23" spans="1:13">
      <c r="A23" s="160">
        <v>17</v>
      </c>
      <c r="B23" s="160" t="s">
        <v>37</v>
      </c>
      <c r="C23" s="160" t="s">
        <v>275</v>
      </c>
      <c r="D23" s="160" t="s">
        <v>3286</v>
      </c>
      <c r="E23" s="160" t="s">
        <v>3402</v>
      </c>
      <c r="F23" s="160"/>
      <c r="G23" s="160"/>
      <c r="H23" s="160"/>
      <c r="I23" s="160" t="s">
        <v>22</v>
      </c>
      <c r="J23" s="160" t="s">
        <v>3393</v>
      </c>
      <c r="K23" s="160" t="s">
        <v>3620</v>
      </c>
      <c r="L23" s="167"/>
    </row>
    <row r="24" spans="1:13">
      <c r="A24" s="160">
        <v>18</v>
      </c>
      <c r="B24" s="160" t="s">
        <v>37</v>
      </c>
      <c r="C24" s="160" t="s">
        <v>271</v>
      </c>
      <c r="D24" s="160" t="s">
        <v>3367</v>
      </c>
      <c r="E24" s="160" t="s">
        <v>3397</v>
      </c>
      <c r="F24" s="160"/>
      <c r="G24" s="160"/>
      <c r="H24" s="160"/>
      <c r="I24" s="160" t="s">
        <v>22</v>
      </c>
      <c r="J24" s="160" t="s">
        <v>3390</v>
      </c>
      <c r="K24" s="160" t="s">
        <v>3620</v>
      </c>
      <c r="L24" s="167"/>
    </row>
    <row r="25" spans="1:13">
      <c r="A25" s="160">
        <v>19</v>
      </c>
      <c r="B25" s="160" t="s">
        <v>37</v>
      </c>
      <c r="C25" s="160" t="s">
        <v>271</v>
      </c>
      <c r="D25" s="160" t="s">
        <v>3381</v>
      </c>
      <c r="E25" s="160" t="s">
        <v>3403</v>
      </c>
      <c r="F25" s="160"/>
      <c r="G25" s="160"/>
      <c r="H25" s="160"/>
      <c r="I25" s="160" t="s">
        <v>3404</v>
      </c>
      <c r="J25" s="160" t="s">
        <v>3405</v>
      </c>
      <c r="K25" s="160" t="s">
        <v>4276</v>
      </c>
      <c r="L25" s="167" t="s">
        <v>3770</v>
      </c>
      <c r="M25" t="s">
        <v>3771</v>
      </c>
    </row>
    <row r="26" spans="1:13">
      <c r="A26" s="160">
        <v>20</v>
      </c>
      <c r="B26" s="160" t="s">
        <v>37</v>
      </c>
      <c r="C26" s="160" t="s">
        <v>271</v>
      </c>
      <c r="D26" s="160" t="s">
        <v>3378</v>
      </c>
      <c r="E26" s="160" t="s">
        <v>3397</v>
      </c>
      <c r="F26" s="160"/>
      <c r="G26" s="160"/>
      <c r="H26" s="160"/>
      <c r="I26" s="160" t="s">
        <v>3404</v>
      </c>
      <c r="J26" s="160" t="s">
        <v>3406</v>
      </c>
      <c r="K26" s="160" t="s">
        <v>4108</v>
      </c>
      <c r="L26" s="167"/>
    </row>
    <row r="27" spans="1:13">
      <c r="A27" s="160">
        <v>21</v>
      </c>
      <c r="B27" s="160" t="s">
        <v>37</v>
      </c>
      <c r="C27" s="160" t="s">
        <v>271</v>
      </c>
      <c r="D27" s="160" t="s">
        <v>3377</v>
      </c>
      <c r="E27" s="160" t="s">
        <v>3397</v>
      </c>
      <c r="F27" s="160"/>
      <c r="G27" s="160"/>
      <c r="H27" s="160"/>
      <c r="I27" s="160" t="s">
        <v>3404</v>
      </c>
      <c r="J27" s="160" t="s">
        <v>1089</v>
      </c>
      <c r="K27" s="160" t="s">
        <v>4108</v>
      </c>
      <c r="L27" s="167"/>
    </row>
    <row r="28" spans="1:13">
      <c r="A28" s="160">
        <v>22</v>
      </c>
      <c r="B28" s="160" t="s">
        <v>37</v>
      </c>
      <c r="C28" s="160" t="s">
        <v>271</v>
      </c>
      <c r="D28" s="160" t="s">
        <v>3380</v>
      </c>
      <c r="E28" s="160" t="s">
        <v>3407</v>
      </c>
      <c r="F28" s="160"/>
      <c r="G28" s="160"/>
      <c r="H28" s="160"/>
      <c r="I28" s="160" t="s">
        <v>3404</v>
      </c>
      <c r="J28" s="160" t="s">
        <v>3405</v>
      </c>
      <c r="K28" s="160" t="s">
        <v>4276</v>
      </c>
      <c r="L28" s="167" t="s">
        <v>3768</v>
      </c>
      <c r="M28" t="s">
        <v>3768</v>
      </c>
    </row>
    <row r="29" spans="1:13">
      <c r="A29" s="160">
        <v>23</v>
      </c>
      <c r="B29" s="160" t="s">
        <v>37</v>
      </c>
      <c r="C29" s="160" t="s">
        <v>275</v>
      </c>
      <c r="D29" s="160" t="s">
        <v>3373</v>
      </c>
      <c r="E29" s="160" t="s">
        <v>3408</v>
      </c>
      <c r="F29" s="160"/>
      <c r="G29" s="160"/>
      <c r="H29" s="160"/>
      <c r="I29" s="160" t="s">
        <v>3404</v>
      </c>
      <c r="J29" s="160" t="s">
        <v>3406</v>
      </c>
      <c r="K29" s="160" t="s">
        <v>4276</v>
      </c>
      <c r="L29" s="167"/>
      <c r="M29" t="s">
        <v>3767</v>
      </c>
    </row>
    <row r="30" spans="1:13">
      <c r="A30" s="160">
        <v>24</v>
      </c>
      <c r="B30" s="160" t="s">
        <v>37</v>
      </c>
      <c r="C30" s="160" t="s">
        <v>271</v>
      </c>
      <c r="D30" s="160" t="s">
        <v>3368</v>
      </c>
      <c r="E30" s="160" t="s">
        <v>3397</v>
      </c>
      <c r="F30" s="160"/>
      <c r="G30" s="160"/>
      <c r="H30" s="160"/>
      <c r="I30" s="160" t="s">
        <v>3404</v>
      </c>
      <c r="J30" s="160" t="s">
        <v>1089</v>
      </c>
      <c r="K30" s="160" t="s">
        <v>4108</v>
      </c>
      <c r="L30" s="167"/>
    </row>
    <row r="31" spans="1:13">
      <c r="A31" s="160">
        <v>25</v>
      </c>
      <c r="B31" s="160" t="s">
        <v>37</v>
      </c>
      <c r="C31" s="160" t="s">
        <v>275</v>
      </c>
      <c r="D31" s="160" t="s">
        <v>3366</v>
      </c>
      <c r="E31" s="160" t="s">
        <v>3397</v>
      </c>
      <c r="F31" s="160"/>
      <c r="G31" s="160"/>
      <c r="H31" s="160"/>
      <c r="I31" s="160" t="s">
        <v>3404</v>
      </c>
      <c r="J31" s="160" t="s">
        <v>3405</v>
      </c>
      <c r="K31" s="160" t="s">
        <v>3455</v>
      </c>
      <c r="L31" s="167"/>
    </row>
    <row r="32" spans="1:13">
      <c r="A32" s="160">
        <v>26</v>
      </c>
      <c r="B32" s="160" t="s">
        <v>37</v>
      </c>
      <c r="C32" s="160" t="s">
        <v>3409</v>
      </c>
      <c r="D32" s="160" t="s">
        <v>1705</v>
      </c>
      <c r="E32" s="160" t="s">
        <v>3410</v>
      </c>
      <c r="F32" s="160"/>
      <c r="G32" s="160"/>
      <c r="H32" s="160"/>
      <c r="I32" s="160" t="s">
        <v>3404</v>
      </c>
      <c r="J32" s="160" t="s">
        <v>3406</v>
      </c>
      <c r="K32" s="160" t="s">
        <v>3542</v>
      </c>
      <c r="L32" s="167"/>
    </row>
    <row r="33" spans="1:12">
      <c r="A33" s="160">
        <v>27</v>
      </c>
      <c r="B33" s="160" t="s">
        <v>37</v>
      </c>
      <c r="C33" s="160" t="s">
        <v>45</v>
      </c>
      <c r="D33" s="160" t="s">
        <v>1663</v>
      </c>
      <c r="E33" s="160" t="s">
        <v>3411</v>
      </c>
      <c r="F33" s="160"/>
      <c r="G33" s="160"/>
      <c r="H33" s="160"/>
      <c r="I33" s="160" t="s">
        <v>3404</v>
      </c>
      <c r="J33" s="160" t="s">
        <v>1089</v>
      </c>
      <c r="K33" s="160" t="s">
        <v>3455</v>
      </c>
      <c r="L33" s="167"/>
    </row>
    <row r="34" spans="1:12">
      <c r="A34" s="160">
        <v>28</v>
      </c>
      <c r="B34" s="160" t="s">
        <v>37</v>
      </c>
      <c r="C34" s="160" t="s">
        <v>3412</v>
      </c>
      <c r="D34" s="160" t="s">
        <v>1947</v>
      </c>
      <c r="E34" s="160" t="s">
        <v>3413</v>
      </c>
      <c r="F34" s="160"/>
      <c r="G34" s="160"/>
      <c r="H34" s="160"/>
      <c r="I34" s="160" t="s">
        <v>3404</v>
      </c>
      <c r="J34" s="160" t="s">
        <v>3406</v>
      </c>
      <c r="K34" s="160" t="s">
        <v>3542</v>
      </c>
      <c r="L34" s="167"/>
    </row>
    <row r="35" spans="1:12">
      <c r="A35" s="160">
        <v>29</v>
      </c>
      <c r="B35" s="160" t="s">
        <v>37</v>
      </c>
      <c r="C35" s="160" t="s">
        <v>275</v>
      </c>
      <c r="D35" s="160" t="s">
        <v>296</v>
      </c>
      <c r="E35" s="160" t="s">
        <v>3414</v>
      </c>
      <c r="F35" s="160"/>
      <c r="G35" s="160"/>
      <c r="H35" s="160"/>
      <c r="I35" s="160" t="s">
        <v>3404</v>
      </c>
      <c r="J35" s="160" t="s">
        <v>3405</v>
      </c>
      <c r="K35" s="160" t="s">
        <v>3455</v>
      </c>
      <c r="L35" s="167"/>
    </row>
    <row r="36" spans="1:12">
      <c r="A36" s="160">
        <v>30</v>
      </c>
      <c r="B36" s="160" t="s">
        <v>37</v>
      </c>
      <c r="C36" s="160" t="s">
        <v>275</v>
      </c>
      <c r="D36" s="160" t="s">
        <v>1963</v>
      </c>
      <c r="E36" s="160" t="s">
        <v>1212</v>
      </c>
      <c r="F36" s="160"/>
      <c r="G36" s="160"/>
      <c r="H36" s="160"/>
      <c r="I36" s="160" t="s">
        <v>3404</v>
      </c>
      <c r="J36" s="160" t="s">
        <v>1089</v>
      </c>
      <c r="K36" s="160" t="s">
        <v>3474</v>
      </c>
      <c r="L36" s="167"/>
    </row>
    <row r="37" spans="1:12">
      <c r="A37" s="160">
        <v>31</v>
      </c>
      <c r="B37" s="160" t="s">
        <v>37</v>
      </c>
      <c r="C37" s="160" t="s">
        <v>271</v>
      </c>
      <c r="D37" s="160" t="s">
        <v>1248</v>
      </c>
      <c r="E37" s="160" t="s">
        <v>3415</v>
      </c>
      <c r="F37" s="160"/>
      <c r="G37" s="160"/>
      <c r="H37" s="160"/>
      <c r="I37" s="160" t="s">
        <v>3404</v>
      </c>
      <c r="J37" s="160" t="s">
        <v>3405</v>
      </c>
      <c r="K37" s="160" t="s">
        <v>3474</v>
      </c>
      <c r="L37" s="167"/>
    </row>
    <row r="38" spans="1:12">
      <c r="A38" s="160">
        <v>32</v>
      </c>
      <c r="B38" s="160" t="s">
        <v>37</v>
      </c>
      <c r="C38" s="160" t="s">
        <v>275</v>
      </c>
      <c r="D38" s="160" t="s">
        <v>1676</v>
      </c>
      <c r="E38" s="160" t="s">
        <v>3416</v>
      </c>
      <c r="F38" s="160"/>
      <c r="G38" s="160"/>
      <c r="H38" s="160"/>
      <c r="I38" s="160" t="s">
        <v>3404</v>
      </c>
      <c r="J38" s="160" t="s">
        <v>3406</v>
      </c>
      <c r="K38" s="160" t="s">
        <v>3474</v>
      </c>
      <c r="L38" s="167"/>
    </row>
    <row r="39" spans="1:12">
      <c r="A39" s="160">
        <v>33</v>
      </c>
      <c r="B39" s="160" t="s">
        <v>37</v>
      </c>
      <c r="C39" s="160" t="s">
        <v>271</v>
      </c>
      <c r="D39" s="160" t="s">
        <v>1291</v>
      </c>
      <c r="E39" s="160" t="s">
        <v>3389</v>
      </c>
      <c r="F39" s="160"/>
      <c r="G39" s="160"/>
      <c r="H39" s="160"/>
      <c r="I39" s="160" t="s">
        <v>3404</v>
      </c>
      <c r="J39" s="160" t="s">
        <v>125</v>
      </c>
      <c r="K39" s="160" t="s">
        <v>3620</v>
      </c>
      <c r="L39" s="167"/>
    </row>
    <row r="40" spans="1:12">
      <c r="A40" s="160">
        <v>34</v>
      </c>
      <c r="B40" s="160" t="s">
        <v>37</v>
      </c>
      <c r="C40" s="160" t="s">
        <v>271</v>
      </c>
      <c r="D40" s="160" t="s">
        <v>1289</v>
      </c>
      <c r="E40" s="160" t="s">
        <v>3253</v>
      </c>
      <c r="F40" s="160"/>
      <c r="G40" s="160"/>
      <c r="H40" s="160"/>
      <c r="I40" s="160" t="s">
        <v>3404</v>
      </c>
      <c r="J40" s="160" t="s">
        <v>3405</v>
      </c>
      <c r="K40" s="160" t="s">
        <v>3735</v>
      </c>
      <c r="L40" s="167"/>
    </row>
    <row r="41" spans="1:12">
      <c r="A41" s="160">
        <v>35</v>
      </c>
      <c r="B41" s="160" t="s">
        <v>37</v>
      </c>
      <c r="C41" s="160" t="s">
        <v>271</v>
      </c>
      <c r="D41" s="160" t="s">
        <v>1122</v>
      </c>
      <c r="E41" s="160" t="s">
        <v>3417</v>
      </c>
      <c r="F41" s="160"/>
      <c r="G41" s="160"/>
      <c r="H41" s="160"/>
      <c r="I41" s="160" t="s">
        <v>3404</v>
      </c>
      <c r="J41" s="160" t="s">
        <v>3406</v>
      </c>
      <c r="K41" s="160" t="s">
        <v>3618</v>
      </c>
      <c r="L41" s="167"/>
    </row>
    <row r="42" spans="1:12">
      <c r="A42" s="160">
        <v>36</v>
      </c>
      <c r="B42" s="160" t="s">
        <v>37</v>
      </c>
      <c r="C42" s="160" t="s">
        <v>271</v>
      </c>
      <c r="D42" s="160" t="s">
        <v>2634</v>
      </c>
      <c r="E42" s="160" t="s">
        <v>3389</v>
      </c>
      <c r="F42" s="160"/>
      <c r="G42" s="160"/>
      <c r="H42" s="160"/>
      <c r="I42" s="160" t="s">
        <v>3404</v>
      </c>
      <c r="J42" s="160" t="s">
        <v>1089</v>
      </c>
      <c r="K42" s="160" t="s">
        <v>3620</v>
      </c>
      <c r="L42" s="167"/>
    </row>
    <row r="43" spans="1:12">
      <c r="A43" s="160">
        <v>37</v>
      </c>
      <c r="B43" s="160" t="s">
        <v>37</v>
      </c>
      <c r="C43" s="160" t="s">
        <v>275</v>
      </c>
      <c r="D43" s="160" t="s">
        <v>1646</v>
      </c>
      <c r="E43" s="160" t="s">
        <v>3392</v>
      </c>
      <c r="F43" s="160"/>
      <c r="G43" s="160"/>
      <c r="H43" s="160"/>
      <c r="I43" s="160" t="s">
        <v>3404</v>
      </c>
      <c r="J43" s="160" t="s">
        <v>3405</v>
      </c>
      <c r="K43" s="160" t="s">
        <v>3542</v>
      </c>
      <c r="L43" s="167"/>
    </row>
    <row r="44" spans="1:12">
      <c r="A44" s="160">
        <v>38</v>
      </c>
      <c r="B44" s="160" t="s">
        <v>37</v>
      </c>
      <c r="C44" s="160" t="s">
        <v>271</v>
      </c>
      <c r="D44" s="160" t="s">
        <v>2749</v>
      </c>
      <c r="E44" s="160" t="s">
        <v>3389</v>
      </c>
      <c r="F44" s="160"/>
      <c r="G44" s="160"/>
      <c r="H44" s="160"/>
      <c r="I44" s="160" t="s">
        <v>3404</v>
      </c>
      <c r="J44" s="160" t="s">
        <v>3406</v>
      </c>
      <c r="K44" s="160" t="s">
        <v>3620</v>
      </c>
      <c r="L44" s="167"/>
    </row>
    <row r="45" spans="1:12">
      <c r="A45" s="160">
        <v>39</v>
      </c>
      <c r="B45" s="160" t="s">
        <v>37</v>
      </c>
      <c r="C45" s="160" t="s">
        <v>45</v>
      </c>
      <c r="D45" s="160" t="s">
        <v>2756</v>
      </c>
      <c r="E45" s="160" t="s">
        <v>3411</v>
      </c>
      <c r="F45" s="160"/>
      <c r="G45" s="160"/>
      <c r="H45" s="160"/>
      <c r="I45" s="160" t="s">
        <v>3404</v>
      </c>
      <c r="J45" s="160" t="s">
        <v>1089</v>
      </c>
      <c r="K45" s="160" t="s">
        <v>3455</v>
      </c>
      <c r="L45" s="167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17338314-E6D4-4E75-8F6E-7CC7313D0E1B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9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Y182"/>
  <sheetViews>
    <sheetView tabSelected="1" zoomScale="70" zoomScaleNormal="70" zoomScaleSheetLayoutView="50" workbookViewId="0">
      <pane xSplit="9" ySplit="4" topLeftCell="AE23" activePane="bottomRight" state="frozen"/>
      <selection pane="topRight" activeCell="J1" sqref="J1"/>
      <selection pane="bottomLeft" activeCell="A5" sqref="A5"/>
      <selection pane="bottomRight" activeCell="D33" sqref="D33"/>
    </sheetView>
  </sheetViews>
  <sheetFormatPr defaultColWidth="4.28515625" defaultRowHeight="18.75"/>
  <cols>
    <col min="1" max="1" width="4.7109375" style="1" customWidth="1"/>
    <col min="2" max="2" width="19.5703125" style="1" customWidth="1"/>
    <col min="3" max="3" width="13.42578125" style="1" customWidth="1"/>
    <col min="4" max="4" width="38" style="4" customWidth="1"/>
    <col min="5" max="5" width="10.5703125" style="4" customWidth="1"/>
    <col min="6" max="6" width="8.28515625" style="5" customWidth="1"/>
    <col min="7" max="7" width="12.28515625" style="7" customWidth="1"/>
    <col min="8" max="8" width="13.140625" style="7" customWidth="1"/>
    <col min="9" max="9" width="12.28515625" style="5" customWidth="1"/>
    <col min="10" max="10" width="12.42578125" style="1" customWidth="1"/>
    <col min="11" max="11" width="11.28515625" style="272" customWidth="1"/>
    <col min="12" max="12" width="12.85546875" style="213" customWidth="1"/>
    <col min="13" max="13" width="13.5703125" style="1" customWidth="1"/>
    <col min="14" max="14" width="14.42578125" style="7" customWidth="1"/>
    <col min="15" max="15" width="18" style="72" customWidth="1"/>
    <col min="16" max="16" width="11.7109375" style="288" customWidth="1"/>
    <col min="17" max="17" width="27.5703125" style="3" customWidth="1"/>
    <col min="18" max="18" width="11.5703125" style="228" customWidth="1"/>
    <col min="19" max="19" width="17.42578125" style="6" customWidth="1"/>
    <col min="20" max="20" width="19.7109375" style="6" customWidth="1"/>
    <col min="21" max="21" width="11" style="6" customWidth="1"/>
    <col min="22" max="22" width="24.7109375" style="6" customWidth="1"/>
    <col min="23" max="23" width="13.42578125" style="176" customWidth="1"/>
    <col min="24" max="24" width="15" style="276" customWidth="1"/>
    <col min="25" max="28" width="15.140625" style="2" customWidth="1"/>
    <col min="29" max="29" width="28.140625" style="4" customWidth="1"/>
    <col min="30" max="30" width="12.28515625" style="4" customWidth="1"/>
    <col min="31" max="31" width="23.42578125" style="1" customWidth="1"/>
    <col min="32" max="33" width="32.85546875" style="1" customWidth="1"/>
    <col min="34" max="34" width="14.5703125" style="102" customWidth="1"/>
    <col min="35" max="35" width="32.7109375" style="1" customWidth="1"/>
    <col min="36" max="36" width="12.7109375" style="72" customWidth="1"/>
    <col min="37" max="37" width="19.140625" style="88" customWidth="1"/>
    <col min="38" max="39" width="16.28515625" style="86" customWidth="1"/>
    <col min="40" max="40" width="17.7109375" style="274" customWidth="1"/>
    <col min="41" max="41" width="18.7109375" style="273" customWidth="1"/>
    <col min="42" max="42" width="19.140625" style="273" customWidth="1"/>
    <col min="43" max="43" width="12.5703125" style="87" customWidth="1"/>
    <col min="44" max="44" width="17" style="86" customWidth="1"/>
    <col min="45" max="45" width="11" style="86" customWidth="1"/>
    <col min="46" max="46" width="26.7109375" style="88" customWidth="1"/>
    <col min="47" max="47" width="35" style="86" bestFit="1" customWidth="1"/>
    <col min="48" max="48" width="15.28515625" style="86" bestFit="1" customWidth="1"/>
    <col min="49" max="51" width="4.28515625" style="86"/>
    <col min="52" max="16384" width="4.28515625" style="1"/>
  </cols>
  <sheetData>
    <row r="1" spans="1:46" ht="33">
      <c r="A1" s="97" t="s">
        <v>0</v>
      </c>
      <c r="B1" s="97"/>
      <c r="C1" s="97"/>
      <c r="D1" s="98"/>
      <c r="E1" s="98"/>
      <c r="F1" s="97"/>
      <c r="G1" s="97"/>
      <c r="H1" s="97"/>
      <c r="I1" s="98"/>
      <c r="J1" s="97"/>
      <c r="K1" s="271"/>
      <c r="M1" s="97"/>
      <c r="N1" s="99"/>
      <c r="O1" s="99"/>
      <c r="P1" s="285"/>
      <c r="Q1" s="99"/>
      <c r="R1" s="6"/>
      <c r="W1" s="175"/>
      <c r="Y1" s="97"/>
      <c r="Z1" s="97"/>
      <c r="AA1" s="97"/>
      <c r="AB1" s="97"/>
      <c r="AC1" s="96"/>
      <c r="AD1" s="100"/>
      <c r="AE1" s="97"/>
      <c r="AF1" s="97"/>
      <c r="AG1" s="97"/>
      <c r="AK1" s="90"/>
      <c r="AN1" s="273"/>
      <c r="AQ1" s="86"/>
      <c r="AS1" s="89"/>
      <c r="AT1" s="90"/>
    </row>
    <row r="2" spans="1:46" ht="33" hidden="1">
      <c r="A2" s="147"/>
      <c r="B2" s="236" t="s">
        <v>5561</v>
      </c>
      <c r="C2" s="237" t="s">
        <v>3200</v>
      </c>
      <c r="D2" s="238" t="s">
        <v>5562</v>
      </c>
      <c r="E2" s="238" t="s">
        <v>5863</v>
      </c>
      <c r="F2" s="238" t="s">
        <v>5864</v>
      </c>
      <c r="G2" s="238"/>
      <c r="H2" s="238" t="s">
        <v>1973</v>
      </c>
      <c r="I2" s="236" t="s">
        <v>5853</v>
      </c>
      <c r="J2" s="238"/>
      <c r="K2" s="238"/>
      <c r="L2" s="213" t="s">
        <v>5945</v>
      </c>
      <c r="M2" s="146" t="s">
        <v>1974</v>
      </c>
      <c r="N2" s="146" t="s">
        <v>1977</v>
      </c>
      <c r="O2" s="146" t="s">
        <v>1975</v>
      </c>
      <c r="P2" s="5" t="s">
        <v>1978</v>
      </c>
      <c r="Q2" s="146" t="s">
        <v>1979</v>
      </c>
      <c r="R2" s="146" t="s">
        <v>1980</v>
      </c>
      <c r="S2" s="146" t="s">
        <v>1976</v>
      </c>
      <c r="T2" s="146" t="s">
        <v>4002</v>
      </c>
      <c r="U2" s="238" t="s">
        <v>5939</v>
      </c>
      <c r="V2" s="238" t="s">
        <v>5854</v>
      </c>
      <c r="W2" s="254" t="s">
        <v>5855</v>
      </c>
      <c r="X2" s="276" t="s">
        <v>5946</v>
      </c>
      <c r="Y2" s="238" t="s">
        <v>5947</v>
      </c>
      <c r="Z2" s="238" t="s">
        <v>5856</v>
      </c>
      <c r="AA2" s="238" t="s">
        <v>5857</v>
      </c>
      <c r="AB2" s="238" t="s">
        <v>5858</v>
      </c>
      <c r="AC2" s="238" t="s">
        <v>1981</v>
      </c>
      <c r="AD2" s="238" t="s">
        <v>1982</v>
      </c>
      <c r="AE2" s="238" t="s">
        <v>1983</v>
      </c>
      <c r="AF2" s="238" t="s">
        <v>1984</v>
      </c>
      <c r="AG2" s="213"/>
      <c r="AH2" s="102" t="s">
        <v>5948</v>
      </c>
      <c r="AI2" s="1" t="s">
        <v>5940</v>
      </c>
      <c r="AJ2" s="72" t="s">
        <v>5941</v>
      </c>
      <c r="AK2" s="72" t="s">
        <v>5942</v>
      </c>
      <c r="AL2" s="86" t="s">
        <v>5943</v>
      </c>
      <c r="AM2" s="86" t="s">
        <v>5944</v>
      </c>
      <c r="AN2" s="273" t="s">
        <v>5950</v>
      </c>
      <c r="AO2" s="273" t="s">
        <v>5951</v>
      </c>
      <c r="AP2" s="273" t="s">
        <v>5952</v>
      </c>
      <c r="AQ2" s="86"/>
      <c r="AS2" s="89"/>
      <c r="AT2" s="90"/>
    </row>
    <row r="3" spans="1:46" ht="24.6" customHeight="1">
      <c r="A3" s="243"/>
      <c r="B3" s="243"/>
      <c r="C3" s="244"/>
      <c r="D3" s="247" t="s">
        <v>6</v>
      </c>
      <c r="E3" s="245"/>
      <c r="F3" s="246"/>
      <c r="G3" s="248"/>
      <c r="H3" s="250"/>
      <c r="I3" s="246"/>
      <c r="J3" s="247" t="s">
        <v>5851</v>
      </c>
      <c r="K3" s="246"/>
      <c r="L3" s="251"/>
      <c r="M3" s="252"/>
      <c r="N3" s="249"/>
      <c r="O3" s="230"/>
      <c r="P3" s="286"/>
      <c r="Q3" s="253" t="s">
        <v>68</v>
      </c>
      <c r="R3" s="230"/>
      <c r="S3" s="230"/>
      <c r="T3" s="230"/>
      <c r="U3" s="256"/>
      <c r="V3" s="257"/>
      <c r="W3" s="258" t="s">
        <v>5852</v>
      </c>
      <c r="X3" s="259"/>
      <c r="Y3" s="259"/>
      <c r="Z3" s="261"/>
      <c r="AA3" s="262" t="s">
        <v>1194</v>
      </c>
      <c r="AB3" s="262"/>
      <c r="AC3" s="275" t="s">
        <v>5953</v>
      </c>
      <c r="AD3" s="270" t="s">
        <v>5862</v>
      </c>
      <c r="AE3" s="268"/>
      <c r="AF3" s="269"/>
      <c r="AG3" s="269"/>
      <c r="AH3" s="265" t="s">
        <v>1062</v>
      </c>
      <c r="AI3" s="80" t="s">
        <v>1985</v>
      </c>
      <c r="AJ3" s="103" t="s">
        <v>1986</v>
      </c>
      <c r="AK3" s="92" t="s">
        <v>1987</v>
      </c>
      <c r="AL3" s="277" t="s">
        <v>3576</v>
      </c>
      <c r="AM3" s="278"/>
      <c r="AN3" s="265"/>
      <c r="AS3" s="91"/>
      <c r="AT3" s="92"/>
    </row>
    <row r="4" spans="1:46" ht="32.450000000000003" customHeight="1">
      <c r="A4" s="243" t="s">
        <v>12</v>
      </c>
      <c r="B4" s="239" t="s">
        <v>5715</v>
      </c>
      <c r="C4" s="239" t="s">
        <v>5834</v>
      </c>
      <c r="D4" s="240" t="s">
        <v>74</v>
      </c>
      <c r="E4" s="240" t="s">
        <v>5835</v>
      </c>
      <c r="F4" s="241" t="s">
        <v>3057</v>
      </c>
      <c r="G4" s="242" t="s">
        <v>5836</v>
      </c>
      <c r="H4" s="242" t="s">
        <v>75</v>
      </c>
      <c r="I4" s="239" t="s">
        <v>76</v>
      </c>
      <c r="J4" s="239" t="s">
        <v>5837</v>
      </c>
      <c r="K4" s="239" t="s">
        <v>1949</v>
      </c>
      <c r="L4" s="240" t="s">
        <v>5838</v>
      </c>
      <c r="M4" s="240" t="s">
        <v>98</v>
      </c>
      <c r="N4" s="231" t="s">
        <v>5839</v>
      </c>
      <c r="O4" s="232" t="s">
        <v>5840</v>
      </c>
      <c r="P4" s="232" t="s">
        <v>5841</v>
      </c>
      <c r="Q4" s="233" t="s">
        <v>92</v>
      </c>
      <c r="R4" s="234" t="s">
        <v>5717</v>
      </c>
      <c r="S4" s="234" t="s">
        <v>5716</v>
      </c>
      <c r="T4" s="235" t="s">
        <v>2408</v>
      </c>
      <c r="U4" s="255" t="s">
        <v>368</v>
      </c>
      <c r="V4" s="255" t="s">
        <v>5842</v>
      </c>
      <c r="W4" s="255" t="s">
        <v>5954</v>
      </c>
      <c r="X4" s="255" t="s">
        <v>5955</v>
      </c>
      <c r="Y4" s="255" t="s">
        <v>5956</v>
      </c>
      <c r="Z4" s="260" t="s">
        <v>5957</v>
      </c>
      <c r="AA4" s="260" t="s">
        <v>5958</v>
      </c>
      <c r="AB4" s="260" t="s">
        <v>5959</v>
      </c>
      <c r="AC4" s="266" t="s">
        <v>6022</v>
      </c>
      <c r="AD4" s="267" t="s">
        <v>5960</v>
      </c>
      <c r="AE4" s="266" t="s">
        <v>6023</v>
      </c>
      <c r="AF4" s="266" t="s">
        <v>77</v>
      </c>
      <c r="AG4" s="266" t="s">
        <v>6361</v>
      </c>
      <c r="AH4" s="142" t="s">
        <v>5843</v>
      </c>
      <c r="AI4" s="142" t="s">
        <v>5844</v>
      </c>
      <c r="AJ4" s="210" t="s">
        <v>5845</v>
      </c>
      <c r="AK4" s="210" t="s">
        <v>5846</v>
      </c>
      <c r="AL4" s="142" t="s">
        <v>5847</v>
      </c>
      <c r="AM4" s="142" t="s">
        <v>1948</v>
      </c>
      <c r="AN4" s="210" t="s">
        <v>5859</v>
      </c>
      <c r="AO4" s="210" t="s">
        <v>5860</v>
      </c>
      <c r="AP4" s="210" t="s">
        <v>5861</v>
      </c>
      <c r="AS4" s="94"/>
      <c r="AT4" s="93"/>
    </row>
    <row r="5" spans="1:46">
      <c r="A5" s="211">
        <f>SUBTOTAL(103,$I$5:I5)</f>
        <v>1</v>
      </c>
      <c r="B5" s="211" t="s">
        <v>4732</v>
      </c>
      <c r="C5" s="212" t="s">
        <v>1714</v>
      </c>
      <c r="D5" s="229" t="s">
        <v>41</v>
      </c>
      <c r="E5" s="213"/>
      <c r="F5" s="213" t="s">
        <v>129</v>
      </c>
      <c r="G5" s="213">
        <v>43803</v>
      </c>
      <c r="H5" s="213" t="s">
        <v>56</v>
      </c>
      <c r="I5" s="211" t="s">
        <v>3865</v>
      </c>
      <c r="J5" s="213" t="s">
        <v>1043</v>
      </c>
      <c r="K5" s="214" t="s">
        <v>6215</v>
      </c>
      <c r="L5" s="213">
        <v>44169</v>
      </c>
      <c r="M5" s="213">
        <v>44965.772175925929</v>
      </c>
      <c r="N5" s="213">
        <v>44970.731469907405</v>
      </c>
      <c r="O5" s="220" t="s">
        <v>4766</v>
      </c>
      <c r="P5" s="215" t="s">
        <v>2</v>
      </c>
      <c r="Q5" s="215" t="s">
        <v>4787</v>
      </c>
      <c r="R5" s="226">
        <v>1241</v>
      </c>
      <c r="S5" s="215" t="s">
        <v>66</v>
      </c>
      <c r="T5" s="215"/>
      <c r="U5" s="215" t="s">
        <v>6119</v>
      </c>
      <c r="V5" s="215"/>
      <c r="W5" s="215">
        <v>45140</v>
      </c>
      <c r="Y5" s="215"/>
      <c r="Z5" s="215"/>
      <c r="AA5" s="215"/>
      <c r="AB5" s="215"/>
      <c r="AC5" s="220" t="s">
        <v>4764</v>
      </c>
      <c r="AD5" s="220" t="s">
        <v>33</v>
      </c>
      <c r="AE5" s="104" t="s">
        <v>26</v>
      </c>
      <c r="AF5" s="104" t="s">
        <v>6118</v>
      </c>
      <c r="AG5" s="104" t="s">
        <v>6379</v>
      </c>
      <c r="AH5" s="217" t="s">
        <v>68</v>
      </c>
      <c r="AI5" s="104" t="s">
        <v>5557</v>
      </c>
      <c r="AJ5" s="177"/>
      <c r="AK5" s="218"/>
      <c r="AL5" s="263">
        <v>45152.534515474537</v>
      </c>
      <c r="AM5" s="219" t="s">
        <v>18</v>
      </c>
      <c r="AN5" s="273">
        <f ca="1">IF(M5="","-",NETWORKDAYS.INTL(M5,TODAY()))</f>
        <v>147</v>
      </c>
      <c r="AO5" s="82" t="str">
        <f t="shared" ref="AO5:AO13" ca="1" si="0">IF(S5&lt;&gt;"",IFERROR(NETWORKDAYS.INTL(S5,TODAY()),"-"),"-")</f>
        <v>-</v>
      </c>
      <c r="AP5" s="82" t="str">
        <f ca="1">IF(V5&lt;&gt;"",IF(W5&lt;&gt;"",NETWORKDAYS.INTL(V5,W5),NETWORKDAYS.INTL(V5,TODAY())),"-")</f>
        <v>-</v>
      </c>
      <c r="AQ5"/>
      <c r="AR5"/>
      <c r="AS5"/>
      <c r="AT5"/>
    </row>
    <row r="6" spans="1:46">
      <c r="A6" s="211">
        <f>SUBTOTAL(103,$I$5:I6)</f>
        <v>2</v>
      </c>
      <c r="B6" s="211" t="s">
        <v>4735</v>
      </c>
      <c r="C6" s="212" t="s">
        <v>1714</v>
      </c>
      <c r="D6" s="229" t="s">
        <v>44</v>
      </c>
      <c r="E6" s="213"/>
      <c r="F6" s="213" t="s">
        <v>129</v>
      </c>
      <c r="G6" s="213">
        <v>43231</v>
      </c>
      <c r="H6" s="213" t="s">
        <v>56</v>
      </c>
      <c r="I6" s="211" t="s">
        <v>118</v>
      </c>
      <c r="J6" s="213" t="s">
        <v>1043</v>
      </c>
      <c r="K6" s="214" t="s">
        <v>6215</v>
      </c>
      <c r="L6" s="213">
        <v>43596</v>
      </c>
      <c r="M6" s="213">
        <v>44965.787523148145</v>
      </c>
      <c r="N6" s="213">
        <v>44971.506863425922</v>
      </c>
      <c r="O6" s="220" t="s">
        <v>4767</v>
      </c>
      <c r="P6" s="215" t="s">
        <v>2</v>
      </c>
      <c r="Q6" s="215" t="s">
        <v>5269</v>
      </c>
      <c r="R6" s="226">
        <v>2559</v>
      </c>
      <c r="S6" s="215" t="s">
        <v>66</v>
      </c>
      <c r="T6" s="215"/>
      <c r="U6" s="215" t="s">
        <v>6119</v>
      </c>
      <c r="V6" s="215"/>
      <c r="W6" s="215">
        <v>45140</v>
      </c>
      <c r="Y6" s="215"/>
      <c r="Z6" s="215"/>
      <c r="AA6" s="215"/>
      <c r="AB6" s="215"/>
      <c r="AC6" s="220" t="s">
        <v>4765</v>
      </c>
      <c r="AD6" s="220" t="s">
        <v>1120</v>
      </c>
      <c r="AE6" s="104" t="s">
        <v>26</v>
      </c>
      <c r="AF6" s="104" t="s">
        <v>6118</v>
      </c>
      <c r="AG6" s="104" t="s">
        <v>6379</v>
      </c>
      <c r="AH6" s="217" t="s">
        <v>68</v>
      </c>
      <c r="AI6" s="104" t="s">
        <v>5557</v>
      </c>
      <c r="AJ6" s="177"/>
      <c r="AK6" s="218"/>
      <c r="AL6" s="263">
        <v>45152.534643692132</v>
      </c>
      <c r="AM6" s="219" t="s">
        <v>18</v>
      </c>
      <c r="AN6" s="273">
        <f t="shared" ref="AN6:AN13" ca="1" si="1">IF(M6="","-",NETWORKDAYS.INTL(M6,TODAY()))</f>
        <v>147</v>
      </c>
      <c r="AO6" s="82" t="str">
        <f t="shared" ca="1" si="0"/>
        <v>-</v>
      </c>
      <c r="AP6" s="82" t="str">
        <f t="shared" ref="AP6:AP13" ca="1" si="2">IF(V6&lt;&gt;"",IF(W6&lt;&gt;"",NETWORKDAYS.INTL(V6,W6),NETWORKDAYS.INTL(V6,TODAY())),"-")</f>
        <v>-</v>
      </c>
      <c r="AQ6"/>
      <c r="AR6"/>
      <c r="AS6"/>
      <c r="AT6"/>
    </row>
    <row r="7" spans="1:46">
      <c r="A7" s="211">
        <f>SUBTOTAL(103,$I$5:I7)</f>
        <v>3</v>
      </c>
      <c r="B7" s="211" t="s">
        <v>4759</v>
      </c>
      <c r="C7" s="212" t="s">
        <v>3198</v>
      </c>
      <c r="D7" s="229" t="s">
        <v>40</v>
      </c>
      <c r="E7" s="213" t="s">
        <v>4635</v>
      </c>
      <c r="F7" s="213" t="s">
        <v>129</v>
      </c>
      <c r="G7" s="213">
        <v>42744</v>
      </c>
      <c r="H7" s="213" t="s">
        <v>51</v>
      </c>
      <c r="I7" s="211" t="s">
        <v>4760</v>
      </c>
      <c r="J7" s="213" t="s">
        <v>1043</v>
      </c>
      <c r="K7" s="214" t="s">
        <v>6215</v>
      </c>
      <c r="L7" s="213">
        <v>43109</v>
      </c>
      <c r="M7" s="213">
        <v>44973.591284722221</v>
      </c>
      <c r="N7" s="213">
        <v>44980.674872685187</v>
      </c>
      <c r="O7" s="220" t="s">
        <v>4805</v>
      </c>
      <c r="P7" s="215" t="s">
        <v>2</v>
      </c>
      <c r="Q7" s="215" t="s">
        <v>1249</v>
      </c>
      <c r="R7" s="226">
        <v>620</v>
      </c>
      <c r="S7" s="215">
        <v>45007</v>
      </c>
      <c r="T7" s="215"/>
      <c r="U7" s="215" t="s">
        <v>12</v>
      </c>
      <c r="V7" s="215"/>
      <c r="W7" s="215"/>
      <c r="Y7" s="215"/>
      <c r="Z7" s="215"/>
      <c r="AA7" s="215"/>
      <c r="AB7" s="215"/>
      <c r="AC7" s="220" t="s">
        <v>4804</v>
      </c>
      <c r="AD7" s="220" t="s">
        <v>1102</v>
      </c>
      <c r="AE7" s="104" t="s">
        <v>28</v>
      </c>
      <c r="AF7" s="104" t="s">
        <v>6380</v>
      </c>
      <c r="AG7" s="104" t="s">
        <v>6380</v>
      </c>
      <c r="AH7" s="217" t="s">
        <v>68</v>
      </c>
      <c r="AI7" s="104" t="s">
        <v>6171</v>
      </c>
      <c r="AJ7" s="177"/>
      <c r="AK7" s="218"/>
      <c r="AL7" s="263">
        <v>45156.46021917824</v>
      </c>
      <c r="AM7" s="219" t="s">
        <v>20</v>
      </c>
      <c r="AN7" s="273">
        <f t="shared" ca="1" si="1"/>
        <v>141</v>
      </c>
      <c r="AO7" s="82">
        <f t="shared" ca="1" si="0"/>
        <v>117</v>
      </c>
      <c r="AP7" s="82" t="str">
        <f t="shared" ca="1" si="2"/>
        <v>-</v>
      </c>
      <c r="AQ7"/>
      <c r="AR7"/>
      <c r="AS7"/>
      <c r="AT7"/>
    </row>
    <row r="8" spans="1:46">
      <c r="A8" s="211">
        <f>SUBTOTAL(103,$I$5:I8)</f>
        <v>4</v>
      </c>
      <c r="B8" s="211" t="s">
        <v>4827</v>
      </c>
      <c r="C8" s="212" t="s">
        <v>3199</v>
      </c>
      <c r="D8" s="229" t="s">
        <v>37</v>
      </c>
      <c r="E8" s="213" t="s">
        <v>4635</v>
      </c>
      <c r="F8" s="213" t="s">
        <v>129</v>
      </c>
      <c r="G8" s="213">
        <v>42508</v>
      </c>
      <c r="H8" s="213" t="s">
        <v>27</v>
      </c>
      <c r="I8" s="211" t="s">
        <v>4828</v>
      </c>
      <c r="J8" s="213" t="s">
        <v>1042</v>
      </c>
      <c r="K8" s="214" t="s">
        <v>6217</v>
      </c>
      <c r="L8" s="213">
        <v>42873</v>
      </c>
      <c r="M8" s="213">
        <v>44985.713379629633</v>
      </c>
      <c r="N8" s="213">
        <v>44987.513009259259</v>
      </c>
      <c r="O8" s="220" t="s">
        <v>6129</v>
      </c>
      <c r="P8" s="215" t="s">
        <v>4</v>
      </c>
      <c r="Q8" s="215" t="s">
        <v>1093</v>
      </c>
      <c r="R8" s="226" t="s">
        <v>55</v>
      </c>
      <c r="S8" s="215">
        <v>45000</v>
      </c>
      <c r="T8" s="215">
        <v>45014</v>
      </c>
      <c r="U8" s="215" t="s">
        <v>12</v>
      </c>
      <c r="V8" s="215"/>
      <c r="W8" s="215"/>
      <c r="Y8" s="215"/>
      <c r="Z8" s="215"/>
      <c r="AA8" s="215"/>
      <c r="AB8" s="215"/>
      <c r="AC8" s="220" t="s">
        <v>4835</v>
      </c>
      <c r="AD8" s="220" t="s">
        <v>1102</v>
      </c>
      <c r="AE8" s="104" t="s">
        <v>1055</v>
      </c>
      <c r="AF8" s="104"/>
      <c r="AG8" s="104" t="s">
        <v>8</v>
      </c>
      <c r="AH8" s="217" t="s">
        <v>68</v>
      </c>
      <c r="AI8" s="104" t="s">
        <v>5406</v>
      </c>
      <c r="AJ8" s="177"/>
      <c r="AK8" s="218"/>
      <c r="AL8" s="263">
        <v>45118.455127141206</v>
      </c>
      <c r="AM8" s="219" t="s">
        <v>18</v>
      </c>
      <c r="AN8" s="273">
        <f t="shared" ca="1" si="1"/>
        <v>133</v>
      </c>
      <c r="AO8" s="82">
        <f t="shared" ca="1" si="0"/>
        <v>122</v>
      </c>
      <c r="AP8" s="82" t="str">
        <f t="shared" ca="1" si="2"/>
        <v>-</v>
      </c>
    </row>
    <row r="9" spans="1:46">
      <c r="A9" s="211">
        <f>SUBTOTAL(103,$I$5:I9)</f>
        <v>5</v>
      </c>
      <c r="B9" s="211" t="s">
        <v>4981</v>
      </c>
      <c r="C9" s="212" t="s">
        <v>3198</v>
      </c>
      <c r="D9" s="229" t="s">
        <v>40</v>
      </c>
      <c r="E9" s="213" t="s">
        <v>4635</v>
      </c>
      <c r="F9" s="213" t="s">
        <v>129</v>
      </c>
      <c r="G9" s="213">
        <v>42774</v>
      </c>
      <c r="H9" s="213" t="s">
        <v>1264</v>
      </c>
      <c r="I9" s="211" t="s">
        <v>4982</v>
      </c>
      <c r="J9" s="213" t="s">
        <v>1042</v>
      </c>
      <c r="K9" s="214" t="s">
        <v>6218</v>
      </c>
      <c r="L9" s="213">
        <v>43139</v>
      </c>
      <c r="M9" s="213">
        <v>45008.820173611108</v>
      </c>
      <c r="N9" s="213">
        <v>45016.518078703702</v>
      </c>
      <c r="O9" s="220" t="s">
        <v>5009</v>
      </c>
      <c r="P9" s="215" t="s">
        <v>4</v>
      </c>
      <c r="Q9" s="215" t="s">
        <v>1093</v>
      </c>
      <c r="R9" s="226">
        <v>5495</v>
      </c>
      <c r="S9" s="215">
        <v>45030</v>
      </c>
      <c r="T9" s="215"/>
      <c r="U9" s="215" t="s">
        <v>12</v>
      </c>
      <c r="V9" s="215"/>
      <c r="W9" s="215"/>
      <c r="Y9" s="215"/>
      <c r="Z9" s="215"/>
      <c r="AA9" s="215"/>
      <c r="AB9" s="215"/>
      <c r="AC9" s="220" t="s">
        <v>4999</v>
      </c>
      <c r="AD9" s="220" t="s">
        <v>1102</v>
      </c>
      <c r="AE9" s="104" t="s">
        <v>1055</v>
      </c>
      <c r="AF9" s="104" t="s">
        <v>6128</v>
      </c>
      <c r="AG9" s="104" t="s">
        <v>6128</v>
      </c>
      <c r="AH9" s="218" t="s">
        <v>68</v>
      </c>
      <c r="AI9" s="218" t="s">
        <v>5556</v>
      </c>
      <c r="AJ9" s="218"/>
      <c r="AK9" s="218"/>
      <c r="AL9" s="263">
        <v>45147.492955474539</v>
      </c>
      <c r="AM9" s="219" t="s">
        <v>54</v>
      </c>
      <c r="AN9" s="273">
        <f t="shared" ca="1" si="1"/>
        <v>116</v>
      </c>
      <c r="AO9" s="82">
        <f t="shared" ca="1" si="0"/>
        <v>100</v>
      </c>
      <c r="AP9" s="82" t="str">
        <f t="shared" ca="1" si="2"/>
        <v>-</v>
      </c>
    </row>
    <row r="10" spans="1:46">
      <c r="A10" s="211">
        <f>SUBTOTAL(103,$I$5:I10)</f>
        <v>6</v>
      </c>
      <c r="B10" s="211" t="s">
        <v>4987</v>
      </c>
      <c r="C10" s="212" t="s">
        <v>1714</v>
      </c>
      <c r="D10" s="229" t="s">
        <v>41</v>
      </c>
      <c r="E10" s="213"/>
      <c r="F10" s="213" t="s">
        <v>129</v>
      </c>
      <c r="G10" s="213"/>
      <c r="H10" s="213" t="s">
        <v>25</v>
      </c>
      <c r="I10" s="211" t="s">
        <v>3583</v>
      </c>
      <c r="J10" s="213" t="s">
        <v>1043</v>
      </c>
      <c r="K10" s="214" t="s">
        <v>6219</v>
      </c>
      <c r="L10" s="213">
        <v>43910</v>
      </c>
      <c r="M10" s="213">
        <v>45015.456145833334</v>
      </c>
      <c r="N10" s="213">
        <v>45020.773136574076</v>
      </c>
      <c r="O10" s="220" t="s">
        <v>5044</v>
      </c>
      <c r="P10" s="215" t="s">
        <v>2</v>
      </c>
      <c r="Q10" s="215" t="s">
        <v>5276</v>
      </c>
      <c r="R10" s="226">
        <v>2490</v>
      </c>
      <c r="S10" s="215" t="s">
        <v>66</v>
      </c>
      <c r="T10" s="215"/>
      <c r="U10" s="215" t="s">
        <v>6119</v>
      </c>
      <c r="V10" s="215"/>
      <c r="W10" s="215">
        <v>45140</v>
      </c>
      <c r="Y10" s="215"/>
      <c r="Z10" s="215"/>
      <c r="AA10" s="215"/>
      <c r="AB10" s="215"/>
      <c r="AC10" s="220" t="s">
        <v>5042</v>
      </c>
      <c r="AD10" s="220" t="s">
        <v>1120</v>
      </c>
      <c r="AE10" s="104" t="s">
        <v>26</v>
      </c>
      <c r="AF10" s="104" t="s">
        <v>6118</v>
      </c>
      <c r="AG10" s="104" t="s">
        <v>6379</v>
      </c>
      <c r="AH10" s="218" t="s">
        <v>68</v>
      </c>
      <c r="AI10" s="218" t="s">
        <v>5557</v>
      </c>
      <c r="AJ10" s="218"/>
      <c r="AK10" s="218"/>
      <c r="AL10" s="263">
        <v>45152.535077222223</v>
      </c>
      <c r="AM10" s="219" t="s">
        <v>18</v>
      </c>
      <c r="AN10" s="273">
        <f t="shared" ca="1" si="1"/>
        <v>111</v>
      </c>
      <c r="AO10" s="82" t="str">
        <f t="shared" ca="1" si="0"/>
        <v>-</v>
      </c>
      <c r="AP10" s="82" t="str">
        <f t="shared" ca="1" si="2"/>
        <v>-</v>
      </c>
    </row>
    <row r="11" spans="1:46">
      <c r="A11" s="211">
        <f>SUBTOTAL(103,$I$5:I11)</f>
        <v>7</v>
      </c>
      <c r="B11" s="211" t="s">
        <v>5022</v>
      </c>
      <c r="C11" s="212" t="s">
        <v>1714</v>
      </c>
      <c r="D11" s="229" t="s">
        <v>44</v>
      </c>
      <c r="E11" s="213"/>
      <c r="F11" s="213" t="s">
        <v>129</v>
      </c>
      <c r="G11" s="213">
        <v>41835</v>
      </c>
      <c r="H11" s="213" t="s">
        <v>2941</v>
      </c>
      <c r="I11" s="211" t="s">
        <v>163</v>
      </c>
      <c r="J11" s="213" t="s">
        <v>5023</v>
      </c>
      <c r="K11" s="214" t="s">
        <v>6220</v>
      </c>
      <c r="L11" s="213">
        <v>42201</v>
      </c>
      <c r="M11" s="213">
        <v>45019.717638888891</v>
      </c>
      <c r="N11" s="213">
        <v>45027.55741898148</v>
      </c>
      <c r="O11" s="220" t="s">
        <v>5142</v>
      </c>
      <c r="P11" s="215" t="s">
        <v>2</v>
      </c>
      <c r="Q11" s="215" t="s">
        <v>5277</v>
      </c>
      <c r="R11" s="226">
        <v>907</v>
      </c>
      <c r="S11" s="215" t="s">
        <v>66</v>
      </c>
      <c r="T11" s="215"/>
      <c r="U11" s="215" t="s">
        <v>6119</v>
      </c>
      <c r="V11" s="215"/>
      <c r="W11" s="215">
        <v>45140</v>
      </c>
      <c r="Y11" s="215"/>
      <c r="Z11" s="215"/>
      <c r="AA11" s="215"/>
      <c r="AB11" s="215"/>
      <c r="AC11" s="220" t="s">
        <v>5127</v>
      </c>
      <c r="AD11" s="220" t="s">
        <v>1120</v>
      </c>
      <c r="AE11" s="104" t="s">
        <v>26</v>
      </c>
      <c r="AF11" s="104" t="s">
        <v>6118</v>
      </c>
      <c r="AG11" s="104" t="s">
        <v>6379</v>
      </c>
      <c r="AH11" s="218" t="s">
        <v>68</v>
      </c>
      <c r="AI11" s="218" t="s">
        <v>5557</v>
      </c>
      <c r="AJ11" s="218"/>
      <c r="AK11" s="218"/>
      <c r="AL11" s="263">
        <v>45152.535243680555</v>
      </c>
      <c r="AM11" s="219" t="s">
        <v>18</v>
      </c>
      <c r="AN11" s="273">
        <f t="shared" ca="1" si="1"/>
        <v>109</v>
      </c>
      <c r="AO11" s="82" t="str">
        <f t="shared" ca="1" si="0"/>
        <v>-</v>
      </c>
      <c r="AP11" s="82" t="str">
        <f t="shared" ca="1" si="2"/>
        <v>-</v>
      </c>
    </row>
    <row r="12" spans="1:46">
      <c r="A12" s="211">
        <f>SUBTOTAL(103,$I$5:I12)</f>
        <v>8</v>
      </c>
      <c r="B12" s="211" t="s">
        <v>5015</v>
      </c>
      <c r="C12" s="212" t="s">
        <v>3199</v>
      </c>
      <c r="D12" s="229" t="s">
        <v>37</v>
      </c>
      <c r="E12" s="213" t="s">
        <v>4635</v>
      </c>
      <c r="F12" s="213" t="s">
        <v>129</v>
      </c>
      <c r="G12" s="213">
        <v>43994</v>
      </c>
      <c r="H12" s="213" t="s">
        <v>30</v>
      </c>
      <c r="I12" s="211" t="s">
        <v>1275</v>
      </c>
      <c r="J12" s="213" t="s">
        <v>39</v>
      </c>
      <c r="K12" s="214" t="s">
        <v>6216</v>
      </c>
      <c r="L12" s="213">
        <v>44360</v>
      </c>
      <c r="M12" s="213">
        <v>45020.712731481479</v>
      </c>
      <c r="N12" s="213">
        <v>45022.575636574074</v>
      </c>
      <c r="O12" s="220" t="s">
        <v>5045</v>
      </c>
      <c r="P12" s="215" t="s">
        <v>2</v>
      </c>
      <c r="Q12" s="215" t="s">
        <v>5730</v>
      </c>
      <c r="R12" s="226">
        <v>3495</v>
      </c>
      <c r="S12" s="215">
        <v>45027</v>
      </c>
      <c r="T12" s="215"/>
      <c r="U12" s="215"/>
      <c r="V12" s="215"/>
      <c r="W12" s="215"/>
      <c r="Y12" s="215"/>
      <c r="Z12" s="215"/>
      <c r="AA12" s="215"/>
      <c r="AB12" s="215"/>
      <c r="AC12" s="220" t="s">
        <v>5043</v>
      </c>
      <c r="AD12" s="220" t="s">
        <v>33</v>
      </c>
      <c r="AE12" s="104" t="s">
        <v>35</v>
      </c>
      <c r="AF12" s="104" t="s">
        <v>6338</v>
      </c>
      <c r="AG12" s="104" t="s">
        <v>6363</v>
      </c>
      <c r="AH12" s="218" t="s">
        <v>68</v>
      </c>
      <c r="AI12" s="218" t="s">
        <v>5555</v>
      </c>
      <c r="AJ12" s="218"/>
      <c r="AK12" s="218"/>
      <c r="AL12" s="263">
        <v>45075.520166006943</v>
      </c>
      <c r="AM12" s="219" t="s">
        <v>18</v>
      </c>
      <c r="AN12" s="273">
        <f t="shared" ca="1" si="1"/>
        <v>108</v>
      </c>
      <c r="AO12" s="82">
        <f t="shared" ca="1" si="0"/>
        <v>103</v>
      </c>
      <c r="AP12" s="82" t="str">
        <f t="shared" ca="1" si="2"/>
        <v>-</v>
      </c>
    </row>
    <row r="13" spans="1:46">
      <c r="A13" s="211">
        <f>SUBTOTAL(103,$I$5:I13)</f>
        <v>9</v>
      </c>
      <c r="B13" s="211" t="s">
        <v>5030</v>
      </c>
      <c r="C13" s="212" t="s">
        <v>3198</v>
      </c>
      <c r="D13" s="229" t="s">
        <v>1674</v>
      </c>
      <c r="E13" s="213" t="s">
        <v>3457</v>
      </c>
      <c r="F13" s="213" t="s">
        <v>129</v>
      </c>
      <c r="G13" s="213">
        <v>43536</v>
      </c>
      <c r="H13" s="213" t="s">
        <v>36</v>
      </c>
      <c r="I13" s="211" t="s">
        <v>5031</v>
      </c>
      <c r="J13" s="213" t="s">
        <v>39</v>
      </c>
      <c r="K13" s="214" t="s">
        <v>6219</v>
      </c>
      <c r="L13" s="213">
        <v>43902</v>
      </c>
      <c r="M13" s="213">
        <v>45021.509328703702</v>
      </c>
      <c r="N13" s="213">
        <v>45034.43954861111</v>
      </c>
      <c r="O13" s="220" t="s">
        <v>5143</v>
      </c>
      <c r="P13" s="215" t="s">
        <v>2</v>
      </c>
      <c r="Q13" s="215" t="s">
        <v>5279</v>
      </c>
      <c r="R13" s="226">
        <v>6918</v>
      </c>
      <c r="S13" s="215">
        <v>45021</v>
      </c>
      <c r="T13" s="215"/>
      <c r="U13" s="215"/>
      <c r="V13" s="215"/>
      <c r="W13" s="215"/>
      <c r="Y13" s="215"/>
      <c r="Z13" s="215"/>
      <c r="AA13" s="215"/>
      <c r="AB13" s="215"/>
      <c r="AC13" s="220" t="s">
        <v>5195</v>
      </c>
      <c r="AD13" s="220" t="s">
        <v>1102</v>
      </c>
      <c r="AE13" s="104" t="s">
        <v>35</v>
      </c>
      <c r="AF13" s="104" t="s">
        <v>6338</v>
      </c>
      <c r="AG13" s="104" t="s">
        <v>6372</v>
      </c>
      <c r="AH13" s="218" t="s">
        <v>68</v>
      </c>
      <c r="AI13" s="218" t="s">
        <v>5555</v>
      </c>
      <c r="AJ13" s="218"/>
      <c r="AK13" s="218"/>
      <c r="AL13" s="263">
        <v>45075.520382905095</v>
      </c>
      <c r="AM13" s="219" t="s">
        <v>18</v>
      </c>
      <c r="AN13" s="273">
        <f t="shared" ca="1" si="1"/>
        <v>107</v>
      </c>
      <c r="AO13" s="82">
        <f t="shared" ca="1" si="0"/>
        <v>107</v>
      </c>
      <c r="AP13" s="82" t="str">
        <f t="shared" ca="1" si="2"/>
        <v>-</v>
      </c>
    </row>
    <row r="14" spans="1:46">
      <c r="A14" s="211">
        <f>SUBTOTAL(103,$I$5:I14)</f>
        <v>10</v>
      </c>
      <c r="B14" s="211" t="s">
        <v>5191</v>
      </c>
      <c r="C14" s="212" t="s">
        <v>3199</v>
      </c>
      <c r="D14" s="229" t="s">
        <v>2767</v>
      </c>
      <c r="E14" s="213"/>
      <c r="F14" s="213" t="s">
        <v>129</v>
      </c>
      <c r="G14" s="213">
        <v>42346</v>
      </c>
      <c r="H14" s="213" t="s">
        <v>58</v>
      </c>
      <c r="I14" s="211" t="s">
        <v>5192</v>
      </c>
      <c r="J14" s="213" t="s">
        <v>1043</v>
      </c>
      <c r="K14" s="214" t="s">
        <v>6219</v>
      </c>
      <c r="L14" s="213">
        <v>42711</v>
      </c>
      <c r="M14" s="213">
        <v>45044.801886574074</v>
      </c>
      <c r="N14" s="213">
        <v>45054.804328703707</v>
      </c>
      <c r="O14" s="220" t="s">
        <v>5475</v>
      </c>
      <c r="P14" s="215" t="s">
        <v>2</v>
      </c>
      <c r="Q14" s="215" t="s">
        <v>5299</v>
      </c>
      <c r="R14" s="226">
        <v>6919</v>
      </c>
      <c r="S14" s="215">
        <v>45055</v>
      </c>
      <c r="T14" s="215"/>
      <c r="U14" s="215"/>
      <c r="V14" s="215"/>
      <c r="W14" s="215"/>
      <c r="Y14" s="215"/>
      <c r="Z14" s="215"/>
      <c r="AA14" s="215"/>
      <c r="AB14" s="215"/>
      <c r="AC14" s="220" t="s">
        <v>5256</v>
      </c>
      <c r="AD14" s="220" t="s">
        <v>33</v>
      </c>
      <c r="AE14" s="104" t="s">
        <v>35</v>
      </c>
      <c r="AF14" s="104" t="s">
        <v>6208</v>
      </c>
      <c r="AG14" s="104" t="s">
        <v>6364</v>
      </c>
      <c r="AH14" s="218" t="s">
        <v>68</v>
      </c>
      <c r="AI14" s="218" t="s">
        <v>5555</v>
      </c>
      <c r="AJ14" s="218"/>
      <c r="AK14" s="218"/>
      <c r="AL14" s="263">
        <v>45075.541857141201</v>
      </c>
      <c r="AM14" s="219" t="s">
        <v>18</v>
      </c>
      <c r="AN14" s="273">
        <f t="shared" ref="AN14:AN45" ca="1" si="3">IF(M14="","-",NETWORKDAYS.INTL(M14,TODAY()))</f>
        <v>90</v>
      </c>
      <c r="AO14" s="82">
        <f t="shared" ref="AO14:AO45" ca="1" si="4">IF(S14&lt;&gt;"",IFERROR(NETWORKDAYS.INTL(S14,TODAY()),"-"),"-")</f>
        <v>83</v>
      </c>
      <c r="AP14" s="82" t="str">
        <f t="shared" ref="AP14:AP45" ca="1" si="5">IF(V14&lt;&gt;"",IF(W14&lt;&gt;"",NETWORKDAYS.INTL(V14,W14),NETWORKDAYS.INTL(V14,TODAY())),"-")</f>
        <v>-</v>
      </c>
    </row>
    <row r="15" spans="1:46">
      <c r="A15" s="211">
        <f>SUBTOTAL(103,$I$5:I15)</f>
        <v>11</v>
      </c>
      <c r="B15" s="211" t="s">
        <v>5354</v>
      </c>
      <c r="C15" s="212" t="s">
        <v>3199</v>
      </c>
      <c r="D15" s="229" t="s">
        <v>2767</v>
      </c>
      <c r="E15" s="213"/>
      <c r="F15" s="213" t="s">
        <v>129</v>
      </c>
      <c r="G15" s="213">
        <v>42702</v>
      </c>
      <c r="H15" s="213" t="s">
        <v>58</v>
      </c>
      <c r="I15" s="211" t="s">
        <v>3680</v>
      </c>
      <c r="J15" s="213" t="s">
        <v>1043</v>
      </c>
      <c r="K15" s="214" t="s">
        <v>6219</v>
      </c>
      <c r="L15" s="213">
        <v>43067</v>
      </c>
      <c r="M15" s="213">
        <v>45069.76462962963</v>
      </c>
      <c r="N15" s="213">
        <v>45072.651956018519</v>
      </c>
      <c r="O15" s="220" t="s">
        <v>5461</v>
      </c>
      <c r="P15" s="215" t="s">
        <v>2</v>
      </c>
      <c r="Q15" s="215" t="s">
        <v>5437</v>
      </c>
      <c r="R15" s="226">
        <v>10257</v>
      </c>
      <c r="S15" s="215">
        <v>45084</v>
      </c>
      <c r="T15" s="215"/>
      <c r="U15" s="215"/>
      <c r="V15" s="215"/>
      <c r="W15" s="215"/>
      <c r="Y15" s="215"/>
      <c r="Z15" s="215"/>
      <c r="AA15" s="215"/>
      <c r="AB15" s="215"/>
      <c r="AC15" s="220" t="s">
        <v>5402</v>
      </c>
      <c r="AD15" s="220" t="s">
        <v>1102</v>
      </c>
      <c r="AE15" s="104" t="s">
        <v>35</v>
      </c>
      <c r="AF15" s="104" t="s">
        <v>6208</v>
      </c>
      <c r="AG15" s="104" t="s">
        <v>6364</v>
      </c>
      <c r="AH15" s="218" t="s">
        <v>68</v>
      </c>
      <c r="AI15" s="218" t="s">
        <v>5555</v>
      </c>
      <c r="AJ15" s="218"/>
      <c r="AK15" s="218"/>
      <c r="AL15" s="263">
        <v>45084.465320162039</v>
      </c>
      <c r="AM15" s="219" t="s">
        <v>5407</v>
      </c>
      <c r="AN15" s="273">
        <f t="shared" ca="1" si="3"/>
        <v>73</v>
      </c>
      <c r="AO15" s="82">
        <f t="shared" ca="1" si="4"/>
        <v>62</v>
      </c>
      <c r="AP15" s="82" t="str">
        <f t="shared" ca="1" si="5"/>
        <v>-</v>
      </c>
    </row>
    <row r="16" spans="1:46">
      <c r="A16" s="211">
        <f>SUBTOTAL(103,$I$5:I16)</f>
        <v>12</v>
      </c>
      <c r="B16" s="211" t="s">
        <v>5073</v>
      </c>
      <c r="C16" s="212" t="s">
        <v>3199</v>
      </c>
      <c r="D16" s="229" t="s">
        <v>57</v>
      </c>
      <c r="E16" s="213" t="s">
        <v>4635</v>
      </c>
      <c r="F16" s="213" t="s">
        <v>22</v>
      </c>
      <c r="G16" s="213">
        <v>42746</v>
      </c>
      <c r="H16" s="213" t="s">
        <v>34</v>
      </c>
      <c r="I16" s="211" t="s">
        <v>5074</v>
      </c>
      <c r="J16" s="213" t="s">
        <v>1043</v>
      </c>
      <c r="K16" s="214" t="s">
        <v>6216</v>
      </c>
      <c r="L16" s="213">
        <v>43111</v>
      </c>
      <c r="M16" s="213">
        <v>45029.664884259262</v>
      </c>
      <c r="N16" s="213">
        <v>45029.682013888887</v>
      </c>
      <c r="O16" s="220" t="s">
        <v>5092</v>
      </c>
      <c r="P16" s="215" t="s">
        <v>2</v>
      </c>
      <c r="Q16" s="215" t="s">
        <v>5075</v>
      </c>
      <c r="R16" s="226">
        <v>7081</v>
      </c>
      <c r="S16" s="215">
        <v>45030</v>
      </c>
      <c r="T16" s="215"/>
      <c r="U16" s="215"/>
      <c r="V16" s="215"/>
      <c r="W16" s="215"/>
      <c r="Y16" s="215"/>
      <c r="Z16" s="215"/>
      <c r="AA16" s="215"/>
      <c r="AB16" s="215"/>
      <c r="AC16" s="220" t="s">
        <v>5093</v>
      </c>
      <c r="AD16" s="220" t="s">
        <v>18</v>
      </c>
      <c r="AE16" s="104" t="s">
        <v>35</v>
      </c>
      <c r="AF16" s="104" t="s">
        <v>6208</v>
      </c>
      <c r="AG16" s="104" t="s">
        <v>6374</v>
      </c>
      <c r="AH16" s="218" t="s">
        <v>68</v>
      </c>
      <c r="AI16" s="218" t="s">
        <v>5555</v>
      </c>
      <c r="AJ16" s="218"/>
      <c r="AK16" s="218"/>
      <c r="AL16" s="263">
        <v>45075.526488055555</v>
      </c>
      <c r="AM16" s="219" t="s">
        <v>18</v>
      </c>
      <c r="AN16" s="273">
        <f t="shared" ca="1" si="3"/>
        <v>101</v>
      </c>
      <c r="AO16" s="82">
        <f t="shared" ca="1" si="4"/>
        <v>100</v>
      </c>
      <c r="AP16" s="82" t="str">
        <f t="shared" ca="1" si="5"/>
        <v>-</v>
      </c>
    </row>
    <row r="17" spans="1:42">
      <c r="A17" s="211">
        <f>SUBTOTAL(103,$I$5:I17)</f>
        <v>13</v>
      </c>
      <c r="B17" s="211" t="s">
        <v>5078</v>
      </c>
      <c r="C17" s="212" t="s">
        <v>3199</v>
      </c>
      <c r="D17" s="229" t="s">
        <v>1106</v>
      </c>
      <c r="E17" s="213" t="s">
        <v>2959</v>
      </c>
      <c r="F17" s="213" t="s">
        <v>129</v>
      </c>
      <c r="G17" s="213">
        <v>42788</v>
      </c>
      <c r="H17" s="213" t="s">
        <v>45</v>
      </c>
      <c r="I17" s="211" t="s">
        <v>2828</v>
      </c>
      <c r="J17" s="213" t="s">
        <v>1042</v>
      </c>
      <c r="K17" s="214" t="s">
        <v>6217</v>
      </c>
      <c r="L17" s="213">
        <v>43153</v>
      </c>
      <c r="M17" s="213">
        <v>45029.83525462963</v>
      </c>
      <c r="N17" s="213">
        <v>45034.755520833336</v>
      </c>
      <c r="O17" s="220" t="s">
        <v>5129</v>
      </c>
      <c r="P17" s="215" t="s">
        <v>4</v>
      </c>
      <c r="Q17" s="215" t="s">
        <v>4871</v>
      </c>
      <c r="R17" s="226">
        <v>1241</v>
      </c>
      <c r="S17" s="215">
        <v>45044</v>
      </c>
      <c r="T17" s="215"/>
      <c r="U17" s="215"/>
      <c r="V17" s="215"/>
      <c r="W17" s="215"/>
      <c r="Y17" s="215"/>
      <c r="Z17" s="215"/>
      <c r="AA17" s="215"/>
      <c r="AB17" s="215"/>
      <c r="AC17" s="220" t="s">
        <v>5122</v>
      </c>
      <c r="AD17" s="220" t="s">
        <v>125</v>
      </c>
      <c r="AE17" s="104" t="s">
        <v>3611</v>
      </c>
      <c r="AF17" s="104" t="s">
        <v>6208</v>
      </c>
      <c r="AG17" s="104" t="s">
        <v>6393</v>
      </c>
      <c r="AH17" s="218" t="s">
        <v>68</v>
      </c>
      <c r="AI17" s="218" t="s">
        <v>5555</v>
      </c>
      <c r="AJ17" s="218"/>
      <c r="AK17" s="218"/>
      <c r="AL17" s="263">
        <v>45126.834028136574</v>
      </c>
      <c r="AM17" s="219" t="s">
        <v>5598</v>
      </c>
      <c r="AN17" s="273">
        <f t="shared" ca="1" si="3"/>
        <v>101</v>
      </c>
      <c r="AO17" s="82">
        <f t="shared" ca="1" si="4"/>
        <v>90</v>
      </c>
      <c r="AP17" s="82" t="str">
        <f t="shared" ca="1" si="5"/>
        <v>-</v>
      </c>
    </row>
    <row r="18" spans="1:42">
      <c r="A18" s="211">
        <f>SUBTOTAL(103,$I$5:I18)</f>
        <v>14</v>
      </c>
      <c r="B18" s="211" t="s">
        <v>5104</v>
      </c>
      <c r="C18" s="212" t="s">
        <v>3199</v>
      </c>
      <c r="D18" s="229" t="s">
        <v>21</v>
      </c>
      <c r="E18" s="213" t="s">
        <v>4635</v>
      </c>
      <c r="F18" s="213" t="s">
        <v>129</v>
      </c>
      <c r="G18" s="213">
        <v>44520</v>
      </c>
      <c r="H18" s="213" t="s">
        <v>30</v>
      </c>
      <c r="I18" s="211" t="s">
        <v>5105</v>
      </c>
      <c r="J18" s="213" t="s">
        <v>39</v>
      </c>
      <c r="K18" s="214" t="s">
        <v>6216</v>
      </c>
      <c r="L18" s="213">
        <v>44885</v>
      </c>
      <c r="M18" s="213">
        <v>45034.533750000002</v>
      </c>
      <c r="N18" s="213">
        <v>45043.834178240744</v>
      </c>
      <c r="O18" s="220" t="s">
        <v>5332</v>
      </c>
      <c r="P18" s="215" t="s">
        <v>2</v>
      </c>
      <c r="Q18" s="215" t="s">
        <v>5287</v>
      </c>
      <c r="R18" s="226">
        <v>5123</v>
      </c>
      <c r="S18" s="215">
        <v>45091</v>
      </c>
      <c r="T18" s="215"/>
      <c r="U18" s="215"/>
      <c r="V18" s="215"/>
      <c r="W18" s="215"/>
      <c r="Y18" s="215"/>
      <c r="Z18" s="215"/>
      <c r="AA18" s="215"/>
      <c r="AB18" s="215"/>
      <c r="AC18" s="220" t="s">
        <v>5196</v>
      </c>
      <c r="AD18" s="220" t="s">
        <v>33</v>
      </c>
      <c r="AE18" s="104" t="s">
        <v>35</v>
      </c>
      <c r="AF18" s="104" t="s">
        <v>6208</v>
      </c>
      <c r="AG18" s="104" t="s">
        <v>6382</v>
      </c>
      <c r="AH18" s="218" t="s">
        <v>68</v>
      </c>
      <c r="AI18" s="218" t="s">
        <v>5555</v>
      </c>
      <c r="AJ18" s="218"/>
      <c r="AK18" s="218"/>
      <c r="AL18" s="263">
        <v>45075.532160810188</v>
      </c>
      <c r="AM18" s="219" t="s">
        <v>18</v>
      </c>
      <c r="AN18" s="273">
        <f t="shared" ca="1" si="3"/>
        <v>98</v>
      </c>
      <c r="AO18" s="82">
        <f t="shared" ca="1" si="4"/>
        <v>57</v>
      </c>
      <c r="AP18" s="82" t="str">
        <f t="shared" ca="1" si="5"/>
        <v>-</v>
      </c>
    </row>
    <row r="19" spans="1:42">
      <c r="A19" s="211">
        <f>SUBTOTAL(103,$I$5:I19)</f>
        <v>15</v>
      </c>
      <c r="B19" s="211" t="s">
        <v>5189</v>
      </c>
      <c r="C19" s="212" t="s">
        <v>3199</v>
      </c>
      <c r="D19" s="229" t="s">
        <v>21</v>
      </c>
      <c r="E19" s="213" t="s">
        <v>4635</v>
      </c>
      <c r="F19" s="213" t="s">
        <v>129</v>
      </c>
      <c r="G19" s="213">
        <v>44414</v>
      </c>
      <c r="H19" s="213" t="s">
        <v>30</v>
      </c>
      <c r="I19" s="211" t="s">
        <v>3033</v>
      </c>
      <c r="J19" s="213" t="s">
        <v>39</v>
      </c>
      <c r="K19" s="214" t="s">
        <v>6216</v>
      </c>
      <c r="L19" s="213">
        <v>44785</v>
      </c>
      <c r="M19" s="213">
        <v>45043.768900462965</v>
      </c>
      <c r="N19" s="213">
        <v>45058.751493055555</v>
      </c>
      <c r="O19" s="220" t="s">
        <v>5325</v>
      </c>
      <c r="P19" s="215" t="s">
        <v>2</v>
      </c>
      <c r="Q19" s="215" t="s">
        <v>5297</v>
      </c>
      <c r="R19" s="226">
        <v>3320</v>
      </c>
      <c r="S19" s="215">
        <v>45100</v>
      </c>
      <c r="T19" s="215"/>
      <c r="U19" s="215"/>
      <c r="V19" s="215"/>
      <c r="W19" s="215"/>
      <c r="Y19" s="215"/>
      <c r="Z19" s="215"/>
      <c r="AA19" s="215"/>
      <c r="AB19" s="215"/>
      <c r="AC19" s="220" t="s">
        <v>5251</v>
      </c>
      <c r="AD19" s="220" t="s">
        <v>1102</v>
      </c>
      <c r="AE19" s="104" t="s">
        <v>35</v>
      </c>
      <c r="AF19" s="104" t="s">
        <v>6208</v>
      </c>
      <c r="AG19" s="104" t="s">
        <v>6382</v>
      </c>
      <c r="AH19" s="218" t="s">
        <v>68</v>
      </c>
      <c r="AI19" s="218" t="s">
        <v>5558</v>
      </c>
      <c r="AJ19" s="218"/>
      <c r="AK19" s="218"/>
      <c r="AL19" s="263">
        <v>45089.474347627314</v>
      </c>
      <c r="AM19" s="219" t="s">
        <v>18</v>
      </c>
      <c r="AN19" s="273">
        <f t="shared" ca="1" si="3"/>
        <v>91</v>
      </c>
      <c r="AO19" s="82">
        <f t="shared" ca="1" si="4"/>
        <v>50</v>
      </c>
      <c r="AP19" s="82" t="str">
        <f t="shared" ca="1" si="5"/>
        <v>-</v>
      </c>
    </row>
    <row r="20" spans="1:42">
      <c r="A20" s="211">
        <f>SUBTOTAL(103,$I$5:I20)</f>
        <v>16</v>
      </c>
      <c r="B20" s="211" t="s">
        <v>5158</v>
      </c>
      <c r="C20" s="212" t="s">
        <v>1714</v>
      </c>
      <c r="D20" s="229" t="s">
        <v>41</v>
      </c>
      <c r="E20" s="213"/>
      <c r="F20" s="213" t="s">
        <v>22</v>
      </c>
      <c r="G20" s="213">
        <v>42917</v>
      </c>
      <c r="H20" s="213" t="s">
        <v>32</v>
      </c>
      <c r="I20" s="211" t="s">
        <v>4016</v>
      </c>
      <c r="J20" s="213" t="s">
        <v>39</v>
      </c>
      <c r="K20" s="214" t="s">
        <v>6221</v>
      </c>
      <c r="L20" s="213">
        <v>43282</v>
      </c>
      <c r="M20" s="213">
        <v>45042.735532407409</v>
      </c>
      <c r="N20" s="213">
        <v>45064.630474537036</v>
      </c>
      <c r="O20" s="220" t="s">
        <v>5625</v>
      </c>
      <c r="P20" s="215" t="s">
        <v>2</v>
      </c>
      <c r="Q20" s="215" t="s">
        <v>5317</v>
      </c>
      <c r="R20" s="226"/>
      <c r="S20" s="215" t="s">
        <v>66</v>
      </c>
      <c r="T20" s="215">
        <v>45145</v>
      </c>
      <c r="U20" s="215"/>
      <c r="V20" s="215"/>
      <c r="W20" s="215"/>
      <c r="Y20" s="215"/>
      <c r="Z20" s="215"/>
      <c r="AA20" s="215"/>
      <c r="AB20" s="215"/>
      <c r="AC20" s="220" t="s">
        <v>6030</v>
      </c>
      <c r="AD20" s="220" t="s">
        <v>1102</v>
      </c>
      <c r="AE20" s="104" t="s">
        <v>28</v>
      </c>
      <c r="AF20" s="104" t="s">
        <v>6031</v>
      </c>
      <c r="AG20" s="104"/>
      <c r="AH20" s="218" t="s">
        <v>68</v>
      </c>
      <c r="AI20" s="218" t="s">
        <v>5406</v>
      </c>
      <c r="AJ20" s="218"/>
      <c r="AK20" s="218"/>
      <c r="AL20" s="263">
        <v>45098.688216331022</v>
      </c>
      <c r="AM20" s="219" t="s">
        <v>20</v>
      </c>
      <c r="AN20" s="273">
        <f t="shared" ca="1" si="3"/>
        <v>92</v>
      </c>
      <c r="AO20" s="82" t="str">
        <f t="shared" ca="1" si="4"/>
        <v>-</v>
      </c>
      <c r="AP20" s="82" t="str">
        <f t="shared" ca="1" si="5"/>
        <v>-</v>
      </c>
    </row>
    <row r="21" spans="1:42">
      <c r="A21" s="211">
        <f>SUBTOTAL(103,$I$5:I21)</f>
        <v>17</v>
      </c>
      <c r="B21" s="211" t="s">
        <v>5167</v>
      </c>
      <c r="C21" s="212" t="s">
        <v>3199</v>
      </c>
      <c r="D21" s="229" t="s">
        <v>37</v>
      </c>
      <c r="E21" s="213" t="s">
        <v>4635</v>
      </c>
      <c r="F21" s="213" t="s">
        <v>129</v>
      </c>
      <c r="G21" s="213">
        <v>43825</v>
      </c>
      <c r="H21" s="213" t="s">
        <v>30</v>
      </c>
      <c r="I21" s="211" t="s">
        <v>3491</v>
      </c>
      <c r="J21" s="213" t="s">
        <v>39</v>
      </c>
      <c r="K21" s="214" t="s">
        <v>6216</v>
      </c>
      <c r="L21" s="213">
        <v>44191</v>
      </c>
      <c r="M21" s="213">
        <v>45043.454895833333</v>
      </c>
      <c r="N21" s="213">
        <v>45043.751307870371</v>
      </c>
      <c r="O21" s="220" t="s">
        <v>5177</v>
      </c>
      <c r="P21" s="215" t="s">
        <v>2</v>
      </c>
      <c r="Q21" s="215" t="s">
        <v>5295</v>
      </c>
      <c r="R21" s="226">
        <v>7592</v>
      </c>
      <c r="S21" s="215">
        <v>45075</v>
      </c>
      <c r="T21" s="215"/>
      <c r="U21" s="215"/>
      <c r="V21" s="215"/>
      <c r="W21" s="215"/>
      <c r="Y21" s="215"/>
      <c r="Z21" s="215"/>
      <c r="AA21" s="215"/>
      <c r="AB21" s="215"/>
      <c r="AC21" s="220" t="s">
        <v>5251</v>
      </c>
      <c r="AD21" s="220" t="s">
        <v>1102</v>
      </c>
      <c r="AE21" s="104" t="s">
        <v>35</v>
      </c>
      <c r="AF21" s="104" t="s">
        <v>6338</v>
      </c>
      <c r="AG21" s="104" t="s">
        <v>6363</v>
      </c>
      <c r="AH21" s="218" t="s">
        <v>68</v>
      </c>
      <c r="AI21" s="218" t="s">
        <v>5555</v>
      </c>
      <c r="AJ21" s="218"/>
      <c r="AK21" s="218"/>
      <c r="AL21" s="263">
        <v>45093.792734918985</v>
      </c>
      <c r="AM21" s="219" t="s">
        <v>18</v>
      </c>
      <c r="AN21" s="273">
        <f t="shared" ca="1" si="3"/>
        <v>91</v>
      </c>
      <c r="AO21" s="82">
        <f t="shared" ca="1" si="4"/>
        <v>69</v>
      </c>
      <c r="AP21" s="82" t="str">
        <f t="shared" ca="1" si="5"/>
        <v>-</v>
      </c>
    </row>
    <row r="22" spans="1:42">
      <c r="A22" s="211">
        <f>SUBTOTAL(103,$I$5:I22)</f>
        <v>18</v>
      </c>
      <c r="B22" s="211" t="s">
        <v>5190</v>
      </c>
      <c r="C22" s="212" t="s">
        <v>3199</v>
      </c>
      <c r="D22" s="229" t="s">
        <v>21</v>
      </c>
      <c r="E22" s="213" t="s">
        <v>4635</v>
      </c>
      <c r="F22" s="213" t="s">
        <v>129</v>
      </c>
      <c r="G22" s="213">
        <v>44520</v>
      </c>
      <c r="H22" s="213" t="s">
        <v>30</v>
      </c>
      <c r="I22" s="211" t="s">
        <v>2786</v>
      </c>
      <c r="J22" s="213" t="s">
        <v>39</v>
      </c>
      <c r="K22" s="214" t="s">
        <v>6216</v>
      </c>
      <c r="L22" s="213">
        <v>44885</v>
      </c>
      <c r="M22" s="213">
        <v>45043.769328703704</v>
      </c>
      <c r="N22" s="213">
        <v>45057.706979166665</v>
      </c>
      <c r="O22" s="220" t="s">
        <v>5333</v>
      </c>
      <c r="P22" s="215" t="s">
        <v>2</v>
      </c>
      <c r="Q22" s="215" t="s">
        <v>5298</v>
      </c>
      <c r="R22" s="226">
        <v>4413</v>
      </c>
      <c r="S22" s="215">
        <v>45082</v>
      </c>
      <c r="T22" s="215"/>
      <c r="U22" s="215"/>
      <c r="V22" s="215"/>
      <c r="W22" s="215"/>
      <c r="Y22" s="215"/>
      <c r="Z22" s="215"/>
      <c r="AA22" s="215"/>
      <c r="AB22" s="215"/>
      <c r="AC22" s="220" t="s">
        <v>5326</v>
      </c>
      <c r="AD22" s="220" t="s">
        <v>1102</v>
      </c>
      <c r="AE22" s="104" t="s">
        <v>35</v>
      </c>
      <c r="AF22" s="104" t="s">
        <v>6208</v>
      </c>
      <c r="AG22" s="104" t="s">
        <v>6382</v>
      </c>
      <c r="AH22" s="218" t="s">
        <v>68</v>
      </c>
      <c r="AI22" s="218" t="s">
        <v>5555</v>
      </c>
      <c r="AJ22" s="218"/>
      <c r="AK22" s="218"/>
      <c r="AL22" s="263">
        <v>45085.735581701389</v>
      </c>
      <c r="AM22" s="219" t="s">
        <v>54</v>
      </c>
      <c r="AN22" s="273">
        <f t="shared" ca="1" si="3"/>
        <v>91</v>
      </c>
      <c r="AO22" s="82">
        <f t="shared" ca="1" si="4"/>
        <v>64</v>
      </c>
      <c r="AP22" s="82" t="str">
        <f t="shared" ca="1" si="5"/>
        <v>-</v>
      </c>
    </row>
    <row r="23" spans="1:42">
      <c r="A23" s="211">
        <f>SUBTOTAL(103,$I$5:I23)</f>
        <v>19</v>
      </c>
      <c r="B23" s="211" t="s">
        <v>5229</v>
      </c>
      <c r="C23" s="212" t="s">
        <v>3199</v>
      </c>
      <c r="D23" s="229" t="s">
        <v>21</v>
      </c>
      <c r="E23" s="213" t="s">
        <v>4635</v>
      </c>
      <c r="F23" s="213" t="s">
        <v>129</v>
      </c>
      <c r="G23" s="213">
        <v>43702</v>
      </c>
      <c r="H23" s="213" t="s">
        <v>1169</v>
      </c>
      <c r="I23" s="211" t="s">
        <v>1170</v>
      </c>
      <c r="J23" s="213" t="s">
        <v>1043</v>
      </c>
      <c r="K23" s="214" t="s">
        <v>6221</v>
      </c>
      <c r="L23" s="213">
        <v>44068</v>
      </c>
      <c r="M23" s="213">
        <v>45055.483796296299</v>
      </c>
      <c r="N23" s="213">
        <v>45055.497847222221</v>
      </c>
      <c r="O23" s="220" t="s">
        <v>5257</v>
      </c>
      <c r="P23" s="215" t="s">
        <v>2</v>
      </c>
      <c r="Q23" s="215" t="s">
        <v>5230</v>
      </c>
      <c r="R23" s="226">
        <v>5351</v>
      </c>
      <c r="S23" s="215">
        <v>45055</v>
      </c>
      <c r="T23" s="215"/>
      <c r="U23" s="215"/>
      <c r="V23" s="215"/>
      <c r="W23" s="215"/>
      <c r="Y23" s="215"/>
      <c r="Z23" s="215"/>
      <c r="AA23" s="215"/>
      <c r="AB23" s="215"/>
      <c r="AC23" s="220" t="s">
        <v>5258</v>
      </c>
      <c r="AD23" s="220" t="s">
        <v>33</v>
      </c>
      <c r="AE23" s="104" t="s">
        <v>35</v>
      </c>
      <c r="AF23" s="104" t="s">
        <v>6208</v>
      </c>
      <c r="AG23" s="104" t="s">
        <v>6382</v>
      </c>
      <c r="AH23" s="218" t="s">
        <v>68</v>
      </c>
      <c r="AI23" s="218" t="s">
        <v>5555</v>
      </c>
      <c r="AJ23" s="218"/>
      <c r="AK23" s="218"/>
      <c r="AL23" s="263">
        <v>45075.550773831019</v>
      </c>
      <c r="AM23" s="219" t="s">
        <v>18</v>
      </c>
      <c r="AN23" s="273">
        <f t="shared" ca="1" si="3"/>
        <v>83</v>
      </c>
      <c r="AO23" s="82">
        <f t="shared" ca="1" si="4"/>
        <v>83</v>
      </c>
      <c r="AP23" s="82" t="str">
        <f t="shared" ca="1" si="5"/>
        <v>-</v>
      </c>
    </row>
    <row r="24" spans="1:42">
      <c r="A24" s="211">
        <f>SUBTOTAL(103,$I$5:I24)</f>
        <v>20</v>
      </c>
      <c r="B24" s="211" t="s">
        <v>5412</v>
      </c>
      <c r="C24" s="212" t="s">
        <v>3199</v>
      </c>
      <c r="D24" s="229" t="s">
        <v>21</v>
      </c>
      <c r="E24" s="213" t="s">
        <v>4635</v>
      </c>
      <c r="F24" s="213" t="s">
        <v>129</v>
      </c>
      <c r="G24" s="213">
        <v>44250</v>
      </c>
      <c r="H24" s="213" t="s">
        <v>1193</v>
      </c>
      <c r="I24" s="211" t="s">
        <v>1892</v>
      </c>
      <c r="J24" s="213" t="s">
        <v>5083</v>
      </c>
      <c r="K24" s="214" t="s">
        <v>6220</v>
      </c>
      <c r="L24" s="213">
        <v>44621</v>
      </c>
      <c r="M24" s="213">
        <v>45075.794363425928</v>
      </c>
      <c r="N24" s="213">
        <v>45078.553530092591</v>
      </c>
      <c r="O24" s="220" t="s">
        <v>5503</v>
      </c>
      <c r="P24" s="215" t="s">
        <v>2</v>
      </c>
      <c r="Q24" s="215" t="s">
        <v>1485</v>
      </c>
      <c r="R24" s="226">
        <v>1368</v>
      </c>
      <c r="S24" s="215">
        <v>45082</v>
      </c>
      <c r="T24" s="215"/>
      <c r="U24" s="215"/>
      <c r="V24" s="215"/>
      <c r="W24" s="215"/>
      <c r="Y24" s="215"/>
      <c r="Z24" s="215"/>
      <c r="AA24" s="215"/>
      <c r="AB24" s="215"/>
      <c r="AC24" s="220" t="s">
        <v>5465</v>
      </c>
      <c r="AD24" s="220" t="s">
        <v>1102</v>
      </c>
      <c r="AE24" s="104" t="s">
        <v>35</v>
      </c>
      <c r="AF24" s="104" t="s">
        <v>6208</v>
      </c>
      <c r="AG24" s="104" t="s">
        <v>6382</v>
      </c>
      <c r="AH24" s="218" t="s">
        <v>68</v>
      </c>
      <c r="AI24" s="218" t="s">
        <v>5555</v>
      </c>
      <c r="AJ24" s="218"/>
      <c r="AK24" s="218"/>
      <c r="AL24" s="263">
        <v>45119.576774247682</v>
      </c>
      <c r="AM24" s="219" t="s">
        <v>5598</v>
      </c>
      <c r="AN24" s="273">
        <f t="shared" ca="1" si="3"/>
        <v>69</v>
      </c>
      <c r="AO24" s="82">
        <f t="shared" ca="1" si="4"/>
        <v>64</v>
      </c>
      <c r="AP24" s="82" t="str">
        <f t="shared" ca="1" si="5"/>
        <v>-</v>
      </c>
    </row>
    <row r="25" spans="1:42">
      <c r="A25" s="211">
        <f>SUBTOTAL(103,$I$5:I25)</f>
        <v>21</v>
      </c>
      <c r="B25" s="211" t="s">
        <v>5223</v>
      </c>
      <c r="C25" s="212" t="s">
        <v>3199</v>
      </c>
      <c r="D25" s="229" t="s">
        <v>5224</v>
      </c>
      <c r="E25" s="213" t="s">
        <v>4676</v>
      </c>
      <c r="F25" s="213" t="s">
        <v>22</v>
      </c>
      <c r="G25" s="213">
        <v>42222</v>
      </c>
      <c r="H25" s="213" t="s">
        <v>38</v>
      </c>
      <c r="I25" s="211" t="s">
        <v>5225</v>
      </c>
      <c r="J25" s="213" t="s">
        <v>39</v>
      </c>
      <c r="K25" s="214" t="s">
        <v>6222</v>
      </c>
      <c r="L25" s="213">
        <v>42587</v>
      </c>
      <c r="M25" s="213">
        <v>45055.643425925926</v>
      </c>
      <c r="N25" s="213">
        <v>45055.651678240742</v>
      </c>
      <c r="O25" s="220" t="s">
        <v>5253</v>
      </c>
      <c r="P25" s="215" t="s">
        <v>2</v>
      </c>
      <c r="Q25" s="215" t="s">
        <v>5226</v>
      </c>
      <c r="R25" s="226">
        <v>4274</v>
      </c>
      <c r="S25" s="215">
        <v>45056</v>
      </c>
      <c r="T25" s="215"/>
      <c r="U25" s="215"/>
      <c r="V25" s="215"/>
      <c r="W25" s="215"/>
      <c r="Y25" s="215"/>
      <c r="Z25" s="215"/>
      <c r="AA25" s="215"/>
      <c r="AB25" s="215"/>
      <c r="AC25" s="220" t="s">
        <v>5252</v>
      </c>
      <c r="AD25" s="220" t="s">
        <v>20</v>
      </c>
      <c r="AE25" s="104" t="s">
        <v>35</v>
      </c>
      <c r="AF25" s="104" t="s">
        <v>6208</v>
      </c>
      <c r="AG25" s="104" t="s">
        <v>6381</v>
      </c>
      <c r="AH25" s="218" t="s">
        <v>68</v>
      </c>
      <c r="AI25" s="218" t="s">
        <v>5555</v>
      </c>
      <c r="AJ25" s="218"/>
      <c r="AK25" s="218"/>
      <c r="AL25" s="263">
        <v>45075.549551909724</v>
      </c>
      <c r="AM25" s="219" t="s">
        <v>18</v>
      </c>
      <c r="AN25" s="273">
        <f t="shared" ca="1" si="3"/>
        <v>83</v>
      </c>
      <c r="AO25" s="82">
        <f t="shared" ca="1" si="4"/>
        <v>82</v>
      </c>
      <c r="AP25" s="82" t="str">
        <f t="shared" ca="1" si="5"/>
        <v>-</v>
      </c>
    </row>
    <row r="26" spans="1:42">
      <c r="A26" s="211">
        <f>SUBTOTAL(103,$I$5:I26)</f>
        <v>22</v>
      </c>
      <c r="B26" s="211" t="s">
        <v>5413</v>
      </c>
      <c r="C26" s="212" t="s">
        <v>3199</v>
      </c>
      <c r="D26" s="229" t="s">
        <v>21</v>
      </c>
      <c r="E26" s="213" t="s">
        <v>4635</v>
      </c>
      <c r="F26" s="213" t="s">
        <v>129</v>
      </c>
      <c r="G26" s="213">
        <v>44520</v>
      </c>
      <c r="H26" s="213" t="s">
        <v>30</v>
      </c>
      <c r="I26" s="211" t="s">
        <v>5414</v>
      </c>
      <c r="J26" s="213" t="s">
        <v>39</v>
      </c>
      <c r="K26" s="214" t="s">
        <v>6216</v>
      </c>
      <c r="L26" s="213">
        <v>44885</v>
      </c>
      <c r="M26" s="213">
        <v>45075.794814814813</v>
      </c>
      <c r="N26" s="213">
        <v>45085.577175925922</v>
      </c>
      <c r="O26" s="220" t="s">
        <v>5511</v>
      </c>
      <c r="P26" s="215" t="s">
        <v>2</v>
      </c>
      <c r="Q26" s="215" t="s">
        <v>5478</v>
      </c>
      <c r="R26" s="226">
        <v>4463</v>
      </c>
      <c r="S26" s="215">
        <v>45086</v>
      </c>
      <c r="T26" s="215"/>
      <c r="U26" s="215"/>
      <c r="V26" s="215"/>
      <c r="W26" s="215"/>
      <c r="Y26" s="215"/>
      <c r="Z26" s="215"/>
      <c r="AA26" s="215"/>
      <c r="AB26" s="215"/>
      <c r="AC26" s="220" t="s">
        <v>5512</v>
      </c>
      <c r="AD26" s="220" t="s">
        <v>1102</v>
      </c>
      <c r="AE26" s="104" t="s">
        <v>35</v>
      </c>
      <c r="AF26" s="104" t="s">
        <v>6208</v>
      </c>
      <c r="AG26" s="104" t="s">
        <v>6382</v>
      </c>
      <c r="AH26" s="218" t="s">
        <v>68</v>
      </c>
      <c r="AI26" s="218" t="s">
        <v>5555</v>
      </c>
      <c r="AJ26" s="218"/>
      <c r="AK26" s="218"/>
      <c r="AL26" s="263">
        <v>45100.811820856485</v>
      </c>
      <c r="AM26" s="219" t="s">
        <v>5407</v>
      </c>
      <c r="AN26" s="273">
        <f t="shared" ca="1" si="3"/>
        <v>69</v>
      </c>
      <c r="AO26" s="82">
        <f t="shared" ca="1" si="4"/>
        <v>60</v>
      </c>
      <c r="AP26" s="82" t="str">
        <f t="shared" ca="1" si="5"/>
        <v>-</v>
      </c>
    </row>
    <row r="27" spans="1:42">
      <c r="A27" s="211">
        <f>SUBTOTAL(103,$I$5:I27)</f>
        <v>23</v>
      </c>
      <c r="B27" s="211" t="s">
        <v>5480</v>
      </c>
      <c r="C27" s="212" t="s">
        <v>3199</v>
      </c>
      <c r="D27" s="229" t="s">
        <v>21</v>
      </c>
      <c r="E27" s="213" t="s">
        <v>4635</v>
      </c>
      <c r="F27" s="213" t="s">
        <v>129</v>
      </c>
      <c r="G27" s="213">
        <v>44189</v>
      </c>
      <c r="H27" s="213" t="s">
        <v>30</v>
      </c>
      <c r="I27" s="211" t="s">
        <v>2565</v>
      </c>
      <c r="J27" s="213" t="s">
        <v>39</v>
      </c>
      <c r="K27" s="214" t="s">
        <v>6216</v>
      </c>
      <c r="L27" s="213">
        <v>44554</v>
      </c>
      <c r="M27" s="213">
        <v>45082.489212962966</v>
      </c>
      <c r="N27" s="213">
        <v>45082.666701388887</v>
      </c>
      <c r="O27" s="220" t="s">
        <v>5516</v>
      </c>
      <c r="P27" s="215" t="s">
        <v>2</v>
      </c>
      <c r="Q27" s="215" t="s">
        <v>5481</v>
      </c>
      <c r="R27" s="226">
        <v>8142</v>
      </c>
      <c r="S27" s="215">
        <v>45086</v>
      </c>
      <c r="T27" s="215"/>
      <c r="U27" s="215"/>
      <c r="V27" s="215"/>
      <c r="W27" s="215"/>
      <c r="Y27" s="215"/>
      <c r="Z27" s="215"/>
      <c r="AA27" s="215"/>
      <c r="AB27" s="215"/>
      <c r="AC27" s="220" t="s">
        <v>5505</v>
      </c>
      <c r="AD27" s="220" t="s">
        <v>1102</v>
      </c>
      <c r="AE27" s="104" t="s">
        <v>35</v>
      </c>
      <c r="AF27" s="104" t="s">
        <v>6208</v>
      </c>
      <c r="AG27" s="104" t="s">
        <v>6382</v>
      </c>
      <c r="AH27" s="218" t="s">
        <v>68</v>
      </c>
      <c r="AI27" s="218" t="s">
        <v>5555</v>
      </c>
      <c r="AJ27" s="218"/>
      <c r="AK27" s="218"/>
      <c r="AL27" s="263">
        <v>45100.812597048614</v>
      </c>
      <c r="AM27" s="219" t="s">
        <v>5407</v>
      </c>
      <c r="AN27" s="273">
        <f t="shared" ca="1" si="3"/>
        <v>64</v>
      </c>
      <c r="AO27" s="82">
        <f t="shared" ca="1" si="4"/>
        <v>60</v>
      </c>
      <c r="AP27" s="82" t="str">
        <f t="shared" ca="1" si="5"/>
        <v>-</v>
      </c>
    </row>
    <row r="28" spans="1:42">
      <c r="A28" s="211">
        <f>SUBTOTAL(103,$I$5:I28)</f>
        <v>24</v>
      </c>
      <c r="B28" s="211" t="s">
        <v>5236</v>
      </c>
      <c r="C28" s="212" t="s">
        <v>3198</v>
      </c>
      <c r="D28" s="229" t="s">
        <v>40</v>
      </c>
      <c r="E28" s="213" t="s">
        <v>4635</v>
      </c>
      <c r="F28" s="213" t="s">
        <v>129</v>
      </c>
      <c r="G28" s="213">
        <v>42744</v>
      </c>
      <c r="H28" s="213" t="s">
        <v>49</v>
      </c>
      <c r="I28" s="211" t="s">
        <v>5237</v>
      </c>
      <c r="J28" s="213" t="s">
        <v>39</v>
      </c>
      <c r="K28" s="214" t="s">
        <v>6215</v>
      </c>
      <c r="M28" s="213">
        <v>45056.527662037035</v>
      </c>
      <c r="N28" s="213">
        <v>45063.529351851852</v>
      </c>
      <c r="O28" s="220" t="s">
        <v>5335</v>
      </c>
      <c r="P28" s="215" t="s">
        <v>2</v>
      </c>
      <c r="Q28" s="215" t="s">
        <v>5319</v>
      </c>
      <c r="R28" s="226">
        <v>2840</v>
      </c>
      <c r="S28" s="215">
        <v>45082</v>
      </c>
      <c r="T28" s="215"/>
      <c r="U28" s="215" t="s">
        <v>12</v>
      </c>
      <c r="V28" s="215"/>
      <c r="W28" s="215"/>
      <c r="Y28" s="215"/>
      <c r="Z28" s="215"/>
      <c r="AA28" s="215"/>
      <c r="AB28" s="215"/>
      <c r="AC28" s="220" t="s">
        <v>5327</v>
      </c>
      <c r="AD28" s="220" t="s">
        <v>1120</v>
      </c>
      <c r="AE28" s="104" t="s">
        <v>28</v>
      </c>
      <c r="AF28" s="104" t="s">
        <v>6380</v>
      </c>
      <c r="AG28" s="104"/>
      <c r="AH28" s="218" t="s">
        <v>68</v>
      </c>
      <c r="AI28" s="218" t="s">
        <v>5556</v>
      </c>
      <c r="AJ28" s="218"/>
      <c r="AK28" s="218"/>
      <c r="AL28" s="263">
        <v>45147.493427060188</v>
      </c>
      <c r="AM28" s="219" t="s">
        <v>54</v>
      </c>
      <c r="AN28" s="273">
        <f t="shared" ca="1" si="3"/>
        <v>82</v>
      </c>
      <c r="AO28" s="82">
        <f t="shared" ca="1" si="4"/>
        <v>64</v>
      </c>
      <c r="AP28" s="82" t="str">
        <f t="shared" ca="1" si="5"/>
        <v>-</v>
      </c>
    </row>
    <row r="29" spans="1:42">
      <c r="A29" s="211">
        <f>SUBTOTAL(103,$I$5:I29)</f>
        <v>25</v>
      </c>
      <c r="B29" s="211" t="s">
        <v>5263</v>
      </c>
      <c r="C29" s="212" t="s">
        <v>3198</v>
      </c>
      <c r="D29" s="229" t="s">
        <v>1674</v>
      </c>
      <c r="E29" s="213" t="s">
        <v>3457</v>
      </c>
      <c r="F29" s="213" t="s">
        <v>129</v>
      </c>
      <c r="G29" s="213">
        <v>43536</v>
      </c>
      <c r="H29" s="213" t="s">
        <v>36</v>
      </c>
      <c r="I29" s="211" t="s">
        <v>1675</v>
      </c>
      <c r="J29" s="213" t="s">
        <v>39</v>
      </c>
      <c r="K29" s="214" t="s">
        <v>6219</v>
      </c>
      <c r="L29" s="213">
        <v>43902</v>
      </c>
      <c r="M29" s="213">
        <v>45058.844490740739</v>
      </c>
      <c r="N29" s="213">
        <v>45069.541724537034</v>
      </c>
      <c r="O29" s="220" t="s">
        <v>5514</v>
      </c>
      <c r="P29" s="215" t="s">
        <v>2</v>
      </c>
      <c r="Q29" s="215" t="s">
        <v>5429</v>
      </c>
      <c r="R29" s="226">
        <v>6457</v>
      </c>
      <c r="S29" s="215">
        <v>45086</v>
      </c>
      <c r="T29" s="215"/>
      <c r="U29" s="215"/>
      <c r="V29" s="215"/>
      <c r="W29" s="215"/>
      <c r="Y29" s="215"/>
      <c r="Z29" s="215"/>
      <c r="AA29" s="215"/>
      <c r="AB29" s="215"/>
      <c r="AC29" s="220" t="s">
        <v>5392</v>
      </c>
      <c r="AD29" s="220" t="s">
        <v>1120</v>
      </c>
      <c r="AE29" s="104" t="s">
        <v>35</v>
      </c>
      <c r="AF29" s="104" t="s">
        <v>6338</v>
      </c>
      <c r="AG29" s="104" t="s">
        <v>6372</v>
      </c>
      <c r="AH29" s="218" t="s">
        <v>68</v>
      </c>
      <c r="AI29" s="218" t="s">
        <v>5555</v>
      </c>
      <c r="AJ29" s="218"/>
      <c r="AK29" s="218"/>
      <c r="AL29" s="263">
        <v>45100.81461616898</v>
      </c>
      <c r="AM29" s="219" t="s">
        <v>5407</v>
      </c>
      <c r="AN29" s="273">
        <f t="shared" ca="1" si="3"/>
        <v>80</v>
      </c>
      <c r="AO29" s="82">
        <f t="shared" ca="1" si="4"/>
        <v>60</v>
      </c>
      <c r="AP29" s="82" t="str">
        <f t="shared" ca="1" si="5"/>
        <v>-</v>
      </c>
    </row>
    <row r="30" spans="1:42">
      <c r="A30" s="211">
        <f>SUBTOTAL(103,$I$5:I30)</f>
        <v>26</v>
      </c>
      <c r="B30" s="211" t="s">
        <v>5570</v>
      </c>
      <c r="C30" s="212" t="s">
        <v>3199</v>
      </c>
      <c r="D30" s="229" t="s">
        <v>21</v>
      </c>
      <c r="E30" s="213" t="s">
        <v>4635</v>
      </c>
      <c r="F30" s="213" t="s">
        <v>129</v>
      </c>
      <c r="G30" s="213">
        <v>44520</v>
      </c>
      <c r="H30" s="213" t="s">
        <v>30</v>
      </c>
      <c r="I30" s="211" t="s">
        <v>2704</v>
      </c>
      <c r="J30" s="213" t="s">
        <v>39</v>
      </c>
      <c r="K30" s="214" t="s">
        <v>6216</v>
      </c>
      <c r="L30" s="213">
        <v>44885</v>
      </c>
      <c r="M30" s="213">
        <v>45096.552615740744</v>
      </c>
      <c r="N30" s="213">
        <v>45099.680347222224</v>
      </c>
      <c r="O30" s="220"/>
      <c r="P30" s="215" t="s">
        <v>2</v>
      </c>
      <c r="Q30" s="215" t="s">
        <v>5659</v>
      </c>
      <c r="R30" s="226">
        <v>11795</v>
      </c>
      <c r="S30" s="215">
        <v>45105</v>
      </c>
      <c r="T30" s="215"/>
      <c r="U30" s="215"/>
      <c r="V30" s="215"/>
      <c r="W30" s="216"/>
      <c r="Y30" s="215"/>
      <c r="Z30" s="215"/>
      <c r="AA30" s="215"/>
      <c r="AB30" s="215"/>
      <c r="AC30" s="220" t="s">
        <v>5626</v>
      </c>
      <c r="AD30" s="220" t="s">
        <v>1120</v>
      </c>
      <c r="AE30" s="104" t="s">
        <v>35</v>
      </c>
      <c r="AF30" s="104" t="s">
        <v>6208</v>
      </c>
      <c r="AG30" s="104" t="s">
        <v>6382</v>
      </c>
      <c r="AH30" s="218" t="s">
        <v>68</v>
      </c>
      <c r="AI30" s="218" t="s">
        <v>5555</v>
      </c>
      <c r="AJ30" s="218"/>
      <c r="AK30" s="218"/>
      <c r="AL30" s="263">
        <v>45106.510240358795</v>
      </c>
      <c r="AM30" s="219" t="s">
        <v>5598</v>
      </c>
      <c r="AN30" s="273">
        <f t="shared" ca="1" si="3"/>
        <v>54</v>
      </c>
      <c r="AO30" s="82">
        <f t="shared" ca="1" si="4"/>
        <v>47</v>
      </c>
      <c r="AP30" s="82" t="str">
        <f t="shared" ca="1" si="5"/>
        <v>-</v>
      </c>
    </row>
    <row r="31" spans="1:42">
      <c r="A31" s="211">
        <f>SUBTOTAL(103,$I$5:I31)</f>
        <v>27</v>
      </c>
      <c r="B31" s="211" t="s">
        <v>5572</v>
      </c>
      <c r="C31" s="212" t="s">
        <v>3199</v>
      </c>
      <c r="D31" s="229" t="s">
        <v>21</v>
      </c>
      <c r="E31" s="213" t="s">
        <v>4635</v>
      </c>
      <c r="F31" s="213" t="s">
        <v>129</v>
      </c>
      <c r="G31" s="213">
        <v>44520</v>
      </c>
      <c r="H31" s="213" t="s">
        <v>30</v>
      </c>
      <c r="I31" s="211" t="s">
        <v>5573</v>
      </c>
      <c r="J31" s="213" t="s">
        <v>39</v>
      </c>
      <c r="K31" s="214" t="s">
        <v>6216</v>
      </c>
      <c r="L31" s="213">
        <v>44885</v>
      </c>
      <c r="M31" s="213">
        <v>45096.553587962961</v>
      </c>
      <c r="N31" s="213">
        <v>45099.688206018516</v>
      </c>
      <c r="O31" s="220"/>
      <c r="P31" s="215" t="s">
        <v>2</v>
      </c>
      <c r="Q31" s="215" t="s">
        <v>5601</v>
      </c>
      <c r="R31" s="226">
        <v>10819</v>
      </c>
      <c r="S31" s="215">
        <v>45105</v>
      </c>
      <c r="T31" s="215"/>
      <c r="U31" s="215"/>
      <c r="V31" s="215"/>
      <c r="W31" s="216"/>
      <c r="Y31" s="215"/>
      <c r="Z31" s="215"/>
      <c r="AA31" s="215"/>
      <c r="AB31" s="215"/>
      <c r="AC31" s="220" t="s">
        <v>5627</v>
      </c>
      <c r="AD31" s="220" t="s">
        <v>1120</v>
      </c>
      <c r="AE31" s="104" t="s">
        <v>35</v>
      </c>
      <c r="AF31" s="104" t="s">
        <v>6208</v>
      </c>
      <c r="AG31" s="104" t="s">
        <v>6382</v>
      </c>
      <c r="AH31" s="218" t="s">
        <v>68</v>
      </c>
      <c r="AI31" s="218" t="s">
        <v>5555</v>
      </c>
      <c r="AJ31" s="218"/>
      <c r="AK31" s="218"/>
      <c r="AL31" s="263">
        <v>45106.509664687503</v>
      </c>
      <c r="AM31" s="219" t="s">
        <v>5598</v>
      </c>
      <c r="AN31" s="273">
        <f t="shared" ca="1" si="3"/>
        <v>54</v>
      </c>
      <c r="AO31" s="82">
        <f t="shared" ca="1" si="4"/>
        <v>47</v>
      </c>
      <c r="AP31" s="82" t="str">
        <f t="shared" ca="1" si="5"/>
        <v>-</v>
      </c>
    </row>
    <row r="32" spans="1:42">
      <c r="A32" s="211">
        <f>SUBTOTAL(103,$I$5:I32)</f>
        <v>28</v>
      </c>
      <c r="B32" s="211" t="s">
        <v>5339</v>
      </c>
      <c r="C32" s="212" t="s">
        <v>3198</v>
      </c>
      <c r="D32" s="229" t="s">
        <v>6394</v>
      </c>
      <c r="E32" s="213" t="s">
        <v>4676</v>
      </c>
      <c r="F32" s="213" t="s">
        <v>22</v>
      </c>
      <c r="G32" s="213">
        <v>43315</v>
      </c>
      <c r="H32" s="213" t="s">
        <v>27</v>
      </c>
      <c r="I32" s="211" t="s">
        <v>5340</v>
      </c>
      <c r="J32" s="213" t="s">
        <v>1042</v>
      </c>
      <c r="K32" s="214" t="s">
        <v>6217</v>
      </c>
      <c r="L32" s="213">
        <v>43680</v>
      </c>
      <c r="M32" s="213">
        <v>45075.434930555559</v>
      </c>
      <c r="N32" s="213">
        <v>45075.463599537034</v>
      </c>
      <c r="O32" s="220" t="s">
        <v>5405</v>
      </c>
      <c r="P32" s="215" t="s">
        <v>4</v>
      </c>
      <c r="Q32" s="215" t="s">
        <v>1093</v>
      </c>
      <c r="R32" s="226">
        <v>10270</v>
      </c>
      <c r="S32" s="215">
        <v>45075</v>
      </c>
      <c r="T32" s="215"/>
      <c r="U32" s="215"/>
      <c r="V32" s="215"/>
      <c r="W32" s="215"/>
      <c r="Y32" s="215"/>
      <c r="Z32" s="215"/>
      <c r="AA32" s="215"/>
      <c r="AB32" s="215"/>
      <c r="AC32" s="220" t="s">
        <v>5949</v>
      </c>
      <c r="AD32" s="220" t="s">
        <v>18</v>
      </c>
      <c r="AE32" s="104" t="s">
        <v>3611</v>
      </c>
      <c r="AF32" s="104" t="s">
        <v>6208</v>
      </c>
      <c r="AG32" s="104"/>
      <c r="AH32" s="218" t="s">
        <v>68</v>
      </c>
      <c r="AI32" s="218" t="s">
        <v>5555</v>
      </c>
      <c r="AJ32" s="218"/>
      <c r="AK32" s="218"/>
      <c r="AL32" s="263">
        <v>45075.549991574073</v>
      </c>
      <c r="AM32" s="219" t="s">
        <v>5407</v>
      </c>
      <c r="AN32" s="273">
        <f t="shared" ca="1" si="3"/>
        <v>69</v>
      </c>
      <c r="AO32" s="82">
        <f t="shared" ca="1" si="4"/>
        <v>69</v>
      </c>
      <c r="AP32" s="82" t="str">
        <f t="shared" ca="1" si="5"/>
        <v>-</v>
      </c>
    </row>
    <row r="33" spans="1:42">
      <c r="A33" s="211">
        <f>SUBTOTAL(103,$I$5:I33)</f>
        <v>29</v>
      </c>
      <c r="B33" s="211" t="s">
        <v>5344</v>
      </c>
      <c r="C33" s="212" t="s">
        <v>1714</v>
      </c>
      <c r="D33" s="229" t="s">
        <v>41</v>
      </c>
      <c r="E33" s="213"/>
      <c r="F33" s="213" t="s">
        <v>22</v>
      </c>
      <c r="G33" s="213">
        <v>41459</v>
      </c>
      <c r="H33" s="213" t="s">
        <v>25</v>
      </c>
      <c r="I33" s="211" t="s">
        <v>1199</v>
      </c>
      <c r="J33" s="213" t="s">
        <v>1043</v>
      </c>
      <c r="K33" s="214" t="s">
        <v>6219</v>
      </c>
      <c r="L33" s="213">
        <v>41824</v>
      </c>
      <c r="M33" s="213">
        <v>45090.650416666664</v>
      </c>
      <c r="N33" s="213">
        <v>45111.546400462961</v>
      </c>
      <c r="O33" s="220" t="s">
        <v>5713</v>
      </c>
      <c r="P33" s="215" t="s">
        <v>2</v>
      </c>
      <c r="Q33" s="215" t="s">
        <v>5338</v>
      </c>
      <c r="R33" s="226"/>
      <c r="S33" s="215" t="s">
        <v>66</v>
      </c>
      <c r="T33" s="215"/>
      <c r="U33" s="215"/>
      <c r="V33" s="215"/>
      <c r="W33" s="215"/>
      <c r="Y33" s="215"/>
      <c r="Z33" s="215"/>
      <c r="AA33" s="215"/>
      <c r="AB33" s="215"/>
      <c r="AC33" s="220" t="s">
        <v>5712</v>
      </c>
      <c r="AD33" s="220" t="s">
        <v>18</v>
      </c>
      <c r="AE33" s="104" t="s">
        <v>60</v>
      </c>
      <c r="AF33" s="104"/>
      <c r="AG33" s="104"/>
      <c r="AH33" s="218" t="s">
        <v>68</v>
      </c>
      <c r="AI33" s="218" t="s">
        <v>5671</v>
      </c>
      <c r="AJ33" s="218"/>
      <c r="AK33" s="218"/>
      <c r="AL33" s="263">
        <v>45111.711579745373</v>
      </c>
      <c r="AM33" s="219" t="s">
        <v>18</v>
      </c>
      <c r="AN33" s="273">
        <f t="shared" ca="1" si="3"/>
        <v>58</v>
      </c>
      <c r="AO33" s="82" t="str">
        <f t="shared" ca="1" si="4"/>
        <v>-</v>
      </c>
      <c r="AP33" s="82" t="str">
        <f t="shared" ca="1" si="5"/>
        <v>-</v>
      </c>
    </row>
    <row r="34" spans="1:42">
      <c r="A34" s="211">
        <f>SUBTOTAL(103,$I$5:I34)</f>
        <v>30</v>
      </c>
      <c r="B34" s="211" t="s">
        <v>5732</v>
      </c>
      <c r="C34" s="212" t="s">
        <v>3199</v>
      </c>
      <c r="D34" s="229" t="s">
        <v>21</v>
      </c>
      <c r="E34" s="213" t="s">
        <v>4635</v>
      </c>
      <c r="F34" s="213" t="s">
        <v>129</v>
      </c>
      <c r="G34" s="213">
        <v>44250</v>
      </c>
      <c r="H34" s="213" t="s">
        <v>1193</v>
      </c>
      <c r="I34" s="211" t="s">
        <v>3813</v>
      </c>
      <c r="J34" s="213" t="s">
        <v>5083</v>
      </c>
      <c r="K34" s="214" t="s">
        <v>6220</v>
      </c>
      <c r="L34" s="213">
        <v>44621</v>
      </c>
      <c r="M34" s="213">
        <v>45114.456446759257</v>
      </c>
      <c r="N34" s="213">
        <v>45114.458958333336</v>
      </c>
      <c r="O34" s="215"/>
      <c r="P34" s="215" t="s">
        <v>2</v>
      </c>
      <c r="Q34" s="215" t="s">
        <v>5733</v>
      </c>
      <c r="R34" s="226">
        <v>3017</v>
      </c>
      <c r="S34" s="215">
        <v>45114</v>
      </c>
      <c r="T34" s="215"/>
      <c r="U34" s="215"/>
      <c r="V34" s="215"/>
      <c r="W34" s="216"/>
      <c r="Y34" s="215"/>
      <c r="Z34" s="215"/>
      <c r="AA34" s="215"/>
      <c r="AB34" s="215"/>
      <c r="AC34" s="220" t="s">
        <v>5792</v>
      </c>
      <c r="AD34" s="220" t="s">
        <v>5598</v>
      </c>
      <c r="AE34" s="104" t="s">
        <v>35</v>
      </c>
      <c r="AF34" s="104" t="s">
        <v>6208</v>
      </c>
      <c r="AG34" s="104" t="s">
        <v>6382</v>
      </c>
      <c r="AH34" s="218" t="s">
        <v>68</v>
      </c>
      <c r="AI34" s="218" t="s">
        <v>5555</v>
      </c>
      <c r="AJ34" s="218"/>
      <c r="AK34" s="218"/>
      <c r="AL34" s="263">
        <v>45119.575081643517</v>
      </c>
      <c r="AM34" s="219" t="s">
        <v>5598</v>
      </c>
      <c r="AN34" s="273">
        <f t="shared" ca="1" si="3"/>
        <v>40</v>
      </c>
      <c r="AO34" s="82">
        <f t="shared" ca="1" si="4"/>
        <v>40</v>
      </c>
      <c r="AP34" s="82" t="str">
        <f t="shared" ca="1" si="5"/>
        <v>-</v>
      </c>
    </row>
    <row r="35" spans="1:42">
      <c r="A35" s="211">
        <f>SUBTOTAL(103,$I$5:I35)</f>
        <v>31</v>
      </c>
      <c r="B35" s="211" t="s">
        <v>5929</v>
      </c>
      <c r="C35" s="212" t="s">
        <v>3199</v>
      </c>
      <c r="D35" s="229" t="s">
        <v>21</v>
      </c>
      <c r="E35" s="213" t="s">
        <v>4635</v>
      </c>
      <c r="F35" s="213" t="s">
        <v>129</v>
      </c>
      <c r="G35" s="213">
        <v>44189</v>
      </c>
      <c r="H35" s="213" t="s">
        <v>30</v>
      </c>
      <c r="I35" s="211" t="s">
        <v>2055</v>
      </c>
      <c r="J35" s="213" t="s">
        <v>39</v>
      </c>
      <c r="K35" s="214" t="s">
        <v>6216</v>
      </c>
      <c r="L35" s="213">
        <v>44554</v>
      </c>
      <c r="M35" s="213">
        <v>45134.491574074076</v>
      </c>
      <c r="N35" s="213">
        <v>45134.735173611109</v>
      </c>
      <c r="O35" s="215" t="s">
        <v>6002</v>
      </c>
      <c r="P35" s="215" t="s">
        <v>2</v>
      </c>
      <c r="Q35" s="215" t="s">
        <v>5930</v>
      </c>
      <c r="R35" s="226">
        <v>2436</v>
      </c>
      <c r="S35" s="215">
        <v>45140</v>
      </c>
      <c r="T35" s="215"/>
      <c r="U35" s="215" t="s">
        <v>12</v>
      </c>
      <c r="V35" s="215"/>
      <c r="W35" s="216"/>
      <c r="Y35" s="215"/>
      <c r="Z35" s="215"/>
      <c r="AA35" s="215"/>
      <c r="AB35" s="215"/>
      <c r="AC35" s="220" t="s">
        <v>6003</v>
      </c>
      <c r="AD35" s="220" t="s">
        <v>1120</v>
      </c>
      <c r="AE35" s="104" t="s">
        <v>35</v>
      </c>
      <c r="AF35" s="104" t="s">
        <v>6338</v>
      </c>
      <c r="AG35" s="104" t="s">
        <v>6382</v>
      </c>
      <c r="AH35" s="218" t="s">
        <v>68</v>
      </c>
      <c r="AI35" s="218" t="s">
        <v>5558</v>
      </c>
      <c r="AJ35" s="218"/>
      <c r="AK35" s="218"/>
      <c r="AL35" s="263">
        <v>45138.525813402775</v>
      </c>
      <c r="AM35" s="219" t="s">
        <v>54</v>
      </c>
      <c r="AN35" s="273">
        <f t="shared" ca="1" si="3"/>
        <v>26</v>
      </c>
      <c r="AO35" s="82">
        <f t="shared" ca="1" si="4"/>
        <v>22</v>
      </c>
      <c r="AP35" s="82" t="str">
        <f t="shared" ca="1" si="5"/>
        <v>-</v>
      </c>
    </row>
    <row r="36" spans="1:42">
      <c r="A36" s="211">
        <f>SUBTOTAL(103,$I$5:I36)</f>
        <v>32</v>
      </c>
      <c r="B36" s="211" t="s">
        <v>5931</v>
      </c>
      <c r="C36" s="212" t="s">
        <v>3199</v>
      </c>
      <c r="D36" s="229" t="s">
        <v>21</v>
      </c>
      <c r="E36" s="213" t="s">
        <v>4635</v>
      </c>
      <c r="F36" s="213" t="s">
        <v>129</v>
      </c>
      <c r="G36" s="213">
        <v>44414</v>
      </c>
      <c r="H36" s="213" t="s">
        <v>34</v>
      </c>
      <c r="I36" s="211" t="s">
        <v>4405</v>
      </c>
      <c r="J36" s="213" t="s">
        <v>1043</v>
      </c>
      <c r="K36" s="214" t="s">
        <v>6216</v>
      </c>
      <c r="L36" s="213">
        <v>44785</v>
      </c>
      <c r="M36" s="213">
        <v>45134.492175925923</v>
      </c>
      <c r="N36" s="213">
        <v>45134.764548611114</v>
      </c>
      <c r="O36" s="215" t="s">
        <v>6021</v>
      </c>
      <c r="P36" s="215" t="s">
        <v>2</v>
      </c>
      <c r="Q36" s="215" t="s">
        <v>5932</v>
      </c>
      <c r="R36" s="226">
        <v>5656</v>
      </c>
      <c r="S36" s="215">
        <v>45140</v>
      </c>
      <c r="T36" s="215"/>
      <c r="U36" s="215" t="s">
        <v>12</v>
      </c>
      <c r="V36" s="215"/>
      <c r="W36" s="216"/>
      <c r="Y36" s="215"/>
      <c r="Z36" s="215"/>
      <c r="AA36" s="215"/>
      <c r="AB36" s="215"/>
      <c r="AC36" s="220" t="s">
        <v>6004</v>
      </c>
      <c r="AD36" s="220" t="s">
        <v>1120</v>
      </c>
      <c r="AE36" s="104" t="s">
        <v>35</v>
      </c>
      <c r="AF36" s="104" t="s">
        <v>6338</v>
      </c>
      <c r="AG36" s="104" t="s">
        <v>6382</v>
      </c>
      <c r="AH36" s="218" t="s">
        <v>68</v>
      </c>
      <c r="AI36" s="218" t="s">
        <v>5558</v>
      </c>
      <c r="AJ36" s="218"/>
      <c r="AK36" s="218"/>
      <c r="AL36" s="263">
        <v>45138.740007511573</v>
      </c>
      <c r="AM36" s="219" t="s">
        <v>54</v>
      </c>
      <c r="AN36" s="273">
        <f t="shared" ca="1" si="3"/>
        <v>26</v>
      </c>
      <c r="AO36" s="82">
        <f t="shared" ca="1" si="4"/>
        <v>22</v>
      </c>
      <c r="AP36" s="82" t="str">
        <f t="shared" ca="1" si="5"/>
        <v>-</v>
      </c>
    </row>
    <row r="37" spans="1:42">
      <c r="A37" s="211">
        <f>SUBTOTAL(103,$I$5:I37)</f>
        <v>33</v>
      </c>
      <c r="B37" s="211" t="s">
        <v>5934</v>
      </c>
      <c r="C37" s="212" t="s">
        <v>3199</v>
      </c>
      <c r="D37" s="229" t="s">
        <v>21</v>
      </c>
      <c r="E37" s="213" t="s">
        <v>4635</v>
      </c>
      <c r="F37" s="213" t="s">
        <v>129</v>
      </c>
      <c r="G37" s="213">
        <v>43110</v>
      </c>
      <c r="H37" s="213" t="s">
        <v>30</v>
      </c>
      <c r="I37" s="211" t="s">
        <v>1252</v>
      </c>
      <c r="J37" s="213" t="s">
        <v>39</v>
      </c>
      <c r="K37" s="214" t="s">
        <v>6216</v>
      </c>
      <c r="L37" s="213">
        <v>43475</v>
      </c>
      <c r="M37" s="213">
        <v>45134.493321759262</v>
      </c>
      <c r="N37" s="213">
        <v>45134.796087962961</v>
      </c>
      <c r="O37" s="215" t="s">
        <v>5967</v>
      </c>
      <c r="P37" s="215" t="s">
        <v>2</v>
      </c>
      <c r="Q37" s="215" t="s">
        <v>5935</v>
      </c>
      <c r="R37" s="226">
        <v>3698</v>
      </c>
      <c r="S37" s="215">
        <v>45140</v>
      </c>
      <c r="T37" s="215"/>
      <c r="U37" s="215" t="s">
        <v>12</v>
      </c>
      <c r="V37" s="215"/>
      <c r="W37" s="216"/>
      <c r="Y37" s="215"/>
      <c r="Z37" s="215"/>
      <c r="AA37" s="215"/>
      <c r="AB37" s="215"/>
      <c r="AC37" s="220" t="s">
        <v>5968</v>
      </c>
      <c r="AD37" s="220" t="s">
        <v>33</v>
      </c>
      <c r="AE37" s="104" t="s">
        <v>35</v>
      </c>
      <c r="AF37" s="104" t="s">
        <v>6338</v>
      </c>
      <c r="AG37" s="104" t="s">
        <v>6382</v>
      </c>
      <c r="AH37" s="218" t="s">
        <v>68</v>
      </c>
      <c r="AI37" s="218" t="s">
        <v>5558</v>
      </c>
      <c r="AJ37" s="218"/>
      <c r="AK37" s="218"/>
      <c r="AL37" s="263">
        <v>45135.848778414351</v>
      </c>
      <c r="AM37" s="219" t="s">
        <v>54</v>
      </c>
      <c r="AN37" s="273">
        <f t="shared" ca="1" si="3"/>
        <v>26</v>
      </c>
      <c r="AO37" s="82">
        <f t="shared" ca="1" si="4"/>
        <v>22</v>
      </c>
      <c r="AP37" s="82" t="str">
        <f t="shared" ca="1" si="5"/>
        <v>-</v>
      </c>
    </row>
    <row r="38" spans="1:42">
      <c r="A38" s="211">
        <f>SUBTOTAL(103,$I$5:I38)</f>
        <v>34</v>
      </c>
      <c r="B38" s="211" t="s">
        <v>5375</v>
      </c>
      <c r="C38" s="212" t="s">
        <v>3199</v>
      </c>
      <c r="D38" s="229" t="s">
        <v>37</v>
      </c>
      <c r="E38" s="213" t="s">
        <v>4635</v>
      </c>
      <c r="F38" s="213" t="s">
        <v>129</v>
      </c>
      <c r="G38" s="213">
        <v>42870</v>
      </c>
      <c r="H38" s="213" t="s">
        <v>30</v>
      </c>
      <c r="I38" s="211" t="s">
        <v>5376</v>
      </c>
      <c r="J38" s="213" t="s">
        <v>39</v>
      </c>
      <c r="K38" s="214" t="s">
        <v>6216</v>
      </c>
      <c r="L38" s="213">
        <v>43235</v>
      </c>
      <c r="M38" s="213">
        <v>45071.485046296293</v>
      </c>
      <c r="N38" s="213">
        <v>45076.448738425926</v>
      </c>
      <c r="O38" s="220" t="s">
        <v>5501</v>
      </c>
      <c r="P38" s="215" t="s">
        <v>2</v>
      </c>
      <c r="Q38" s="215" t="s">
        <v>4787</v>
      </c>
      <c r="R38" s="226">
        <v>2163</v>
      </c>
      <c r="S38" s="215">
        <v>45082</v>
      </c>
      <c r="T38" s="215"/>
      <c r="U38" s="215"/>
      <c r="V38" s="215"/>
      <c r="W38" s="215"/>
      <c r="Y38" s="215"/>
      <c r="Z38" s="215"/>
      <c r="AA38" s="215"/>
      <c r="AB38" s="215"/>
      <c r="AC38" s="220" t="s">
        <v>5502</v>
      </c>
      <c r="AD38" s="220" t="s">
        <v>1120</v>
      </c>
      <c r="AE38" s="104" t="s">
        <v>35</v>
      </c>
      <c r="AF38" s="104" t="s">
        <v>6338</v>
      </c>
      <c r="AG38" s="104" t="s">
        <v>6363</v>
      </c>
      <c r="AH38" s="218" t="s">
        <v>68</v>
      </c>
      <c r="AI38" s="218" t="s">
        <v>5555</v>
      </c>
      <c r="AJ38" s="218"/>
      <c r="AK38" s="218"/>
      <c r="AL38" s="263">
        <v>45093.794011261576</v>
      </c>
      <c r="AM38" s="219" t="s">
        <v>18</v>
      </c>
      <c r="AN38" s="273">
        <f t="shared" ca="1" si="3"/>
        <v>71</v>
      </c>
      <c r="AO38" s="82">
        <f t="shared" ca="1" si="4"/>
        <v>64</v>
      </c>
      <c r="AP38" s="82" t="str">
        <f t="shared" ca="1" si="5"/>
        <v>-</v>
      </c>
    </row>
    <row r="39" spans="1:42">
      <c r="A39" s="211">
        <f>SUBTOTAL(103,$I$5:I39)</f>
        <v>35</v>
      </c>
      <c r="B39" s="1" t="s">
        <v>6050</v>
      </c>
      <c r="C39" s="1" t="s">
        <v>3199</v>
      </c>
      <c r="D39" s="4" t="s">
        <v>21</v>
      </c>
      <c r="E39" s="213" t="s">
        <v>4635</v>
      </c>
      <c r="F39" s="5" t="s">
        <v>129</v>
      </c>
      <c r="G39" s="7">
        <v>44520</v>
      </c>
      <c r="H39" s="7" t="s">
        <v>30</v>
      </c>
      <c r="I39" s="5" t="s">
        <v>6051</v>
      </c>
      <c r="J39" s="1" t="s">
        <v>39</v>
      </c>
      <c r="K39" s="272" t="s">
        <v>6216</v>
      </c>
      <c r="L39" s="213">
        <v>44885</v>
      </c>
      <c r="M39" s="213">
        <v>45145</v>
      </c>
      <c r="N39" s="7">
        <v>45148</v>
      </c>
      <c r="O39" s="72" t="s">
        <v>6107</v>
      </c>
      <c r="P39" s="288" t="s">
        <v>2</v>
      </c>
      <c r="Q39" s="3" t="s">
        <v>6052</v>
      </c>
      <c r="R39" s="228">
        <v>3417</v>
      </c>
      <c r="S39" s="6">
        <v>45153</v>
      </c>
      <c r="U39" s="6" t="s">
        <v>12</v>
      </c>
      <c r="AC39" s="4" t="s">
        <v>6108</v>
      </c>
      <c r="AD39" s="4" t="s">
        <v>1120</v>
      </c>
      <c r="AE39" s="1" t="s">
        <v>35</v>
      </c>
      <c r="AF39" s="104" t="s">
        <v>6207</v>
      </c>
      <c r="AG39" s="104" t="s">
        <v>6382</v>
      </c>
      <c r="AH39" s="102" t="s">
        <v>68</v>
      </c>
      <c r="AI39" s="1" t="s">
        <v>5558</v>
      </c>
      <c r="AL39" s="264">
        <v>45152.817945578703</v>
      </c>
      <c r="AM39" s="86" t="s">
        <v>54</v>
      </c>
      <c r="AN39" s="273">
        <f t="shared" ca="1" si="3"/>
        <v>19</v>
      </c>
      <c r="AO39" s="82">
        <f t="shared" ca="1" si="4"/>
        <v>13</v>
      </c>
      <c r="AP39" s="82" t="str">
        <f t="shared" ca="1" si="5"/>
        <v>-</v>
      </c>
    </row>
    <row r="40" spans="1:42">
      <c r="A40" s="211">
        <f>SUBTOTAL(103,$I$5:I40)</f>
        <v>36</v>
      </c>
      <c r="B40" s="211" t="s">
        <v>5409</v>
      </c>
      <c r="C40" s="212" t="s">
        <v>1714</v>
      </c>
      <c r="D40" s="229" t="s">
        <v>41</v>
      </c>
      <c r="E40" s="213"/>
      <c r="F40" s="213" t="s">
        <v>129</v>
      </c>
      <c r="G40" s="213">
        <v>42193</v>
      </c>
      <c r="H40" s="213" t="s">
        <v>30</v>
      </c>
      <c r="I40" s="211" t="s">
        <v>1721</v>
      </c>
      <c r="J40" s="213" t="s">
        <v>39</v>
      </c>
      <c r="K40" s="214" t="s">
        <v>6216</v>
      </c>
      <c r="L40" s="213">
        <v>42558</v>
      </c>
      <c r="M40" s="213">
        <v>45075.783148148148</v>
      </c>
      <c r="N40" s="213">
        <v>45079.562326388892</v>
      </c>
      <c r="O40" s="220" t="s">
        <v>5515</v>
      </c>
      <c r="P40" s="215" t="s">
        <v>2</v>
      </c>
      <c r="Q40" s="215" t="s">
        <v>5442</v>
      </c>
      <c r="R40" s="226"/>
      <c r="S40" s="215" t="s">
        <v>66</v>
      </c>
      <c r="T40" s="215"/>
      <c r="U40" s="215"/>
      <c r="V40" s="215"/>
      <c r="W40" s="215"/>
      <c r="Y40" s="215"/>
      <c r="Z40" s="215"/>
      <c r="AA40" s="215"/>
      <c r="AB40" s="215"/>
      <c r="AC40" s="220" t="s">
        <v>5464</v>
      </c>
      <c r="AD40" s="220" t="s">
        <v>1120</v>
      </c>
      <c r="AE40" s="104" t="s">
        <v>60</v>
      </c>
      <c r="AF40" s="104"/>
      <c r="AG40" s="104"/>
      <c r="AH40" s="218" t="s">
        <v>68</v>
      </c>
      <c r="AI40" s="218" t="s">
        <v>5558</v>
      </c>
      <c r="AJ40" s="218"/>
      <c r="AK40" s="218"/>
      <c r="AL40" s="263">
        <v>45103.751593819441</v>
      </c>
      <c r="AM40" s="219" t="s">
        <v>54</v>
      </c>
      <c r="AN40" s="273">
        <f t="shared" ca="1" si="3"/>
        <v>69</v>
      </c>
      <c r="AO40" s="82" t="str">
        <f t="shared" ca="1" si="4"/>
        <v>-</v>
      </c>
      <c r="AP40" s="82" t="str">
        <f t="shared" ca="1" si="5"/>
        <v>-</v>
      </c>
    </row>
    <row r="41" spans="1:42">
      <c r="A41" s="211">
        <f>SUBTOTAL(103,$I$5:I41)</f>
        <v>37</v>
      </c>
      <c r="B41" s="1" t="s">
        <v>6053</v>
      </c>
      <c r="C41" s="1" t="s">
        <v>3199</v>
      </c>
      <c r="D41" s="4" t="s">
        <v>21</v>
      </c>
      <c r="E41" s="213" t="s">
        <v>4635</v>
      </c>
      <c r="F41" s="5" t="s">
        <v>129</v>
      </c>
      <c r="G41" s="7">
        <v>44414</v>
      </c>
      <c r="H41" s="7" t="s">
        <v>34</v>
      </c>
      <c r="I41" s="5" t="s">
        <v>3873</v>
      </c>
      <c r="J41" s="1" t="s">
        <v>1043</v>
      </c>
      <c r="K41" s="272" t="s">
        <v>6216</v>
      </c>
      <c r="L41" s="213">
        <v>44785</v>
      </c>
      <c r="M41" s="213">
        <v>45145</v>
      </c>
      <c r="N41" s="7">
        <v>45148</v>
      </c>
      <c r="O41" s="72" t="s">
        <v>6152</v>
      </c>
      <c r="P41" s="288" t="s">
        <v>2</v>
      </c>
      <c r="Q41" s="3" t="s">
        <v>6096</v>
      </c>
      <c r="R41" s="228">
        <v>4378</v>
      </c>
      <c r="S41" s="6">
        <v>45153</v>
      </c>
      <c r="U41" s="6" t="s">
        <v>12</v>
      </c>
      <c r="AC41" s="4" t="s">
        <v>6115</v>
      </c>
      <c r="AD41" s="4" t="s">
        <v>53</v>
      </c>
      <c r="AE41" s="1" t="s">
        <v>35</v>
      </c>
      <c r="AF41" s="104" t="s">
        <v>6207</v>
      </c>
      <c r="AG41" s="104" t="s">
        <v>6382</v>
      </c>
      <c r="AH41" s="102" t="s">
        <v>68</v>
      </c>
      <c r="AI41" s="1" t="s">
        <v>5558</v>
      </c>
      <c r="AL41" s="264">
        <v>45152.81618170139</v>
      </c>
      <c r="AM41" s="86" t="s">
        <v>54</v>
      </c>
      <c r="AN41" s="273">
        <f t="shared" ca="1" si="3"/>
        <v>19</v>
      </c>
      <c r="AO41" s="82">
        <f t="shared" ca="1" si="4"/>
        <v>13</v>
      </c>
      <c r="AP41" s="82" t="str">
        <f t="shared" ca="1" si="5"/>
        <v>-</v>
      </c>
    </row>
    <row r="42" spans="1:42">
      <c r="A42" s="211">
        <f>SUBTOTAL(103,$I$5:I42)</f>
        <v>38</v>
      </c>
      <c r="B42" s="1" t="s">
        <v>6054</v>
      </c>
      <c r="C42" s="1" t="s">
        <v>3199</v>
      </c>
      <c r="D42" s="4" t="s">
        <v>21</v>
      </c>
      <c r="E42" s="213" t="s">
        <v>4635</v>
      </c>
      <c r="F42" s="5" t="s">
        <v>129</v>
      </c>
      <c r="G42" s="7">
        <v>44414</v>
      </c>
      <c r="H42" s="7" t="s">
        <v>34</v>
      </c>
      <c r="I42" s="5" t="s">
        <v>5107</v>
      </c>
      <c r="J42" s="1" t="s">
        <v>1043</v>
      </c>
      <c r="K42" s="272" t="s">
        <v>6216</v>
      </c>
      <c r="L42" s="213">
        <v>44785</v>
      </c>
      <c r="M42" s="213">
        <v>45145</v>
      </c>
      <c r="N42" s="7">
        <v>45149</v>
      </c>
      <c r="O42" s="72" t="s">
        <v>6153</v>
      </c>
      <c r="P42" s="288" t="s">
        <v>2</v>
      </c>
      <c r="Q42" s="3" t="s">
        <v>6097</v>
      </c>
      <c r="R42" s="228">
        <v>4795</v>
      </c>
      <c r="S42" s="6">
        <v>45153</v>
      </c>
      <c r="U42" s="6" t="s">
        <v>12</v>
      </c>
      <c r="AC42" s="4" t="s">
        <v>6116</v>
      </c>
      <c r="AD42" s="4" t="s">
        <v>53</v>
      </c>
      <c r="AE42" s="1" t="s">
        <v>35</v>
      </c>
      <c r="AF42" s="104" t="s">
        <v>6207</v>
      </c>
      <c r="AG42" s="104" t="s">
        <v>6382</v>
      </c>
      <c r="AH42" s="102" t="s">
        <v>68</v>
      </c>
      <c r="AI42" s="1" t="s">
        <v>5558</v>
      </c>
      <c r="AL42" s="264">
        <v>45152.820073425923</v>
      </c>
      <c r="AM42" s="86" t="s">
        <v>54</v>
      </c>
      <c r="AN42" s="273">
        <f t="shared" ca="1" si="3"/>
        <v>19</v>
      </c>
      <c r="AO42" s="82">
        <f t="shared" ca="1" si="4"/>
        <v>13</v>
      </c>
      <c r="AP42" s="82" t="str">
        <f t="shared" ca="1" si="5"/>
        <v>-</v>
      </c>
    </row>
    <row r="43" spans="1:42">
      <c r="A43" s="211">
        <f>SUBTOTAL(103,$I$5:I43)</f>
        <v>39</v>
      </c>
      <c r="B43" s="211" t="s">
        <v>5417</v>
      </c>
      <c r="C43" s="212" t="s">
        <v>3199</v>
      </c>
      <c r="D43" s="229" t="s">
        <v>109</v>
      </c>
      <c r="E43" s="213" t="s">
        <v>2959</v>
      </c>
      <c r="F43" s="213" t="s">
        <v>129</v>
      </c>
      <c r="G43" s="213">
        <v>45006</v>
      </c>
      <c r="H43" s="213" t="s">
        <v>16</v>
      </c>
      <c r="I43" s="211" t="s">
        <v>5131</v>
      </c>
      <c r="J43" s="213" t="s">
        <v>39</v>
      </c>
      <c r="K43" s="214" t="s">
        <v>6219</v>
      </c>
      <c r="L43" s="213">
        <v>45372</v>
      </c>
      <c r="M43" s="213">
        <v>45076.865451388891</v>
      </c>
      <c r="N43" s="213">
        <v>45078.801527777781</v>
      </c>
      <c r="O43" s="220" t="s">
        <v>5443</v>
      </c>
      <c r="P43" s="215" t="s">
        <v>3</v>
      </c>
      <c r="Q43" s="215" t="s">
        <v>1212</v>
      </c>
      <c r="R43" s="226"/>
      <c r="S43" s="215" t="s">
        <v>55</v>
      </c>
      <c r="T43" s="215"/>
      <c r="U43" s="215"/>
      <c r="V43" s="215"/>
      <c r="W43" s="215"/>
      <c r="Y43" s="215"/>
      <c r="Z43" s="215"/>
      <c r="AA43" s="215"/>
      <c r="AB43" s="215"/>
      <c r="AC43" s="220" t="s">
        <v>5466</v>
      </c>
      <c r="AD43" s="220" t="s">
        <v>33</v>
      </c>
      <c r="AE43" s="104" t="s">
        <v>28</v>
      </c>
      <c r="AF43" s="104" t="s">
        <v>5521</v>
      </c>
      <c r="AG43" s="104"/>
      <c r="AH43" s="218" t="s">
        <v>68</v>
      </c>
      <c r="AI43" s="218" t="s">
        <v>5406</v>
      </c>
      <c r="AJ43" s="218"/>
      <c r="AK43" s="218"/>
      <c r="AL43" s="263">
        <v>45160.522307106483</v>
      </c>
      <c r="AM43" s="219" t="s">
        <v>4844</v>
      </c>
      <c r="AN43" s="273">
        <f t="shared" ca="1" si="3"/>
        <v>68</v>
      </c>
      <c r="AO43" s="82" t="str">
        <f t="shared" ca="1" si="4"/>
        <v>-</v>
      </c>
      <c r="AP43" s="82" t="str">
        <f t="shared" ca="1" si="5"/>
        <v>-</v>
      </c>
    </row>
    <row r="44" spans="1:42">
      <c r="A44" s="211">
        <f>SUBTOTAL(103,$I$5:I44)</f>
        <v>40</v>
      </c>
      <c r="B44" s="211" t="s">
        <v>5423</v>
      </c>
      <c r="C44" s="212" t="s">
        <v>1714</v>
      </c>
      <c r="D44" s="229" t="s">
        <v>5424</v>
      </c>
      <c r="E44" s="213"/>
      <c r="F44" s="213" t="s">
        <v>129</v>
      </c>
      <c r="G44" s="213">
        <v>41043</v>
      </c>
      <c r="H44" s="213" t="s">
        <v>45</v>
      </c>
      <c r="I44" s="211" t="s">
        <v>5425</v>
      </c>
      <c r="J44" s="213" t="s">
        <v>1042</v>
      </c>
      <c r="K44" s="214" t="s">
        <v>6217</v>
      </c>
      <c r="L44" s="213">
        <v>41407</v>
      </c>
      <c r="M44" s="213">
        <v>45077.709270833337</v>
      </c>
      <c r="N44" s="213">
        <v>45078.452326388891</v>
      </c>
      <c r="O44" s="220" t="s">
        <v>5630</v>
      </c>
      <c r="P44" s="215" t="s">
        <v>4</v>
      </c>
      <c r="Q44" s="215" t="s">
        <v>5426</v>
      </c>
      <c r="R44" s="226"/>
      <c r="S44" s="215"/>
      <c r="T44" s="215"/>
      <c r="U44" s="215"/>
      <c r="V44" s="215"/>
      <c r="W44" s="215"/>
      <c r="Y44" s="215"/>
      <c r="Z44" s="215"/>
      <c r="AA44" s="215"/>
      <c r="AB44" s="215"/>
      <c r="AC44" s="220" t="s">
        <v>5504</v>
      </c>
      <c r="AD44" s="220" t="s">
        <v>33</v>
      </c>
      <c r="AE44" s="104" t="s">
        <v>1054</v>
      </c>
      <c r="AF44" s="104"/>
      <c r="AG44" s="104"/>
      <c r="AH44" s="218" t="s">
        <v>68</v>
      </c>
      <c r="AI44" s="218" t="s">
        <v>5558</v>
      </c>
      <c r="AJ44" s="218"/>
      <c r="AK44" s="218"/>
      <c r="AL44" s="263">
        <v>45103.752809513891</v>
      </c>
      <c r="AM44" s="219" t="s">
        <v>54</v>
      </c>
      <c r="AN44" s="273">
        <f t="shared" ca="1" si="3"/>
        <v>67</v>
      </c>
      <c r="AO44" s="82" t="str">
        <f t="shared" ca="1" si="4"/>
        <v>-</v>
      </c>
      <c r="AP44" s="82" t="str">
        <f t="shared" ca="1" si="5"/>
        <v>-</v>
      </c>
    </row>
    <row r="45" spans="1:42">
      <c r="A45" s="211">
        <f>SUBTOTAL(103,$I$5:I45)</f>
        <v>41</v>
      </c>
      <c r="B45" s="1" t="s">
        <v>6055</v>
      </c>
      <c r="C45" s="1" t="s">
        <v>3199</v>
      </c>
      <c r="D45" s="4" t="s">
        <v>21</v>
      </c>
      <c r="E45" s="213" t="s">
        <v>4635</v>
      </c>
      <c r="F45" s="5" t="s">
        <v>129</v>
      </c>
      <c r="G45" s="7">
        <v>44250</v>
      </c>
      <c r="H45" s="7" t="s">
        <v>34</v>
      </c>
      <c r="I45" s="5" t="s">
        <v>2059</v>
      </c>
      <c r="J45" s="1" t="s">
        <v>1043</v>
      </c>
      <c r="K45" s="272" t="s">
        <v>6216</v>
      </c>
      <c r="L45" s="213">
        <v>44621</v>
      </c>
      <c r="M45" s="213">
        <v>45145</v>
      </c>
      <c r="N45" s="7">
        <v>45149</v>
      </c>
      <c r="O45" s="72" t="s">
        <v>6154</v>
      </c>
      <c r="P45" s="288" t="s">
        <v>2</v>
      </c>
      <c r="Q45" s="3" t="s">
        <v>6098</v>
      </c>
      <c r="R45" s="228">
        <v>5168</v>
      </c>
      <c r="S45" s="6">
        <v>45153</v>
      </c>
      <c r="U45" s="6" t="s">
        <v>12</v>
      </c>
      <c r="AC45" s="4" t="s">
        <v>6117</v>
      </c>
      <c r="AD45" s="4" t="s">
        <v>53</v>
      </c>
      <c r="AE45" s="1" t="s">
        <v>35</v>
      </c>
      <c r="AF45" s="104" t="s">
        <v>6207</v>
      </c>
      <c r="AG45" s="104" t="s">
        <v>6382</v>
      </c>
      <c r="AH45" s="102" t="s">
        <v>68</v>
      </c>
      <c r="AI45" s="1" t="s">
        <v>5558</v>
      </c>
      <c r="AL45" s="264">
        <v>45152.830124456021</v>
      </c>
      <c r="AM45" s="86" t="s">
        <v>54</v>
      </c>
      <c r="AN45" s="273">
        <f t="shared" ca="1" si="3"/>
        <v>19</v>
      </c>
      <c r="AO45" s="82">
        <f t="shared" ca="1" si="4"/>
        <v>13</v>
      </c>
      <c r="AP45" s="82" t="str">
        <f t="shared" ca="1" si="5"/>
        <v>-</v>
      </c>
    </row>
    <row r="46" spans="1:42">
      <c r="A46" s="211">
        <f>SUBTOTAL(103,$I$5:I46)</f>
        <v>42</v>
      </c>
      <c r="B46" s="211" t="s">
        <v>5487</v>
      </c>
      <c r="C46" s="212" t="s">
        <v>3199</v>
      </c>
      <c r="D46" s="229" t="s">
        <v>37</v>
      </c>
      <c r="E46" s="213" t="s">
        <v>4635</v>
      </c>
      <c r="F46" s="213" t="s">
        <v>129</v>
      </c>
      <c r="G46" s="213">
        <v>42527</v>
      </c>
      <c r="H46" s="213" t="s">
        <v>45</v>
      </c>
      <c r="I46" s="211" t="s">
        <v>1663</v>
      </c>
      <c r="J46" s="213" t="s">
        <v>1042</v>
      </c>
      <c r="K46" s="214" t="s">
        <v>6217</v>
      </c>
      <c r="L46" s="213">
        <v>42892</v>
      </c>
      <c r="M46" s="213">
        <v>45083.656527777777</v>
      </c>
      <c r="N46" s="213">
        <v>45083.819652777776</v>
      </c>
      <c r="O46" s="220" t="s">
        <v>5520</v>
      </c>
      <c r="P46" s="215" t="s">
        <v>4</v>
      </c>
      <c r="Q46" s="215" t="s">
        <v>4871</v>
      </c>
      <c r="R46" s="226">
        <v>1241</v>
      </c>
      <c r="S46" s="215">
        <v>45086</v>
      </c>
      <c r="T46" s="215"/>
      <c r="U46" s="215"/>
      <c r="V46" s="215"/>
      <c r="W46" s="215"/>
      <c r="Y46" s="215"/>
      <c r="Z46" s="215"/>
      <c r="AA46" s="215"/>
      <c r="AB46" s="215"/>
      <c r="AC46" s="220" t="s">
        <v>5522</v>
      </c>
      <c r="AD46" s="220" t="s">
        <v>1102</v>
      </c>
      <c r="AE46" s="104" t="s">
        <v>3611</v>
      </c>
      <c r="AF46" s="104" t="s">
        <v>6338</v>
      </c>
      <c r="AG46" s="104" t="s">
        <v>6363</v>
      </c>
      <c r="AH46" s="218" t="s">
        <v>68</v>
      </c>
      <c r="AI46" s="218" t="s">
        <v>5555</v>
      </c>
      <c r="AJ46" s="218"/>
      <c r="AK46" s="218"/>
      <c r="AL46" s="263">
        <v>45100.813732604169</v>
      </c>
      <c r="AM46" s="219" t="s">
        <v>5407</v>
      </c>
      <c r="AN46" s="273">
        <f t="shared" ref="AN46:AN77" ca="1" si="6">IF(M46="","-",NETWORKDAYS.INTL(M46,TODAY()))</f>
        <v>63</v>
      </c>
      <c r="AO46" s="82">
        <f t="shared" ref="AO46:AO77" ca="1" si="7">IF(S46&lt;&gt;"",IFERROR(NETWORKDAYS.INTL(S46,TODAY()),"-"),"-")</f>
        <v>60</v>
      </c>
      <c r="AP46" s="82" t="str">
        <f t="shared" ref="AP46:AP77" ca="1" si="8">IF(V46&lt;&gt;"",IF(W46&lt;&gt;"",NETWORKDAYS.INTL(V46,W46),NETWORKDAYS.INTL(V46,TODAY())),"-")</f>
        <v>-</v>
      </c>
    </row>
    <row r="47" spans="1:42">
      <c r="A47" s="211">
        <f>SUBTOTAL(103,$I$5:I47)</f>
        <v>43</v>
      </c>
      <c r="B47" s="211" t="s">
        <v>5489</v>
      </c>
      <c r="C47" s="212" t="s">
        <v>1714</v>
      </c>
      <c r="D47" s="229" t="s">
        <v>41</v>
      </c>
      <c r="E47" s="213"/>
      <c r="F47" s="213" t="s">
        <v>22</v>
      </c>
      <c r="G47" s="213">
        <v>43544</v>
      </c>
      <c r="H47" s="213" t="s">
        <v>16</v>
      </c>
      <c r="I47" s="211" t="s">
        <v>3963</v>
      </c>
      <c r="J47" s="213" t="s">
        <v>39</v>
      </c>
      <c r="K47" s="214" t="s">
        <v>6219</v>
      </c>
      <c r="L47" s="213">
        <v>43910</v>
      </c>
      <c r="M47" s="213">
        <v>45085.443703703706</v>
      </c>
      <c r="N47" s="213">
        <v>45085.448414351849</v>
      </c>
      <c r="O47" s="220" t="s">
        <v>5517</v>
      </c>
      <c r="P47" s="215" t="s">
        <v>2</v>
      </c>
      <c r="Q47" s="215" t="s">
        <v>5490</v>
      </c>
      <c r="R47" s="226">
        <v>4104</v>
      </c>
      <c r="S47" s="215" t="s">
        <v>66</v>
      </c>
      <c r="T47" s="215"/>
      <c r="U47" s="215" t="s">
        <v>6119</v>
      </c>
      <c r="V47" s="215"/>
      <c r="W47" s="215">
        <v>45140</v>
      </c>
      <c r="Y47" s="215"/>
      <c r="Z47" s="215"/>
      <c r="AA47" s="215"/>
      <c r="AB47" s="215"/>
      <c r="AC47" s="220" t="s">
        <v>5518</v>
      </c>
      <c r="AD47" s="220" t="s">
        <v>20</v>
      </c>
      <c r="AE47" s="104" t="s">
        <v>26</v>
      </c>
      <c r="AF47" s="104" t="s">
        <v>6118</v>
      </c>
      <c r="AG47" s="104"/>
      <c r="AH47" s="218" t="s">
        <v>68</v>
      </c>
      <c r="AI47" s="218" t="s">
        <v>5558</v>
      </c>
      <c r="AJ47" s="218"/>
      <c r="AK47" s="218"/>
      <c r="AL47" s="263">
        <v>45085.527812650464</v>
      </c>
      <c r="AM47" s="219" t="s">
        <v>20</v>
      </c>
      <c r="AN47" s="273">
        <f t="shared" ca="1" si="6"/>
        <v>61</v>
      </c>
      <c r="AO47" s="82" t="str">
        <f t="shared" ca="1" si="7"/>
        <v>-</v>
      </c>
      <c r="AP47" s="82" t="str">
        <f t="shared" ca="1" si="8"/>
        <v>-</v>
      </c>
    </row>
    <row r="48" spans="1:42">
      <c r="A48" s="211">
        <f>SUBTOTAL(103,$I$5:I48)</f>
        <v>44</v>
      </c>
      <c r="B48" s="211" t="s">
        <v>5528</v>
      </c>
      <c r="C48" s="212" t="s">
        <v>1714</v>
      </c>
      <c r="D48" s="229" t="s">
        <v>44</v>
      </c>
      <c r="E48" s="213"/>
      <c r="F48" s="213" t="s">
        <v>22</v>
      </c>
      <c r="G48" s="213">
        <v>43508</v>
      </c>
      <c r="H48" s="213" t="s">
        <v>1129</v>
      </c>
      <c r="I48" s="211" t="s">
        <v>5422</v>
      </c>
      <c r="J48" s="213" t="s">
        <v>5083</v>
      </c>
      <c r="K48" s="214" t="s">
        <v>6219</v>
      </c>
      <c r="M48" s="213">
        <v>45104.455347222225</v>
      </c>
      <c r="N48" s="213">
        <v>45104.464803240742</v>
      </c>
      <c r="O48" s="220" t="s">
        <v>5654</v>
      </c>
      <c r="P48" s="215" t="s">
        <v>2</v>
      </c>
      <c r="Q48" s="215" t="s">
        <v>357</v>
      </c>
      <c r="R48" s="226">
        <v>270</v>
      </c>
      <c r="S48" s="215" t="s">
        <v>66</v>
      </c>
      <c r="T48" s="215"/>
      <c r="U48" s="215"/>
      <c r="V48" s="215"/>
      <c r="W48" s="216"/>
      <c r="Y48" s="215"/>
      <c r="Z48" s="215"/>
      <c r="AA48" s="215"/>
      <c r="AB48" s="215"/>
      <c r="AC48" s="220" t="s">
        <v>5650</v>
      </c>
      <c r="AD48" s="220" t="s">
        <v>18</v>
      </c>
      <c r="AE48" s="104" t="s">
        <v>60</v>
      </c>
      <c r="AF48" s="104"/>
      <c r="AG48" s="104"/>
      <c r="AH48" s="218" t="s">
        <v>68</v>
      </c>
      <c r="AI48" s="218" t="s">
        <v>5559</v>
      </c>
      <c r="AJ48" s="218"/>
      <c r="AK48" s="218"/>
      <c r="AL48" s="263">
        <v>45104.736815636577</v>
      </c>
      <c r="AM48" s="219" t="s">
        <v>18</v>
      </c>
      <c r="AN48" s="273">
        <f t="shared" ca="1" si="6"/>
        <v>48</v>
      </c>
      <c r="AO48" s="82" t="str">
        <f t="shared" ca="1" si="7"/>
        <v>-</v>
      </c>
      <c r="AP48" s="82" t="str">
        <f t="shared" ca="1" si="8"/>
        <v>-</v>
      </c>
    </row>
    <row r="49" spans="1:42">
      <c r="A49" s="211">
        <f>SUBTOTAL(103,$I$5:I49)</f>
        <v>45</v>
      </c>
      <c r="B49" s="1" t="s">
        <v>6057</v>
      </c>
      <c r="C49" s="1" t="s">
        <v>3199</v>
      </c>
      <c r="D49" s="4" t="s">
        <v>21</v>
      </c>
      <c r="E49" s="213" t="s">
        <v>4635</v>
      </c>
      <c r="F49" s="5" t="s">
        <v>129</v>
      </c>
      <c r="G49" s="7">
        <v>42090</v>
      </c>
      <c r="H49" s="7" t="s">
        <v>23</v>
      </c>
      <c r="I49" s="5" t="s">
        <v>1925</v>
      </c>
      <c r="J49" s="1" t="s">
        <v>1043</v>
      </c>
      <c r="K49" s="272" t="s">
        <v>6221</v>
      </c>
      <c r="L49" s="213">
        <v>42456</v>
      </c>
      <c r="M49" s="213">
        <v>45145</v>
      </c>
      <c r="N49" s="7">
        <v>45152</v>
      </c>
      <c r="O49" s="72" t="s">
        <v>6193</v>
      </c>
      <c r="P49" s="288" t="s">
        <v>2</v>
      </c>
      <c r="Q49" s="3" t="s">
        <v>6130</v>
      </c>
      <c r="R49" s="228">
        <v>3266</v>
      </c>
      <c r="S49" s="6">
        <v>45153</v>
      </c>
      <c r="U49" s="6" t="s">
        <v>12</v>
      </c>
      <c r="AC49" s="4" t="s">
        <v>6194</v>
      </c>
      <c r="AD49" s="4" t="s">
        <v>53</v>
      </c>
      <c r="AE49" s="1" t="s">
        <v>35</v>
      </c>
      <c r="AF49" s="104" t="s">
        <v>6207</v>
      </c>
      <c r="AG49" s="104" t="s">
        <v>6382</v>
      </c>
      <c r="AH49" s="102" t="s">
        <v>68</v>
      </c>
      <c r="AI49" s="1" t="s">
        <v>5558</v>
      </c>
      <c r="AL49" s="264">
        <v>45152.857274988426</v>
      </c>
      <c r="AM49" s="86" t="s">
        <v>54</v>
      </c>
      <c r="AN49" s="273">
        <f t="shared" ca="1" si="6"/>
        <v>19</v>
      </c>
      <c r="AO49" s="82">
        <f t="shared" ca="1" si="7"/>
        <v>13</v>
      </c>
      <c r="AP49" s="82" t="str">
        <f t="shared" ca="1" si="8"/>
        <v>-</v>
      </c>
    </row>
    <row r="50" spans="1:42">
      <c r="A50" s="211">
        <f>SUBTOTAL(103,$I$5:I50)</f>
        <v>46</v>
      </c>
      <c r="B50" s="1" t="s">
        <v>6061</v>
      </c>
      <c r="C50" s="1" t="s">
        <v>3199</v>
      </c>
      <c r="D50" s="4" t="s">
        <v>21</v>
      </c>
      <c r="E50" s="213" t="s">
        <v>4635</v>
      </c>
      <c r="F50" s="5" t="s">
        <v>129</v>
      </c>
      <c r="G50" s="7">
        <v>44189</v>
      </c>
      <c r="H50" s="7" t="s">
        <v>34</v>
      </c>
      <c r="I50" s="5" t="s">
        <v>1682</v>
      </c>
      <c r="J50" s="1" t="s">
        <v>1043</v>
      </c>
      <c r="K50" s="272" t="s">
        <v>6216</v>
      </c>
      <c r="L50" s="213">
        <v>44554</v>
      </c>
      <c r="M50" s="213">
        <v>45145</v>
      </c>
      <c r="N50" s="7">
        <v>45154</v>
      </c>
      <c r="P50" s="288" t="s">
        <v>2</v>
      </c>
      <c r="Q50" s="3" t="s">
        <v>6131</v>
      </c>
      <c r="R50" s="228">
        <v>13179</v>
      </c>
      <c r="S50" s="6">
        <v>45161</v>
      </c>
      <c r="U50" s="6" t="s">
        <v>12</v>
      </c>
      <c r="AC50" s="4" t="s">
        <v>6157</v>
      </c>
      <c r="AD50" s="4" t="s">
        <v>53</v>
      </c>
      <c r="AE50" s="1" t="s">
        <v>35</v>
      </c>
      <c r="AF50" s="104" t="s">
        <v>6207</v>
      </c>
      <c r="AG50" s="104" t="s">
        <v>6382</v>
      </c>
      <c r="AH50" s="102" t="s">
        <v>68</v>
      </c>
      <c r="AI50" s="1" t="s">
        <v>5558</v>
      </c>
      <c r="AL50" s="264">
        <v>45156.776682719908</v>
      </c>
      <c r="AM50" s="86" t="s">
        <v>54</v>
      </c>
      <c r="AN50" s="273">
        <f t="shared" ca="1" si="6"/>
        <v>19</v>
      </c>
      <c r="AO50" s="82">
        <f t="shared" ca="1" si="7"/>
        <v>7</v>
      </c>
      <c r="AP50" s="82" t="str">
        <f t="shared" ca="1" si="8"/>
        <v>-</v>
      </c>
    </row>
    <row r="51" spans="1:42">
      <c r="A51" s="211">
        <f>SUBTOTAL(103,$I$5:I51)</f>
        <v>47</v>
      </c>
      <c r="B51" s="211" t="s">
        <v>5575</v>
      </c>
      <c r="C51" s="212" t="s">
        <v>3198</v>
      </c>
      <c r="D51" s="229" t="s">
        <v>40</v>
      </c>
      <c r="E51" s="213" t="s">
        <v>4635</v>
      </c>
      <c r="F51" s="213" t="s">
        <v>22</v>
      </c>
      <c r="G51" s="213">
        <v>43465</v>
      </c>
      <c r="H51" s="213" t="s">
        <v>49</v>
      </c>
      <c r="I51" s="211" t="s">
        <v>2255</v>
      </c>
      <c r="J51" s="213" t="s">
        <v>39</v>
      </c>
      <c r="K51" s="214" t="s">
        <v>6215</v>
      </c>
      <c r="L51" s="213">
        <v>43830</v>
      </c>
      <c r="M51" s="213">
        <v>45096.680972222224</v>
      </c>
      <c r="N51" s="213">
        <v>45097.521516203706</v>
      </c>
      <c r="O51" s="215" t="s">
        <v>5608</v>
      </c>
      <c r="P51" s="215" t="s">
        <v>2</v>
      </c>
      <c r="Q51" s="215" t="s">
        <v>5576</v>
      </c>
      <c r="R51" s="226"/>
      <c r="S51" s="215"/>
      <c r="T51" s="215"/>
      <c r="U51" s="215" t="s">
        <v>6119</v>
      </c>
      <c r="V51" s="215"/>
      <c r="W51" s="216"/>
      <c r="Y51" s="215"/>
      <c r="Z51" s="215"/>
      <c r="AA51" s="215"/>
      <c r="AB51" s="215"/>
      <c r="AC51" s="220" t="s">
        <v>5607</v>
      </c>
      <c r="AD51" s="220" t="s">
        <v>24</v>
      </c>
      <c r="AE51" s="104" t="s">
        <v>99</v>
      </c>
      <c r="AF51" s="104" t="s">
        <v>6128</v>
      </c>
      <c r="AG51" s="104" t="s">
        <v>6362</v>
      </c>
      <c r="AH51" s="218" t="s">
        <v>68</v>
      </c>
      <c r="AI51" s="218" t="s">
        <v>5556</v>
      </c>
      <c r="AJ51" s="218"/>
      <c r="AK51" s="218"/>
      <c r="AL51" s="263">
        <v>45161.689042523147</v>
      </c>
      <c r="AM51" s="219" t="s">
        <v>54</v>
      </c>
      <c r="AN51" s="273">
        <f t="shared" ca="1" si="6"/>
        <v>54</v>
      </c>
      <c r="AO51" s="82" t="str">
        <f t="shared" ca="1" si="7"/>
        <v>-</v>
      </c>
      <c r="AP51" s="82" t="str">
        <f t="shared" ca="1" si="8"/>
        <v>-</v>
      </c>
    </row>
    <row r="52" spans="1:42">
      <c r="A52" s="211">
        <f>SUBTOTAL(103,$I$5:I52)</f>
        <v>48</v>
      </c>
      <c r="B52" s="211" t="s">
        <v>5577</v>
      </c>
      <c r="C52" s="212" t="s">
        <v>3198</v>
      </c>
      <c r="D52" s="229" t="s">
        <v>40</v>
      </c>
      <c r="E52" s="213" t="s">
        <v>4635</v>
      </c>
      <c r="F52" s="213" t="s">
        <v>129</v>
      </c>
      <c r="G52" s="213">
        <v>42673</v>
      </c>
      <c r="H52" s="213" t="s">
        <v>34</v>
      </c>
      <c r="I52" s="211" t="s">
        <v>2249</v>
      </c>
      <c r="J52" s="213" t="s">
        <v>1043</v>
      </c>
      <c r="K52" s="214" t="s">
        <v>6216</v>
      </c>
      <c r="L52" s="213">
        <v>43038</v>
      </c>
      <c r="M52" s="213">
        <v>45096.681759259256</v>
      </c>
      <c r="N52" s="213">
        <v>45097.560868055552</v>
      </c>
      <c r="O52" s="215" t="s">
        <v>5609</v>
      </c>
      <c r="P52" s="215" t="s">
        <v>2</v>
      </c>
      <c r="Q52" s="215" t="s">
        <v>5578</v>
      </c>
      <c r="R52" s="226"/>
      <c r="S52" s="215"/>
      <c r="T52" s="215"/>
      <c r="U52" s="215" t="s">
        <v>12</v>
      </c>
      <c r="V52" s="215"/>
      <c r="W52" s="216"/>
      <c r="Y52" s="215"/>
      <c r="Z52" s="215"/>
      <c r="AA52" s="215"/>
      <c r="AB52" s="215"/>
      <c r="AC52" s="220" t="s">
        <v>5610</v>
      </c>
      <c r="AD52" s="220" t="s">
        <v>1120</v>
      </c>
      <c r="AE52" s="104" t="s">
        <v>28</v>
      </c>
      <c r="AF52" s="104" t="s">
        <v>6380</v>
      </c>
      <c r="AG52" s="104"/>
      <c r="AH52" s="218" t="s">
        <v>68</v>
      </c>
      <c r="AI52" s="218" t="s">
        <v>6171</v>
      </c>
      <c r="AJ52" s="218"/>
      <c r="AK52" s="218"/>
      <c r="AL52" s="263">
        <v>45156.458969131942</v>
      </c>
      <c r="AM52" s="219" t="s">
        <v>20</v>
      </c>
      <c r="AN52" s="273">
        <f t="shared" ca="1" si="6"/>
        <v>54</v>
      </c>
      <c r="AO52" s="82" t="str">
        <f t="shared" ca="1" si="7"/>
        <v>-</v>
      </c>
      <c r="AP52" s="82" t="str">
        <f t="shared" ca="1" si="8"/>
        <v>-</v>
      </c>
    </row>
    <row r="53" spans="1:42">
      <c r="A53" s="211">
        <f>SUBTOTAL(103,$I$5:I53)</f>
        <v>49</v>
      </c>
      <c r="B53" s="211" t="s">
        <v>5579</v>
      </c>
      <c r="C53" s="212" t="s">
        <v>3198</v>
      </c>
      <c r="D53" s="229" t="s">
        <v>40</v>
      </c>
      <c r="E53" s="213" t="s">
        <v>4635</v>
      </c>
      <c r="F53" s="213" t="s">
        <v>129</v>
      </c>
      <c r="G53" s="213">
        <v>42774</v>
      </c>
      <c r="H53" s="213" t="s">
        <v>49</v>
      </c>
      <c r="I53" s="211" t="s">
        <v>2241</v>
      </c>
      <c r="J53" s="213" t="s">
        <v>39</v>
      </c>
      <c r="K53" s="214" t="s">
        <v>6215</v>
      </c>
      <c r="L53" s="213">
        <v>43139</v>
      </c>
      <c r="M53" s="213">
        <v>45096</v>
      </c>
      <c r="N53" s="213">
        <v>45097</v>
      </c>
      <c r="O53" s="215" t="s">
        <v>5611</v>
      </c>
      <c r="P53" s="215" t="s">
        <v>2</v>
      </c>
      <c r="Q53" s="215" t="s">
        <v>5319</v>
      </c>
      <c r="R53" s="226"/>
      <c r="S53" s="215"/>
      <c r="T53" s="215"/>
      <c r="U53" s="215" t="s">
        <v>12</v>
      </c>
      <c r="V53" s="215"/>
      <c r="W53" s="216"/>
      <c r="Y53" s="215"/>
      <c r="Z53" s="215"/>
      <c r="AA53" s="215"/>
      <c r="AB53" s="215"/>
      <c r="AC53" s="220" t="s">
        <v>5612</v>
      </c>
      <c r="AD53" s="220" t="s">
        <v>1120</v>
      </c>
      <c r="AE53" s="104" t="s">
        <v>28</v>
      </c>
      <c r="AF53" s="104" t="s">
        <v>6380</v>
      </c>
      <c r="AG53" s="104"/>
      <c r="AH53" s="218" t="s">
        <v>68</v>
      </c>
      <c r="AI53" s="218" t="s">
        <v>5556</v>
      </c>
      <c r="AJ53" s="218"/>
      <c r="AK53" s="218"/>
      <c r="AL53" s="263">
        <v>45147.490398275462</v>
      </c>
      <c r="AM53" s="219" t="s">
        <v>54</v>
      </c>
      <c r="AN53" s="273">
        <f t="shared" ca="1" si="6"/>
        <v>54</v>
      </c>
      <c r="AO53" s="82" t="str">
        <f t="shared" ca="1" si="7"/>
        <v>-</v>
      </c>
      <c r="AP53" s="82" t="str">
        <f t="shared" ca="1" si="8"/>
        <v>-</v>
      </c>
    </row>
    <row r="54" spans="1:42">
      <c r="A54" s="211">
        <f>SUBTOTAL(103,$I$5:I54)</f>
        <v>50</v>
      </c>
      <c r="B54" s="211" t="s">
        <v>5580</v>
      </c>
      <c r="C54" s="212" t="s">
        <v>3198</v>
      </c>
      <c r="D54" s="229" t="s">
        <v>40</v>
      </c>
      <c r="E54" s="213" t="s">
        <v>4635</v>
      </c>
      <c r="F54" s="213" t="s">
        <v>22</v>
      </c>
      <c r="G54" s="213">
        <v>42193</v>
      </c>
      <c r="H54" s="213" t="s">
        <v>30</v>
      </c>
      <c r="I54" s="211" t="s">
        <v>2243</v>
      </c>
      <c r="J54" s="213" t="s">
        <v>39</v>
      </c>
      <c r="K54" s="214" t="s">
        <v>6216</v>
      </c>
      <c r="L54" s="213">
        <v>42558</v>
      </c>
      <c r="M54" s="213">
        <v>45096.683263888888</v>
      </c>
      <c r="N54" s="213">
        <v>45097.521574074075</v>
      </c>
      <c r="O54" s="215" t="s">
        <v>5614</v>
      </c>
      <c r="P54" s="215" t="s">
        <v>2</v>
      </c>
      <c r="Q54" s="215" t="s">
        <v>357</v>
      </c>
      <c r="R54" s="226" t="s">
        <v>4101</v>
      </c>
      <c r="S54" s="215">
        <v>45165</v>
      </c>
      <c r="T54" s="215">
        <v>45165</v>
      </c>
      <c r="U54" s="215" t="s">
        <v>6119</v>
      </c>
      <c r="V54" s="215"/>
      <c r="W54" s="216"/>
      <c r="Y54" s="215"/>
      <c r="Z54" s="215"/>
      <c r="AA54" s="215"/>
      <c r="AB54" s="215"/>
      <c r="AC54" s="220" t="s">
        <v>5613</v>
      </c>
      <c r="AD54" s="220" t="s">
        <v>20</v>
      </c>
      <c r="AE54" s="104" t="s">
        <v>99</v>
      </c>
      <c r="AF54" s="104"/>
      <c r="AG54" s="104" t="s">
        <v>6362</v>
      </c>
      <c r="AH54" s="218" t="s">
        <v>68</v>
      </c>
      <c r="AI54" s="218" t="s">
        <v>6171</v>
      </c>
      <c r="AJ54" s="218"/>
      <c r="AK54" s="218"/>
      <c r="AL54" s="263">
        <v>45161.689660925927</v>
      </c>
      <c r="AM54" s="219" t="s">
        <v>54</v>
      </c>
      <c r="AN54" s="273">
        <f t="shared" ca="1" si="6"/>
        <v>54</v>
      </c>
      <c r="AO54" s="82">
        <f t="shared" ca="1" si="7"/>
        <v>4</v>
      </c>
      <c r="AP54" s="82" t="str">
        <f t="shared" ca="1" si="8"/>
        <v>-</v>
      </c>
    </row>
    <row r="55" spans="1:42">
      <c r="A55" s="211">
        <f>SUBTOTAL(103,$I$5:I55)</f>
        <v>51</v>
      </c>
      <c r="B55" s="211" t="s">
        <v>5581</v>
      </c>
      <c r="C55" s="212" t="s">
        <v>3198</v>
      </c>
      <c r="D55" s="229" t="s">
        <v>40</v>
      </c>
      <c r="E55" s="213" t="s">
        <v>4635</v>
      </c>
      <c r="F55" s="213" t="s">
        <v>22</v>
      </c>
      <c r="G55" s="213">
        <v>42424</v>
      </c>
      <c r="H55" s="213" t="s">
        <v>30</v>
      </c>
      <c r="I55" s="211" t="s">
        <v>2679</v>
      </c>
      <c r="J55" s="213" t="s">
        <v>39</v>
      </c>
      <c r="K55" s="214" t="s">
        <v>6216</v>
      </c>
      <c r="L55" s="213">
        <v>42790</v>
      </c>
      <c r="M55" s="213">
        <v>45096.683900462966</v>
      </c>
      <c r="N55" s="213">
        <v>45097.740358796298</v>
      </c>
      <c r="O55" s="215" t="s">
        <v>5615</v>
      </c>
      <c r="P55" s="215" t="s">
        <v>2</v>
      </c>
      <c r="Q55" s="215" t="s">
        <v>357</v>
      </c>
      <c r="R55" s="226"/>
      <c r="S55" s="215"/>
      <c r="T55" s="215"/>
      <c r="U55" s="215" t="s">
        <v>6119</v>
      </c>
      <c r="V55" s="215"/>
      <c r="W55" s="216"/>
      <c r="Y55" s="215"/>
      <c r="Z55" s="215"/>
      <c r="AA55" s="215"/>
      <c r="AB55" s="215"/>
      <c r="AC55" s="220" t="s">
        <v>5616</v>
      </c>
      <c r="AD55" s="220" t="s">
        <v>20</v>
      </c>
      <c r="AE55" s="104" t="s">
        <v>99</v>
      </c>
      <c r="AF55" s="104" t="s">
        <v>6128</v>
      </c>
      <c r="AG55" s="104" t="s">
        <v>6362</v>
      </c>
      <c r="AH55" s="218" t="s">
        <v>68</v>
      </c>
      <c r="AI55" s="218" t="s">
        <v>6171</v>
      </c>
      <c r="AJ55" s="218"/>
      <c r="AK55" s="218"/>
      <c r="AL55" s="263">
        <v>45161.690221342593</v>
      </c>
      <c r="AM55" s="219" t="s">
        <v>54</v>
      </c>
      <c r="AN55" s="273">
        <f t="shared" ca="1" si="6"/>
        <v>54</v>
      </c>
      <c r="AO55" s="82" t="str">
        <f t="shared" ca="1" si="7"/>
        <v>-</v>
      </c>
      <c r="AP55" s="82" t="str">
        <f t="shared" ca="1" si="8"/>
        <v>-</v>
      </c>
    </row>
    <row r="56" spans="1:42">
      <c r="A56" s="211">
        <f>SUBTOTAL(103,$I$5:I56)</f>
        <v>52</v>
      </c>
      <c r="B56" s="211" t="s">
        <v>5582</v>
      </c>
      <c r="C56" s="212" t="s">
        <v>3198</v>
      </c>
      <c r="D56" s="229" t="s">
        <v>40</v>
      </c>
      <c r="E56" s="213" t="s">
        <v>4635</v>
      </c>
      <c r="F56" s="213" t="s">
        <v>129</v>
      </c>
      <c r="G56" s="213">
        <v>42774</v>
      </c>
      <c r="H56" s="213" t="s">
        <v>1123</v>
      </c>
      <c r="I56" s="211" t="s">
        <v>2852</v>
      </c>
      <c r="J56" s="213" t="s">
        <v>39</v>
      </c>
      <c r="K56" s="214" t="s">
        <v>6215</v>
      </c>
      <c r="L56" s="213">
        <v>43139</v>
      </c>
      <c r="M56" s="213">
        <v>45096.684606481482</v>
      </c>
      <c r="N56" s="213">
        <v>45097.541296296295</v>
      </c>
      <c r="O56" s="215" t="s">
        <v>5618</v>
      </c>
      <c r="P56" s="215" t="s">
        <v>3</v>
      </c>
      <c r="Q56" s="215" t="s">
        <v>1093</v>
      </c>
      <c r="R56" s="226"/>
      <c r="S56" s="215"/>
      <c r="T56" s="215"/>
      <c r="U56" s="215" t="s">
        <v>12</v>
      </c>
      <c r="V56" s="215"/>
      <c r="W56" s="216"/>
      <c r="Y56" s="215"/>
      <c r="Z56" s="215"/>
      <c r="AA56" s="215"/>
      <c r="AB56" s="215"/>
      <c r="AC56" s="220" t="s">
        <v>5617</v>
      </c>
      <c r="AD56" s="220" t="s">
        <v>1120</v>
      </c>
      <c r="AE56" s="104" t="s">
        <v>28</v>
      </c>
      <c r="AF56" s="104" t="s">
        <v>6380</v>
      </c>
      <c r="AG56" s="104"/>
      <c r="AH56" s="218" t="s">
        <v>68</v>
      </c>
      <c r="AI56" s="218" t="s">
        <v>6171</v>
      </c>
      <c r="AJ56" s="218"/>
      <c r="AK56" s="218"/>
      <c r="AL56" s="263">
        <v>45156.459817199073</v>
      </c>
      <c r="AM56" s="219" t="s">
        <v>20</v>
      </c>
      <c r="AN56" s="273">
        <f t="shared" ca="1" si="6"/>
        <v>54</v>
      </c>
      <c r="AO56" s="82" t="str">
        <f t="shared" ca="1" si="7"/>
        <v>-</v>
      </c>
      <c r="AP56" s="82" t="str">
        <f t="shared" ca="1" si="8"/>
        <v>-</v>
      </c>
    </row>
    <row r="57" spans="1:42">
      <c r="A57" s="211">
        <f>SUBTOTAL(103,$I$5:I57)</f>
        <v>53</v>
      </c>
      <c r="B57" s="211" t="s">
        <v>5583</v>
      </c>
      <c r="C57" s="212" t="s">
        <v>3198</v>
      </c>
      <c r="D57" s="229" t="s">
        <v>40</v>
      </c>
      <c r="E57" s="213" t="s">
        <v>4635</v>
      </c>
      <c r="F57" s="213" t="s">
        <v>129</v>
      </c>
      <c r="G57" s="213">
        <v>42744</v>
      </c>
      <c r="H57" s="213" t="s">
        <v>51</v>
      </c>
      <c r="I57" s="211" t="s">
        <v>4089</v>
      </c>
      <c r="J57" s="213" t="s">
        <v>1043</v>
      </c>
      <c r="K57" s="214" t="s">
        <v>6215</v>
      </c>
      <c r="L57" s="213">
        <v>43109</v>
      </c>
      <c r="M57" s="213">
        <v>45096.685243055559</v>
      </c>
      <c r="N57" s="213">
        <v>45097.448252314818</v>
      </c>
      <c r="O57" s="215" t="s">
        <v>5619</v>
      </c>
      <c r="P57" s="215" t="s">
        <v>2</v>
      </c>
      <c r="Q57" s="215" t="s">
        <v>5584</v>
      </c>
      <c r="R57" s="226"/>
      <c r="S57" s="215"/>
      <c r="T57" s="215"/>
      <c r="U57" s="215" t="s">
        <v>12</v>
      </c>
      <c r="V57" s="215"/>
      <c r="W57" s="216"/>
      <c r="Y57" s="215"/>
      <c r="Z57" s="215"/>
      <c r="AA57" s="215"/>
      <c r="AB57" s="215"/>
      <c r="AC57" s="220" t="s">
        <v>5620</v>
      </c>
      <c r="AD57" s="220" t="s">
        <v>1102</v>
      </c>
      <c r="AE57" s="104" t="s">
        <v>28</v>
      </c>
      <c r="AF57" s="104" t="s">
        <v>6380</v>
      </c>
      <c r="AG57" s="104"/>
      <c r="AH57" s="218" t="s">
        <v>68</v>
      </c>
      <c r="AI57" s="218" t="s">
        <v>6171</v>
      </c>
      <c r="AJ57" s="218"/>
      <c r="AK57" s="218"/>
      <c r="AL57" s="263">
        <v>45156.459983194443</v>
      </c>
      <c r="AM57" s="219" t="s">
        <v>20</v>
      </c>
      <c r="AN57" s="273">
        <f t="shared" ca="1" si="6"/>
        <v>54</v>
      </c>
      <c r="AO57" s="82" t="str">
        <f t="shared" ca="1" si="7"/>
        <v>-</v>
      </c>
      <c r="AP57" s="82" t="str">
        <f t="shared" ca="1" si="8"/>
        <v>-</v>
      </c>
    </row>
    <row r="58" spans="1:42">
      <c r="A58" s="211">
        <f>SUBTOTAL(103,$I$5:I58)</f>
        <v>54</v>
      </c>
      <c r="B58" s="211" t="s">
        <v>5590</v>
      </c>
      <c r="C58" s="212" t="s">
        <v>3199</v>
      </c>
      <c r="D58" s="229" t="s">
        <v>37</v>
      </c>
      <c r="E58" s="213" t="s">
        <v>4635</v>
      </c>
      <c r="F58" s="213" t="s">
        <v>129</v>
      </c>
      <c r="G58" s="213">
        <v>43466</v>
      </c>
      <c r="H58" s="213" t="s">
        <v>30</v>
      </c>
      <c r="I58" s="211" t="s">
        <v>3380</v>
      </c>
      <c r="J58" s="213" t="s">
        <v>39</v>
      </c>
      <c r="K58" s="214" t="s">
        <v>6216</v>
      </c>
      <c r="L58" s="213">
        <v>43831</v>
      </c>
      <c r="M58" s="213">
        <v>45097.500659722224</v>
      </c>
      <c r="N58" s="213">
        <v>45100.746215277781</v>
      </c>
      <c r="O58" s="215" t="s">
        <v>5655</v>
      </c>
      <c r="P58" s="215" t="s">
        <v>2</v>
      </c>
      <c r="Q58" s="215" t="s">
        <v>4787</v>
      </c>
      <c r="R58" s="226">
        <v>2137</v>
      </c>
      <c r="S58" s="215">
        <v>45105</v>
      </c>
      <c r="T58" s="215"/>
      <c r="U58" s="215"/>
      <c r="V58" s="215"/>
      <c r="W58" s="216"/>
      <c r="Y58" s="215"/>
      <c r="Z58" s="215"/>
      <c r="AA58" s="215"/>
      <c r="AB58" s="215"/>
      <c r="AC58" s="220" t="s">
        <v>5656</v>
      </c>
      <c r="AD58" s="220" t="s">
        <v>5598</v>
      </c>
      <c r="AE58" s="104" t="s">
        <v>35</v>
      </c>
      <c r="AF58" s="104" t="s">
        <v>6338</v>
      </c>
      <c r="AG58" s="104" t="s">
        <v>6363</v>
      </c>
      <c r="AH58" s="218" t="s">
        <v>68</v>
      </c>
      <c r="AI58" s="218" t="s">
        <v>5555</v>
      </c>
      <c r="AJ58" s="218"/>
      <c r="AK58" s="218"/>
      <c r="AL58" s="263">
        <v>45106.508963645836</v>
      </c>
      <c r="AM58" s="219" t="s">
        <v>5598</v>
      </c>
      <c r="AN58" s="273">
        <f t="shared" ca="1" si="6"/>
        <v>53</v>
      </c>
      <c r="AO58" s="82">
        <f t="shared" ca="1" si="7"/>
        <v>47</v>
      </c>
      <c r="AP58" s="82" t="str">
        <f t="shared" ca="1" si="8"/>
        <v>-</v>
      </c>
    </row>
    <row r="59" spans="1:42">
      <c r="A59" s="211">
        <f>SUBTOTAL(103,$I$5:I59)</f>
        <v>55</v>
      </c>
      <c r="B59" s="211" t="s">
        <v>5591</v>
      </c>
      <c r="C59" s="212" t="s">
        <v>3199</v>
      </c>
      <c r="D59" s="229" t="s">
        <v>37</v>
      </c>
      <c r="E59" s="213" t="s">
        <v>4635</v>
      </c>
      <c r="F59" s="213" t="s">
        <v>129</v>
      </c>
      <c r="G59" s="213">
        <v>43994</v>
      </c>
      <c r="H59" s="213" t="s">
        <v>30</v>
      </c>
      <c r="I59" s="211" t="s">
        <v>5592</v>
      </c>
      <c r="J59" s="213" t="s">
        <v>39</v>
      </c>
      <c r="K59" s="214" t="s">
        <v>6216</v>
      </c>
      <c r="L59" s="213">
        <v>44360</v>
      </c>
      <c r="M59" s="213">
        <v>45097.504224537035</v>
      </c>
      <c r="N59" s="213">
        <v>45100.787523148145</v>
      </c>
      <c r="O59" s="215" t="s">
        <v>5657</v>
      </c>
      <c r="P59" s="215" t="s">
        <v>2</v>
      </c>
      <c r="Q59" s="215" t="s">
        <v>4787</v>
      </c>
      <c r="R59" s="226">
        <v>2038</v>
      </c>
      <c r="S59" s="215">
        <v>45105</v>
      </c>
      <c r="T59" s="215"/>
      <c r="U59" s="215"/>
      <c r="V59" s="215"/>
      <c r="W59" s="216"/>
      <c r="Y59" s="215"/>
      <c r="Z59" s="215"/>
      <c r="AA59" s="215"/>
      <c r="AB59" s="215"/>
      <c r="AC59" s="220" t="s">
        <v>5658</v>
      </c>
      <c r="AD59" s="220" t="s">
        <v>1102</v>
      </c>
      <c r="AE59" s="104" t="s">
        <v>35</v>
      </c>
      <c r="AF59" s="104" t="s">
        <v>6338</v>
      </c>
      <c r="AG59" s="104" t="s">
        <v>6363</v>
      </c>
      <c r="AH59" s="218" t="s">
        <v>68</v>
      </c>
      <c r="AI59" s="218" t="s">
        <v>5555</v>
      </c>
      <c r="AJ59" s="218"/>
      <c r="AK59" s="218"/>
      <c r="AL59" s="263">
        <v>45106.508359560183</v>
      </c>
      <c r="AM59" s="219" t="s">
        <v>5598</v>
      </c>
      <c r="AN59" s="273">
        <f t="shared" ca="1" si="6"/>
        <v>53</v>
      </c>
      <c r="AO59" s="82">
        <f t="shared" ca="1" si="7"/>
        <v>47</v>
      </c>
      <c r="AP59" s="82" t="str">
        <f t="shared" ca="1" si="8"/>
        <v>-</v>
      </c>
    </row>
    <row r="60" spans="1:42">
      <c r="A60" s="211">
        <f>SUBTOTAL(103,$I$5:I60)</f>
        <v>56</v>
      </c>
      <c r="B60" s="211" t="s">
        <v>5604</v>
      </c>
      <c r="C60" s="212" t="s">
        <v>3198</v>
      </c>
      <c r="D60" s="229" t="s">
        <v>40</v>
      </c>
      <c r="E60" s="213" t="s">
        <v>4635</v>
      </c>
      <c r="F60" s="213" t="s">
        <v>129</v>
      </c>
      <c r="G60" s="213">
        <v>42774</v>
      </c>
      <c r="H60" s="213" t="s">
        <v>1126</v>
      </c>
      <c r="I60" s="211" t="s">
        <v>3060</v>
      </c>
      <c r="J60" s="213" t="s">
        <v>5545</v>
      </c>
      <c r="K60" s="214" t="s">
        <v>6218</v>
      </c>
      <c r="L60" s="213">
        <v>43139</v>
      </c>
      <c r="M60" s="213">
        <v>45099.551192129627</v>
      </c>
      <c r="N60" s="213">
        <v>45099.763240740744</v>
      </c>
      <c r="O60" s="215" t="s">
        <v>5628</v>
      </c>
      <c r="P60" s="215" t="s">
        <v>4</v>
      </c>
      <c r="Q60" s="215" t="s">
        <v>1093</v>
      </c>
      <c r="R60" s="226"/>
      <c r="S60" s="215"/>
      <c r="T60" s="215"/>
      <c r="U60" s="215" t="s">
        <v>12</v>
      </c>
      <c r="V60" s="215"/>
      <c r="W60" s="216"/>
      <c r="Y60" s="215"/>
      <c r="Z60" s="215"/>
      <c r="AA60" s="215"/>
      <c r="AB60" s="215"/>
      <c r="AC60" s="220" t="s">
        <v>5629</v>
      </c>
      <c r="AD60" s="220" t="s">
        <v>5407</v>
      </c>
      <c r="AE60" s="104" t="s">
        <v>1055</v>
      </c>
      <c r="AF60" s="104" t="s">
        <v>6380</v>
      </c>
      <c r="AG60" s="104"/>
      <c r="AH60" s="218" t="s">
        <v>68</v>
      </c>
      <c r="AI60" s="218" t="s">
        <v>5556</v>
      </c>
      <c r="AJ60" s="218"/>
      <c r="AK60" s="218"/>
      <c r="AL60" s="263">
        <v>45147.491402916668</v>
      </c>
      <c r="AM60" s="219" t="s">
        <v>54</v>
      </c>
      <c r="AN60" s="273">
        <f t="shared" ca="1" si="6"/>
        <v>51</v>
      </c>
      <c r="AO60" s="82" t="str">
        <f t="shared" ca="1" si="7"/>
        <v>-</v>
      </c>
      <c r="AP60" s="82" t="str">
        <f t="shared" ca="1" si="8"/>
        <v>-</v>
      </c>
    </row>
    <row r="61" spans="1:42">
      <c r="A61" s="211">
        <f>SUBTOTAL(103,$I$5:I61)</f>
        <v>57</v>
      </c>
      <c r="B61" s="211" t="s">
        <v>5605</v>
      </c>
      <c r="C61" s="212" t="s">
        <v>5033</v>
      </c>
      <c r="D61" s="229" t="s">
        <v>1092</v>
      </c>
      <c r="E61" s="213" t="s">
        <v>4635</v>
      </c>
      <c r="F61" s="213" t="s">
        <v>22</v>
      </c>
      <c r="G61" s="213">
        <v>43634</v>
      </c>
      <c r="H61" s="213" t="s">
        <v>1145</v>
      </c>
      <c r="I61" s="211" t="s">
        <v>4664</v>
      </c>
      <c r="J61" s="213" t="s">
        <v>1043</v>
      </c>
      <c r="K61" s="214" t="s">
        <v>6215</v>
      </c>
      <c r="L61" s="213">
        <v>44000</v>
      </c>
      <c r="M61" s="213">
        <v>45107.478726851848</v>
      </c>
      <c r="N61" s="213">
        <v>45107.49858796296</v>
      </c>
      <c r="O61" s="215" t="s">
        <v>5693</v>
      </c>
      <c r="P61" s="215" t="s">
        <v>2</v>
      </c>
      <c r="Q61" s="215" t="s">
        <v>5660</v>
      </c>
      <c r="R61" s="226">
        <v>1581</v>
      </c>
      <c r="S61" s="215">
        <v>45112</v>
      </c>
      <c r="T61" s="215"/>
      <c r="U61" s="215"/>
      <c r="V61" s="215"/>
      <c r="W61" s="216"/>
      <c r="Y61" s="215"/>
      <c r="Z61" s="215"/>
      <c r="AA61" s="215"/>
      <c r="AB61" s="215"/>
      <c r="AC61" s="220" t="s">
        <v>5694</v>
      </c>
      <c r="AD61" s="220" t="s">
        <v>18</v>
      </c>
      <c r="AE61" s="104" t="s">
        <v>35</v>
      </c>
      <c r="AF61" s="104" t="s">
        <v>6208</v>
      </c>
      <c r="AG61" s="104" t="s">
        <v>6374</v>
      </c>
      <c r="AH61" s="218" t="s">
        <v>68</v>
      </c>
      <c r="AI61" s="218" t="s">
        <v>5555</v>
      </c>
      <c r="AJ61" s="218"/>
      <c r="AK61" s="218"/>
      <c r="AL61" s="263">
        <v>45120.725646909719</v>
      </c>
      <c r="AM61" s="219" t="s">
        <v>5598</v>
      </c>
      <c r="AN61" s="273">
        <f t="shared" ca="1" si="6"/>
        <v>45</v>
      </c>
      <c r="AO61" s="82">
        <f t="shared" ca="1" si="7"/>
        <v>42</v>
      </c>
      <c r="AP61" s="82" t="str">
        <f t="shared" ca="1" si="8"/>
        <v>-</v>
      </c>
    </row>
    <row r="62" spans="1:42">
      <c r="A62" s="211">
        <f>SUBTOTAL(103,$I$5:I62)</f>
        <v>58</v>
      </c>
      <c r="B62" s="211" t="s">
        <v>5350</v>
      </c>
      <c r="C62" s="212" t="s">
        <v>3199</v>
      </c>
      <c r="D62" s="229" t="s">
        <v>1100</v>
      </c>
      <c r="E62" s="213" t="s">
        <v>2960</v>
      </c>
      <c r="F62" s="213" t="s">
        <v>129</v>
      </c>
      <c r="G62" s="213">
        <v>42327</v>
      </c>
      <c r="H62" s="213" t="s">
        <v>34</v>
      </c>
      <c r="I62" s="211" t="s">
        <v>5351</v>
      </c>
      <c r="J62" s="213" t="s">
        <v>1043</v>
      </c>
      <c r="K62" s="214" t="s">
        <v>6216</v>
      </c>
      <c r="L62" s="213">
        <v>42693</v>
      </c>
      <c r="M62" s="213">
        <v>45069.599016203705</v>
      </c>
      <c r="N62" s="213">
        <v>45071.812719907408</v>
      </c>
      <c r="O62" s="220" t="s">
        <v>5401</v>
      </c>
      <c r="P62" s="215" t="s">
        <v>2</v>
      </c>
      <c r="Q62" s="215" t="s">
        <v>5436</v>
      </c>
      <c r="R62" s="226">
        <v>9489</v>
      </c>
      <c r="S62" s="215">
        <v>45082</v>
      </c>
      <c r="T62" s="215"/>
      <c r="U62" s="215"/>
      <c r="V62" s="215"/>
      <c r="W62" s="215"/>
      <c r="Y62" s="215"/>
      <c r="Z62" s="215"/>
      <c r="AA62" s="215"/>
      <c r="AB62" s="215"/>
      <c r="AC62" s="220" t="s">
        <v>5510</v>
      </c>
      <c r="AD62" s="220" t="s">
        <v>33</v>
      </c>
      <c r="AE62" s="104" t="s">
        <v>35</v>
      </c>
      <c r="AF62" s="104" t="s">
        <v>6208</v>
      </c>
      <c r="AG62" s="104" t="s">
        <v>6365</v>
      </c>
      <c r="AH62" s="218" t="s">
        <v>68</v>
      </c>
      <c r="AI62" s="218" t="s">
        <v>5555</v>
      </c>
      <c r="AJ62" s="218"/>
      <c r="AK62" s="218"/>
      <c r="AL62" s="263">
        <v>45085.736909675928</v>
      </c>
      <c r="AM62" s="219" t="s">
        <v>54</v>
      </c>
      <c r="AN62" s="273">
        <f t="shared" ca="1" si="6"/>
        <v>73</v>
      </c>
      <c r="AO62" s="82">
        <f t="shared" ca="1" si="7"/>
        <v>64</v>
      </c>
      <c r="AP62" s="82" t="str">
        <f t="shared" ca="1" si="8"/>
        <v>-</v>
      </c>
    </row>
    <row r="63" spans="1:42">
      <c r="A63" s="211">
        <f>SUBTOTAL(103,$I$5:I63)</f>
        <v>59</v>
      </c>
      <c r="B63" s="211" t="s">
        <v>5661</v>
      </c>
      <c r="C63" s="212" t="s">
        <v>1714</v>
      </c>
      <c r="D63" s="229" t="s">
        <v>41</v>
      </c>
      <c r="E63" s="213"/>
      <c r="F63" s="213" t="s">
        <v>22</v>
      </c>
      <c r="G63" s="213">
        <v>43719</v>
      </c>
      <c r="H63" s="213" t="s">
        <v>16</v>
      </c>
      <c r="I63" s="211" t="s">
        <v>3449</v>
      </c>
      <c r="J63" s="213" t="s">
        <v>39</v>
      </c>
      <c r="K63" s="214" t="s">
        <v>6219</v>
      </c>
      <c r="L63" s="213">
        <v>44085</v>
      </c>
      <c r="M63" s="213">
        <v>45106.682789351849</v>
      </c>
      <c r="N63" s="213">
        <v>45107.479733796295</v>
      </c>
      <c r="O63" s="215" t="s">
        <v>5699</v>
      </c>
      <c r="P63" s="215" t="s">
        <v>2</v>
      </c>
      <c r="Q63" s="215" t="s">
        <v>5599</v>
      </c>
      <c r="R63" s="226"/>
      <c r="S63" s="215" t="s">
        <v>66</v>
      </c>
      <c r="T63" s="215"/>
      <c r="U63" s="215"/>
      <c r="V63" s="215"/>
      <c r="W63" s="216"/>
      <c r="Y63" s="215"/>
      <c r="Z63" s="215"/>
      <c r="AA63" s="215"/>
      <c r="AB63" s="215"/>
      <c r="AC63" s="220" t="s">
        <v>5700</v>
      </c>
      <c r="AD63" s="220" t="s">
        <v>20</v>
      </c>
      <c r="AE63" s="104" t="s">
        <v>28</v>
      </c>
      <c r="AF63" s="104" t="s">
        <v>6380</v>
      </c>
      <c r="AG63" s="104"/>
      <c r="AH63" s="218" t="s">
        <v>68</v>
      </c>
      <c r="AI63" s="218" t="s">
        <v>5558</v>
      </c>
      <c r="AJ63" s="218"/>
      <c r="AK63" s="218"/>
      <c r="AL63" s="263">
        <v>45107.480897789355</v>
      </c>
      <c r="AM63" s="219" t="s">
        <v>20</v>
      </c>
      <c r="AN63" s="273">
        <f t="shared" ca="1" si="6"/>
        <v>46</v>
      </c>
      <c r="AO63" s="82" t="str">
        <f t="shared" ca="1" si="7"/>
        <v>-</v>
      </c>
      <c r="AP63" s="82" t="str">
        <f t="shared" ca="1" si="8"/>
        <v>-</v>
      </c>
    </row>
    <row r="64" spans="1:42">
      <c r="A64" s="211">
        <f>SUBTOTAL(103,$I$5:I64)</f>
        <v>60</v>
      </c>
      <c r="B64" s="211" t="s">
        <v>5662</v>
      </c>
      <c r="C64" s="212" t="s">
        <v>3198</v>
      </c>
      <c r="D64" s="229" t="s">
        <v>2726</v>
      </c>
      <c r="E64" s="213" t="s">
        <v>4676</v>
      </c>
      <c r="F64" s="213" t="s">
        <v>22</v>
      </c>
      <c r="G64" s="213">
        <v>43445</v>
      </c>
      <c r="H64" s="213" t="s">
        <v>31</v>
      </c>
      <c r="I64" s="211" t="s">
        <v>4038</v>
      </c>
      <c r="J64" s="213" t="s">
        <v>39</v>
      </c>
      <c r="K64" s="214" t="s">
        <v>6219</v>
      </c>
      <c r="L64" s="213">
        <v>43810</v>
      </c>
      <c r="M64" s="213">
        <v>45106.693009259259</v>
      </c>
      <c r="N64" s="213">
        <v>45107.474224537036</v>
      </c>
      <c r="O64" s="215" t="s">
        <v>5701</v>
      </c>
      <c r="P64" s="215" t="s">
        <v>2</v>
      </c>
      <c r="Q64" s="215" t="s">
        <v>3253</v>
      </c>
      <c r="R64" s="226">
        <v>8672</v>
      </c>
      <c r="S64" s="215">
        <v>45112</v>
      </c>
      <c r="T64" s="215"/>
      <c r="U64" s="215"/>
      <c r="V64" s="215"/>
      <c r="W64" s="216"/>
      <c r="Y64" s="215"/>
      <c r="Z64" s="215"/>
      <c r="AA64" s="215"/>
      <c r="AB64" s="215"/>
      <c r="AC64" s="220" t="s">
        <v>5702</v>
      </c>
      <c r="AD64" s="220" t="s">
        <v>20</v>
      </c>
      <c r="AE64" s="104" t="s">
        <v>35</v>
      </c>
      <c r="AF64" s="104" t="s">
        <v>6208</v>
      </c>
      <c r="AG64" s="104" t="s">
        <v>6374</v>
      </c>
      <c r="AH64" s="218" t="s">
        <v>68</v>
      </c>
      <c r="AI64" s="218" t="s">
        <v>5555</v>
      </c>
      <c r="AJ64" s="218"/>
      <c r="AK64" s="218"/>
      <c r="AL64" s="263">
        <v>45145.460376898147</v>
      </c>
      <c r="AM64" s="219" t="s">
        <v>18</v>
      </c>
      <c r="AN64" s="273">
        <f t="shared" ca="1" si="6"/>
        <v>46</v>
      </c>
      <c r="AO64" s="82">
        <f t="shared" ca="1" si="7"/>
        <v>42</v>
      </c>
      <c r="AP64" s="82" t="str">
        <f t="shared" ca="1" si="8"/>
        <v>-</v>
      </c>
    </row>
    <row r="65" spans="1:42">
      <c r="A65" s="211">
        <f>SUBTOTAL(103,$I$5:I65)</f>
        <v>61</v>
      </c>
      <c r="B65" s="211" t="s">
        <v>5673</v>
      </c>
      <c r="C65" s="212" t="s">
        <v>3199</v>
      </c>
      <c r="D65" s="229" t="s">
        <v>37</v>
      </c>
      <c r="E65" s="213" t="s">
        <v>4635</v>
      </c>
      <c r="F65" s="213" t="s">
        <v>129</v>
      </c>
      <c r="G65" s="213">
        <v>42865</v>
      </c>
      <c r="H65" s="213" t="s">
        <v>30</v>
      </c>
      <c r="I65" s="211" t="s">
        <v>2994</v>
      </c>
      <c r="J65" s="213" t="s">
        <v>39</v>
      </c>
      <c r="K65" s="214" t="s">
        <v>6216</v>
      </c>
      <c r="L65" s="213">
        <v>43230</v>
      </c>
      <c r="M65" s="213">
        <v>45111.49627314815</v>
      </c>
      <c r="N65" s="213">
        <v>45113.485891203702</v>
      </c>
      <c r="O65" s="215"/>
      <c r="P65" s="215" t="s">
        <v>2</v>
      </c>
      <c r="Q65" s="215" t="s">
        <v>5674</v>
      </c>
      <c r="R65" s="226">
        <v>3973</v>
      </c>
      <c r="S65" s="215">
        <v>45118</v>
      </c>
      <c r="T65" s="215"/>
      <c r="U65" s="215"/>
      <c r="V65" s="215"/>
      <c r="W65" s="216"/>
      <c r="Y65" s="215"/>
      <c r="Z65" s="215"/>
      <c r="AA65" s="215"/>
      <c r="AB65" s="215"/>
      <c r="AC65" s="220" t="s">
        <v>5703</v>
      </c>
      <c r="AD65" s="220" t="s">
        <v>1120</v>
      </c>
      <c r="AE65" s="104" t="s">
        <v>35</v>
      </c>
      <c r="AF65" s="104" t="s">
        <v>6338</v>
      </c>
      <c r="AG65" s="104" t="s">
        <v>6363</v>
      </c>
      <c r="AH65" s="218" t="s">
        <v>68</v>
      </c>
      <c r="AI65" s="218" t="s">
        <v>5555</v>
      </c>
      <c r="AJ65" s="218"/>
      <c r="AK65" s="218"/>
      <c r="AL65" s="263">
        <v>45119.648421122685</v>
      </c>
      <c r="AM65" s="219" t="s">
        <v>5598</v>
      </c>
      <c r="AN65" s="273">
        <f t="shared" ca="1" si="6"/>
        <v>43</v>
      </c>
      <c r="AO65" s="82">
        <f t="shared" ca="1" si="7"/>
        <v>38</v>
      </c>
      <c r="AP65" s="82" t="str">
        <f t="shared" ca="1" si="8"/>
        <v>-</v>
      </c>
    </row>
    <row r="66" spans="1:42">
      <c r="A66" s="211">
        <f>SUBTOTAL(103,$I$5:I66)</f>
        <v>62</v>
      </c>
      <c r="B66" s="211" t="s">
        <v>5676</v>
      </c>
      <c r="C66" s="212" t="s">
        <v>3199</v>
      </c>
      <c r="D66" s="229" t="s">
        <v>37</v>
      </c>
      <c r="E66" s="213" t="s">
        <v>4635</v>
      </c>
      <c r="F66" s="213" t="s">
        <v>129</v>
      </c>
      <c r="G66" s="213">
        <v>43466</v>
      </c>
      <c r="H66" s="213" t="s">
        <v>30</v>
      </c>
      <c r="I66" s="211" t="s">
        <v>4881</v>
      </c>
      <c r="J66" s="213" t="s">
        <v>39</v>
      </c>
      <c r="K66" s="214" t="s">
        <v>6216</v>
      </c>
      <c r="L66" s="213">
        <v>43831</v>
      </c>
      <c r="M66" s="213">
        <v>45111.569247685184</v>
      </c>
      <c r="N66" s="213">
        <v>45113.696655092594</v>
      </c>
      <c r="O66" s="215"/>
      <c r="P66" s="215" t="s">
        <v>2</v>
      </c>
      <c r="Q66" s="215" t="s">
        <v>5677</v>
      </c>
      <c r="R66" s="226">
        <v>3921</v>
      </c>
      <c r="S66" s="215">
        <v>45118</v>
      </c>
      <c r="T66" s="215"/>
      <c r="U66" s="215"/>
      <c r="V66" s="215"/>
      <c r="W66" s="216"/>
      <c r="Y66" s="215"/>
      <c r="Z66" s="215"/>
      <c r="AA66" s="215"/>
      <c r="AB66" s="215"/>
      <c r="AC66" s="220" t="s">
        <v>5704</v>
      </c>
      <c r="AD66" s="220" t="s">
        <v>1102</v>
      </c>
      <c r="AE66" s="104" t="s">
        <v>35</v>
      </c>
      <c r="AF66" s="104" t="s">
        <v>6338</v>
      </c>
      <c r="AG66" s="104" t="s">
        <v>6363</v>
      </c>
      <c r="AH66" s="218" t="s">
        <v>68</v>
      </c>
      <c r="AI66" s="218" t="s">
        <v>5555</v>
      </c>
      <c r="AJ66" s="218"/>
      <c r="AK66" s="218"/>
      <c r="AL66" s="263">
        <v>45119.644689837965</v>
      </c>
      <c r="AM66" s="219" t="s">
        <v>5598</v>
      </c>
      <c r="AN66" s="273">
        <f t="shared" ca="1" si="6"/>
        <v>43</v>
      </c>
      <c r="AO66" s="82">
        <f t="shared" ca="1" si="7"/>
        <v>38</v>
      </c>
      <c r="AP66" s="82" t="str">
        <f t="shared" ca="1" si="8"/>
        <v>-</v>
      </c>
    </row>
    <row r="67" spans="1:42">
      <c r="A67" s="211">
        <f>SUBTOTAL(103,$I$5:I67)</f>
        <v>63</v>
      </c>
      <c r="B67" s="211" t="s">
        <v>5678</v>
      </c>
      <c r="C67" s="212" t="s">
        <v>3199</v>
      </c>
      <c r="D67" s="229" t="s">
        <v>37</v>
      </c>
      <c r="E67" s="213" t="s">
        <v>4635</v>
      </c>
      <c r="F67" s="213" t="s">
        <v>129</v>
      </c>
      <c r="G67" s="213">
        <v>43466</v>
      </c>
      <c r="H67" s="213" t="s">
        <v>30</v>
      </c>
      <c r="I67" s="211" t="s">
        <v>5373</v>
      </c>
      <c r="J67" s="213" t="s">
        <v>39</v>
      </c>
      <c r="K67" s="214" t="s">
        <v>6216</v>
      </c>
      <c r="L67" s="213">
        <v>44013</v>
      </c>
      <c r="M67" s="213">
        <v>45111.571273148147</v>
      </c>
      <c r="N67" s="213">
        <v>45113.709155092591</v>
      </c>
      <c r="O67" s="215"/>
      <c r="P67" s="215" t="s">
        <v>2</v>
      </c>
      <c r="Q67" s="215" t="s">
        <v>5679</v>
      </c>
      <c r="R67" s="226">
        <v>4110</v>
      </c>
      <c r="S67" s="215">
        <v>45118</v>
      </c>
      <c r="T67" s="215"/>
      <c r="U67" s="215"/>
      <c r="V67" s="215"/>
      <c r="W67" s="216"/>
      <c r="Y67" s="215"/>
      <c r="Z67" s="215"/>
      <c r="AA67" s="215"/>
      <c r="AB67" s="215"/>
      <c r="AC67" s="220" t="s">
        <v>5705</v>
      </c>
      <c r="AD67" s="220" t="s">
        <v>1120</v>
      </c>
      <c r="AE67" s="104" t="s">
        <v>35</v>
      </c>
      <c r="AF67" s="104" t="s">
        <v>6338</v>
      </c>
      <c r="AG67" s="104" t="s">
        <v>6363</v>
      </c>
      <c r="AH67" s="218" t="s">
        <v>68</v>
      </c>
      <c r="AI67" s="218" t="s">
        <v>5555</v>
      </c>
      <c r="AJ67" s="218"/>
      <c r="AK67" s="218"/>
      <c r="AL67" s="263">
        <v>45119.646404814812</v>
      </c>
      <c r="AM67" s="219" t="s">
        <v>5598</v>
      </c>
      <c r="AN67" s="273">
        <f t="shared" ca="1" si="6"/>
        <v>43</v>
      </c>
      <c r="AO67" s="82">
        <f t="shared" ca="1" si="7"/>
        <v>38</v>
      </c>
      <c r="AP67" s="82" t="str">
        <f t="shared" ca="1" si="8"/>
        <v>-</v>
      </c>
    </row>
    <row r="68" spans="1:42">
      <c r="A68" s="211">
        <f>SUBTOTAL(103,$I$5:I68)</f>
        <v>64</v>
      </c>
      <c r="B68" s="211" t="s">
        <v>5680</v>
      </c>
      <c r="C68" s="212" t="s">
        <v>3199</v>
      </c>
      <c r="D68" s="229" t="s">
        <v>37</v>
      </c>
      <c r="E68" s="213" t="s">
        <v>4635</v>
      </c>
      <c r="F68" s="213" t="s">
        <v>129</v>
      </c>
      <c r="G68" s="213">
        <v>42508</v>
      </c>
      <c r="H68" s="213" t="s">
        <v>30</v>
      </c>
      <c r="I68" s="211" t="s">
        <v>5681</v>
      </c>
      <c r="J68" s="213" t="s">
        <v>39</v>
      </c>
      <c r="K68" s="214" t="s">
        <v>6216</v>
      </c>
      <c r="M68" s="213">
        <v>45111.572557870371</v>
      </c>
      <c r="N68" s="213">
        <v>45113.661099537036</v>
      </c>
      <c r="O68" s="215" t="s">
        <v>5706</v>
      </c>
      <c r="P68" s="215" t="s">
        <v>2</v>
      </c>
      <c r="Q68" s="215" t="s">
        <v>5682</v>
      </c>
      <c r="R68" s="226">
        <v>2847</v>
      </c>
      <c r="S68" s="215">
        <v>45118</v>
      </c>
      <c r="T68" s="215"/>
      <c r="U68" s="215"/>
      <c r="V68" s="215"/>
      <c r="W68" s="216"/>
      <c r="Y68" s="215"/>
      <c r="Z68" s="215"/>
      <c r="AA68" s="215"/>
      <c r="AB68" s="215"/>
      <c r="AC68" s="220" t="s">
        <v>5707</v>
      </c>
      <c r="AD68" s="220" t="s">
        <v>33</v>
      </c>
      <c r="AE68" s="104" t="s">
        <v>35</v>
      </c>
      <c r="AF68" s="104" t="s">
        <v>6338</v>
      </c>
      <c r="AG68" s="104" t="s">
        <v>6363</v>
      </c>
      <c r="AH68" s="218" t="s">
        <v>68</v>
      </c>
      <c r="AI68" s="218" t="s">
        <v>5555</v>
      </c>
      <c r="AJ68" s="218"/>
      <c r="AK68" s="218"/>
      <c r="AL68" s="263">
        <v>45119.642471296298</v>
      </c>
      <c r="AM68" s="219" t="s">
        <v>5598</v>
      </c>
      <c r="AN68" s="273">
        <f t="shared" ca="1" si="6"/>
        <v>43</v>
      </c>
      <c r="AO68" s="82">
        <f t="shared" ca="1" si="7"/>
        <v>38</v>
      </c>
      <c r="AP68" s="82" t="str">
        <f t="shared" ca="1" si="8"/>
        <v>-</v>
      </c>
    </row>
    <row r="69" spans="1:42">
      <c r="A69" s="211">
        <f>SUBTOTAL(103,$I$5:I69)</f>
        <v>65</v>
      </c>
      <c r="B69" s="211" t="s">
        <v>5685</v>
      </c>
      <c r="C69" s="212" t="s">
        <v>3199</v>
      </c>
      <c r="D69" s="229" t="s">
        <v>37</v>
      </c>
      <c r="E69" s="213" t="s">
        <v>4635</v>
      </c>
      <c r="F69" s="213" t="s">
        <v>129</v>
      </c>
      <c r="G69" s="213">
        <v>42870</v>
      </c>
      <c r="H69" s="213" t="s">
        <v>34</v>
      </c>
      <c r="I69" s="211" t="s">
        <v>2731</v>
      </c>
      <c r="J69" s="213" t="s">
        <v>1043</v>
      </c>
      <c r="K69" s="214" t="s">
        <v>6216</v>
      </c>
      <c r="L69" s="213">
        <v>43235</v>
      </c>
      <c r="M69" s="213">
        <v>45111.658518518518</v>
      </c>
      <c r="N69" s="213">
        <v>45111.714166666665</v>
      </c>
      <c r="O69" s="215" t="s">
        <v>5709</v>
      </c>
      <c r="P69" s="215" t="s">
        <v>2</v>
      </c>
      <c r="Q69" s="215" t="s">
        <v>5686</v>
      </c>
      <c r="R69" s="226">
        <v>5789</v>
      </c>
      <c r="S69" s="215">
        <v>45112</v>
      </c>
      <c r="T69" s="215"/>
      <c r="U69" s="215"/>
      <c r="V69" s="215"/>
      <c r="W69" s="216"/>
      <c r="Y69" s="215"/>
      <c r="Z69" s="215"/>
      <c r="AA69" s="215"/>
      <c r="AB69" s="215"/>
      <c r="AC69" s="220" t="s">
        <v>5708</v>
      </c>
      <c r="AD69" s="220" t="s">
        <v>33</v>
      </c>
      <c r="AE69" s="104" t="s">
        <v>35</v>
      </c>
      <c r="AF69" s="104" t="s">
        <v>6338</v>
      </c>
      <c r="AG69" s="104" t="s">
        <v>6363</v>
      </c>
      <c r="AH69" s="218" t="s">
        <v>68</v>
      </c>
      <c r="AI69" s="218" t="s">
        <v>5555</v>
      </c>
      <c r="AJ69" s="218"/>
      <c r="AK69" s="218"/>
      <c r="AL69" s="263">
        <v>45119.629234641201</v>
      </c>
      <c r="AM69" s="219" t="s">
        <v>5598</v>
      </c>
      <c r="AN69" s="273">
        <f t="shared" ca="1" si="6"/>
        <v>43</v>
      </c>
      <c r="AO69" s="82">
        <f t="shared" ca="1" si="7"/>
        <v>42</v>
      </c>
      <c r="AP69" s="82" t="str">
        <f t="shared" ca="1" si="8"/>
        <v>-</v>
      </c>
    </row>
    <row r="70" spans="1:42">
      <c r="A70" s="211">
        <f>SUBTOTAL(103,$I$5:I70)</f>
        <v>66</v>
      </c>
      <c r="B70" s="211" t="s">
        <v>5687</v>
      </c>
      <c r="C70" s="212" t="s">
        <v>3198</v>
      </c>
      <c r="D70" s="229" t="s">
        <v>4165</v>
      </c>
      <c r="E70" s="213" t="s">
        <v>4676</v>
      </c>
      <c r="F70" s="213" t="s">
        <v>22</v>
      </c>
      <c r="G70" s="213">
        <v>42141</v>
      </c>
      <c r="H70" s="213" t="s">
        <v>47</v>
      </c>
      <c r="I70" s="211" t="s">
        <v>5688</v>
      </c>
      <c r="J70" s="213" t="s">
        <v>5083</v>
      </c>
      <c r="K70" s="214" t="s">
        <v>6219</v>
      </c>
      <c r="L70" s="213">
        <v>42506</v>
      </c>
      <c r="M70" s="213">
        <v>45111.669374999998</v>
      </c>
      <c r="N70" s="213">
        <v>45112.560659722221</v>
      </c>
      <c r="O70" s="215" t="s">
        <v>5710</v>
      </c>
      <c r="P70" s="215" t="s">
        <v>2</v>
      </c>
      <c r="Q70" s="215" t="s">
        <v>5689</v>
      </c>
      <c r="R70" s="226">
        <v>12431</v>
      </c>
      <c r="S70" s="215">
        <v>45112</v>
      </c>
      <c r="T70" s="215">
        <v>45161</v>
      </c>
      <c r="U70" s="215" t="s">
        <v>12</v>
      </c>
      <c r="V70" s="215"/>
      <c r="W70" s="216"/>
      <c r="Y70" s="215"/>
      <c r="Z70" s="215"/>
      <c r="AA70" s="215"/>
      <c r="AB70" s="215"/>
      <c r="AC70" s="220" t="s">
        <v>5711</v>
      </c>
      <c r="AD70" s="220" t="s">
        <v>18</v>
      </c>
      <c r="AE70" s="104" t="s">
        <v>28</v>
      </c>
      <c r="AF70" s="104" t="s">
        <v>6212</v>
      </c>
      <c r="AG70" s="104"/>
      <c r="AH70" s="218" t="s">
        <v>68</v>
      </c>
      <c r="AI70" s="218" t="s">
        <v>5555</v>
      </c>
      <c r="AJ70" s="218"/>
      <c r="AK70" s="218"/>
      <c r="AL70" s="263">
        <v>45133.725564097222</v>
      </c>
      <c r="AM70" s="219" t="s">
        <v>5598</v>
      </c>
      <c r="AN70" s="273">
        <f t="shared" ca="1" si="6"/>
        <v>43</v>
      </c>
      <c r="AO70" s="82">
        <f t="shared" ca="1" si="7"/>
        <v>42</v>
      </c>
      <c r="AP70" s="82" t="str">
        <f t="shared" ca="1" si="8"/>
        <v>-</v>
      </c>
    </row>
    <row r="71" spans="1:42">
      <c r="A71" s="211">
        <f>SUBTOTAL(103,$I$5:I71)</f>
        <v>67</v>
      </c>
      <c r="B71" s="211" t="s">
        <v>5691</v>
      </c>
      <c r="C71" s="212" t="s">
        <v>3199</v>
      </c>
      <c r="D71" s="229" t="s">
        <v>37</v>
      </c>
      <c r="E71" s="213" t="s">
        <v>4635</v>
      </c>
      <c r="F71" s="213" t="s">
        <v>129</v>
      </c>
      <c r="G71" s="213">
        <v>42508</v>
      </c>
      <c r="H71" s="213" t="s">
        <v>30</v>
      </c>
      <c r="I71" s="211" t="s">
        <v>4792</v>
      </c>
      <c r="J71" s="213" t="s">
        <v>39</v>
      </c>
      <c r="K71" s="214" t="s">
        <v>6216</v>
      </c>
      <c r="L71" s="213">
        <v>42873</v>
      </c>
      <c r="M71" s="213">
        <v>45113.778958333336</v>
      </c>
      <c r="N71" s="213">
        <v>45113.800509259258</v>
      </c>
      <c r="O71" s="215" t="s">
        <v>5793</v>
      </c>
      <c r="P71" s="215" t="s">
        <v>2</v>
      </c>
      <c r="Q71" s="215" t="s">
        <v>5692</v>
      </c>
      <c r="R71" s="226">
        <v>4655</v>
      </c>
      <c r="S71" s="215">
        <v>45118</v>
      </c>
      <c r="T71" s="215"/>
      <c r="U71" s="215"/>
      <c r="V71" s="215"/>
      <c r="W71" s="216"/>
      <c r="Y71" s="215"/>
      <c r="Z71" s="215"/>
      <c r="AA71" s="215"/>
      <c r="AB71" s="215"/>
      <c r="AC71" s="220" t="s">
        <v>5791</v>
      </c>
      <c r="AD71" s="220" t="s">
        <v>5598</v>
      </c>
      <c r="AE71" s="104" t="s">
        <v>35</v>
      </c>
      <c r="AF71" s="104" t="s">
        <v>6338</v>
      </c>
      <c r="AG71" s="104" t="s">
        <v>6363</v>
      </c>
      <c r="AH71" s="218" t="s">
        <v>68</v>
      </c>
      <c r="AI71" s="218" t="s">
        <v>5555</v>
      </c>
      <c r="AJ71" s="218"/>
      <c r="AK71" s="218"/>
      <c r="AL71" s="263">
        <v>45119.647174641206</v>
      </c>
      <c r="AM71" s="219" t="s">
        <v>5598</v>
      </c>
      <c r="AN71" s="273">
        <f t="shared" ca="1" si="6"/>
        <v>41</v>
      </c>
      <c r="AO71" s="82">
        <f t="shared" ca="1" si="7"/>
        <v>38</v>
      </c>
      <c r="AP71" s="82" t="str">
        <f t="shared" ca="1" si="8"/>
        <v>-</v>
      </c>
    </row>
    <row r="72" spans="1:42">
      <c r="A72" s="211">
        <f>SUBTOTAL(103,$I$5:I72)</f>
        <v>68</v>
      </c>
      <c r="B72" s="211" t="s">
        <v>5408</v>
      </c>
      <c r="C72" s="212" t="s">
        <v>3199</v>
      </c>
      <c r="D72" s="229" t="s">
        <v>1100</v>
      </c>
      <c r="E72" s="213" t="s">
        <v>2960</v>
      </c>
      <c r="F72" s="213" t="s">
        <v>129</v>
      </c>
      <c r="G72" s="213">
        <v>42696</v>
      </c>
      <c r="H72" s="213" t="s">
        <v>30</v>
      </c>
      <c r="I72" s="211" t="s">
        <v>1260</v>
      </c>
      <c r="J72" s="213" t="s">
        <v>39</v>
      </c>
      <c r="K72" s="214" t="s">
        <v>6216</v>
      </c>
      <c r="L72" s="213">
        <v>43113</v>
      </c>
      <c r="M72" s="213">
        <v>45075.779120370367</v>
      </c>
      <c r="N72" s="213">
        <v>45079.822893518518</v>
      </c>
      <c r="O72" s="220" t="s">
        <v>5462</v>
      </c>
      <c r="P72" s="215" t="s">
        <v>2</v>
      </c>
      <c r="Q72" s="215" t="s">
        <v>5441</v>
      </c>
      <c r="R72" s="226">
        <v>5653</v>
      </c>
      <c r="S72" s="215">
        <v>45082</v>
      </c>
      <c r="T72" s="215"/>
      <c r="U72" s="215"/>
      <c r="V72" s="215"/>
      <c r="W72" s="215"/>
      <c r="Y72" s="215"/>
      <c r="Z72" s="215"/>
      <c r="AA72" s="215"/>
      <c r="AB72" s="215"/>
      <c r="AC72" s="220" t="s">
        <v>5463</v>
      </c>
      <c r="AD72" s="220" t="s">
        <v>33</v>
      </c>
      <c r="AE72" s="104" t="s">
        <v>35</v>
      </c>
      <c r="AF72" s="104" t="s">
        <v>6208</v>
      </c>
      <c r="AG72" s="104" t="s">
        <v>6365</v>
      </c>
      <c r="AH72" s="218" t="s">
        <v>68</v>
      </c>
      <c r="AI72" s="218" t="s">
        <v>5555</v>
      </c>
      <c r="AJ72" s="218"/>
      <c r="AK72" s="218"/>
      <c r="AL72" s="263">
        <v>45085.737038807871</v>
      </c>
      <c r="AM72" s="219" t="s">
        <v>54</v>
      </c>
      <c r="AN72" s="273">
        <f t="shared" ca="1" si="6"/>
        <v>69</v>
      </c>
      <c r="AO72" s="82">
        <f t="shared" ca="1" si="7"/>
        <v>64</v>
      </c>
      <c r="AP72" s="82" t="str">
        <f t="shared" ca="1" si="8"/>
        <v>-</v>
      </c>
    </row>
    <row r="73" spans="1:42">
      <c r="A73" s="211">
        <f>SUBTOTAL(103,$I$5:I73)</f>
        <v>69</v>
      </c>
      <c r="B73" s="211" t="s">
        <v>5642</v>
      </c>
      <c r="C73" s="212" t="s">
        <v>3199</v>
      </c>
      <c r="D73" s="229" t="s">
        <v>1100</v>
      </c>
      <c r="E73" s="213" t="s">
        <v>2960</v>
      </c>
      <c r="F73" s="213" t="s">
        <v>129</v>
      </c>
      <c r="G73" s="213">
        <v>42843</v>
      </c>
      <c r="H73" s="213" t="s">
        <v>27</v>
      </c>
      <c r="I73" s="211" t="s">
        <v>5643</v>
      </c>
      <c r="J73" s="213" t="s">
        <v>1042</v>
      </c>
      <c r="K73" s="214" t="s">
        <v>6217</v>
      </c>
      <c r="L73" s="213">
        <v>43208</v>
      </c>
      <c r="M73" s="213">
        <v>45103.804814814815</v>
      </c>
      <c r="N73" s="213">
        <v>45106.518287037034</v>
      </c>
      <c r="O73" s="215" t="s">
        <v>5695</v>
      </c>
      <c r="P73" s="215" t="s">
        <v>4</v>
      </c>
      <c r="Q73" s="215" t="s">
        <v>1093</v>
      </c>
      <c r="R73" s="226">
        <v>10698</v>
      </c>
      <c r="S73" s="215">
        <v>45112</v>
      </c>
      <c r="T73" s="215"/>
      <c r="U73" s="215"/>
      <c r="V73" s="215"/>
      <c r="W73" s="216"/>
      <c r="Y73" s="215"/>
      <c r="Z73" s="215"/>
      <c r="AA73" s="215"/>
      <c r="AB73" s="215"/>
      <c r="AC73" s="220" t="s">
        <v>5696</v>
      </c>
      <c r="AD73" s="220" t="s">
        <v>1102</v>
      </c>
      <c r="AE73" s="104" t="s">
        <v>3611</v>
      </c>
      <c r="AF73" s="104" t="s">
        <v>6208</v>
      </c>
      <c r="AG73" s="104" t="s">
        <v>6365</v>
      </c>
      <c r="AH73" s="218" t="s">
        <v>68</v>
      </c>
      <c r="AI73" s="218" t="s">
        <v>5555</v>
      </c>
      <c r="AJ73" s="218"/>
      <c r="AK73" s="218"/>
      <c r="AL73" s="263">
        <v>45119.578802199074</v>
      </c>
      <c r="AM73" s="219" t="s">
        <v>5598</v>
      </c>
      <c r="AN73" s="273">
        <f t="shared" ca="1" si="6"/>
        <v>49</v>
      </c>
      <c r="AO73" s="82">
        <f t="shared" ca="1" si="7"/>
        <v>42</v>
      </c>
      <c r="AP73" s="82" t="str">
        <f t="shared" ca="1" si="8"/>
        <v>-</v>
      </c>
    </row>
    <row r="74" spans="1:42">
      <c r="A74" s="211">
        <f>SUBTOTAL(103,$I$5:I74)</f>
        <v>70</v>
      </c>
      <c r="B74" s="211" t="s">
        <v>5742</v>
      </c>
      <c r="C74" s="212" t="s">
        <v>3199</v>
      </c>
      <c r="D74" s="229" t="s">
        <v>1106</v>
      </c>
      <c r="E74" s="213" t="s">
        <v>2959</v>
      </c>
      <c r="F74" s="213" t="s">
        <v>129</v>
      </c>
      <c r="G74" s="213">
        <v>43543</v>
      </c>
      <c r="H74" s="213" t="s">
        <v>16</v>
      </c>
      <c r="I74" s="211" t="s">
        <v>2824</v>
      </c>
      <c r="J74" s="213" t="s">
        <v>39</v>
      </c>
      <c r="K74" s="214" t="s">
        <v>6219</v>
      </c>
      <c r="L74" s="213">
        <v>43909</v>
      </c>
      <c r="M74" s="213">
        <v>45117.510914351849</v>
      </c>
      <c r="N74" s="213">
        <v>45118.464004629626</v>
      </c>
      <c r="O74" s="215" t="s">
        <v>5796</v>
      </c>
      <c r="P74" s="215" t="s">
        <v>2</v>
      </c>
      <c r="Q74" s="215" t="s">
        <v>5743</v>
      </c>
      <c r="R74" s="226">
        <v>4182</v>
      </c>
      <c r="S74" s="215">
        <v>45121</v>
      </c>
      <c r="T74" s="215"/>
      <c r="U74" s="215"/>
      <c r="V74" s="215"/>
      <c r="W74" s="216"/>
      <c r="Y74" s="215"/>
      <c r="Z74" s="215"/>
      <c r="AA74" s="215"/>
      <c r="AB74" s="215"/>
      <c r="AC74" s="220" t="s">
        <v>5797</v>
      </c>
      <c r="AD74" s="220" t="s">
        <v>33</v>
      </c>
      <c r="AE74" s="104" t="s">
        <v>35</v>
      </c>
      <c r="AF74" s="104" t="s">
        <v>6208</v>
      </c>
      <c r="AG74" s="104" t="s">
        <v>6393</v>
      </c>
      <c r="AH74" s="218" t="s">
        <v>68</v>
      </c>
      <c r="AI74" s="218" t="s">
        <v>5555</v>
      </c>
      <c r="AJ74" s="218"/>
      <c r="AK74" s="218"/>
      <c r="AL74" s="263">
        <v>45126.83494537037</v>
      </c>
      <c r="AM74" s="219" t="s">
        <v>5598</v>
      </c>
      <c r="AN74" s="273">
        <f t="shared" ca="1" si="6"/>
        <v>39</v>
      </c>
      <c r="AO74" s="82">
        <f t="shared" ca="1" si="7"/>
        <v>35</v>
      </c>
      <c r="AP74" s="82" t="str">
        <f t="shared" ca="1" si="8"/>
        <v>-</v>
      </c>
    </row>
    <row r="75" spans="1:42">
      <c r="A75" s="211">
        <f>SUBTOTAL(103,$I$5:I75)</f>
        <v>71</v>
      </c>
      <c r="B75" s="211" t="s">
        <v>5744</v>
      </c>
      <c r="C75" s="212" t="s">
        <v>3199</v>
      </c>
      <c r="D75" s="229" t="s">
        <v>1106</v>
      </c>
      <c r="E75" s="213" t="s">
        <v>2959</v>
      </c>
      <c r="F75" s="213" t="s">
        <v>129</v>
      </c>
      <c r="G75" s="213">
        <v>44079</v>
      </c>
      <c r="H75" s="213" t="s">
        <v>58</v>
      </c>
      <c r="I75" s="211" t="s">
        <v>1644</v>
      </c>
      <c r="J75" s="213" t="s">
        <v>1043</v>
      </c>
      <c r="K75" s="214" t="s">
        <v>6219</v>
      </c>
      <c r="L75" s="213">
        <v>44444</v>
      </c>
      <c r="M75" s="213">
        <v>45117.511759259258</v>
      </c>
      <c r="N75" s="213">
        <v>45118.517974537041</v>
      </c>
      <c r="O75" s="215" t="s">
        <v>5799</v>
      </c>
      <c r="P75" s="215" t="s">
        <v>2</v>
      </c>
      <c r="Q75" s="215" t="s">
        <v>5745</v>
      </c>
      <c r="R75" s="226">
        <v>1275</v>
      </c>
      <c r="S75" s="215">
        <v>45121</v>
      </c>
      <c r="T75" s="215"/>
      <c r="U75" s="215"/>
      <c r="V75" s="215"/>
      <c r="W75" s="216"/>
      <c r="Y75" s="215"/>
      <c r="Z75" s="215"/>
      <c r="AA75" s="215"/>
      <c r="AB75" s="215"/>
      <c r="AC75" s="220" t="s">
        <v>5798</v>
      </c>
      <c r="AD75" s="220" t="s">
        <v>33</v>
      </c>
      <c r="AE75" s="104" t="s">
        <v>35</v>
      </c>
      <c r="AF75" s="104" t="s">
        <v>6208</v>
      </c>
      <c r="AG75" s="104" t="s">
        <v>6393</v>
      </c>
      <c r="AH75" s="218" t="s">
        <v>68</v>
      </c>
      <c r="AI75" s="218" t="s">
        <v>5555</v>
      </c>
      <c r="AJ75" s="218"/>
      <c r="AK75" s="218"/>
      <c r="AL75" s="263">
        <v>45126.835165532408</v>
      </c>
      <c r="AM75" s="219" t="s">
        <v>5598</v>
      </c>
      <c r="AN75" s="273">
        <f t="shared" ca="1" si="6"/>
        <v>39</v>
      </c>
      <c r="AO75" s="82">
        <f t="shared" ca="1" si="7"/>
        <v>35</v>
      </c>
      <c r="AP75" s="82" t="str">
        <f t="shared" ca="1" si="8"/>
        <v>-</v>
      </c>
    </row>
    <row r="76" spans="1:42">
      <c r="A76" s="211">
        <f>SUBTOTAL(103,$I$5:I76)</f>
        <v>72</v>
      </c>
      <c r="B76" s="211" t="s">
        <v>5746</v>
      </c>
      <c r="C76" s="212" t="s">
        <v>3199</v>
      </c>
      <c r="D76" s="229" t="s">
        <v>1106</v>
      </c>
      <c r="E76" s="213" t="s">
        <v>2959</v>
      </c>
      <c r="F76" s="213" t="s">
        <v>129</v>
      </c>
      <c r="G76" s="213">
        <v>44047</v>
      </c>
      <c r="H76" s="213" t="s">
        <v>16</v>
      </c>
      <c r="I76" s="211" t="s">
        <v>3120</v>
      </c>
      <c r="J76" s="213" t="s">
        <v>39</v>
      </c>
      <c r="K76" s="214" t="s">
        <v>6219</v>
      </c>
      <c r="L76" s="213">
        <v>44412</v>
      </c>
      <c r="M76" s="213">
        <v>45117.512650462966</v>
      </c>
      <c r="N76" s="213">
        <v>45119.493645833332</v>
      </c>
      <c r="O76" s="215" t="s">
        <v>5800</v>
      </c>
      <c r="P76" s="215" t="s">
        <v>2</v>
      </c>
      <c r="Q76" s="215" t="s">
        <v>5747</v>
      </c>
      <c r="R76" s="226">
        <v>6320</v>
      </c>
      <c r="S76" s="215">
        <v>45121</v>
      </c>
      <c r="T76" s="215"/>
      <c r="U76" s="215"/>
      <c r="V76" s="215"/>
      <c r="W76" s="216"/>
      <c r="Y76" s="215"/>
      <c r="Z76" s="215"/>
      <c r="AA76" s="215"/>
      <c r="AB76" s="215"/>
      <c r="AC76" s="220" t="s">
        <v>5801</v>
      </c>
      <c r="AD76" s="220" t="s">
        <v>33</v>
      </c>
      <c r="AE76" s="104" t="s">
        <v>35</v>
      </c>
      <c r="AF76" s="104" t="s">
        <v>6208</v>
      </c>
      <c r="AG76" s="104" t="s">
        <v>6393</v>
      </c>
      <c r="AH76" s="218" t="s">
        <v>68</v>
      </c>
      <c r="AI76" s="218" t="s">
        <v>5555</v>
      </c>
      <c r="AJ76" s="218"/>
      <c r="AK76" s="218"/>
      <c r="AL76" s="263">
        <v>45126.835453391206</v>
      </c>
      <c r="AM76" s="219" t="s">
        <v>5598</v>
      </c>
      <c r="AN76" s="273">
        <f t="shared" ca="1" si="6"/>
        <v>39</v>
      </c>
      <c r="AO76" s="82">
        <f t="shared" ca="1" si="7"/>
        <v>35</v>
      </c>
      <c r="AP76" s="82" t="str">
        <f t="shared" ca="1" si="8"/>
        <v>-</v>
      </c>
    </row>
    <row r="77" spans="1:42">
      <c r="A77" s="211">
        <f>SUBTOTAL(103,$I$5:I77)</f>
        <v>73</v>
      </c>
      <c r="B77" s="211" t="s">
        <v>5748</v>
      </c>
      <c r="C77" s="212" t="s">
        <v>3199</v>
      </c>
      <c r="D77" s="229" t="s">
        <v>1106</v>
      </c>
      <c r="E77" s="213" t="s">
        <v>2959</v>
      </c>
      <c r="F77" s="213" t="s">
        <v>129</v>
      </c>
      <c r="G77" s="213">
        <v>43543</v>
      </c>
      <c r="H77" s="213" t="s">
        <v>16</v>
      </c>
      <c r="I77" s="211" t="s">
        <v>2847</v>
      </c>
      <c r="J77" s="213" t="s">
        <v>39</v>
      </c>
      <c r="K77" s="214" t="s">
        <v>6219</v>
      </c>
      <c r="L77" s="213">
        <v>43909</v>
      </c>
      <c r="M77" s="213">
        <v>45117.513437499998</v>
      </c>
      <c r="N77" s="213">
        <v>45118.464282407411</v>
      </c>
      <c r="O77" s="215" t="s">
        <v>5803</v>
      </c>
      <c r="P77" s="215" t="s">
        <v>2</v>
      </c>
      <c r="Q77" s="215" t="s">
        <v>5749</v>
      </c>
      <c r="R77" s="226">
        <v>7342</v>
      </c>
      <c r="S77" s="215">
        <v>45121</v>
      </c>
      <c r="T77" s="215"/>
      <c r="U77" s="215"/>
      <c r="V77" s="215"/>
      <c r="W77" s="216"/>
      <c r="Y77" s="215"/>
      <c r="Z77" s="215"/>
      <c r="AA77" s="215"/>
      <c r="AB77" s="215"/>
      <c r="AC77" s="220" t="s">
        <v>5802</v>
      </c>
      <c r="AD77" s="220" t="s">
        <v>33</v>
      </c>
      <c r="AE77" s="104" t="s">
        <v>35</v>
      </c>
      <c r="AF77" s="104" t="s">
        <v>6208</v>
      </c>
      <c r="AG77" s="104" t="s">
        <v>6393</v>
      </c>
      <c r="AH77" s="218" t="s">
        <v>68</v>
      </c>
      <c r="AI77" s="218" t="s">
        <v>5555</v>
      </c>
      <c r="AJ77" s="218"/>
      <c r="AK77" s="218"/>
      <c r="AL77" s="263">
        <v>45126.835703194447</v>
      </c>
      <c r="AM77" s="219" t="s">
        <v>5598</v>
      </c>
      <c r="AN77" s="273">
        <f t="shared" ca="1" si="6"/>
        <v>39</v>
      </c>
      <c r="AO77" s="82">
        <f t="shared" ca="1" si="7"/>
        <v>35</v>
      </c>
      <c r="AP77" s="82" t="str">
        <f t="shared" ca="1" si="8"/>
        <v>-</v>
      </c>
    </row>
    <row r="78" spans="1:42">
      <c r="A78" s="211">
        <f>SUBTOTAL(103,$I$5:I78)</f>
        <v>74</v>
      </c>
      <c r="B78" s="211" t="s">
        <v>5750</v>
      </c>
      <c r="C78" s="212" t="s">
        <v>3199</v>
      </c>
      <c r="D78" s="229" t="s">
        <v>1106</v>
      </c>
      <c r="E78" s="213" t="s">
        <v>2959</v>
      </c>
      <c r="F78" s="213" t="s">
        <v>129</v>
      </c>
      <c r="G78" s="213">
        <v>44079</v>
      </c>
      <c r="H78" s="213" t="s">
        <v>58</v>
      </c>
      <c r="I78" s="211" t="s">
        <v>2495</v>
      </c>
      <c r="J78" s="213" t="s">
        <v>1043</v>
      </c>
      <c r="K78" s="214" t="s">
        <v>6219</v>
      </c>
      <c r="L78" s="213">
        <v>44444</v>
      </c>
      <c r="M78" s="213">
        <v>45117.515347222223</v>
      </c>
      <c r="N78" s="213">
        <v>45118.841736111113</v>
      </c>
      <c r="O78" s="215" t="s">
        <v>5805</v>
      </c>
      <c r="P78" s="215" t="s">
        <v>2</v>
      </c>
      <c r="Q78" s="215" t="s">
        <v>5751</v>
      </c>
      <c r="R78" s="226">
        <v>4703</v>
      </c>
      <c r="S78" s="215">
        <v>45121</v>
      </c>
      <c r="T78" s="215"/>
      <c r="U78" s="215"/>
      <c r="V78" s="215"/>
      <c r="W78" s="216"/>
      <c r="Y78" s="215"/>
      <c r="Z78" s="215"/>
      <c r="AA78" s="215"/>
      <c r="AB78" s="215"/>
      <c r="AC78" s="220" t="s">
        <v>5804</v>
      </c>
      <c r="AD78" s="220" t="s">
        <v>33</v>
      </c>
      <c r="AE78" s="104" t="s">
        <v>35</v>
      </c>
      <c r="AF78" s="104" t="s">
        <v>6208</v>
      </c>
      <c r="AG78" s="104" t="s">
        <v>6393</v>
      </c>
      <c r="AH78" s="218" t="s">
        <v>68</v>
      </c>
      <c r="AI78" s="218" t="s">
        <v>5555</v>
      </c>
      <c r="AJ78" s="218"/>
      <c r="AK78" s="218"/>
      <c r="AL78" s="263">
        <v>45126.836210497684</v>
      </c>
      <c r="AM78" s="219" t="s">
        <v>5598</v>
      </c>
      <c r="AN78" s="273">
        <f t="shared" ref="AN78:AN109" ca="1" si="9">IF(M78="","-",NETWORKDAYS.INTL(M78,TODAY()))</f>
        <v>39</v>
      </c>
      <c r="AO78" s="82">
        <f t="shared" ref="AO78:AO109" ca="1" si="10">IF(S78&lt;&gt;"",IFERROR(NETWORKDAYS.INTL(S78,TODAY()),"-"),"-")</f>
        <v>35</v>
      </c>
      <c r="AP78" s="82" t="str">
        <f t="shared" ref="AP78:AP109" ca="1" si="11">IF(V78&lt;&gt;"",IF(W78&lt;&gt;"",NETWORKDAYS.INTL(V78,W78),NETWORKDAYS.INTL(V78,TODAY())),"-")</f>
        <v>-</v>
      </c>
    </row>
    <row r="79" spans="1:42">
      <c r="A79" s="211">
        <f>SUBTOTAL(103,$I$5:I79)</f>
        <v>75</v>
      </c>
      <c r="B79" s="211" t="s">
        <v>5752</v>
      </c>
      <c r="C79" s="212" t="s">
        <v>3199</v>
      </c>
      <c r="D79" s="229" t="s">
        <v>1106</v>
      </c>
      <c r="E79" s="213" t="s">
        <v>2959</v>
      </c>
      <c r="F79" s="213" t="s">
        <v>129</v>
      </c>
      <c r="G79" s="213">
        <v>43543</v>
      </c>
      <c r="H79" s="213" t="s">
        <v>58</v>
      </c>
      <c r="I79" s="211" t="s">
        <v>3142</v>
      </c>
      <c r="J79" s="213" t="s">
        <v>1043</v>
      </c>
      <c r="K79" s="214" t="s">
        <v>6219</v>
      </c>
      <c r="L79" s="213">
        <v>43909</v>
      </c>
      <c r="M79" s="213">
        <v>45117.516134259262</v>
      </c>
      <c r="N79" s="213">
        <v>45117.715462962966</v>
      </c>
      <c r="O79" s="215" t="s">
        <v>5806</v>
      </c>
      <c r="P79" s="215" t="s">
        <v>2</v>
      </c>
      <c r="Q79" s="215" t="s">
        <v>5753</v>
      </c>
      <c r="R79" s="226">
        <v>7273</v>
      </c>
      <c r="S79" s="215">
        <v>45121</v>
      </c>
      <c r="T79" s="215"/>
      <c r="U79" s="215"/>
      <c r="V79" s="215"/>
      <c r="W79" s="216"/>
      <c r="Y79" s="215"/>
      <c r="Z79" s="215"/>
      <c r="AA79" s="215"/>
      <c r="AB79" s="215"/>
      <c r="AC79" s="220" t="s">
        <v>5807</v>
      </c>
      <c r="AD79" s="220" t="s">
        <v>33</v>
      </c>
      <c r="AE79" s="104" t="s">
        <v>35</v>
      </c>
      <c r="AF79" s="104" t="s">
        <v>6208</v>
      </c>
      <c r="AG79" s="104" t="s">
        <v>6393</v>
      </c>
      <c r="AH79" s="218" t="s">
        <v>68</v>
      </c>
      <c r="AI79" s="218" t="s">
        <v>5555</v>
      </c>
      <c r="AJ79" s="218"/>
      <c r="AK79" s="218"/>
      <c r="AL79" s="263">
        <v>45126.836468402777</v>
      </c>
      <c r="AM79" s="219" t="s">
        <v>5598</v>
      </c>
      <c r="AN79" s="273">
        <f t="shared" ca="1" si="9"/>
        <v>39</v>
      </c>
      <c r="AO79" s="82">
        <f t="shared" ca="1" si="10"/>
        <v>35</v>
      </c>
      <c r="AP79" s="82" t="str">
        <f t="shared" ca="1" si="11"/>
        <v>-</v>
      </c>
    </row>
    <row r="80" spans="1:42">
      <c r="A80" s="211">
        <f>SUBTOTAL(103,$I$5:I80)</f>
        <v>76</v>
      </c>
      <c r="B80" s="211" t="s">
        <v>5754</v>
      </c>
      <c r="C80" s="212" t="s">
        <v>3199</v>
      </c>
      <c r="D80" s="229" t="s">
        <v>1106</v>
      </c>
      <c r="E80" s="213" t="s">
        <v>2959</v>
      </c>
      <c r="F80" s="213" t="s">
        <v>129</v>
      </c>
      <c r="G80" s="213">
        <v>42788</v>
      </c>
      <c r="H80" s="213" t="s">
        <v>19</v>
      </c>
      <c r="I80" s="211" t="s">
        <v>4439</v>
      </c>
      <c r="J80" s="213" t="s">
        <v>1244</v>
      </c>
      <c r="K80" s="214" t="s">
        <v>6219</v>
      </c>
      <c r="L80" s="213">
        <v>43153</v>
      </c>
      <c r="M80" s="213">
        <v>45117.517129629632</v>
      </c>
      <c r="N80" s="213">
        <v>45118.708472222221</v>
      </c>
      <c r="O80" s="215" t="s">
        <v>5808</v>
      </c>
      <c r="P80" s="215" t="s">
        <v>2</v>
      </c>
      <c r="Q80" s="215" t="s">
        <v>5755</v>
      </c>
      <c r="R80" s="226">
        <v>10358</v>
      </c>
      <c r="S80" s="215">
        <v>45121</v>
      </c>
      <c r="T80" s="215"/>
      <c r="U80" s="215"/>
      <c r="V80" s="215"/>
      <c r="W80" s="216"/>
      <c r="Y80" s="215"/>
      <c r="Z80" s="215"/>
      <c r="AA80" s="215"/>
      <c r="AB80" s="215"/>
      <c r="AC80" s="220" t="s">
        <v>5809</v>
      </c>
      <c r="AD80" s="220" t="s">
        <v>33</v>
      </c>
      <c r="AE80" s="104" t="s">
        <v>35</v>
      </c>
      <c r="AF80" s="104" t="s">
        <v>6208</v>
      </c>
      <c r="AG80" s="104" t="s">
        <v>6393</v>
      </c>
      <c r="AH80" s="218" t="s">
        <v>68</v>
      </c>
      <c r="AI80" s="218" t="s">
        <v>5555</v>
      </c>
      <c r="AJ80" s="218"/>
      <c r="AK80" s="218"/>
      <c r="AL80" s="263">
        <v>45126.836843252313</v>
      </c>
      <c r="AM80" s="219" t="s">
        <v>5598</v>
      </c>
      <c r="AN80" s="273">
        <f t="shared" ca="1" si="9"/>
        <v>39</v>
      </c>
      <c r="AO80" s="82">
        <f t="shared" ca="1" si="10"/>
        <v>35</v>
      </c>
      <c r="AP80" s="82" t="str">
        <f t="shared" ca="1" si="11"/>
        <v>-</v>
      </c>
    </row>
    <row r="81" spans="1:42">
      <c r="A81" s="211">
        <f>SUBTOTAL(103,$I$5:I81)</f>
        <v>77</v>
      </c>
      <c r="B81" s="211" t="s">
        <v>5756</v>
      </c>
      <c r="C81" s="212" t="s">
        <v>3199</v>
      </c>
      <c r="D81" s="229" t="s">
        <v>1106</v>
      </c>
      <c r="E81" s="213" t="s">
        <v>2959</v>
      </c>
      <c r="F81" s="213" t="s">
        <v>129</v>
      </c>
      <c r="G81" s="213">
        <v>44079</v>
      </c>
      <c r="H81" s="213" t="s">
        <v>19</v>
      </c>
      <c r="I81" s="211" t="s">
        <v>5757</v>
      </c>
      <c r="J81" s="213" t="s">
        <v>1244</v>
      </c>
      <c r="K81" s="214" t="s">
        <v>6219</v>
      </c>
      <c r="L81" s="213">
        <v>44444</v>
      </c>
      <c r="M81" s="213">
        <v>45117.518310185187</v>
      </c>
      <c r="N81" s="213">
        <v>45119.535937499997</v>
      </c>
      <c r="O81" s="215" t="s">
        <v>5810</v>
      </c>
      <c r="P81" s="215" t="s">
        <v>2</v>
      </c>
      <c r="Q81" s="215" t="s">
        <v>5758</v>
      </c>
      <c r="R81" s="226">
        <v>8052</v>
      </c>
      <c r="S81" s="215">
        <v>45121</v>
      </c>
      <c r="T81" s="215"/>
      <c r="U81" s="215"/>
      <c r="V81" s="215"/>
      <c r="W81" s="216"/>
      <c r="Y81" s="215"/>
      <c r="Z81" s="215"/>
      <c r="AA81" s="215"/>
      <c r="AB81" s="215"/>
      <c r="AC81" s="220" t="s">
        <v>5811</v>
      </c>
      <c r="AD81" s="220" t="s">
        <v>33</v>
      </c>
      <c r="AE81" s="104" t="s">
        <v>35</v>
      </c>
      <c r="AF81" s="104" t="s">
        <v>6208</v>
      </c>
      <c r="AG81" s="104" t="s">
        <v>6393</v>
      </c>
      <c r="AH81" s="218" t="s">
        <v>68</v>
      </c>
      <c r="AI81" s="218" t="s">
        <v>5555</v>
      </c>
      <c r="AJ81" s="218"/>
      <c r="AK81" s="218"/>
      <c r="AL81" s="263">
        <v>45126.837119293981</v>
      </c>
      <c r="AM81" s="219" t="s">
        <v>5598</v>
      </c>
      <c r="AN81" s="273">
        <f t="shared" ca="1" si="9"/>
        <v>39</v>
      </c>
      <c r="AO81" s="82">
        <f t="shared" ca="1" si="10"/>
        <v>35</v>
      </c>
      <c r="AP81" s="82" t="str">
        <f t="shared" ca="1" si="11"/>
        <v>-</v>
      </c>
    </row>
    <row r="82" spans="1:42">
      <c r="A82" s="211">
        <f>SUBTOTAL(103,$I$5:I82)</f>
        <v>78</v>
      </c>
      <c r="B82" s="211" t="s">
        <v>5759</v>
      </c>
      <c r="C82" s="212" t="s">
        <v>3199</v>
      </c>
      <c r="D82" s="229" t="s">
        <v>1106</v>
      </c>
      <c r="E82" s="213" t="s">
        <v>2959</v>
      </c>
      <c r="F82" s="213" t="s">
        <v>129</v>
      </c>
      <c r="G82" s="213">
        <v>42788</v>
      </c>
      <c r="H82" s="213" t="s">
        <v>16</v>
      </c>
      <c r="I82" s="211" t="s">
        <v>2000</v>
      </c>
      <c r="J82" s="213" t="s">
        <v>39</v>
      </c>
      <c r="K82" s="214" t="s">
        <v>6219</v>
      </c>
      <c r="L82" s="213">
        <v>43153</v>
      </c>
      <c r="M82" s="213">
        <v>45117.519409722219</v>
      </c>
      <c r="N82" s="213">
        <v>45117.807685185187</v>
      </c>
      <c r="O82" s="215" t="s">
        <v>5812</v>
      </c>
      <c r="P82" s="215" t="s">
        <v>2</v>
      </c>
      <c r="Q82" s="215" t="s">
        <v>5760</v>
      </c>
      <c r="R82" s="226">
        <v>8929</v>
      </c>
      <c r="S82" s="215">
        <v>45121</v>
      </c>
      <c r="T82" s="215"/>
      <c r="U82" s="215"/>
      <c r="V82" s="215"/>
      <c r="W82" s="216"/>
      <c r="Y82" s="215"/>
      <c r="Z82" s="215"/>
      <c r="AA82" s="215"/>
      <c r="AB82" s="215"/>
      <c r="AC82" s="220" t="s">
        <v>5813</v>
      </c>
      <c r="AD82" s="220" t="s">
        <v>33</v>
      </c>
      <c r="AE82" s="104" t="s">
        <v>35</v>
      </c>
      <c r="AF82" s="104" t="s">
        <v>6208</v>
      </c>
      <c r="AG82" s="104" t="s">
        <v>6393</v>
      </c>
      <c r="AH82" s="218" t="s">
        <v>68</v>
      </c>
      <c r="AI82" s="218" t="s">
        <v>5555</v>
      </c>
      <c r="AJ82" s="218"/>
      <c r="AK82" s="218"/>
      <c r="AL82" s="263">
        <v>45126.837479004629</v>
      </c>
      <c r="AM82" s="219" t="s">
        <v>5598</v>
      </c>
      <c r="AN82" s="273">
        <f t="shared" ca="1" si="9"/>
        <v>39</v>
      </c>
      <c r="AO82" s="82">
        <f t="shared" ca="1" si="10"/>
        <v>35</v>
      </c>
      <c r="AP82" s="82" t="str">
        <f t="shared" ca="1" si="11"/>
        <v>-</v>
      </c>
    </row>
    <row r="83" spans="1:42">
      <c r="A83" s="211">
        <f>SUBTOTAL(103,$I$5:I83)</f>
        <v>79</v>
      </c>
      <c r="B83" s="211" t="s">
        <v>5761</v>
      </c>
      <c r="C83" s="212" t="s">
        <v>3199</v>
      </c>
      <c r="D83" s="229" t="s">
        <v>1106</v>
      </c>
      <c r="E83" s="213" t="s">
        <v>2959</v>
      </c>
      <c r="F83" s="213" t="s">
        <v>129</v>
      </c>
      <c r="G83" s="213">
        <v>44079</v>
      </c>
      <c r="H83" s="213" t="s">
        <v>16</v>
      </c>
      <c r="I83" s="211" t="s">
        <v>4671</v>
      </c>
      <c r="J83" s="213" t="s">
        <v>39</v>
      </c>
      <c r="K83" s="214" t="s">
        <v>6219</v>
      </c>
      <c r="L83" s="213">
        <v>44444</v>
      </c>
      <c r="M83" s="213">
        <v>45117.520266203705</v>
      </c>
      <c r="N83" s="213">
        <v>45117.750173611108</v>
      </c>
      <c r="O83" s="215" t="s">
        <v>5814</v>
      </c>
      <c r="P83" s="215" t="s">
        <v>2</v>
      </c>
      <c r="Q83" s="215" t="s">
        <v>5762</v>
      </c>
      <c r="R83" s="226">
        <v>7818</v>
      </c>
      <c r="S83" s="215">
        <v>45121</v>
      </c>
      <c r="T83" s="215"/>
      <c r="U83" s="215"/>
      <c r="V83" s="215"/>
      <c r="W83" s="216"/>
      <c r="Y83" s="215"/>
      <c r="Z83" s="215"/>
      <c r="AA83" s="215"/>
      <c r="AB83" s="215"/>
      <c r="AC83" s="220" t="s">
        <v>5815</v>
      </c>
      <c r="AD83" s="220" t="s">
        <v>33</v>
      </c>
      <c r="AE83" s="104" t="s">
        <v>35</v>
      </c>
      <c r="AF83" s="104" t="s">
        <v>6208</v>
      </c>
      <c r="AG83" s="104" t="s">
        <v>6393</v>
      </c>
      <c r="AH83" s="218" t="s">
        <v>68</v>
      </c>
      <c r="AI83" s="218" t="s">
        <v>5555</v>
      </c>
      <c r="AJ83" s="218"/>
      <c r="AK83" s="218"/>
      <c r="AL83" s="263">
        <v>45126.837785243057</v>
      </c>
      <c r="AM83" s="219" t="s">
        <v>5598</v>
      </c>
      <c r="AN83" s="273">
        <f t="shared" ca="1" si="9"/>
        <v>39</v>
      </c>
      <c r="AO83" s="82">
        <f t="shared" ca="1" si="10"/>
        <v>35</v>
      </c>
      <c r="AP83" s="82" t="str">
        <f t="shared" ca="1" si="11"/>
        <v>-</v>
      </c>
    </row>
    <row r="84" spans="1:42">
      <c r="A84" s="211">
        <f>SUBTOTAL(103,$I$5:I84)</f>
        <v>80</v>
      </c>
      <c r="B84" s="211" t="s">
        <v>5235</v>
      </c>
      <c r="C84" s="212" t="s">
        <v>3198</v>
      </c>
      <c r="D84" s="229" t="s">
        <v>1119</v>
      </c>
      <c r="E84" s="213"/>
      <c r="F84" s="213" t="s">
        <v>129</v>
      </c>
      <c r="G84" s="213">
        <v>43915</v>
      </c>
      <c r="H84" s="213" t="s">
        <v>38</v>
      </c>
      <c r="I84" s="211" t="s">
        <v>2007</v>
      </c>
      <c r="J84" s="213" t="s">
        <v>39</v>
      </c>
      <c r="K84" s="214" t="s">
        <v>6222</v>
      </c>
      <c r="L84" s="213">
        <v>44280</v>
      </c>
      <c r="M84" s="213">
        <v>45055.765775462962</v>
      </c>
      <c r="N84" s="213">
        <v>45062.764444444445</v>
      </c>
      <c r="O84" s="220" t="s">
        <v>5334</v>
      </c>
      <c r="P84" s="215" t="s">
        <v>2</v>
      </c>
      <c r="Q84" s="215" t="s">
        <v>17</v>
      </c>
      <c r="R84" s="226">
        <v>4315</v>
      </c>
      <c r="S84" s="215">
        <v>45082</v>
      </c>
      <c r="T84" s="215"/>
      <c r="U84" s="215"/>
      <c r="V84" s="215"/>
      <c r="W84" s="215"/>
      <c r="Y84" s="215"/>
      <c r="Z84" s="215"/>
      <c r="AA84" s="215"/>
      <c r="AB84" s="215"/>
      <c r="AC84" s="220" t="s">
        <v>5315</v>
      </c>
      <c r="AD84" s="220" t="s">
        <v>1120</v>
      </c>
      <c r="AE84" s="104" t="s">
        <v>35</v>
      </c>
      <c r="AF84" s="104" t="s">
        <v>6208</v>
      </c>
      <c r="AG84" s="104" t="s">
        <v>6365</v>
      </c>
      <c r="AH84" s="218" t="s">
        <v>68</v>
      </c>
      <c r="AI84" s="218" t="s">
        <v>5555</v>
      </c>
      <c r="AJ84" s="218"/>
      <c r="AK84" s="218"/>
      <c r="AL84" s="263">
        <v>45083.550843865742</v>
      </c>
      <c r="AM84" s="219" t="s">
        <v>5407</v>
      </c>
      <c r="AN84" s="273">
        <f t="shared" ca="1" si="9"/>
        <v>83</v>
      </c>
      <c r="AO84" s="82">
        <f t="shared" ca="1" si="10"/>
        <v>64</v>
      </c>
      <c r="AP84" s="82" t="str">
        <f t="shared" ca="1" si="11"/>
        <v>-</v>
      </c>
    </row>
    <row r="85" spans="1:42">
      <c r="A85" s="211">
        <f>SUBTOTAL(103,$I$5:I85)</f>
        <v>81</v>
      </c>
      <c r="B85" s="211" t="s">
        <v>5765</v>
      </c>
      <c r="C85" s="212" t="s">
        <v>3199</v>
      </c>
      <c r="D85" s="229" t="s">
        <v>1106</v>
      </c>
      <c r="E85" s="213" t="s">
        <v>2959</v>
      </c>
      <c r="F85" s="213" t="s">
        <v>129</v>
      </c>
      <c r="G85" s="213">
        <v>42788</v>
      </c>
      <c r="H85" s="213" t="s">
        <v>16</v>
      </c>
      <c r="I85" s="211" t="s">
        <v>2842</v>
      </c>
      <c r="J85" s="213" t="s">
        <v>39</v>
      </c>
      <c r="K85" s="214" t="s">
        <v>6219</v>
      </c>
      <c r="L85" s="213">
        <v>43153</v>
      </c>
      <c r="M85" s="213">
        <v>45119.497754629629</v>
      </c>
      <c r="N85" s="213">
        <v>45119.525393518517</v>
      </c>
      <c r="O85" s="215" t="s">
        <v>5816</v>
      </c>
      <c r="P85" s="215" t="s">
        <v>2</v>
      </c>
      <c r="Q85" s="215" t="s">
        <v>5766</v>
      </c>
      <c r="R85" s="226">
        <v>5412</v>
      </c>
      <c r="S85" s="215">
        <v>45121</v>
      </c>
      <c r="T85" s="215"/>
      <c r="U85" s="215"/>
      <c r="V85" s="215"/>
      <c r="W85" s="216"/>
      <c r="Y85" s="215"/>
      <c r="Z85" s="215"/>
      <c r="AA85" s="215"/>
      <c r="AB85" s="215"/>
      <c r="AC85" s="220" t="s">
        <v>5817</v>
      </c>
      <c r="AD85" s="220" t="s">
        <v>33</v>
      </c>
      <c r="AE85" s="104" t="s">
        <v>35</v>
      </c>
      <c r="AF85" s="104" t="s">
        <v>6208</v>
      </c>
      <c r="AG85" s="104" t="s">
        <v>6393</v>
      </c>
      <c r="AH85" s="218" t="s">
        <v>68</v>
      </c>
      <c r="AI85" s="218" t="s">
        <v>5555</v>
      </c>
      <c r="AJ85" s="218"/>
      <c r="AK85" s="218"/>
      <c r="AL85" s="263">
        <v>45126.838128541669</v>
      </c>
      <c r="AM85" s="219" t="s">
        <v>5598</v>
      </c>
      <c r="AN85" s="273">
        <f t="shared" ca="1" si="9"/>
        <v>37</v>
      </c>
      <c r="AO85" s="82">
        <f t="shared" ca="1" si="10"/>
        <v>35</v>
      </c>
      <c r="AP85" s="82" t="str">
        <f t="shared" ca="1" si="11"/>
        <v>-</v>
      </c>
    </row>
    <row r="86" spans="1:42">
      <c r="A86" s="211">
        <f>SUBTOTAL(103,$I$5:I86)</f>
        <v>82</v>
      </c>
      <c r="B86" s="211" t="s">
        <v>5774</v>
      </c>
      <c r="C86" s="212" t="s">
        <v>3199</v>
      </c>
      <c r="D86" s="229" t="s">
        <v>3446</v>
      </c>
      <c r="E86" s="213"/>
      <c r="F86" s="213" t="s">
        <v>129</v>
      </c>
      <c r="G86" s="213">
        <v>40473</v>
      </c>
      <c r="H86" s="213" t="s">
        <v>36</v>
      </c>
      <c r="I86" s="211" t="s">
        <v>5775</v>
      </c>
      <c r="J86" s="213" t="s">
        <v>39</v>
      </c>
      <c r="K86" s="214" t="s">
        <v>6219</v>
      </c>
      <c r="M86" s="213">
        <v>45120.795023148145</v>
      </c>
      <c r="N86" s="213">
        <v>45125.524699074071</v>
      </c>
      <c r="O86" s="215" t="s">
        <v>5871</v>
      </c>
      <c r="P86" s="215" t="s">
        <v>2</v>
      </c>
      <c r="Q86" s="215" t="s">
        <v>5821</v>
      </c>
      <c r="R86" s="226">
        <v>4439</v>
      </c>
      <c r="S86" s="215">
        <v>45132</v>
      </c>
      <c r="T86" s="215"/>
      <c r="U86" s="215"/>
      <c r="V86" s="215"/>
      <c r="W86" s="216"/>
      <c r="Y86" s="215"/>
      <c r="Z86" s="215"/>
      <c r="AA86" s="215"/>
      <c r="AB86" s="215"/>
      <c r="AC86" s="220" t="s">
        <v>5872</v>
      </c>
      <c r="AD86" s="220" t="s">
        <v>1120</v>
      </c>
      <c r="AE86" s="104" t="s">
        <v>35</v>
      </c>
      <c r="AF86" s="104" t="s">
        <v>6208</v>
      </c>
      <c r="AG86" s="104" t="s">
        <v>6360</v>
      </c>
      <c r="AH86" s="218" t="s">
        <v>68</v>
      </c>
      <c r="AI86" s="218" t="s">
        <v>5555</v>
      </c>
      <c r="AJ86" s="218"/>
      <c r="AK86" s="218"/>
      <c r="AL86" s="263">
        <v>45133.722078310187</v>
      </c>
      <c r="AM86" s="219" t="s">
        <v>5598</v>
      </c>
      <c r="AN86" s="273">
        <f t="shared" ca="1" si="9"/>
        <v>36</v>
      </c>
      <c r="AO86" s="82">
        <f t="shared" ca="1" si="10"/>
        <v>28</v>
      </c>
      <c r="AP86" s="82" t="str">
        <f t="shared" ca="1" si="11"/>
        <v>-</v>
      </c>
    </row>
    <row r="87" spans="1:42">
      <c r="A87" s="211">
        <f>SUBTOTAL(103,$I$5:I87)</f>
        <v>83</v>
      </c>
      <c r="B87" s="211" t="s">
        <v>5776</v>
      </c>
      <c r="C87" s="212" t="s">
        <v>3199</v>
      </c>
      <c r="D87" s="229" t="s">
        <v>3446</v>
      </c>
      <c r="E87" s="213"/>
      <c r="F87" s="213" t="s">
        <v>129</v>
      </c>
      <c r="G87" s="213">
        <v>40473</v>
      </c>
      <c r="H87" s="213" t="s">
        <v>25</v>
      </c>
      <c r="I87" s="211" t="s">
        <v>5777</v>
      </c>
      <c r="J87" s="213" t="s">
        <v>1043</v>
      </c>
      <c r="K87" s="214" t="s">
        <v>6219</v>
      </c>
      <c r="M87" s="213">
        <v>45120.796701388892</v>
      </c>
      <c r="N87" s="213">
        <v>45125.686041666668</v>
      </c>
      <c r="O87" s="215" t="s">
        <v>5873</v>
      </c>
      <c r="P87" s="215" t="s">
        <v>2</v>
      </c>
      <c r="Q87" s="215" t="s">
        <v>5822</v>
      </c>
      <c r="R87" s="226">
        <v>11996</v>
      </c>
      <c r="S87" s="215">
        <v>45131</v>
      </c>
      <c r="T87" s="215"/>
      <c r="U87" s="215"/>
      <c r="V87" s="215"/>
      <c r="W87" s="216"/>
      <c r="Y87" s="215"/>
      <c r="Z87" s="215"/>
      <c r="AA87" s="215"/>
      <c r="AB87" s="215"/>
      <c r="AC87" s="220" t="s">
        <v>5874</v>
      </c>
      <c r="AD87" s="220" t="s">
        <v>1102</v>
      </c>
      <c r="AE87" s="104" t="s">
        <v>35</v>
      </c>
      <c r="AF87" s="104" t="s">
        <v>6208</v>
      </c>
      <c r="AG87" s="104" t="s">
        <v>6360</v>
      </c>
      <c r="AH87" s="218" t="s">
        <v>68</v>
      </c>
      <c r="AI87" s="218" t="s">
        <v>5555</v>
      </c>
      <c r="AJ87" s="218"/>
      <c r="AK87" s="218"/>
      <c r="AL87" s="263">
        <v>45133.722922893518</v>
      </c>
      <c r="AM87" s="219" t="s">
        <v>5598</v>
      </c>
      <c r="AN87" s="273">
        <f t="shared" ca="1" si="9"/>
        <v>36</v>
      </c>
      <c r="AO87" s="82">
        <f t="shared" ca="1" si="10"/>
        <v>29</v>
      </c>
      <c r="AP87" s="82" t="str">
        <f t="shared" ca="1" si="11"/>
        <v>-</v>
      </c>
    </row>
    <row r="88" spans="1:42">
      <c r="A88" s="211">
        <f>SUBTOTAL(103,$I$5:I88)</f>
        <v>84</v>
      </c>
      <c r="B88" s="211" t="s">
        <v>5778</v>
      </c>
      <c r="C88" s="212" t="s">
        <v>3199</v>
      </c>
      <c r="D88" s="229" t="s">
        <v>3446</v>
      </c>
      <c r="E88" s="213"/>
      <c r="F88" s="213" t="s">
        <v>129</v>
      </c>
      <c r="G88" s="213">
        <v>40473</v>
      </c>
      <c r="H88" s="213" t="s">
        <v>25</v>
      </c>
      <c r="I88" s="211" t="s">
        <v>5779</v>
      </c>
      <c r="J88" s="213" t="s">
        <v>1043</v>
      </c>
      <c r="K88" s="214" t="s">
        <v>6219</v>
      </c>
      <c r="M88" s="213">
        <v>45120.798055555555</v>
      </c>
      <c r="N88" s="213">
        <v>45125.51390046296</v>
      </c>
      <c r="O88" s="215" t="s">
        <v>5875</v>
      </c>
      <c r="P88" s="215" t="s">
        <v>2</v>
      </c>
      <c r="Q88" s="215" t="s">
        <v>5823</v>
      </c>
      <c r="R88" s="226">
        <v>12518</v>
      </c>
      <c r="S88" s="215">
        <v>45131</v>
      </c>
      <c r="T88" s="215"/>
      <c r="U88" s="215"/>
      <c r="V88" s="215"/>
      <c r="W88" s="216"/>
      <c r="Y88" s="215"/>
      <c r="Z88" s="215"/>
      <c r="AA88" s="215"/>
      <c r="AB88" s="215"/>
      <c r="AC88" s="220" t="s">
        <v>5876</v>
      </c>
      <c r="AD88" s="220" t="s">
        <v>1102</v>
      </c>
      <c r="AE88" s="104" t="s">
        <v>35</v>
      </c>
      <c r="AF88" s="104" t="s">
        <v>6208</v>
      </c>
      <c r="AG88" s="104" t="s">
        <v>6360</v>
      </c>
      <c r="AH88" s="218" t="s">
        <v>68</v>
      </c>
      <c r="AI88" s="218" t="s">
        <v>5555</v>
      </c>
      <c r="AJ88" s="218"/>
      <c r="AK88" s="218"/>
      <c r="AL88" s="263">
        <v>45133.723345578706</v>
      </c>
      <c r="AM88" s="219" t="s">
        <v>5598</v>
      </c>
      <c r="AN88" s="273">
        <f t="shared" ca="1" si="9"/>
        <v>36</v>
      </c>
      <c r="AO88" s="82">
        <f t="shared" ca="1" si="10"/>
        <v>29</v>
      </c>
      <c r="AP88" s="82" t="str">
        <f t="shared" ca="1" si="11"/>
        <v>-</v>
      </c>
    </row>
    <row r="89" spans="1:42">
      <c r="A89" s="211">
        <f>SUBTOTAL(103,$I$5:I89)</f>
        <v>85</v>
      </c>
      <c r="B89" s="211" t="s">
        <v>5780</v>
      </c>
      <c r="C89" s="212" t="s">
        <v>3199</v>
      </c>
      <c r="D89" s="229" t="s">
        <v>3446</v>
      </c>
      <c r="E89" s="213"/>
      <c r="F89" s="213" t="s">
        <v>129</v>
      </c>
      <c r="G89" s="213">
        <v>41988</v>
      </c>
      <c r="H89" s="213" t="s">
        <v>16</v>
      </c>
      <c r="I89" s="211" t="s">
        <v>5781</v>
      </c>
      <c r="J89" s="213" t="s">
        <v>39</v>
      </c>
      <c r="K89" s="214" t="s">
        <v>6219</v>
      </c>
      <c r="M89" s="213">
        <v>45120.801423611112</v>
      </c>
      <c r="N89" s="213">
        <v>45125.670717592591</v>
      </c>
      <c r="O89" s="215" t="s">
        <v>5877</v>
      </c>
      <c r="P89" s="215" t="s">
        <v>2</v>
      </c>
      <c r="Q89" s="215" t="s">
        <v>5824</v>
      </c>
      <c r="R89" s="226">
        <v>8929</v>
      </c>
      <c r="S89" s="215">
        <v>45131</v>
      </c>
      <c r="T89" s="215"/>
      <c r="U89" s="215"/>
      <c r="V89" s="215"/>
      <c r="W89" s="216"/>
      <c r="Y89" s="215"/>
      <c r="Z89" s="215"/>
      <c r="AA89" s="215"/>
      <c r="AB89" s="215"/>
      <c r="AC89" s="220" t="s">
        <v>5878</v>
      </c>
      <c r="AD89" s="220" t="s">
        <v>1120</v>
      </c>
      <c r="AE89" s="104" t="s">
        <v>35</v>
      </c>
      <c r="AF89" s="104" t="s">
        <v>6208</v>
      </c>
      <c r="AG89" s="104" t="s">
        <v>6360</v>
      </c>
      <c r="AH89" s="218" t="s">
        <v>68</v>
      </c>
      <c r="AI89" s="218" t="s">
        <v>5555</v>
      </c>
      <c r="AJ89" s="218"/>
      <c r="AK89" s="218"/>
      <c r="AL89" s="263">
        <v>45133.724109641204</v>
      </c>
      <c r="AM89" s="219" t="s">
        <v>5598</v>
      </c>
      <c r="AN89" s="273">
        <f t="shared" ca="1" si="9"/>
        <v>36</v>
      </c>
      <c r="AO89" s="82">
        <f t="shared" ca="1" si="10"/>
        <v>29</v>
      </c>
      <c r="AP89" s="82" t="str">
        <f t="shared" ca="1" si="11"/>
        <v>-</v>
      </c>
    </row>
    <row r="90" spans="1:42">
      <c r="A90" s="211">
        <f>SUBTOTAL(103,$I$5:I90)</f>
        <v>86</v>
      </c>
      <c r="B90" s="211" t="s">
        <v>5782</v>
      </c>
      <c r="C90" s="212" t="s">
        <v>3199</v>
      </c>
      <c r="D90" s="229" t="s">
        <v>37</v>
      </c>
      <c r="E90" s="213" t="s">
        <v>4635</v>
      </c>
      <c r="F90" s="213" t="s">
        <v>129</v>
      </c>
      <c r="G90" s="213">
        <v>42508</v>
      </c>
      <c r="H90" s="213" t="s">
        <v>27</v>
      </c>
      <c r="I90" s="211" t="s">
        <v>5783</v>
      </c>
      <c r="J90" s="213" t="s">
        <v>1042</v>
      </c>
      <c r="K90" s="214" t="s">
        <v>6217</v>
      </c>
      <c r="L90" s="213">
        <v>42873</v>
      </c>
      <c r="M90" s="213">
        <v>45121.71298611111</v>
      </c>
      <c r="N90" s="213">
        <v>45128.800555555557</v>
      </c>
      <c r="O90" s="215" t="s">
        <v>5879</v>
      </c>
      <c r="P90" s="215" t="s">
        <v>4</v>
      </c>
      <c r="Q90" s="215" t="s">
        <v>1093</v>
      </c>
      <c r="R90" s="226"/>
      <c r="S90" s="215" t="s">
        <v>55</v>
      </c>
      <c r="T90" s="215"/>
      <c r="U90" s="215"/>
      <c r="V90" s="215"/>
      <c r="W90" s="216"/>
      <c r="Y90" s="215"/>
      <c r="Z90" s="215"/>
      <c r="AA90" s="215"/>
      <c r="AB90" s="215"/>
      <c r="AC90" s="220"/>
      <c r="AD90" s="220" t="s">
        <v>1102</v>
      </c>
      <c r="AE90" s="104" t="s">
        <v>1055</v>
      </c>
      <c r="AF90" s="104" t="s">
        <v>5880</v>
      </c>
      <c r="AG90" s="104" t="s">
        <v>8</v>
      </c>
      <c r="AH90" s="218" t="s">
        <v>68</v>
      </c>
      <c r="AI90" s="218" t="s">
        <v>5556</v>
      </c>
      <c r="AJ90" s="218"/>
      <c r="AK90" s="218"/>
      <c r="AL90" s="263">
        <v>45156.444986967595</v>
      </c>
      <c r="AM90" s="219" t="s">
        <v>18</v>
      </c>
      <c r="AN90" s="273">
        <f t="shared" ca="1" si="9"/>
        <v>35</v>
      </c>
      <c r="AO90" s="82" t="str">
        <f t="shared" ca="1" si="10"/>
        <v>-</v>
      </c>
      <c r="AP90" s="82" t="str">
        <f t="shared" ca="1" si="11"/>
        <v>-</v>
      </c>
    </row>
    <row r="91" spans="1:42">
      <c r="A91" s="211">
        <f>SUBTOTAL(103,$I$5:I91)</f>
        <v>87</v>
      </c>
      <c r="B91" s="211" t="s">
        <v>5825</v>
      </c>
      <c r="C91" s="212" t="s">
        <v>3199</v>
      </c>
      <c r="D91" s="229" t="s">
        <v>71</v>
      </c>
      <c r="E91" s="213" t="s">
        <v>2959</v>
      </c>
      <c r="F91" s="213" t="s">
        <v>129</v>
      </c>
      <c r="G91" s="213">
        <v>45006</v>
      </c>
      <c r="H91" s="213" t="s">
        <v>49</v>
      </c>
      <c r="I91" s="211" t="s">
        <v>5826</v>
      </c>
      <c r="J91" s="213" t="s">
        <v>39</v>
      </c>
      <c r="K91" s="214" t="s">
        <v>6215</v>
      </c>
      <c r="L91" s="213">
        <v>45372</v>
      </c>
      <c r="M91" s="213">
        <v>45124.717615740738</v>
      </c>
      <c r="N91" s="213">
        <v>45128.860405092593</v>
      </c>
      <c r="O91" s="215" t="s">
        <v>5881</v>
      </c>
      <c r="P91" s="215" t="s">
        <v>2</v>
      </c>
      <c r="Q91" s="215" t="s">
        <v>5599</v>
      </c>
      <c r="R91" s="226"/>
      <c r="S91" s="215" t="s">
        <v>55</v>
      </c>
      <c r="T91" s="215"/>
      <c r="U91" s="215"/>
      <c r="V91" s="215"/>
      <c r="W91" s="216"/>
      <c r="Y91" s="215"/>
      <c r="Z91" s="215"/>
      <c r="AA91" s="215"/>
      <c r="AB91" s="215"/>
      <c r="AC91" s="220" t="s">
        <v>5882</v>
      </c>
      <c r="AD91" s="220" t="s">
        <v>33</v>
      </c>
      <c r="AE91" s="104" t="s">
        <v>28</v>
      </c>
      <c r="AF91" s="104" t="s">
        <v>5880</v>
      </c>
      <c r="AG91" s="104" t="s">
        <v>8</v>
      </c>
      <c r="AH91" s="218" t="s">
        <v>68</v>
      </c>
      <c r="AI91" s="218" t="s">
        <v>5406</v>
      </c>
      <c r="AJ91" s="218"/>
      <c r="AK91" s="218"/>
      <c r="AL91" s="263">
        <v>45132.708377407405</v>
      </c>
      <c r="AM91" s="219" t="s">
        <v>18</v>
      </c>
      <c r="AN91" s="273">
        <f t="shared" ca="1" si="9"/>
        <v>34</v>
      </c>
      <c r="AO91" s="82" t="str">
        <f t="shared" ca="1" si="10"/>
        <v>-</v>
      </c>
      <c r="AP91" s="82" t="str">
        <f t="shared" ca="1" si="11"/>
        <v>-</v>
      </c>
    </row>
    <row r="92" spans="1:42">
      <c r="A92" s="211">
        <f>SUBTOTAL(103,$I$5:I92)</f>
        <v>88</v>
      </c>
      <c r="B92" s="211" t="s">
        <v>5827</v>
      </c>
      <c r="C92" s="212" t="s">
        <v>3198</v>
      </c>
      <c r="D92" s="229" t="s">
        <v>2370</v>
      </c>
      <c r="E92" s="213" t="s">
        <v>4676</v>
      </c>
      <c r="F92" s="213" t="s">
        <v>22</v>
      </c>
      <c r="G92" s="213">
        <v>43626</v>
      </c>
      <c r="H92" s="213" t="s">
        <v>1123</v>
      </c>
      <c r="I92" s="211" t="s">
        <v>1638</v>
      </c>
      <c r="J92" s="213" t="s">
        <v>39</v>
      </c>
      <c r="K92" s="214" t="s">
        <v>6215</v>
      </c>
      <c r="L92" s="213">
        <v>43992</v>
      </c>
      <c r="M92" s="213">
        <v>45125.786087962966</v>
      </c>
      <c r="N92" s="213">
        <v>45127.66815972222</v>
      </c>
      <c r="O92" s="215" t="s">
        <v>5883</v>
      </c>
      <c r="P92" s="215" t="s">
        <v>2</v>
      </c>
      <c r="Q92" s="215" t="s">
        <v>5884</v>
      </c>
      <c r="R92" s="226">
        <v>1434</v>
      </c>
      <c r="S92" s="215">
        <v>45131</v>
      </c>
      <c r="T92" s="215"/>
      <c r="U92" s="215"/>
      <c r="V92" s="215"/>
      <c r="W92" s="216"/>
      <c r="Y92" s="215"/>
      <c r="Z92" s="215"/>
      <c r="AA92" s="215"/>
      <c r="AB92" s="215"/>
      <c r="AC92" s="220" t="s">
        <v>5885</v>
      </c>
      <c r="AD92" s="220" t="s">
        <v>20</v>
      </c>
      <c r="AE92" s="104" t="s">
        <v>35</v>
      </c>
      <c r="AF92" s="104" t="s">
        <v>6208</v>
      </c>
      <c r="AG92" s="104" t="s">
        <v>6374</v>
      </c>
      <c r="AH92" s="218" t="s">
        <v>68</v>
      </c>
      <c r="AI92" s="218" t="s">
        <v>5555</v>
      </c>
      <c r="AJ92" s="218"/>
      <c r="AK92" s="218"/>
      <c r="AL92" s="263">
        <v>45133.721845601853</v>
      </c>
      <c r="AM92" s="219" t="s">
        <v>5598</v>
      </c>
      <c r="AN92" s="273">
        <f t="shared" ca="1" si="9"/>
        <v>33</v>
      </c>
      <c r="AO92" s="82">
        <f t="shared" ca="1" si="10"/>
        <v>29</v>
      </c>
      <c r="AP92" s="82" t="str">
        <f t="shared" ca="1" si="11"/>
        <v>-</v>
      </c>
    </row>
    <row r="93" spans="1:42">
      <c r="A93" s="211">
        <f>SUBTOTAL(103,$I$5:I93)</f>
        <v>89</v>
      </c>
      <c r="B93" s="211" t="s">
        <v>5828</v>
      </c>
      <c r="C93" s="212" t="s">
        <v>1714</v>
      </c>
      <c r="D93" s="229" t="s">
        <v>41</v>
      </c>
      <c r="E93" s="213"/>
      <c r="F93" s="213" t="s">
        <v>129</v>
      </c>
      <c r="G93" s="213">
        <v>42795</v>
      </c>
      <c r="H93" s="213" t="s">
        <v>1103</v>
      </c>
      <c r="I93" s="211" t="s">
        <v>1108</v>
      </c>
      <c r="J93" s="213" t="s">
        <v>1043</v>
      </c>
      <c r="K93" s="214" t="s">
        <v>6219</v>
      </c>
      <c r="M93" s="213">
        <v>45125.713622685187</v>
      </c>
      <c r="N93" s="213">
        <v>45125.779039351852</v>
      </c>
      <c r="O93" s="215" t="s">
        <v>5886</v>
      </c>
      <c r="P93" s="215" t="s">
        <v>3</v>
      </c>
      <c r="Q93" s="215" t="s">
        <v>1666</v>
      </c>
      <c r="R93" s="226">
        <v>16</v>
      </c>
      <c r="S93" s="215" t="s">
        <v>66</v>
      </c>
      <c r="T93" s="215"/>
      <c r="U93" s="215" t="s">
        <v>12</v>
      </c>
      <c r="V93" s="215"/>
      <c r="W93" s="216"/>
      <c r="Y93" s="215"/>
      <c r="Z93" s="215"/>
      <c r="AA93" s="215"/>
      <c r="AB93" s="215"/>
      <c r="AC93" s="220" t="s">
        <v>5887</v>
      </c>
      <c r="AD93" s="220" t="s">
        <v>33</v>
      </c>
      <c r="AE93" s="104" t="s">
        <v>28</v>
      </c>
      <c r="AF93" s="104" t="s">
        <v>6078</v>
      </c>
      <c r="AG93" s="104"/>
      <c r="AH93" s="218" t="s">
        <v>68</v>
      </c>
      <c r="AI93" s="218" t="s">
        <v>5406</v>
      </c>
      <c r="AJ93" s="218"/>
      <c r="AK93" s="218"/>
      <c r="AL93" s="263">
        <v>45152.777598842593</v>
      </c>
      <c r="AM93" s="219" t="s">
        <v>54</v>
      </c>
      <c r="AN93" s="273">
        <f t="shared" ca="1" si="9"/>
        <v>33</v>
      </c>
      <c r="AO93" s="82" t="str">
        <f t="shared" ca="1" si="10"/>
        <v>-</v>
      </c>
      <c r="AP93" s="82" t="str">
        <f t="shared" ca="1" si="11"/>
        <v>-</v>
      </c>
    </row>
    <row r="94" spans="1:42">
      <c r="A94" s="211">
        <f>SUBTOTAL(103,$I$5:I94)</f>
        <v>90</v>
      </c>
      <c r="B94" s="211" t="s">
        <v>5829</v>
      </c>
      <c r="C94" s="212" t="s">
        <v>3199</v>
      </c>
      <c r="D94" s="229" t="s">
        <v>3041</v>
      </c>
      <c r="E94" s="213" t="s">
        <v>2959</v>
      </c>
      <c r="F94" s="213" t="s">
        <v>129</v>
      </c>
      <c r="G94" s="213">
        <v>44651</v>
      </c>
      <c r="H94" s="213" t="s">
        <v>16</v>
      </c>
      <c r="I94" s="211" t="s">
        <v>3174</v>
      </c>
      <c r="J94" s="213" t="s">
        <v>39</v>
      </c>
      <c r="K94" s="214" t="s">
        <v>6219</v>
      </c>
      <c r="L94" s="213">
        <v>45016</v>
      </c>
      <c r="M94" s="213">
        <v>45125.714282407411</v>
      </c>
      <c r="N94" s="213">
        <v>45126.639675925922</v>
      </c>
      <c r="O94" s="215" t="s">
        <v>6034</v>
      </c>
      <c r="P94" s="215" t="s">
        <v>2</v>
      </c>
      <c r="Q94" s="215" t="s">
        <v>5848</v>
      </c>
      <c r="R94" s="226">
        <v>4527</v>
      </c>
      <c r="S94" s="215">
        <v>45145</v>
      </c>
      <c r="T94" s="215"/>
      <c r="U94" s="215" t="s">
        <v>12</v>
      </c>
      <c r="V94" s="215"/>
      <c r="W94" s="216"/>
      <c r="Y94" s="215"/>
      <c r="Z94" s="215"/>
      <c r="AA94" s="215"/>
      <c r="AB94" s="215"/>
      <c r="AC94" s="220" t="s">
        <v>5888</v>
      </c>
      <c r="AD94" s="220" t="s">
        <v>1120</v>
      </c>
      <c r="AE94" s="104" t="s">
        <v>35</v>
      </c>
      <c r="AF94" s="104" t="s">
        <v>6208</v>
      </c>
      <c r="AG94" s="104" t="s">
        <v>6373</v>
      </c>
      <c r="AH94" s="218" t="s">
        <v>68</v>
      </c>
      <c r="AI94" s="218" t="s">
        <v>5555</v>
      </c>
      <c r="AJ94" s="218"/>
      <c r="AK94" s="218"/>
      <c r="AL94" s="263">
        <v>45145.82185537037</v>
      </c>
      <c r="AM94" s="219" t="s">
        <v>5598</v>
      </c>
      <c r="AN94" s="273">
        <f t="shared" ca="1" si="9"/>
        <v>33</v>
      </c>
      <c r="AO94" s="82">
        <f t="shared" ca="1" si="10"/>
        <v>19</v>
      </c>
      <c r="AP94" s="82" t="str">
        <f t="shared" ca="1" si="11"/>
        <v>-</v>
      </c>
    </row>
    <row r="95" spans="1:42">
      <c r="A95" s="211">
        <f>SUBTOTAL(103,$I$5:I95)</f>
        <v>91</v>
      </c>
      <c r="B95" s="211" t="s">
        <v>5831</v>
      </c>
      <c r="C95" s="212" t="s">
        <v>3199</v>
      </c>
      <c r="D95" s="229" t="s">
        <v>3041</v>
      </c>
      <c r="E95" s="213" t="s">
        <v>2959</v>
      </c>
      <c r="F95" s="213" t="s">
        <v>129</v>
      </c>
      <c r="G95" s="213">
        <v>44592</v>
      </c>
      <c r="H95" s="213" t="s">
        <v>104</v>
      </c>
      <c r="I95" s="211" t="s">
        <v>3042</v>
      </c>
      <c r="J95" s="213" t="s">
        <v>1244</v>
      </c>
      <c r="K95" s="214" t="s">
        <v>6219</v>
      </c>
      <c r="L95" s="213">
        <v>44957</v>
      </c>
      <c r="M95" s="213">
        <v>45125.715624999997</v>
      </c>
      <c r="N95" s="213">
        <v>45128.543749999997</v>
      </c>
      <c r="O95" s="215" t="s">
        <v>6035</v>
      </c>
      <c r="P95" s="215" t="s">
        <v>2</v>
      </c>
      <c r="Q95" s="215" t="s">
        <v>5889</v>
      </c>
      <c r="R95" s="226">
        <v>6813</v>
      </c>
      <c r="S95" s="215">
        <v>45145</v>
      </c>
      <c r="T95" s="215"/>
      <c r="U95" s="215" t="s">
        <v>12</v>
      </c>
      <c r="V95" s="215"/>
      <c r="W95" s="216"/>
      <c r="Y95" s="215"/>
      <c r="Z95" s="215"/>
      <c r="AA95" s="215"/>
      <c r="AB95" s="215"/>
      <c r="AC95" s="220" t="s">
        <v>5890</v>
      </c>
      <c r="AD95" s="220" t="s">
        <v>1120</v>
      </c>
      <c r="AE95" s="104" t="s">
        <v>35</v>
      </c>
      <c r="AF95" s="104" t="s">
        <v>6208</v>
      </c>
      <c r="AG95" s="104" t="s">
        <v>6373</v>
      </c>
      <c r="AH95" s="218" t="s">
        <v>68</v>
      </c>
      <c r="AI95" s="218" t="s">
        <v>5555</v>
      </c>
      <c r="AJ95" s="218"/>
      <c r="AK95" s="218"/>
      <c r="AL95" s="263">
        <v>45145.822312916665</v>
      </c>
      <c r="AM95" s="219" t="s">
        <v>5598</v>
      </c>
      <c r="AN95" s="273">
        <f t="shared" ca="1" si="9"/>
        <v>33</v>
      </c>
      <c r="AO95" s="82">
        <f t="shared" ca="1" si="10"/>
        <v>19</v>
      </c>
      <c r="AP95" s="82" t="str">
        <f t="shared" ca="1" si="11"/>
        <v>-</v>
      </c>
    </row>
    <row r="96" spans="1:42">
      <c r="A96" s="211">
        <f>SUBTOTAL(103,$I$5:I96)</f>
        <v>92</v>
      </c>
      <c r="B96" s="211" t="s">
        <v>5832</v>
      </c>
      <c r="C96" s="212" t="s">
        <v>3199</v>
      </c>
      <c r="D96" s="229" t="s">
        <v>3041</v>
      </c>
      <c r="E96" s="213" t="s">
        <v>2959</v>
      </c>
      <c r="F96" s="213" t="s">
        <v>129</v>
      </c>
      <c r="G96" s="213">
        <v>42244</v>
      </c>
      <c r="H96" s="213" t="s">
        <v>30</v>
      </c>
      <c r="I96" s="211" t="s">
        <v>3713</v>
      </c>
      <c r="J96" s="213" t="s">
        <v>39</v>
      </c>
      <c r="K96" s="214" t="s">
        <v>6216</v>
      </c>
      <c r="L96" s="213">
        <v>42609</v>
      </c>
      <c r="M96" s="213">
        <v>45125.716446759259</v>
      </c>
      <c r="N96" s="213">
        <v>45128.744363425925</v>
      </c>
      <c r="O96" s="215" t="s">
        <v>6036</v>
      </c>
      <c r="P96" s="215" t="s">
        <v>2</v>
      </c>
      <c r="Q96" s="215" t="s">
        <v>5891</v>
      </c>
      <c r="R96" s="226">
        <v>10657</v>
      </c>
      <c r="S96" s="215">
        <v>45145</v>
      </c>
      <c r="T96" s="215"/>
      <c r="U96" s="215" t="s">
        <v>12</v>
      </c>
      <c r="V96" s="215"/>
      <c r="W96" s="216"/>
      <c r="Y96" s="215"/>
      <c r="Z96" s="215"/>
      <c r="AA96" s="215"/>
      <c r="AB96" s="215"/>
      <c r="AC96" s="220" t="s">
        <v>5892</v>
      </c>
      <c r="AD96" s="220" t="s">
        <v>1120</v>
      </c>
      <c r="AE96" s="104" t="s">
        <v>35</v>
      </c>
      <c r="AF96" s="104" t="s">
        <v>6208</v>
      </c>
      <c r="AG96" s="104" t="s">
        <v>6373</v>
      </c>
      <c r="AH96" s="218" t="s">
        <v>68</v>
      </c>
      <c r="AI96" s="218" t="s">
        <v>5555</v>
      </c>
      <c r="AJ96" s="218"/>
      <c r="AK96" s="218"/>
      <c r="AL96" s="263">
        <v>45145.822670879628</v>
      </c>
      <c r="AM96" s="219" t="s">
        <v>5598</v>
      </c>
      <c r="AN96" s="273">
        <f t="shared" ca="1" si="9"/>
        <v>33</v>
      </c>
      <c r="AO96" s="82">
        <f t="shared" ca="1" si="10"/>
        <v>19</v>
      </c>
      <c r="AP96" s="82" t="str">
        <f t="shared" ca="1" si="11"/>
        <v>-</v>
      </c>
    </row>
    <row r="97" spans="1:42">
      <c r="A97" s="211">
        <f>SUBTOTAL(103,$I$5:I97)</f>
        <v>93</v>
      </c>
      <c r="B97" s="211" t="s">
        <v>5833</v>
      </c>
      <c r="C97" s="212" t="s">
        <v>3199</v>
      </c>
      <c r="D97" s="229" t="s">
        <v>3041</v>
      </c>
      <c r="E97" s="213" t="s">
        <v>2959</v>
      </c>
      <c r="F97" s="213" t="s">
        <v>129</v>
      </c>
      <c r="G97" s="213">
        <v>41907</v>
      </c>
      <c r="H97" s="213" t="s">
        <v>1111</v>
      </c>
      <c r="I97" s="211" t="s">
        <v>1112</v>
      </c>
      <c r="J97" s="213" t="s">
        <v>1043</v>
      </c>
      <c r="K97" s="214" t="s">
        <v>6219</v>
      </c>
      <c r="M97" s="213">
        <v>45125.717418981483</v>
      </c>
      <c r="N97" s="213">
        <v>45128.581296296295</v>
      </c>
      <c r="O97" s="215" t="s">
        <v>6037</v>
      </c>
      <c r="P97" s="215" t="s">
        <v>2</v>
      </c>
      <c r="Q97" s="215" t="s">
        <v>5893</v>
      </c>
      <c r="R97" s="226">
        <v>3142</v>
      </c>
      <c r="S97" s="215">
        <v>45145</v>
      </c>
      <c r="T97" s="215"/>
      <c r="U97" s="215" t="s">
        <v>12</v>
      </c>
      <c r="V97" s="215"/>
      <c r="W97" s="216"/>
      <c r="Y97" s="215"/>
      <c r="Z97" s="215"/>
      <c r="AA97" s="215"/>
      <c r="AB97" s="215"/>
      <c r="AC97" s="220" t="s">
        <v>5894</v>
      </c>
      <c r="AD97" s="220" t="s">
        <v>1120</v>
      </c>
      <c r="AE97" s="104" t="s">
        <v>35</v>
      </c>
      <c r="AF97" s="104" t="s">
        <v>6208</v>
      </c>
      <c r="AG97" s="104" t="s">
        <v>6373</v>
      </c>
      <c r="AH97" s="218" t="s">
        <v>68</v>
      </c>
      <c r="AI97" s="218" t="s">
        <v>5555</v>
      </c>
      <c r="AJ97" s="218"/>
      <c r="AK97" s="218"/>
      <c r="AL97" s="263">
        <v>45145.823052870372</v>
      </c>
      <c r="AM97" s="219" t="s">
        <v>5598</v>
      </c>
      <c r="AN97" s="273">
        <f t="shared" ca="1" si="9"/>
        <v>33</v>
      </c>
      <c r="AO97" s="82">
        <f t="shared" ca="1" si="10"/>
        <v>19</v>
      </c>
      <c r="AP97" s="82" t="str">
        <f t="shared" ca="1" si="11"/>
        <v>-</v>
      </c>
    </row>
    <row r="98" spans="1:42">
      <c r="A98" s="211">
        <f>SUBTOTAL(103,$I$5:I98)</f>
        <v>94</v>
      </c>
      <c r="B98" s="211" t="s">
        <v>5850</v>
      </c>
      <c r="C98" s="212" t="s">
        <v>3198</v>
      </c>
      <c r="D98" s="229" t="s">
        <v>2370</v>
      </c>
      <c r="E98" s="213" t="s">
        <v>4676</v>
      </c>
      <c r="F98" s="213" t="s">
        <v>22</v>
      </c>
      <c r="G98" s="213">
        <v>43038</v>
      </c>
      <c r="H98" s="213" t="s">
        <v>49</v>
      </c>
      <c r="I98" s="211" t="s">
        <v>1175</v>
      </c>
      <c r="J98" s="213" t="s">
        <v>39</v>
      </c>
      <c r="K98" s="214" t="s">
        <v>6215</v>
      </c>
      <c r="L98" s="213">
        <v>43403</v>
      </c>
      <c r="M98" s="213">
        <v>45133.72315972222</v>
      </c>
      <c r="N98" s="213">
        <v>45133.76189814815</v>
      </c>
      <c r="O98" s="215" t="s">
        <v>6114</v>
      </c>
      <c r="P98" s="215" t="s">
        <v>2</v>
      </c>
      <c r="Q98" s="215" t="s">
        <v>5660</v>
      </c>
      <c r="R98" s="226">
        <v>2297</v>
      </c>
      <c r="S98" s="215">
        <v>45135</v>
      </c>
      <c r="T98" s="215"/>
      <c r="U98" s="215" t="s">
        <v>12</v>
      </c>
      <c r="V98" s="215"/>
      <c r="W98" s="216"/>
      <c r="Y98" s="215"/>
      <c r="Z98" s="215"/>
      <c r="AA98" s="215"/>
      <c r="AB98" s="215"/>
      <c r="AC98" s="220" t="s">
        <v>5896</v>
      </c>
      <c r="AD98" s="220" t="s">
        <v>18</v>
      </c>
      <c r="AE98" s="104" t="s">
        <v>35</v>
      </c>
      <c r="AF98" s="104" t="s">
        <v>6208</v>
      </c>
      <c r="AG98" s="104" t="s">
        <v>6374</v>
      </c>
      <c r="AH98" s="218" t="s">
        <v>68</v>
      </c>
      <c r="AI98" s="218" t="s">
        <v>5555</v>
      </c>
      <c r="AJ98" s="218"/>
      <c r="AK98" s="218"/>
      <c r="AL98" s="263">
        <v>45138.751396284722</v>
      </c>
      <c r="AM98" s="219" t="s">
        <v>5598</v>
      </c>
      <c r="AN98" s="273">
        <f t="shared" ca="1" si="9"/>
        <v>27</v>
      </c>
      <c r="AO98" s="82">
        <f t="shared" ca="1" si="10"/>
        <v>25</v>
      </c>
      <c r="AP98" s="82" t="str">
        <f t="shared" ca="1" si="11"/>
        <v>-</v>
      </c>
    </row>
    <row r="99" spans="1:42">
      <c r="A99" s="211">
        <f>SUBTOTAL(103,$I$5:I99)</f>
        <v>95</v>
      </c>
      <c r="B99" s="211" t="s">
        <v>5898</v>
      </c>
      <c r="C99" s="212" t="s">
        <v>1714</v>
      </c>
      <c r="D99" s="229" t="s">
        <v>41</v>
      </c>
      <c r="E99" s="213"/>
      <c r="F99" s="213" t="s">
        <v>22</v>
      </c>
      <c r="G99" s="213">
        <v>43617</v>
      </c>
      <c r="H99" s="213" t="s">
        <v>16</v>
      </c>
      <c r="I99" s="211" t="s">
        <v>1127</v>
      </c>
      <c r="J99" s="213" t="s">
        <v>39</v>
      </c>
      <c r="K99" s="214" t="s">
        <v>6219</v>
      </c>
      <c r="L99" s="213">
        <v>43983</v>
      </c>
      <c r="M99" s="213">
        <v>45128.45753472222</v>
      </c>
      <c r="N99" s="213">
        <v>45128.462312129632</v>
      </c>
      <c r="O99" s="215" t="s">
        <v>5899</v>
      </c>
      <c r="P99" s="215" t="s">
        <v>2</v>
      </c>
      <c r="Q99" s="215" t="s">
        <v>5900</v>
      </c>
      <c r="R99" s="226">
        <v>1472</v>
      </c>
      <c r="S99" s="215" t="s">
        <v>66</v>
      </c>
      <c r="T99" s="215"/>
      <c r="U99" s="215"/>
      <c r="V99" s="215"/>
      <c r="W99" s="216"/>
      <c r="Y99" s="215"/>
      <c r="Z99" s="215"/>
      <c r="AA99" s="215"/>
      <c r="AB99" s="215"/>
      <c r="AC99" s="220" t="s">
        <v>5901</v>
      </c>
      <c r="AD99" s="220" t="s">
        <v>20</v>
      </c>
      <c r="AE99" s="104" t="s">
        <v>60</v>
      </c>
      <c r="AF99" s="104"/>
      <c r="AG99" s="104" t="s">
        <v>6382</v>
      </c>
      <c r="AH99" s="218" t="s">
        <v>68</v>
      </c>
      <c r="AI99" s="218"/>
      <c r="AJ99" s="218"/>
      <c r="AK99" s="218"/>
      <c r="AL99" s="263">
        <v>45128.464951307869</v>
      </c>
      <c r="AM99" s="219" t="s">
        <v>20</v>
      </c>
      <c r="AN99" s="273">
        <f t="shared" ca="1" si="9"/>
        <v>30</v>
      </c>
      <c r="AO99" s="82" t="str">
        <f t="shared" ca="1" si="10"/>
        <v>-</v>
      </c>
      <c r="AP99" s="82" t="str">
        <f t="shared" ca="1" si="11"/>
        <v>-</v>
      </c>
    </row>
    <row r="100" spans="1:42">
      <c r="A100" s="211">
        <f>SUBTOTAL(103,$I$5:I100)</f>
        <v>96</v>
      </c>
      <c r="B100" s="211" t="s">
        <v>5902</v>
      </c>
      <c r="C100" s="212" t="s">
        <v>3198</v>
      </c>
      <c r="D100" s="229" t="s">
        <v>5903</v>
      </c>
      <c r="E100" s="213"/>
      <c r="F100" s="213" t="s">
        <v>129</v>
      </c>
      <c r="G100" s="213">
        <v>44918</v>
      </c>
      <c r="H100" s="213" t="s">
        <v>1124</v>
      </c>
      <c r="I100" s="211" t="s">
        <v>5904</v>
      </c>
      <c r="J100" s="213" t="s">
        <v>39</v>
      </c>
      <c r="K100" s="214" t="s">
        <v>6223</v>
      </c>
      <c r="L100" s="213">
        <v>45283</v>
      </c>
      <c r="M100" s="213">
        <v>45128.74591435185</v>
      </c>
      <c r="N100" s="213">
        <v>45132.541875000003</v>
      </c>
      <c r="O100" s="215" t="s">
        <v>5905</v>
      </c>
      <c r="P100" s="215" t="s">
        <v>2</v>
      </c>
      <c r="Q100" s="215" t="s">
        <v>5906</v>
      </c>
      <c r="R100" s="226"/>
      <c r="S100" s="215" t="s">
        <v>55</v>
      </c>
      <c r="T100" s="215"/>
      <c r="U100" s="215"/>
      <c r="V100" s="215"/>
      <c r="W100" s="216"/>
      <c r="Y100" s="215"/>
      <c r="Z100" s="215"/>
      <c r="AA100" s="215"/>
      <c r="AB100" s="215"/>
      <c r="AC100" s="220"/>
      <c r="AD100" s="220" t="s">
        <v>53</v>
      </c>
      <c r="AE100" s="104" t="s">
        <v>28</v>
      </c>
      <c r="AF100" s="104" t="s">
        <v>5880</v>
      </c>
      <c r="AG100" s="104" t="s">
        <v>8</v>
      </c>
      <c r="AH100" s="218" t="s">
        <v>68</v>
      </c>
      <c r="AI100" s="218" t="s">
        <v>5406</v>
      </c>
      <c r="AJ100" s="218"/>
      <c r="AK100" s="218"/>
      <c r="AL100" s="263">
        <v>45156.446603356482</v>
      </c>
      <c r="AM100" s="219" t="s">
        <v>18</v>
      </c>
      <c r="AN100" s="273">
        <f t="shared" ca="1" si="9"/>
        <v>30</v>
      </c>
      <c r="AO100" s="82" t="str">
        <f t="shared" ca="1" si="10"/>
        <v>-</v>
      </c>
      <c r="AP100" s="82" t="str">
        <f t="shared" ca="1" si="11"/>
        <v>-</v>
      </c>
    </row>
    <row r="101" spans="1:42">
      <c r="A101" s="211">
        <f>SUBTOTAL(103,$I$5:I101)</f>
        <v>97</v>
      </c>
      <c r="B101" s="211" t="s">
        <v>5908</v>
      </c>
      <c r="C101" s="212" t="s">
        <v>3199</v>
      </c>
      <c r="D101" s="229" t="s">
        <v>37</v>
      </c>
      <c r="E101" s="213" t="s">
        <v>4635</v>
      </c>
      <c r="F101" s="213" t="s">
        <v>129</v>
      </c>
      <c r="G101" s="213">
        <v>43825</v>
      </c>
      <c r="H101" s="213" t="s">
        <v>34</v>
      </c>
      <c r="I101" s="211" t="s">
        <v>3218</v>
      </c>
      <c r="J101" s="213" t="s">
        <v>1043</v>
      </c>
      <c r="K101" s="214" t="s">
        <v>6216</v>
      </c>
      <c r="L101" s="213">
        <v>44191</v>
      </c>
      <c r="M101" s="213">
        <v>45131</v>
      </c>
      <c r="N101" s="213">
        <v>45132</v>
      </c>
      <c r="O101" s="215" t="s">
        <v>6189</v>
      </c>
      <c r="P101" s="215" t="s">
        <v>3</v>
      </c>
      <c r="Q101" s="215" t="s">
        <v>1666</v>
      </c>
      <c r="R101" s="226"/>
      <c r="S101" s="215" t="s">
        <v>66</v>
      </c>
      <c r="T101" s="215"/>
      <c r="U101" s="215" t="s">
        <v>12</v>
      </c>
      <c r="V101" s="215"/>
      <c r="W101" s="216"/>
      <c r="Y101" s="215"/>
      <c r="Z101" s="215"/>
      <c r="AA101" s="215"/>
      <c r="AB101" s="215"/>
      <c r="AC101" s="220" t="s">
        <v>5909</v>
      </c>
      <c r="AD101" s="220" t="s">
        <v>1102</v>
      </c>
      <c r="AE101" s="104" t="s">
        <v>28</v>
      </c>
      <c r="AF101" s="104"/>
      <c r="AG101" s="104" t="s">
        <v>6375</v>
      </c>
      <c r="AH101" s="218" t="s">
        <v>68</v>
      </c>
      <c r="AI101" s="218" t="s">
        <v>5558</v>
      </c>
      <c r="AJ101" s="218"/>
      <c r="AK101" s="218"/>
      <c r="AL101" s="263">
        <v>45152.782845891204</v>
      </c>
      <c r="AM101" s="219" t="s">
        <v>54</v>
      </c>
      <c r="AN101" s="273">
        <f t="shared" ca="1" si="9"/>
        <v>29</v>
      </c>
      <c r="AO101" s="82" t="str">
        <f t="shared" ca="1" si="10"/>
        <v>-</v>
      </c>
      <c r="AP101" s="82" t="str">
        <f t="shared" ca="1" si="11"/>
        <v>-</v>
      </c>
    </row>
    <row r="102" spans="1:42">
      <c r="A102" s="211">
        <f>SUBTOTAL(103,$I$5:I102)</f>
        <v>98</v>
      </c>
      <c r="B102" s="211" t="s">
        <v>5911</v>
      </c>
      <c r="C102" s="212" t="s">
        <v>3199</v>
      </c>
      <c r="D102" s="229" t="s">
        <v>37</v>
      </c>
      <c r="E102" s="213" t="s">
        <v>4635</v>
      </c>
      <c r="F102" s="213" t="s">
        <v>129</v>
      </c>
      <c r="G102" s="213">
        <v>43466</v>
      </c>
      <c r="H102" s="213" t="s">
        <v>30</v>
      </c>
      <c r="I102" s="211" t="s">
        <v>3365</v>
      </c>
      <c r="J102" s="213" t="s">
        <v>39</v>
      </c>
      <c r="K102" s="214" t="s">
        <v>6216</v>
      </c>
      <c r="L102" s="213">
        <v>43831</v>
      </c>
      <c r="M102" s="213">
        <v>45131</v>
      </c>
      <c r="N102" s="213">
        <v>45133</v>
      </c>
      <c r="O102" s="215" t="s">
        <v>6104</v>
      </c>
      <c r="P102" s="215" t="s">
        <v>2</v>
      </c>
      <c r="Q102" s="215" t="s">
        <v>4787</v>
      </c>
      <c r="R102" s="226">
        <v>2076</v>
      </c>
      <c r="S102" s="215">
        <v>45152</v>
      </c>
      <c r="T102" s="215"/>
      <c r="U102" s="215" t="s">
        <v>12</v>
      </c>
      <c r="V102" s="215"/>
      <c r="W102" s="216"/>
      <c r="Y102" s="215"/>
      <c r="Z102" s="215"/>
      <c r="AA102" s="215"/>
      <c r="AB102" s="215"/>
      <c r="AC102" s="220" t="s">
        <v>5912</v>
      </c>
      <c r="AD102" s="220" t="s">
        <v>1102</v>
      </c>
      <c r="AE102" s="104" t="s">
        <v>35</v>
      </c>
      <c r="AF102" s="104" t="s">
        <v>6338</v>
      </c>
      <c r="AG102" s="104" t="s">
        <v>6363</v>
      </c>
      <c r="AH102" s="218" t="s">
        <v>68</v>
      </c>
      <c r="AI102" s="218" t="s">
        <v>5558</v>
      </c>
      <c r="AJ102" s="218"/>
      <c r="AK102" s="218"/>
      <c r="AL102" s="263">
        <v>45148.707086817129</v>
      </c>
      <c r="AM102" s="219" t="s">
        <v>54</v>
      </c>
      <c r="AN102" s="273">
        <f t="shared" ca="1" si="9"/>
        <v>29</v>
      </c>
      <c r="AO102" s="82">
        <f t="shared" ca="1" si="10"/>
        <v>14</v>
      </c>
      <c r="AP102" s="82" t="str">
        <f t="shared" ca="1" si="11"/>
        <v>-</v>
      </c>
    </row>
    <row r="103" spans="1:42">
      <c r="A103" s="211">
        <f>SUBTOTAL(103,$I$5:I103)</f>
        <v>99</v>
      </c>
      <c r="B103" s="211" t="s">
        <v>5739</v>
      </c>
      <c r="C103" s="212" t="s">
        <v>3199</v>
      </c>
      <c r="D103" s="229" t="s">
        <v>1134</v>
      </c>
      <c r="E103" s="213"/>
      <c r="F103" s="213" t="s">
        <v>129</v>
      </c>
      <c r="G103" s="213">
        <v>42593</v>
      </c>
      <c r="H103" s="213" t="s">
        <v>38</v>
      </c>
      <c r="I103" s="211" t="s">
        <v>5740</v>
      </c>
      <c r="J103" s="213" t="s">
        <v>39</v>
      </c>
      <c r="K103" s="214" t="s">
        <v>6222</v>
      </c>
      <c r="M103" s="213">
        <v>45117.496076388888</v>
      </c>
      <c r="N103" s="213">
        <v>45118.473437499997</v>
      </c>
      <c r="O103" s="215" t="s">
        <v>5794</v>
      </c>
      <c r="P103" s="215" t="s">
        <v>2</v>
      </c>
      <c r="Q103" s="215" t="s">
        <v>5741</v>
      </c>
      <c r="R103" s="226">
        <v>1868</v>
      </c>
      <c r="S103" s="215">
        <v>45126</v>
      </c>
      <c r="T103" s="215"/>
      <c r="U103" s="215"/>
      <c r="V103" s="215"/>
      <c r="W103" s="216"/>
      <c r="Y103" s="215"/>
      <c r="Z103" s="215"/>
      <c r="AA103" s="215"/>
      <c r="AB103" s="215"/>
      <c r="AC103" s="220" t="s">
        <v>5795</v>
      </c>
      <c r="AD103" s="220" t="s">
        <v>33</v>
      </c>
      <c r="AE103" s="104" t="s">
        <v>35</v>
      </c>
      <c r="AF103" s="104" t="s">
        <v>6208</v>
      </c>
      <c r="AG103" s="104" t="s">
        <v>26</v>
      </c>
      <c r="AH103" s="218" t="s">
        <v>68</v>
      </c>
      <c r="AI103" s="218" t="s">
        <v>5555</v>
      </c>
      <c r="AJ103" s="218"/>
      <c r="AK103" s="218"/>
      <c r="AL103" s="263">
        <v>45126.831044189814</v>
      </c>
      <c r="AM103" s="219" t="s">
        <v>5598</v>
      </c>
      <c r="AN103" s="273">
        <f t="shared" ca="1" si="9"/>
        <v>39</v>
      </c>
      <c r="AO103" s="82">
        <f t="shared" ca="1" si="10"/>
        <v>32</v>
      </c>
      <c r="AP103" s="82" t="str">
        <f t="shared" ca="1" si="11"/>
        <v>-</v>
      </c>
    </row>
    <row r="104" spans="1:42">
      <c r="A104" s="211">
        <f>SUBTOTAL(103,$I$5:I104)</f>
        <v>100</v>
      </c>
      <c r="B104" s="211" t="s">
        <v>5921</v>
      </c>
      <c r="C104" s="212" t="s">
        <v>3199</v>
      </c>
      <c r="D104" s="229" t="s">
        <v>2927</v>
      </c>
      <c r="E104" s="213" t="s">
        <v>4676</v>
      </c>
      <c r="F104" s="213" t="s">
        <v>22</v>
      </c>
      <c r="G104" s="213">
        <v>42676</v>
      </c>
      <c r="H104" s="213" t="s">
        <v>36</v>
      </c>
      <c r="I104" s="211" t="s">
        <v>5922</v>
      </c>
      <c r="J104" s="213" t="s">
        <v>39</v>
      </c>
      <c r="K104" s="214" t="s">
        <v>6219</v>
      </c>
      <c r="L104" s="213">
        <v>43040</v>
      </c>
      <c r="M104" s="213">
        <v>45133.482546296298</v>
      </c>
      <c r="N104" s="213">
        <v>45133.639837962961</v>
      </c>
      <c r="O104" s="215" t="s">
        <v>5923</v>
      </c>
      <c r="P104" s="215" t="s">
        <v>2</v>
      </c>
      <c r="Q104" s="215" t="s">
        <v>5924</v>
      </c>
      <c r="R104" s="226">
        <v>8920</v>
      </c>
      <c r="S104" s="215">
        <v>45135</v>
      </c>
      <c r="T104" s="215"/>
      <c r="U104" s="215"/>
      <c r="V104" s="215"/>
      <c r="W104" s="216"/>
      <c r="Y104" s="215"/>
      <c r="Z104" s="215"/>
      <c r="AA104" s="215"/>
      <c r="AB104" s="215"/>
      <c r="AC104" s="220" t="s">
        <v>5963</v>
      </c>
      <c r="AD104" s="220" t="s">
        <v>18</v>
      </c>
      <c r="AE104" s="104" t="s">
        <v>35</v>
      </c>
      <c r="AF104" s="104" t="s">
        <v>6208</v>
      </c>
      <c r="AG104" s="104" t="s">
        <v>6374</v>
      </c>
      <c r="AH104" s="218" t="s">
        <v>68</v>
      </c>
      <c r="AI104" s="218" t="s">
        <v>5555</v>
      </c>
      <c r="AJ104" s="218"/>
      <c r="AK104" s="218"/>
      <c r="AL104" s="263">
        <v>45138.750664236111</v>
      </c>
      <c r="AM104" s="219" t="s">
        <v>5598</v>
      </c>
      <c r="AN104" s="273">
        <f t="shared" ca="1" si="9"/>
        <v>27</v>
      </c>
      <c r="AO104" s="82">
        <f t="shared" ca="1" si="10"/>
        <v>25</v>
      </c>
      <c r="AP104" s="82" t="str">
        <f t="shared" ca="1" si="11"/>
        <v>-</v>
      </c>
    </row>
    <row r="105" spans="1:42">
      <c r="A105" s="211">
        <f>SUBTOTAL(103,$I$5:I105)</f>
        <v>101</v>
      </c>
      <c r="B105" s="211" t="s">
        <v>5925</v>
      </c>
      <c r="C105" s="212" t="s">
        <v>3199</v>
      </c>
      <c r="D105" s="229" t="s">
        <v>2927</v>
      </c>
      <c r="E105" s="213" t="s">
        <v>4676</v>
      </c>
      <c r="F105" s="213" t="s">
        <v>22</v>
      </c>
      <c r="G105" s="213">
        <v>42676</v>
      </c>
      <c r="H105" s="213" t="s">
        <v>1103</v>
      </c>
      <c r="I105" s="211" t="s">
        <v>5926</v>
      </c>
      <c r="J105" s="213" t="s">
        <v>1043</v>
      </c>
      <c r="K105" s="214" t="s">
        <v>6219</v>
      </c>
      <c r="L105" s="213">
        <v>43040</v>
      </c>
      <c r="M105" s="213">
        <v>45133.482349537036</v>
      </c>
      <c r="N105" s="213">
        <v>45133.549629629626</v>
      </c>
      <c r="O105" s="215" t="s">
        <v>5962</v>
      </c>
      <c r="P105" s="215" t="s">
        <v>2</v>
      </c>
      <c r="Q105" s="215" t="s">
        <v>5924</v>
      </c>
      <c r="R105" s="226">
        <v>10515</v>
      </c>
      <c r="S105" s="215">
        <v>45135</v>
      </c>
      <c r="T105" s="215"/>
      <c r="U105" s="215"/>
      <c r="V105" s="215"/>
      <c r="W105" s="216"/>
      <c r="Y105" s="215"/>
      <c r="Z105" s="215"/>
      <c r="AA105" s="215"/>
      <c r="AB105" s="215"/>
      <c r="AC105" s="220" t="s">
        <v>5964</v>
      </c>
      <c r="AD105" s="220" t="s">
        <v>18</v>
      </c>
      <c r="AE105" s="104" t="s">
        <v>35</v>
      </c>
      <c r="AF105" s="104" t="s">
        <v>6208</v>
      </c>
      <c r="AG105" s="104" t="s">
        <v>6374</v>
      </c>
      <c r="AH105" s="218" t="s">
        <v>68</v>
      </c>
      <c r="AI105" s="218" t="s">
        <v>5555</v>
      </c>
      <c r="AJ105" s="218"/>
      <c r="AK105" s="218"/>
      <c r="AL105" s="263">
        <v>45138.750433437497</v>
      </c>
      <c r="AM105" s="219" t="s">
        <v>5598</v>
      </c>
      <c r="AN105" s="273">
        <f t="shared" ca="1" si="9"/>
        <v>27</v>
      </c>
      <c r="AO105" s="82">
        <f t="shared" ca="1" si="10"/>
        <v>25</v>
      </c>
      <c r="AP105" s="82" t="str">
        <f t="shared" ca="1" si="11"/>
        <v>-</v>
      </c>
    </row>
    <row r="106" spans="1:42">
      <c r="A106" s="211">
        <f>SUBTOTAL(103,$I$5:I106)</f>
        <v>102</v>
      </c>
      <c r="B106" s="211" t="s">
        <v>5927</v>
      </c>
      <c r="C106" s="212" t="s">
        <v>1714</v>
      </c>
      <c r="D106" s="229" t="s">
        <v>41</v>
      </c>
      <c r="E106" s="213"/>
      <c r="F106" s="213" t="s">
        <v>129</v>
      </c>
      <c r="G106" s="213">
        <v>41689</v>
      </c>
      <c r="H106" s="213" t="s">
        <v>63</v>
      </c>
      <c r="I106" s="211" t="s">
        <v>4986</v>
      </c>
      <c r="J106" s="213" t="s">
        <v>1043</v>
      </c>
      <c r="K106" s="214" t="s">
        <v>6224</v>
      </c>
      <c r="L106" s="213">
        <v>42054</v>
      </c>
      <c r="M106" s="213">
        <v>45133</v>
      </c>
      <c r="N106" s="213">
        <v>45133</v>
      </c>
      <c r="O106" s="215"/>
      <c r="P106" s="215" t="s">
        <v>3</v>
      </c>
      <c r="Q106" s="215" t="s">
        <v>1666</v>
      </c>
      <c r="R106" s="226"/>
      <c r="S106" s="215" t="s">
        <v>66</v>
      </c>
      <c r="T106" s="215"/>
      <c r="U106" s="215" t="s">
        <v>12</v>
      </c>
      <c r="V106" s="215"/>
      <c r="W106" s="216"/>
      <c r="Y106" s="215"/>
      <c r="Z106" s="215"/>
      <c r="AA106" s="215"/>
      <c r="AB106" s="215"/>
      <c r="AC106" s="220" t="s">
        <v>5928</v>
      </c>
      <c r="AD106" s="220" t="s">
        <v>1102</v>
      </c>
      <c r="AE106" s="104" t="s">
        <v>28</v>
      </c>
      <c r="AF106" s="104"/>
      <c r="AG106" s="104" t="s">
        <v>6375</v>
      </c>
      <c r="AH106" s="218" t="s">
        <v>68</v>
      </c>
      <c r="AI106" s="218" t="s">
        <v>5558</v>
      </c>
      <c r="AJ106" s="218"/>
      <c r="AK106" s="218"/>
      <c r="AL106" s="263">
        <v>45152.787280937497</v>
      </c>
      <c r="AM106" s="219" t="s">
        <v>54</v>
      </c>
      <c r="AN106" s="273">
        <f t="shared" ca="1" si="9"/>
        <v>27</v>
      </c>
      <c r="AO106" s="82" t="str">
        <f t="shared" ca="1" si="10"/>
        <v>-</v>
      </c>
      <c r="AP106" s="82" t="str">
        <f t="shared" ca="1" si="11"/>
        <v>-</v>
      </c>
    </row>
    <row r="107" spans="1:42">
      <c r="A107" s="211">
        <f>SUBTOTAL(103,$I$5:I107)</f>
        <v>103</v>
      </c>
      <c r="B107" s="211" t="s">
        <v>5119</v>
      </c>
      <c r="C107" s="212" t="s">
        <v>3199</v>
      </c>
      <c r="D107" s="229" t="s">
        <v>1081</v>
      </c>
      <c r="E107" s="213"/>
      <c r="F107" s="213" t="s">
        <v>129</v>
      </c>
      <c r="G107" s="213">
        <v>43393</v>
      </c>
      <c r="H107" s="213" t="s">
        <v>1083</v>
      </c>
      <c r="I107" s="211" t="s">
        <v>1082</v>
      </c>
      <c r="J107" s="213" t="s">
        <v>1244</v>
      </c>
      <c r="K107" s="214" t="s">
        <v>6219</v>
      </c>
      <c r="L107" s="213">
        <v>43758</v>
      </c>
      <c r="M107" s="213">
        <v>45035.726412037038</v>
      </c>
      <c r="N107" s="213">
        <v>45041.701342592591</v>
      </c>
      <c r="O107" s="220" t="s">
        <v>5156</v>
      </c>
      <c r="P107" s="215" t="s">
        <v>2</v>
      </c>
      <c r="Q107" s="215" t="s">
        <v>5288</v>
      </c>
      <c r="R107" s="226">
        <v>9371</v>
      </c>
      <c r="S107" s="215">
        <v>45043</v>
      </c>
      <c r="T107" s="215"/>
      <c r="U107" s="215"/>
      <c r="V107" s="215"/>
      <c r="W107" s="215"/>
      <c r="Y107" s="215"/>
      <c r="Z107" s="215"/>
      <c r="AA107" s="215"/>
      <c r="AB107" s="215"/>
      <c r="AC107" s="220" t="s">
        <v>5155</v>
      </c>
      <c r="AD107" s="220" t="s">
        <v>33</v>
      </c>
      <c r="AE107" s="104" t="s">
        <v>35</v>
      </c>
      <c r="AF107" s="104" t="s">
        <v>6208</v>
      </c>
      <c r="AG107" s="104" t="s">
        <v>6365</v>
      </c>
      <c r="AH107" s="218" t="s">
        <v>68</v>
      </c>
      <c r="AI107" s="218" t="s">
        <v>5555</v>
      </c>
      <c r="AJ107" s="218"/>
      <c r="AK107" s="218"/>
      <c r="AL107" s="263">
        <v>45075.53267709491</v>
      </c>
      <c r="AM107" s="219" t="s">
        <v>18</v>
      </c>
      <c r="AN107" s="273">
        <f t="shared" ca="1" si="9"/>
        <v>97</v>
      </c>
      <c r="AO107" s="82">
        <f t="shared" ca="1" si="10"/>
        <v>91</v>
      </c>
      <c r="AP107" s="82" t="str">
        <f t="shared" ca="1" si="11"/>
        <v>-</v>
      </c>
    </row>
    <row r="108" spans="1:42">
      <c r="A108" s="211">
        <f>SUBTOTAL(103,$I$5:I108)</f>
        <v>104</v>
      </c>
      <c r="B108" s="211" t="s">
        <v>5347</v>
      </c>
      <c r="C108" s="212" t="s">
        <v>3199</v>
      </c>
      <c r="D108" s="229" t="s">
        <v>109</v>
      </c>
      <c r="E108" s="213" t="s">
        <v>2959</v>
      </c>
      <c r="F108" s="213" t="s">
        <v>129</v>
      </c>
      <c r="G108" s="213">
        <v>42830</v>
      </c>
      <c r="H108" s="213" t="s">
        <v>104</v>
      </c>
      <c r="I108" s="211" t="s">
        <v>5348</v>
      </c>
      <c r="J108" s="213" t="s">
        <v>1244</v>
      </c>
      <c r="K108" s="214" t="s">
        <v>6219</v>
      </c>
      <c r="L108" s="213">
        <v>43195</v>
      </c>
      <c r="M108" s="213">
        <v>45069.586261574077</v>
      </c>
      <c r="N108" s="213">
        <v>45070.773182870369</v>
      </c>
      <c r="O108" s="220" t="s">
        <v>5398</v>
      </c>
      <c r="P108" s="215" t="s">
        <v>2</v>
      </c>
      <c r="Q108" s="215" t="s">
        <v>5731</v>
      </c>
      <c r="R108" s="226">
        <v>7203</v>
      </c>
      <c r="S108" s="215">
        <v>45082</v>
      </c>
      <c r="T108" s="215"/>
      <c r="U108" s="215"/>
      <c r="V108" s="215"/>
      <c r="W108" s="215"/>
      <c r="Y108" s="215"/>
      <c r="Z108" s="215"/>
      <c r="AA108" s="215"/>
      <c r="AB108" s="215"/>
      <c r="AC108" s="220" t="s">
        <v>5397</v>
      </c>
      <c r="AD108" s="220" t="s">
        <v>1102</v>
      </c>
      <c r="AE108" s="104" t="s">
        <v>35</v>
      </c>
      <c r="AF108" s="104" t="s">
        <v>6208</v>
      </c>
      <c r="AG108" s="104" t="s">
        <v>6370</v>
      </c>
      <c r="AH108" s="218" t="s">
        <v>68</v>
      </c>
      <c r="AI108" s="218" t="s">
        <v>5555</v>
      </c>
      <c r="AJ108" s="218"/>
      <c r="AK108" s="218"/>
      <c r="AL108" s="263">
        <v>45083.551294942132</v>
      </c>
      <c r="AM108" s="219" t="s">
        <v>5407</v>
      </c>
      <c r="AN108" s="273">
        <f t="shared" ca="1" si="9"/>
        <v>73</v>
      </c>
      <c r="AO108" s="82">
        <f t="shared" ca="1" si="10"/>
        <v>64</v>
      </c>
      <c r="AP108" s="82" t="str">
        <f t="shared" ca="1" si="11"/>
        <v>-</v>
      </c>
    </row>
    <row r="109" spans="1:42">
      <c r="A109" s="211">
        <f>SUBTOTAL(103,$I$5:I109)</f>
        <v>105</v>
      </c>
      <c r="B109" s="211" t="s">
        <v>5349</v>
      </c>
      <c r="C109" s="212" t="s">
        <v>3199</v>
      </c>
      <c r="D109" s="229" t="s">
        <v>109</v>
      </c>
      <c r="E109" s="213" t="s">
        <v>2959</v>
      </c>
      <c r="F109" s="213" t="s">
        <v>129</v>
      </c>
      <c r="G109" s="213">
        <v>42805</v>
      </c>
      <c r="H109" s="213" t="s">
        <v>104</v>
      </c>
      <c r="I109" s="211" t="s">
        <v>3150</v>
      </c>
      <c r="J109" s="213" t="s">
        <v>1244</v>
      </c>
      <c r="K109" s="214" t="s">
        <v>6219</v>
      </c>
      <c r="L109" s="213">
        <v>43170</v>
      </c>
      <c r="M109" s="213">
        <v>45069.58693287037</v>
      </c>
      <c r="N109" s="213">
        <v>45071.507256944446</v>
      </c>
      <c r="O109" s="220" t="s">
        <v>5399</v>
      </c>
      <c r="P109" s="215" t="s">
        <v>2</v>
      </c>
      <c r="Q109" s="215" t="s">
        <v>5435</v>
      </c>
      <c r="R109" s="226">
        <v>7203</v>
      </c>
      <c r="S109" s="215">
        <v>45084</v>
      </c>
      <c r="T109" s="215"/>
      <c r="U109" s="215"/>
      <c r="V109" s="215"/>
      <c r="W109" s="215"/>
      <c r="Y109" s="215"/>
      <c r="Z109" s="215"/>
      <c r="AA109" s="215"/>
      <c r="AB109" s="215"/>
      <c r="AC109" s="220" t="s">
        <v>5400</v>
      </c>
      <c r="AD109" s="220" t="s">
        <v>1102</v>
      </c>
      <c r="AE109" s="104" t="s">
        <v>35</v>
      </c>
      <c r="AF109" s="104" t="s">
        <v>6208</v>
      </c>
      <c r="AG109" s="104" t="s">
        <v>6370</v>
      </c>
      <c r="AH109" s="218" t="s">
        <v>68</v>
      </c>
      <c r="AI109" s="218" t="s">
        <v>5555</v>
      </c>
      <c r="AJ109" s="218"/>
      <c r="AK109" s="218"/>
      <c r="AL109" s="263">
        <v>45084.456524039349</v>
      </c>
      <c r="AM109" s="219" t="s">
        <v>5407</v>
      </c>
      <c r="AN109" s="273">
        <f t="shared" ca="1" si="9"/>
        <v>73</v>
      </c>
      <c r="AO109" s="82">
        <f t="shared" ca="1" si="10"/>
        <v>62</v>
      </c>
      <c r="AP109" s="82" t="str">
        <f t="shared" ca="1" si="11"/>
        <v>-</v>
      </c>
    </row>
    <row r="110" spans="1:42">
      <c r="A110" s="211">
        <f>SUBTOTAL(103,$I$5:I110)</f>
        <v>106</v>
      </c>
      <c r="B110" s="211" t="s">
        <v>5937</v>
      </c>
      <c r="C110" s="212" t="s">
        <v>3199</v>
      </c>
      <c r="D110" s="229" t="s">
        <v>3041</v>
      </c>
      <c r="E110" s="213" t="s">
        <v>2959</v>
      </c>
      <c r="F110" s="213" t="s">
        <v>129</v>
      </c>
      <c r="G110" s="213"/>
      <c r="H110" s="213" t="s">
        <v>63</v>
      </c>
      <c r="I110" s="211" t="s">
        <v>1795</v>
      </c>
      <c r="J110" s="213" t="s">
        <v>1043</v>
      </c>
      <c r="K110" s="214" t="s">
        <v>6224</v>
      </c>
      <c r="L110" s="213">
        <v>43150</v>
      </c>
      <c r="M110" s="213">
        <v>45135.679594907408</v>
      </c>
      <c r="N110" s="213">
        <v>45135.779143518521</v>
      </c>
      <c r="O110" s="215" t="s">
        <v>6005</v>
      </c>
      <c r="P110" s="215" t="s">
        <v>2</v>
      </c>
      <c r="Q110" s="215" t="s">
        <v>1485</v>
      </c>
      <c r="R110" s="226">
        <v>977</v>
      </c>
      <c r="S110" s="215">
        <v>45145</v>
      </c>
      <c r="T110" s="215"/>
      <c r="U110" s="215" t="s">
        <v>12</v>
      </c>
      <c r="V110" s="215"/>
      <c r="W110" s="216"/>
      <c r="Y110" s="215"/>
      <c r="Z110" s="215"/>
      <c r="AA110" s="215"/>
      <c r="AB110" s="215"/>
      <c r="AC110" s="220" t="s">
        <v>6006</v>
      </c>
      <c r="AD110" s="220" t="s">
        <v>33</v>
      </c>
      <c r="AE110" s="104" t="s">
        <v>35</v>
      </c>
      <c r="AF110" s="104" t="s">
        <v>6208</v>
      </c>
      <c r="AG110" s="104" t="s">
        <v>6359</v>
      </c>
      <c r="AH110" s="218" t="s">
        <v>68</v>
      </c>
      <c r="AI110" s="218" t="s">
        <v>5555</v>
      </c>
      <c r="AJ110" s="218"/>
      <c r="AK110" s="218"/>
      <c r="AL110" s="263">
        <v>45145.82336072917</v>
      </c>
      <c r="AM110" s="219" t="s">
        <v>5598</v>
      </c>
      <c r="AN110" s="273">
        <f t="shared" ref="AN110:AN135" ca="1" si="12">IF(M110="","-",NETWORKDAYS.INTL(M110,TODAY()))</f>
        <v>25</v>
      </c>
      <c r="AO110" s="82">
        <f t="shared" ref="AO110:AO135" ca="1" si="13">IF(S110&lt;&gt;"",IFERROR(NETWORKDAYS.INTL(S110,TODAY()),"-"),"-")</f>
        <v>19</v>
      </c>
      <c r="AP110" s="82" t="str">
        <f t="shared" ref="AP110:AP135" ca="1" si="14">IF(V110&lt;&gt;"",IF(W110&lt;&gt;"",NETWORKDAYS.INTL(V110,W110),NETWORKDAYS.INTL(V110,TODAY())),"-")</f>
        <v>-</v>
      </c>
    </row>
    <row r="111" spans="1:42">
      <c r="A111" s="211">
        <f>SUBTOTAL(103,$I$5:I111)</f>
        <v>107</v>
      </c>
      <c r="B111" s="1" t="s">
        <v>5938</v>
      </c>
      <c r="C111" s="1" t="s">
        <v>3199</v>
      </c>
      <c r="D111" s="4" t="s">
        <v>3041</v>
      </c>
      <c r="E111" s="4" t="s">
        <v>2959</v>
      </c>
      <c r="F111" s="5" t="s">
        <v>129</v>
      </c>
      <c r="G111" s="7">
        <v>42700</v>
      </c>
      <c r="H111" s="7" t="s">
        <v>58</v>
      </c>
      <c r="I111" s="5" t="s">
        <v>1792</v>
      </c>
      <c r="J111" s="1" t="s">
        <v>1043</v>
      </c>
      <c r="K111" s="214" t="s">
        <v>6219</v>
      </c>
      <c r="L111" s="213">
        <v>43066</v>
      </c>
      <c r="M111" s="213">
        <v>45135.680104166669</v>
      </c>
      <c r="N111" s="7">
        <v>45135.821527777778</v>
      </c>
      <c r="O111" s="177" t="s">
        <v>6032</v>
      </c>
      <c r="P111" s="287" t="s">
        <v>2</v>
      </c>
      <c r="Q111" s="221" t="s">
        <v>5961</v>
      </c>
      <c r="R111" s="227">
        <v>15980</v>
      </c>
      <c r="S111" s="222">
        <v>45145</v>
      </c>
      <c r="T111" s="222"/>
      <c r="U111" s="222" t="s">
        <v>6358</v>
      </c>
      <c r="V111" s="222"/>
      <c r="W111" s="223"/>
      <c r="Y111" s="224"/>
      <c r="Z111" s="224"/>
      <c r="AA111" s="224"/>
      <c r="AB111" s="224"/>
      <c r="AC111" s="225" t="s">
        <v>6007</v>
      </c>
      <c r="AD111" s="225" t="s">
        <v>33</v>
      </c>
      <c r="AE111" s="104" t="s">
        <v>35</v>
      </c>
      <c r="AF111" s="104" t="s">
        <v>6208</v>
      </c>
      <c r="AG111" s="104" t="s">
        <v>6359</v>
      </c>
      <c r="AH111" s="218" t="s">
        <v>68</v>
      </c>
      <c r="AI111" s="218" t="s">
        <v>5555</v>
      </c>
      <c r="AJ111" s="218"/>
      <c r="AK111" s="218"/>
      <c r="AL111" s="264">
        <v>45145.823672199076</v>
      </c>
      <c r="AM111" s="86" t="s">
        <v>5598</v>
      </c>
      <c r="AN111" s="273">
        <f t="shared" ca="1" si="12"/>
        <v>25</v>
      </c>
      <c r="AO111" s="82">
        <f t="shared" ca="1" si="13"/>
        <v>19</v>
      </c>
      <c r="AP111" s="82" t="str">
        <f t="shared" ca="1" si="14"/>
        <v>-</v>
      </c>
    </row>
    <row r="112" spans="1:42">
      <c r="A112" s="211">
        <f>SUBTOTAL(103,$I$5:I112)</f>
        <v>108</v>
      </c>
      <c r="B112" s="1" t="s">
        <v>5971</v>
      </c>
      <c r="C112" s="1" t="s">
        <v>1714</v>
      </c>
      <c r="D112" s="4" t="s">
        <v>44</v>
      </c>
      <c r="F112" s="5" t="s">
        <v>129</v>
      </c>
      <c r="G112" s="7">
        <v>41923</v>
      </c>
      <c r="H112" s="7" t="s">
        <v>34</v>
      </c>
      <c r="I112" s="5" t="s">
        <v>102</v>
      </c>
      <c r="J112" s="1" t="s">
        <v>1043</v>
      </c>
      <c r="K112" s="214" t="s">
        <v>6216</v>
      </c>
      <c r="L112" s="213">
        <v>43749</v>
      </c>
      <c r="M112" s="213">
        <v>45138.52171296296</v>
      </c>
      <c r="N112" s="7">
        <v>45140.468888888892</v>
      </c>
      <c r="O112" s="177"/>
      <c r="P112" s="287" t="s">
        <v>2</v>
      </c>
      <c r="Q112" s="221" t="s">
        <v>5972</v>
      </c>
      <c r="R112" s="227"/>
      <c r="S112" s="222"/>
      <c r="T112" s="222"/>
      <c r="U112" s="222" t="s">
        <v>12</v>
      </c>
      <c r="V112" s="222"/>
      <c r="W112" s="223"/>
      <c r="Y112" s="224"/>
      <c r="Z112" s="224"/>
      <c r="AA112" s="224"/>
      <c r="AB112" s="224"/>
      <c r="AC112" s="225" t="s">
        <v>6008</v>
      </c>
      <c r="AD112" s="225" t="s">
        <v>1120</v>
      </c>
      <c r="AE112" s="104" t="s">
        <v>62</v>
      </c>
      <c r="AF112" s="104"/>
      <c r="AG112" s="104" t="s">
        <v>6385</v>
      </c>
      <c r="AH112" s="218" t="s">
        <v>68</v>
      </c>
      <c r="AI112" s="218" t="s">
        <v>5559</v>
      </c>
      <c r="AJ112" s="218"/>
      <c r="AK112" s="218"/>
      <c r="AL112" s="264">
        <v>45140.468971516202</v>
      </c>
      <c r="AM112" s="86" t="s">
        <v>1120</v>
      </c>
      <c r="AN112" s="273">
        <f t="shared" ca="1" si="12"/>
        <v>24</v>
      </c>
      <c r="AO112" s="82" t="str">
        <f t="shared" ca="1" si="13"/>
        <v>-</v>
      </c>
      <c r="AP112" s="82" t="str">
        <f t="shared" ca="1" si="14"/>
        <v>-</v>
      </c>
    </row>
    <row r="113" spans="1:42">
      <c r="A113" s="211">
        <f>SUBTOTAL(103,$I$5:I113)</f>
        <v>109</v>
      </c>
      <c r="B113" s="1" t="s">
        <v>5973</v>
      </c>
      <c r="C113" s="1" t="s">
        <v>1714</v>
      </c>
      <c r="D113" s="4" t="s">
        <v>41</v>
      </c>
      <c r="F113" s="5" t="s">
        <v>129</v>
      </c>
      <c r="G113" s="7">
        <v>41924</v>
      </c>
      <c r="H113" s="7" t="s">
        <v>30</v>
      </c>
      <c r="I113" s="5" t="s">
        <v>1640</v>
      </c>
      <c r="J113" s="1" t="s">
        <v>39</v>
      </c>
      <c r="K113" s="214" t="s">
        <v>6216</v>
      </c>
      <c r="L113" s="213">
        <v>42288</v>
      </c>
      <c r="M113" s="213">
        <v>45138.52238425926</v>
      </c>
      <c r="N113" s="7">
        <v>45140.469467592593</v>
      </c>
      <c r="P113" s="288" t="s">
        <v>2</v>
      </c>
      <c r="Q113" s="3" t="s">
        <v>5972</v>
      </c>
      <c r="U113" s="6" t="s">
        <v>12</v>
      </c>
      <c r="AB113" s="224"/>
      <c r="AC113" s="225" t="s">
        <v>6009</v>
      </c>
      <c r="AD113" s="225" t="s">
        <v>33</v>
      </c>
      <c r="AE113" s="104" t="s">
        <v>62</v>
      </c>
      <c r="AF113" s="104"/>
      <c r="AG113" s="104" t="s">
        <v>6385</v>
      </c>
      <c r="AH113" s="218" t="s">
        <v>68</v>
      </c>
      <c r="AI113" s="218" t="s">
        <v>5559</v>
      </c>
      <c r="AJ113" s="218"/>
      <c r="AK113" s="218"/>
      <c r="AL113" s="264">
        <v>45140.469547604167</v>
      </c>
      <c r="AM113" s="86" t="s">
        <v>1120</v>
      </c>
      <c r="AN113" s="273">
        <f t="shared" ca="1" si="12"/>
        <v>24</v>
      </c>
      <c r="AO113" s="82" t="str">
        <f t="shared" ca="1" si="13"/>
        <v>-</v>
      </c>
      <c r="AP113" s="82" t="str">
        <f t="shared" ca="1" si="14"/>
        <v>-</v>
      </c>
    </row>
    <row r="114" spans="1:42">
      <c r="A114" s="211">
        <f>SUBTOTAL(103,$I$5:I114)</f>
        <v>110</v>
      </c>
      <c r="B114" s="1" t="s">
        <v>5974</v>
      </c>
      <c r="C114" s="1" t="s">
        <v>3199</v>
      </c>
      <c r="D114" s="4" t="s">
        <v>2767</v>
      </c>
      <c r="F114" s="5" t="s">
        <v>129</v>
      </c>
      <c r="G114" s="7">
        <v>44578</v>
      </c>
      <c r="H114" s="7" t="s">
        <v>30</v>
      </c>
      <c r="I114" s="5" t="s">
        <v>5975</v>
      </c>
      <c r="J114" s="1" t="s">
        <v>39</v>
      </c>
      <c r="K114" s="214" t="s">
        <v>6216</v>
      </c>
      <c r="L114" s="213">
        <v>44943</v>
      </c>
      <c r="M114" s="213">
        <v>45138</v>
      </c>
      <c r="N114" s="7">
        <v>45147</v>
      </c>
      <c r="O114" s="72" t="s">
        <v>6170</v>
      </c>
      <c r="P114" s="288" t="s">
        <v>2</v>
      </c>
      <c r="Q114" s="3" t="s">
        <v>5440</v>
      </c>
      <c r="S114" s="6" t="s">
        <v>66</v>
      </c>
      <c r="U114" s="6" t="s">
        <v>12</v>
      </c>
      <c r="AC114" s="4" t="s">
        <v>6079</v>
      </c>
      <c r="AD114" s="4" t="s">
        <v>33</v>
      </c>
      <c r="AE114" s="1" t="s">
        <v>28</v>
      </c>
      <c r="AG114" s="1" t="s">
        <v>6375</v>
      </c>
      <c r="AH114" s="218" t="s">
        <v>68</v>
      </c>
      <c r="AI114" s="218" t="s">
        <v>5558</v>
      </c>
      <c r="AJ114" s="218"/>
      <c r="AK114" s="218"/>
      <c r="AL114" s="264">
        <v>45148.72900741898</v>
      </c>
      <c r="AM114" s="86" t="s">
        <v>54</v>
      </c>
      <c r="AN114" s="273">
        <f t="shared" ca="1" si="12"/>
        <v>24</v>
      </c>
      <c r="AO114" s="82" t="str">
        <f t="shared" ca="1" si="13"/>
        <v>-</v>
      </c>
      <c r="AP114" s="82" t="str">
        <f t="shared" ca="1" si="14"/>
        <v>-</v>
      </c>
    </row>
    <row r="115" spans="1:42">
      <c r="A115" s="211">
        <f>SUBTOTAL(103,$I$5:I115)</f>
        <v>111</v>
      </c>
      <c r="B115" s="1" t="s">
        <v>5976</v>
      </c>
      <c r="C115" s="1" t="s">
        <v>3199</v>
      </c>
      <c r="D115" s="4" t="s">
        <v>1149</v>
      </c>
      <c r="E115" s="213" t="s">
        <v>4676</v>
      </c>
      <c r="F115" s="5" t="s">
        <v>22</v>
      </c>
      <c r="G115" s="7">
        <v>43372</v>
      </c>
      <c r="H115" s="7" t="s">
        <v>16</v>
      </c>
      <c r="I115" s="5" t="s">
        <v>3968</v>
      </c>
      <c r="J115" s="1" t="s">
        <v>39</v>
      </c>
      <c r="K115" s="214" t="s">
        <v>6219</v>
      </c>
      <c r="L115" s="213">
        <v>43737</v>
      </c>
      <c r="M115" s="213">
        <v>45138.555868055555</v>
      </c>
      <c r="N115" s="7">
        <v>45138.556284722225</v>
      </c>
      <c r="O115" s="72" t="s">
        <v>6011</v>
      </c>
      <c r="P115" s="288" t="s">
        <v>2</v>
      </c>
      <c r="Q115" s="3" t="s">
        <v>5977</v>
      </c>
      <c r="R115" s="228">
        <v>4689</v>
      </c>
      <c r="S115" s="6">
        <v>45138</v>
      </c>
      <c r="AC115" s="4" t="s">
        <v>6010</v>
      </c>
      <c r="AD115" s="4" t="s">
        <v>5598</v>
      </c>
      <c r="AE115" s="1" t="s">
        <v>35</v>
      </c>
      <c r="AF115" s="104" t="s">
        <v>6208</v>
      </c>
      <c r="AG115" s="104" t="s">
        <v>6374</v>
      </c>
      <c r="AH115" s="218" t="s">
        <v>68</v>
      </c>
      <c r="AI115" s="218" t="s">
        <v>5555</v>
      </c>
      <c r="AJ115" s="218"/>
      <c r="AK115" s="218"/>
      <c r="AL115" s="264">
        <v>45138.718312858793</v>
      </c>
      <c r="AM115" s="86" t="s">
        <v>5598</v>
      </c>
      <c r="AN115" s="273">
        <f t="shared" ca="1" si="12"/>
        <v>24</v>
      </c>
      <c r="AO115" s="82">
        <f t="shared" ca="1" si="13"/>
        <v>24</v>
      </c>
      <c r="AP115" s="82" t="str">
        <f t="shared" ca="1" si="14"/>
        <v>-</v>
      </c>
    </row>
    <row r="116" spans="1:42">
      <c r="A116" s="211">
        <f>SUBTOTAL(103,$I$5:I116)</f>
        <v>112</v>
      </c>
      <c r="B116" s="1" t="s">
        <v>5978</v>
      </c>
      <c r="C116" s="1" t="s">
        <v>3199</v>
      </c>
      <c r="D116" s="4" t="s">
        <v>1149</v>
      </c>
      <c r="E116" s="213" t="s">
        <v>4676</v>
      </c>
      <c r="F116" s="5" t="s">
        <v>22</v>
      </c>
      <c r="G116" s="7">
        <v>43372</v>
      </c>
      <c r="H116" s="7" t="s">
        <v>58</v>
      </c>
      <c r="I116" s="5" t="s">
        <v>1150</v>
      </c>
      <c r="J116" s="1" t="s">
        <v>1043</v>
      </c>
      <c r="K116" s="214" t="s">
        <v>6219</v>
      </c>
      <c r="L116" s="213">
        <v>43737</v>
      </c>
      <c r="M116" s="213">
        <v>45138.55704861111</v>
      </c>
      <c r="N116" s="7">
        <v>45138.558611111112</v>
      </c>
      <c r="O116" s="72" t="s">
        <v>6013</v>
      </c>
      <c r="P116" s="288" t="s">
        <v>2</v>
      </c>
      <c r="Q116" s="3" t="s">
        <v>5979</v>
      </c>
      <c r="R116" s="228">
        <v>2837</v>
      </c>
      <c r="S116" s="6">
        <v>45138</v>
      </c>
      <c r="AC116" s="4" t="s">
        <v>6012</v>
      </c>
      <c r="AD116" s="4" t="s">
        <v>5598</v>
      </c>
      <c r="AE116" s="1" t="s">
        <v>35</v>
      </c>
      <c r="AF116" s="104" t="s">
        <v>6208</v>
      </c>
      <c r="AG116" s="104" t="s">
        <v>6374</v>
      </c>
      <c r="AH116" s="218" t="s">
        <v>68</v>
      </c>
      <c r="AI116" s="218" t="s">
        <v>5555</v>
      </c>
      <c r="AJ116" s="218"/>
      <c r="AK116" s="218"/>
      <c r="AL116" s="264">
        <v>45138.718620902779</v>
      </c>
      <c r="AM116" s="86" t="s">
        <v>5598</v>
      </c>
      <c r="AN116" s="273">
        <f t="shared" ca="1" si="12"/>
        <v>24</v>
      </c>
      <c r="AO116" s="82">
        <f t="shared" ca="1" si="13"/>
        <v>24</v>
      </c>
      <c r="AP116" s="82" t="str">
        <f t="shared" ca="1" si="14"/>
        <v>-</v>
      </c>
    </row>
    <row r="117" spans="1:42">
      <c r="A117" s="211">
        <f>SUBTOTAL(103,$I$5:I117)</f>
        <v>113</v>
      </c>
      <c r="B117" s="1" t="s">
        <v>5983</v>
      </c>
      <c r="C117" s="1" t="s">
        <v>3199</v>
      </c>
      <c r="D117" s="4" t="s">
        <v>1233</v>
      </c>
      <c r="E117" s="213" t="s">
        <v>4676</v>
      </c>
      <c r="F117" s="5" t="s">
        <v>22</v>
      </c>
      <c r="G117" s="7">
        <v>43920</v>
      </c>
      <c r="H117" s="7" t="s">
        <v>58</v>
      </c>
      <c r="I117" s="5" t="s">
        <v>1234</v>
      </c>
      <c r="J117" s="1" t="s">
        <v>1043</v>
      </c>
      <c r="K117" s="214" t="s">
        <v>6219</v>
      </c>
      <c r="L117" s="213">
        <v>44285</v>
      </c>
      <c r="M117" s="213">
        <v>45138.730879629627</v>
      </c>
      <c r="N117" s="7">
        <v>45140.671180555553</v>
      </c>
      <c r="O117" s="72" t="s">
        <v>6016</v>
      </c>
      <c r="P117" s="288" t="s">
        <v>2</v>
      </c>
      <c r="Q117" s="3" t="s">
        <v>5991</v>
      </c>
      <c r="R117" s="228">
        <v>2892</v>
      </c>
      <c r="S117" s="6">
        <v>45145</v>
      </c>
      <c r="U117" s="6" t="s">
        <v>12</v>
      </c>
      <c r="AC117" s="4" t="s">
        <v>6015</v>
      </c>
      <c r="AD117" s="4" t="s">
        <v>18</v>
      </c>
      <c r="AE117" s="1" t="s">
        <v>35</v>
      </c>
      <c r="AF117" s="104" t="s">
        <v>6208</v>
      </c>
      <c r="AG117" s="104" t="s">
        <v>6374</v>
      </c>
      <c r="AH117" s="218" t="s">
        <v>68</v>
      </c>
      <c r="AI117" s="218" t="s">
        <v>5555</v>
      </c>
      <c r="AJ117" s="218"/>
      <c r="AK117" s="218"/>
      <c r="AL117" s="264">
        <v>45145.565236041664</v>
      </c>
      <c r="AM117" s="86" t="s">
        <v>5598</v>
      </c>
      <c r="AN117" s="273">
        <f t="shared" ca="1" si="12"/>
        <v>24</v>
      </c>
      <c r="AO117" s="82">
        <f t="shared" ca="1" si="13"/>
        <v>19</v>
      </c>
      <c r="AP117" s="82" t="str">
        <f t="shared" ca="1" si="14"/>
        <v>-</v>
      </c>
    </row>
    <row r="118" spans="1:42">
      <c r="A118" s="211">
        <f>SUBTOTAL(103,$I$5:I118)</f>
        <v>114</v>
      </c>
      <c r="B118" s="1" t="s">
        <v>5984</v>
      </c>
      <c r="C118" s="1" t="s">
        <v>3198</v>
      </c>
      <c r="D118" s="4" t="s">
        <v>105</v>
      </c>
      <c r="E118" s="213" t="s">
        <v>4676</v>
      </c>
      <c r="F118" s="5" t="s">
        <v>22</v>
      </c>
      <c r="G118" s="7">
        <v>42921</v>
      </c>
      <c r="H118" s="7" t="s">
        <v>31</v>
      </c>
      <c r="I118" s="5" t="s">
        <v>3800</v>
      </c>
      <c r="J118" s="1" t="s">
        <v>39</v>
      </c>
      <c r="K118" s="214" t="s">
        <v>6219</v>
      </c>
      <c r="L118" s="213">
        <v>43286</v>
      </c>
      <c r="M118" s="213">
        <v>45138.730949074074</v>
      </c>
      <c r="N118" s="7">
        <v>45140.665601851855</v>
      </c>
      <c r="O118" s="72" t="s">
        <v>6017</v>
      </c>
      <c r="P118" s="288" t="s">
        <v>2</v>
      </c>
      <c r="Q118" s="3" t="s">
        <v>5992</v>
      </c>
      <c r="R118" s="228">
        <v>8857</v>
      </c>
      <c r="S118" s="6">
        <v>45145</v>
      </c>
      <c r="U118" s="6" t="s">
        <v>12</v>
      </c>
      <c r="AC118" s="4" t="s">
        <v>6018</v>
      </c>
      <c r="AD118" s="4" t="s">
        <v>18</v>
      </c>
      <c r="AE118" s="1" t="s">
        <v>35</v>
      </c>
      <c r="AF118" s="104" t="s">
        <v>6208</v>
      </c>
      <c r="AG118" s="104" t="s">
        <v>6374</v>
      </c>
      <c r="AH118" s="218" t="s">
        <v>68</v>
      </c>
      <c r="AI118" s="218" t="s">
        <v>5555</v>
      </c>
      <c r="AJ118" s="218"/>
      <c r="AK118" s="218"/>
      <c r="AL118" s="264">
        <v>45145.565519374999</v>
      </c>
      <c r="AM118" s="86" t="s">
        <v>5598</v>
      </c>
      <c r="AN118" s="273">
        <f t="shared" ca="1" si="12"/>
        <v>24</v>
      </c>
      <c r="AO118" s="82">
        <f t="shared" ca="1" si="13"/>
        <v>19</v>
      </c>
      <c r="AP118" s="82" t="str">
        <f t="shared" ca="1" si="14"/>
        <v>-</v>
      </c>
    </row>
    <row r="119" spans="1:42">
      <c r="A119" s="211">
        <f>SUBTOTAL(103,$I$5:I119)</f>
        <v>115</v>
      </c>
      <c r="B119" s="1" t="s">
        <v>5985</v>
      </c>
      <c r="C119" s="1" t="s">
        <v>3198</v>
      </c>
      <c r="D119" s="4" t="s">
        <v>105</v>
      </c>
      <c r="E119" s="213" t="s">
        <v>4676</v>
      </c>
      <c r="F119" s="5" t="s">
        <v>22</v>
      </c>
      <c r="G119" s="7">
        <v>43852</v>
      </c>
      <c r="H119" s="7" t="s">
        <v>1139</v>
      </c>
      <c r="I119" s="5" t="s">
        <v>5986</v>
      </c>
      <c r="J119" s="1" t="s">
        <v>1043</v>
      </c>
      <c r="K119" s="214" t="s">
        <v>6223</v>
      </c>
      <c r="L119" s="213">
        <v>44218</v>
      </c>
      <c r="M119" s="213">
        <v>45138.73101851852</v>
      </c>
      <c r="N119" s="7">
        <v>45140.660173611112</v>
      </c>
      <c r="O119" s="72" t="s">
        <v>6020</v>
      </c>
      <c r="P119" s="288" t="s">
        <v>2</v>
      </c>
      <c r="Q119" s="3" t="s">
        <v>5991</v>
      </c>
      <c r="R119" s="228">
        <v>3091</v>
      </c>
      <c r="S119" s="6">
        <v>45145</v>
      </c>
      <c r="U119" s="6" t="s">
        <v>12</v>
      </c>
      <c r="AC119" s="4" t="s">
        <v>6019</v>
      </c>
      <c r="AD119" s="4" t="s">
        <v>18</v>
      </c>
      <c r="AE119" s="1" t="s">
        <v>35</v>
      </c>
      <c r="AF119" s="104" t="s">
        <v>6208</v>
      </c>
      <c r="AG119" s="104" t="s">
        <v>6374</v>
      </c>
      <c r="AH119" s="218" t="s">
        <v>68</v>
      </c>
      <c r="AI119" s="218" t="s">
        <v>5555</v>
      </c>
      <c r="AJ119" s="218"/>
      <c r="AK119" s="218"/>
      <c r="AL119" s="264">
        <v>45145.565778634256</v>
      </c>
      <c r="AM119" s="86" t="s">
        <v>5598</v>
      </c>
      <c r="AN119" s="273">
        <f t="shared" ca="1" si="12"/>
        <v>24</v>
      </c>
      <c r="AO119" s="82">
        <f t="shared" ca="1" si="13"/>
        <v>19</v>
      </c>
      <c r="AP119" s="82" t="str">
        <f t="shared" ca="1" si="14"/>
        <v>-</v>
      </c>
    </row>
    <row r="120" spans="1:42">
      <c r="A120" s="211">
        <f>SUBTOTAL(103,$I$5:I120)</f>
        <v>116</v>
      </c>
      <c r="B120" s="1" t="s">
        <v>5988</v>
      </c>
      <c r="C120" s="1" t="s">
        <v>3199</v>
      </c>
      <c r="D120" s="4" t="s">
        <v>37</v>
      </c>
      <c r="E120" s="213" t="s">
        <v>4635</v>
      </c>
      <c r="F120" s="5" t="s">
        <v>129</v>
      </c>
      <c r="G120" s="7">
        <v>43466</v>
      </c>
      <c r="H120" s="7" t="s">
        <v>27</v>
      </c>
      <c r="I120" s="5" t="s">
        <v>5110</v>
      </c>
      <c r="J120" s="1" t="s">
        <v>1042</v>
      </c>
      <c r="K120" s="272" t="s">
        <v>6217</v>
      </c>
      <c r="L120" s="213">
        <v>43831</v>
      </c>
      <c r="M120" s="213">
        <v>45139</v>
      </c>
      <c r="N120" s="7">
        <v>45140</v>
      </c>
      <c r="O120" s="72" t="s">
        <v>6080</v>
      </c>
      <c r="Q120" s="3" t="s">
        <v>1093</v>
      </c>
      <c r="S120" s="6" t="s">
        <v>55</v>
      </c>
      <c r="U120" s="6" t="s">
        <v>12</v>
      </c>
      <c r="AC120" s="4" t="s">
        <v>6081</v>
      </c>
      <c r="AD120" s="4" t="s">
        <v>33</v>
      </c>
      <c r="AE120" s="1" t="s">
        <v>1055</v>
      </c>
      <c r="AF120" s="1" t="s">
        <v>6378</v>
      </c>
      <c r="AG120" s="1" t="s">
        <v>8</v>
      </c>
      <c r="AH120" s="102" t="s">
        <v>68</v>
      </c>
      <c r="AI120" s="1" t="s">
        <v>5556</v>
      </c>
      <c r="AL120" s="280">
        <v>45148.68487488426</v>
      </c>
      <c r="AM120" s="86" t="s">
        <v>54</v>
      </c>
      <c r="AN120" s="273">
        <f t="shared" ca="1" si="12"/>
        <v>23</v>
      </c>
      <c r="AO120" s="82" t="str">
        <f t="shared" ca="1" si="13"/>
        <v>-</v>
      </c>
      <c r="AP120" s="82" t="str">
        <f t="shared" ca="1" si="14"/>
        <v>-</v>
      </c>
    </row>
    <row r="121" spans="1:42">
      <c r="A121" s="211">
        <f>SUBTOTAL(103,$I$5:I121)</f>
        <v>117</v>
      </c>
      <c r="B121" s="1" t="s">
        <v>5993</v>
      </c>
      <c r="C121" s="1" t="s">
        <v>3199</v>
      </c>
      <c r="D121" s="4" t="s">
        <v>3299</v>
      </c>
      <c r="E121" s="213"/>
      <c r="F121" s="5" t="s">
        <v>129</v>
      </c>
      <c r="G121" s="7">
        <v>45028</v>
      </c>
      <c r="H121" s="7" t="s">
        <v>16</v>
      </c>
      <c r="I121" s="5" t="s">
        <v>5994</v>
      </c>
      <c r="J121" s="1" t="s">
        <v>39</v>
      </c>
      <c r="K121" s="272" t="s">
        <v>6219</v>
      </c>
      <c r="L121" s="213">
        <v>45394</v>
      </c>
      <c r="M121" s="213">
        <v>45139.791435185187</v>
      </c>
      <c r="N121" s="7">
        <v>45146.529606481483</v>
      </c>
      <c r="O121" s="72" t="s">
        <v>6082</v>
      </c>
      <c r="P121" s="288" t="s">
        <v>2</v>
      </c>
      <c r="Q121" s="3" t="s">
        <v>6094</v>
      </c>
      <c r="S121" s="6" t="s">
        <v>55</v>
      </c>
      <c r="U121" s="6" t="s">
        <v>12</v>
      </c>
      <c r="AC121" s="4" t="s">
        <v>6091</v>
      </c>
      <c r="AD121" s="4" t="s">
        <v>53</v>
      </c>
      <c r="AE121" s="1" t="s">
        <v>28</v>
      </c>
      <c r="AF121" s="1" t="s">
        <v>6092</v>
      </c>
      <c r="AG121" s="1" t="s">
        <v>8</v>
      </c>
      <c r="AH121" s="102" t="s">
        <v>68</v>
      </c>
      <c r="AI121" s="1" t="s">
        <v>5556</v>
      </c>
      <c r="AL121" s="280">
        <v>45148.699228275465</v>
      </c>
      <c r="AM121" s="86" t="s">
        <v>18</v>
      </c>
      <c r="AN121" s="273">
        <f t="shared" ca="1" si="12"/>
        <v>23</v>
      </c>
      <c r="AO121" s="82" t="str">
        <f t="shared" ca="1" si="13"/>
        <v>-</v>
      </c>
      <c r="AP121" s="82" t="str">
        <f t="shared" ca="1" si="14"/>
        <v>-</v>
      </c>
    </row>
    <row r="122" spans="1:42">
      <c r="A122" s="211">
        <f>SUBTOTAL(103,$I$5:I122)</f>
        <v>118</v>
      </c>
      <c r="B122" s="1" t="s">
        <v>5995</v>
      </c>
      <c r="C122" s="1" t="s">
        <v>3199</v>
      </c>
      <c r="D122" s="4" t="s">
        <v>3299</v>
      </c>
      <c r="E122" s="213"/>
      <c r="F122" s="5" t="s">
        <v>129</v>
      </c>
      <c r="G122" s="7">
        <v>45028</v>
      </c>
      <c r="H122" s="7" t="s">
        <v>58</v>
      </c>
      <c r="I122" s="5" t="s">
        <v>5996</v>
      </c>
      <c r="J122" s="1" t="s">
        <v>1043</v>
      </c>
      <c r="K122" s="272" t="s">
        <v>6219</v>
      </c>
      <c r="L122" s="213">
        <v>45394</v>
      </c>
      <c r="M122" s="213">
        <v>45139.791886574072</v>
      </c>
      <c r="N122" s="7">
        <v>45146.671018518522</v>
      </c>
      <c r="O122" s="72" t="s">
        <v>6083</v>
      </c>
      <c r="P122" s="288" t="s">
        <v>2</v>
      </c>
      <c r="Q122" s="3" t="s">
        <v>6095</v>
      </c>
      <c r="S122" s="6" t="s">
        <v>55</v>
      </c>
      <c r="U122" s="6" t="s">
        <v>12</v>
      </c>
      <c r="AC122" s="4" t="s">
        <v>6093</v>
      </c>
      <c r="AD122" s="4" t="s">
        <v>53</v>
      </c>
      <c r="AE122" s="1" t="s">
        <v>28</v>
      </c>
      <c r="AF122" s="1" t="s">
        <v>6092</v>
      </c>
      <c r="AG122" s="1" t="s">
        <v>8</v>
      </c>
      <c r="AH122" s="102" t="s">
        <v>68</v>
      </c>
      <c r="AI122" s="1" t="s">
        <v>5556</v>
      </c>
      <c r="AL122" s="280">
        <v>45148.688562916665</v>
      </c>
      <c r="AM122" s="86" t="s">
        <v>54</v>
      </c>
      <c r="AN122" s="273">
        <f t="shared" ca="1" si="12"/>
        <v>23</v>
      </c>
      <c r="AO122" s="82" t="str">
        <f t="shared" ca="1" si="13"/>
        <v>-</v>
      </c>
      <c r="AP122" s="82" t="str">
        <f t="shared" ca="1" si="14"/>
        <v>-</v>
      </c>
    </row>
    <row r="123" spans="1:42">
      <c r="A123" s="211">
        <f>SUBTOTAL(103,$I$5:I123)</f>
        <v>119</v>
      </c>
      <c r="B123" s="1" t="s">
        <v>5997</v>
      </c>
      <c r="C123" s="1" t="s">
        <v>3199</v>
      </c>
      <c r="D123" s="4" t="s">
        <v>2431</v>
      </c>
      <c r="E123" s="213"/>
      <c r="F123" s="5" t="s">
        <v>129</v>
      </c>
      <c r="G123" s="7">
        <v>42530</v>
      </c>
      <c r="H123" s="7" t="s">
        <v>36</v>
      </c>
      <c r="I123" s="5" t="s">
        <v>3123</v>
      </c>
      <c r="J123" s="1" t="s">
        <v>39</v>
      </c>
      <c r="K123" s="272" t="s">
        <v>6219</v>
      </c>
      <c r="L123" s="213">
        <v>42912</v>
      </c>
      <c r="M123" s="213">
        <v>45140.625011574077</v>
      </c>
      <c r="N123" s="7">
        <v>45147.535983796297</v>
      </c>
      <c r="O123" s="72" t="s">
        <v>6150</v>
      </c>
      <c r="P123" s="288" t="s">
        <v>2</v>
      </c>
      <c r="Q123" s="3" t="s">
        <v>6045</v>
      </c>
      <c r="S123" s="6" t="s">
        <v>55</v>
      </c>
      <c r="U123" s="6" t="s">
        <v>12</v>
      </c>
      <c r="AD123" s="4" t="s">
        <v>53</v>
      </c>
      <c r="AE123" s="1" t="s">
        <v>28</v>
      </c>
      <c r="AF123" s="1" t="s">
        <v>6151</v>
      </c>
      <c r="AG123" s="1" t="s">
        <v>8</v>
      </c>
      <c r="AH123" s="102" t="s">
        <v>68</v>
      </c>
      <c r="AI123" s="1" t="s">
        <v>5406</v>
      </c>
      <c r="AL123" s="264">
        <v>45153.54692724537</v>
      </c>
      <c r="AM123" s="86" t="s">
        <v>54</v>
      </c>
      <c r="AN123" s="273">
        <f t="shared" ca="1" si="12"/>
        <v>22</v>
      </c>
      <c r="AO123" s="82" t="str">
        <f t="shared" ca="1" si="13"/>
        <v>-</v>
      </c>
      <c r="AP123" s="82" t="str">
        <f t="shared" ca="1" si="14"/>
        <v>-</v>
      </c>
    </row>
    <row r="124" spans="1:42">
      <c r="A124" s="211">
        <f>SUBTOTAL(103,$I$5:I124)</f>
        <v>120</v>
      </c>
      <c r="B124" s="1" t="s">
        <v>6024</v>
      </c>
      <c r="C124" s="1" t="s">
        <v>3199</v>
      </c>
      <c r="D124" s="4" t="s">
        <v>1990</v>
      </c>
      <c r="E124" s="213"/>
      <c r="F124" s="5" t="s">
        <v>129</v>
      </c>
      <c r="G124" s="7">
        <v>45006</v>
      </c>
      <c r="H124" s="7" t="s">
        <v>16</v>
      </c>
      <c r="I124" s="5" t="s">
        <v>5012</v>
      </c>
      <c r="J124" s="1" t="s">
        <v>39</v>
      </c>
      <c r="K124" s="272" t="s">
        <v>6219</v>
      </c>
      <c r="L124" s="213">
        <v>45372</v>
      </c>
      <c r="M124" s="213">
        <v>45141.720381944448</v>
      </c>
      <c r="N124" s="7">
        <v>45146.741828703707</v>
      </c>
      <c r="O124" s="72" t="s">
        <v>6084</v>
      </c>
      <c r="P124" s="288" t="s">
        <v>2</v>
      </c>
      <c r="Q124" s="3" t="s">
        <v>6046</v>
      </c>
      <c r="S124" s="6" t="s">
        <v>55</v>
      </c>
      <c r="U124" s="6" t="s">
        <v>12</v>
      </c>
      <c r="AC124" s="4" t="s">
        <v>6085</v>
      </c>
      <c r="AD124" s="4" t="s">
        <v>53</v>
      </c>
      <c r="AE124" s="1" t="s">
        <v>28</v>
      </c>
      <c r="AF124" s="1" t="s">
        <v>6092</v>
      </c>
      <c r="AG124" s="1" t="s">
        <v>8</v>
      </c>
      <c r="AH124" s="102" t="s">
        <v>68</v>
      </c>
      <c r="AI124" s="1" t="s">
        <v>5556</v>
      </c>
      <c r="AL124" s="264">
        <v>45148.699405370367</v>
      </c>
      <c r="AM124" s="86" t="s">
        <v>18</v>
      </c>
      <c r="AN124" s="273">
        <f t="shared" ca="1" si="12"/>
        <v>21</v>
      </c>
      <c r="AO124" s="82" t="str">
        <f t="shared" ca="1" si="13"/>
        <v>-</v>
      </c>
      <c r="AP124" s="82" t="str">
        <f t="shared" ca="1" si="14"/>
        <v>-</v>
      </c>
    </row>
    <row r="125" spans="1:42">
      <c r="A125" s="211">
        <f>SUBTOTAL(103,$I$5:I125)</f>
        <v>121</v>
      </c>
      <c r="B125" s="1" t="s">
        <v>6028</v>
      </c>
      <c r="C125" s="1" t="s">
        <v>3199</v>
      </c>
      <c r="D125" s="4" t="s">
        <v>3041</v>
      </c>
      <c r="E125" s="213" t="s">
        <v>2959</v>
      </c>
      <c r="F125" s="5" t="s">
        <v>129</v>
      </c>
      <c r="H125" s="7" t="s">
        <v>1121</v>
      </c>
      <c r="I125" s="5" t="s">
        <v>2148</v>
      </c>
      <c r="J125" s="1" t="s">
        <v>39</v>
      </c>
      <c r="K125" s="272" t="s">
        <v>6224</v>
      </c>
      <c r="L125" s="213">
        <v>43150</v>
      </c>
      <c r="M125" s="213">
        <v>45142</v>
      </c>
      <c r="N125" s="7">
        <v>45147</v>
      </c>
      <c r="O125" s="72" t="s">
        <v>6105</v>
      </c>
      <c r="P125" s="288" t="s">
        <v>2</v>
      </c>
      <c r="Q125" s="3" t="s">
        <v>6047</v>
      </c>
      <c r="R125" s="228">
        <v>9872</v>
      </c>
      <c r="S125" s="6">
        <v>45152</v>
      </c>
      <c r="U125" s="6" t="s">
        <v>12</v>
      </c>
      <c r="AC125" s="4" t="s">
        <v>6086</v>
      </c>
      <c r="AD125" s="4" t="s">
        <v>53</v>
      </c>
      <c r="AE125" s="1" t="s">
        <v>35</v>
      </c>
      <c r="AF125" s="104" t="s">
        <v>6208</v>
      </c>
      <c r="AG125" s="104" t="s">
        <v>6359</v>
      </c>
      <c r="AH125" s="102" t="s">
        <v>68</v>
      </c>
      <c r="AI125" s="1" t="s">
        <v>5558</v>
      </c>
      <c r="AL125" s="264">
        <v>45148.729205451389</v>
      </c>
      <c r="AM125" s="86" t="s">
        <v>54</v>
      </c>
      <c r="AN125" s="273">
        <f t="shared" ca="1" si="12"/>
        <v>20</v>
      </c>
      <c r="AO125" s="82">
        <f t="shared" ca="1" si="13"/>
        <v>14</v>
      </c>
      <c r="AP125" s="82" t="str">
        <f t="shared" ca="1" si="14"/>
        <v>-</v>
      </c>
    </row>
    <row r="126" spans="1:42">
      <c r="A126" s="211">
        <f>SUBTOTAL(103,$I$5:I126)</f>
        <v>122</v>
      </c>
      <c r="B126" s="1" t="s">
        <v>6048</v>
      </c>
      <c r="C126" s="1" t="s">
        <v>3199</v>
      </c>
      <c r="D126" s="4" t="s">
        <v>21</v>
      </c>
      <c r="E126" s="213" t="s">
        <v>4635</v>
      </c>
      <c r="F126" s="5" t="s">
        <v>129</v>
      </c>
      <c r="G126" s="7">
        <v>44250</v>
      </c>
      <c r="H126" s="7" t="s">
        <v>30</v>
      </c>
      <c r="I126" s="5" t="s">
        <v>2644</v>
      </c>
      <c r="J126" s="1" t="s">
        <v>39</v>
      </c>
      <c r="K126" s="272" t="s">
        <v>6216</v>
      </c>
      <c r="L126" s="213">
        <v>44621</v>
      </c>
      <c r="M126" s="213">
        <v>45145.570960648147</v>
      </c>
      <c r="N126" s="7">
        <v>45148.519305555557</v>
      </c>
      <c r="O126" s="72" t="s">
        <v>6087</v>
      </c>
      <c r="P126" s="288" t="s">
        <v>2</v>
      </c>
      <c r="Q126" s="3" t="s">
        <v>6049</v>
      </c>
      <c r="U126" s="6" t="s">
        <v>12</v>
      </c>
      <c r="AC126" s="4" t="s">
        <v>6106</v>
      </c>
      <c r="AD126" s="4" t="s">
        <v>1120</v>
      </c>
      <c r="AE126" s="1" t="s">
        <v>1029</v>
      </c>
      <c r="AG126" s="1" t="s">
        <v>6391</v>
      </c>
      <c r="AH126" s="102" t="s">
        <v>68</v>
      </c>
      <c r="AI126" s="1" t="s">
        <v>5558</v>
      </c>
      <c r="AL126" s="264">
        <v>45149.773263171293</v>
      </c>
      <c r="AM126" s="86" t="s">
        <v>54</v>
      </c>
      <c r="AN126" s="273">
        <f t="shared" ca="1" si="12"/>
        <v>19</v>
      </c>
      <c r="AO126" s="82" t="str">
        <f t="shared" ca="1" si="13"/>
        <v>-</v>
      </c>
      <c r="AP126" s="82" t="str">
        <f t="shared" ca="1" si="14"/>
        <v>-</v>
      </c>
    </row>
    <row r="127" spans="1:42">
      <c r="A127" s="211">
        <f>SUBTOTAL(103,$I$5:I127)</f>
        <v>123</v>
      </c>
      <c r="B127" s="211" t="s">
        <v>5307</v>
      </c>
      <c r="C127" s="212" t="s">
        <v>3199</v>
      </c>
      <c r="D127" s="229" t="s">
        <v>2581</v>
      </c>
      <c r="E127" s="213" t="s">
        <v>2959</v>
      </c>
      <c r="F127" s="213" t="s">
        <v>129</v>
      </c>
      <c r="G127" s="213">
        <v>43523</v>
      </c>
      <c r="H127" s="213" t="s">
        <v>64</v>
      </c>
      <c r="I127" s="211" t="s">
        <v>5308</v>
      </c>
      <c r="J127" s="213" t="s">
        <v>1043</v>
      </c>
      <c r="K127" s="214" t="s">
        <v>6222</v>
      </c>
      <c r="L127" s="213">
        <v>43888</v>
      </c>
      <c r="M127" s="213">
        <v>45061.769814814812</v>
      </c>
      <c r="N127" s="213">
        <v>45068.567060185182</v>
      </c>
      <c r="O127" s="220" t="s">
        <v>5393</v>
      </c>
      <c r="P127" s="215" t="s">
        <v>3</v>
      </c>
      <c r="Q127" s="215" t="s">
        <v>5430</v>
      </c>
      <c r="R127" s="226">
        <v>235</v>
      </c>
      <c r="S127" s="215">
        <v>45082</v>
      </c>
      <c r="T127" s="215"/>
      <c r="U127" s="215"/>
      <c r="V127" s="215"/>
      <c r="W127" s="215"/>
      <c r="Y127" s="215"/>
      <c r="Z127" s="215"/>
      <c r="AA127" s="215"/>
      <c r="AB127" s="215"/>
      <c r="AC127" s="220" t="s">
        <v>5394</v>
      </c>
      <c r="AD127" s="220" t="s">
        <v>1120</v>
      </c>
      <c r="AE127" s="104" t="s">
        <v>35</v>
      </c>
      <c r="AF127" s="104" t="s">
        <v>6208</v>
      </c>
      <c r="AG127" s="104" t="s">
        <v>6367</v>
      </c>
      <c r="AH127" s="218" t="s">
        <v>68</v>
      </c>
      <c r="AI127" s="218" t="s">
        <v>5555</v>
      </c>
      <c r="AJ127" s="218"/>
      <c r="AK127" s="218"/>
      <c r="AL127" s="263">
        <v>45085.736418935187</v>
      </c>
      <c r="AM127" s="219" t="s">
        <v>54</v>
      </c>
      <c r="AN127" s="273">
        <f t="shared" ca="1" si="12"/>
        <v>79</v>
      </c>
      <c r="AO127" s="82">
        <f t="shared" ca="1" si="13"/>
        <v>64</v>
      </c>
      <c r="AP127" s="82" t="str">
        <f t="shared" ca="1" si="14"/>
        <v>-</v>
      </c>
    </row>
    <row r="128" spans="1:42">
      <c r="A128" s="211">
        <f>SUBTOTAL(103,$I$5:I128)</f>
        <v>124</v>
      </c>
      <c r="B128" s="211" t="s">
        <v>5309</v>
      </c>
      <c r="C128" s="212" t="s">
        <v>3199</v>
      </c>
      <c r="D128" s="229" t="s">
        <v>2581</v>
      </c>
      <c r="E128" s="213" t="s">
        <v>2959</v>
      </c>
      <c r="F128" s="213" t="s">
        <v>129</v>
      </c>
      <c r="G128" s="213">
        <v>43494</v>
      </c>
      <c r="H128" s="213" t="s">
        <v>64</v>
      </c>
      <c r="I128" s="211" t="s">
        <v>2582</v>
      </c>
      <c r="J128" s="213" t="s">
        <v>1043</v>
      </c>
      <c r="K128" s="214" t="s">
        <v>6222</v>
      </c>
      <c r="L128" s="213">
        <v>43859</v>
      </c>
      <c r="M128" s="213">
        <v>45061.770335648151</v>
      </c>
      <c r="N128" s="213">
        <v>45068.660555555558</v>
      </c>
      <c r="O128" s="220" t="s">
        <v>5395</v>
      </c>
      <c r="P128" s="215" t="s">
        <v>2</v>
      </c>
      <c r="Q128" s="215" t="s">
        <v>5431</v>
      </c>
      <c r="R128" s="226">
        <v>2342</v>
      </c>
      <c r="S128" s="215">
        <v>45082</v>
      </c>
      <c r="T128" s="215"/>
      <c r="U128" s="215"/>
      <c r="V128" s="215"/>
      <c r="W128" s="215"/>
      <c r="Y128" s="215"/>
      <c r="Z128" s="215"/>
      <c r="AA128" s="215"/>
      <c r="AB128" s="215"/>
      <c r="AC128" s="220" t="s">
        <v>5396</v>
      </c>
      <c r="AD128" s="220" t="s">
        <v>33</v>
      </c>
      <c r="AE128" s="104" t="s">
        <v>35</v>
      </c>
      <c r="AF128" s="104" t="s">
        <v>6208</v>
      </c>
      <c r="AG128" s="104" t="s">
        <v>6366</v>
      </c>
      <c r="AH128" s="218" t="s">
        <v>68</v>
      </c>
      <c r="AI128" s="218" t="s">
        <v>5555</v>
      </c>
      <c r="AJ128" s="218"/>
      <c r="AK128" s="218"/>
      <c r="AL128" s="263">
        <v>45085.736572256945</v>
      </c>
      <c r="AM128" s="219" t="s">
        <v>54</v>
      </c>
      <c r="AN128" s="273">
        <f t="shared" ca="1" si="12"/>
        <v>79</v>
      </c>
      <c r="AO128" s="82">
        <f t="shared" ca="1" si="13"/>
        <v>64</v>
      </c>
      <c r="AP128" s="82" t="str">
        <f t="shared" ca="1" si="14"/>
        <v>-</v>
      </c>
    </row>
    <row r="129" spans="1:42">
      <c r="A129" s="211">
        <f>SUBTOTAL(103,$I$5:I129)</f>
        <v>125</v>
      </c>
      <c r="B129" s="211" t="s">
        <v>5917</v>
      </c>
      <c r="C129" s="212" t="s">
        <v>3199</v>
      </c>
      <c r="D129" s="229" t="s">
        <v>4330</v>
      </c>
      <c r="E129" s="213"/>
      <c r="F129" s="213" t="s">
        <v>129</v>
      </c>
      <c r="G129" s="213">
        <v>42324</v>
      </c>
      <c r="H129" s="213" t="s">
        <v>1103</v>
      </c>
      <c r="I129" s="211" t="s">
        <v>4331</v>
      </c>
      <c r="J129" s="213" t="s">
        <v>1043</v>
      </c>
      <c r="K129" s="214" t="s">
        <v>6219</v>
      </c>
      <c r="L129" s="213">
        <v>42699</v>
      </c>
      <c r="M129" s="213">
        <v>45132.745972222219</v>
      </c>
      <c r="N129" s="213">
        <v>45133.50167824074</v>
      </c>
      <c r="O129" s="215" t="s">
        <v>5918</v>
      </c>
      <c r="P129" s="215" t="s">
        <v>2</v>
      </c>
      <c r="Q129" s="215" t="s">
        <v>5919</v>
      </c>
      <c r="R129" s="226">
        <v>4306</v>
      </c>
      <c r="S129" s="215">
        <v>45135</v>
      </c>
      <c r="T129" s="215"/>
      <c r="U129" s="215"/>
      <c r="V129" s="215"/>
      <c r="W129" s="216"/>
      <c r="Y129" s="215"/>
      <c r="Z129" s="215"/>
      <c r="AA129" s="215"/>
      <c r="AB129" s="215"/>
      <c r="AC129" s="220" t="s">
        <v>5920</v>
      </c>
      <c r="AD129" s="220" t="s">
        <v>33</v>
      </c>
      <c r="AE129" s="104" t="s">
        <v>35</v>
      </c>
      <c r="AF129" s="104" t="s">
        <v>6208</v>
      </c>
      <c r="AG129" s="104" t="s">
        <v>6365</v>
      </c>
      <c r="AH129" s="218" t="s">
        <v>68</v>
      </c>
      <c r="AI129" s="218" t="s">
        <v>5555</v>
      </c>
      <c r="AJ129" s="218"/>
      <c r="AK129" s="218"/>
      <c r="AL129" s="263">
        <v>45138.751963344905</v>
      </c>
      <c r="AM129" s="219" t="s">
        <v>5598</v>
      </c>
      <c r="AN129" s="273">
        <f t="shared" ca="1" si="12"/>
        <v>28</v>
      </c>
      <c r="AO129" s="82">
        <f t="shared" ca="1" si="13"/>
        <v>25</v>
      </c>
      <c r="AP129" s="82" t="str">
        <f t="shared" ca="1" si="14"/>
        <v>-</v>
      </c>
    </row>
    <row r="130" spans="1:42">
      <c r="A130" s="211">
        <f>SUBTOTAL(103,$I$5:I130)</f>
        <v>126</v>
      </c>
      <c r="B130" s="211" t="s">
        <v>5061</v>
      </c>
      <c r="C130" s="212" t="s">
        <v>3199</v>
      </c>
      <c r="D130" s="229" t="s">
        <v>71</v>
      </c>
      <c r="E130" s="213" t="s">
        <v>2959</v>
      </c>
      <c r="F130" s="213" t="s">
        <v>129</v>
      </c>
      <c r="G130" s="213">
        <v>43891</v>
      </c>
      <c r="H130" s="213" t="s">
        <v>49</v>
      </c>
      <c r="I130" s="211" t="s">
        <v>1157</v>
      </c>
      <c r="J130" s="213" t="s">
        <v>39</v>
      </c>
      <c r="K130" s="214" t="s">
        <v>6215</v>
      </c>
      <c r="L130" s="213">
        <v>44256</v>
      </c>
      <c r="M130" s="213">
        <v>45027.637928240743</v>
      </c>
      <c r="N130" s="213">
        <v>45030.752847222226</v>
      </c>
      <c r="O130" s="220" t="s">
        <v>5120</v>
      </c>
      <c r="P130" s="215" t="s">
        <v>2</v>
      </c>
      <c r="Q130" s="215" t="s">
        <v>5282</v>
      </c>
      <c r="R130" s="226">
        <v>6238</v>
      </c>
      <c r="S130" s="215">
        <v>45044</v>
      </c>
      <c r="T130" s="215"/>
      <c r="U130" s="215"/>
      <c r="V130" s="215"/>
      <c r="W130" s="215"/>
      <c r="Y130" s="215"/>
      <c r="Z130" s="215"/>
      <c r="AA130" s="215"/>
      <c r="AB130" s="215"/>
      <c r="AC130" s="220" t="s">
        <v>5101</v>
      </c>
      <c r="AD130" s="220" t="s">
        <v>1120</v>
      </c>
      <c r="AE130" s="104" t="s">
        <v>35</v>
      </c>
      <c r="AF130" s="104" t="s">
        <v>6208</v>
      </c>
      <c r="AG130" s="104" t="s">
        <v>6368</v>
      </c>
      <c r="AH130" s="218" t="s">
        <v>68</v>
      </c>
      <c r="AI130" s="218" t="s">
        <v>5558</v>
      </c>
      <c r="AJ130" s="218"/>
      <c r="AK130" s="218"/>
      <c r="AL130" s="263">
        <v>45162.468478877316</v>
      </c>
      <c r="AM130" s="219" t="s">
        <v>54</v>
      </c>
      <c r="AN130" s="273">
        <f t="shared" ca="1" si="12"/>
        <v>103</v>
      </c>
      <c r="AO130" s="82">
        <f t="shared" ca="1" si="13"/>
        <v>90</v>
      </c>
      <c r="AP130" s="82" t="str">
        <f t="shared" ca="1" si="14"/>
        <v>-</v>
      </c>
    </row>
    <row r="131" spans="1:42">
      <c r="A131" s="211">
        <f>SUBTOTAL(103,$I$5:I131)</f>
        <v>127</v>
      </c>
      <c r="B131" s="1" t="s">
        <v>6056</v>
      </c>
      <c r="C131" s="1" t="s">
        <v>3199</v>
      </c>
      <c r="D131" s="4" t="s">
        <v>21</v>
      </c>
      <c r="E131" s="213" t="s">
        <v>4635</v>
      </c>
      <c r="F131" s="5" t="s">
        <v>129</v>
      </c>
      <c r="G131" s="7">
        <v>43702</v>
      </c>
      <c r="H131" s="7" t="s">
        <v>1169</v>
      </c>
      <c r="I131" s="5" t="s">
        <v>3702</v>
      </c>
      <c r="J131" s="1" t="s">
        <v>1043</v>
      </c>
      <c r="K131" s="272" t="s">
        <v>6221</v>
      </c>
      <c r="L131" s="213">
        <v>44068</v>
      </c>
      <c r="M131" s="213">
        <v>45145</v>
      </c>
      <c r="N131" s="7">
        <v>45152</v>
      </c>
      <c r="O131" s="72" t="s">
        <v>6191</v>
      </c>
      <c r="P131" s="288" t="s">
        <v>3</v>
      </c>
      <c r="Q131" s="3" t="s">
        <v>1666</v>
      </c>
      <c r="S131" s="6" t="s">
        <v>66</v>
      </c>
      <c r="U131" s="6" t="s">
        <v>12</v>
      </c>
      <c r="AC131" s="4" t="s">
        <v>6192</v>
      </c>
      <c r="AD131" s="4" t="s">
        <v>53</v>
      </c>
      <c r="AE131" s="1" t="s">
        <v>28</v>
      </c>
      <c r="AF131" s="1" t="s">
        <v>66</v>
      </c>
      <c r="AG131" s="1" t="s">
        <v>6375</v>
      </c>
      <c r="AH131" s="102" t="s">
        <v>68</v>
      </c>
      <c r="AI131" s="1" t="s">
        <v>5558</v>
      </c>
      <c r="AL131" s="264">
        <v>45152.84792320602</v>
      </c>
      <c r="AM131" s="86" t="s">
        <v>54</v>
      </c>
      <c r="AN131" s="273">
        <f t="shared" ca="1" si="12"/>
        <v>19</v>
      </c>
      <c r="AO131" s="82" t="str">
        <f t="shared" ca="1" si="13"/>
        <v>-</v>
      </c>
      <c r="AP131" s="82" t="str">
        <f t="shared" ca="1" si="14"/>
        <v>-</v>
      </c>
    </row>
    <row r="132" spans="1:42">
      <c r="A132" s="211">
        <f>SUBTOTAL(103,$I$5:I132)</f>
        <v>128</v>
      </c>
      <c r="B132" s="211" t="s">
        <v>5062</v>
      </c>
      <c r="C132" s="212" t="s">
        <v>3199</v>
      </c>
      <c r="D132" s="229" t="s">
        <v>71</v>
      </c>
      <c r="E132" s="213" t="s">
        <v>2959</v>
      </c>
      <c r="F132" s="213" t="s">
        <v>129</v>
      </c>
      <c r="G132" s="213">
        <v>43891</v>
      </c>
      <c r="H132" s="213" t="s">
        <v>51</v>
      </c>
      <c r="I132" s="211" t="s">
        <v>1128</v>
      </c>
      <c r="J132" s="213" t="s">
        <v>1043</v>
      </c>
      <c r="K132" s="214" t="s">
        <v>6215</v>
      </c>
      <c r="L132" s="213">
        <v>44256</v>
      </c>
      <c r="M132" s="213">
        <v>45027.638437499998</v>
      </c>
      <c r="N132" s="213">
        <v>45030.800208333334</v>
      </c>
      <c r="O132" s="220" t="s">
        <v>5121</v>
      </c>
      <c r="P132" s="215" t="s">
        <v>2</v>
      </c>
      <c r="Q132" s="215" t="s">
        <v>5283</v>
      </c>
      <c r="R132" s="226">
        <v>14180</v>
      </c>
      <c r="S132" s="215">
        <v>45044</v>
      </c>
      <c r="T132" s="215"/>
      <c r="U132" s="215"/>
      <c r="V132" s="215"/>
      <c r="W132" s="215"/>
      <c r="Y132" s="215"/>
      <c r="Z132" s="215"/>
      <c r="AA132" s="215"/>
      <c r="AB132" s="215"/>
      <c r="AC132" s="220" t="s">
        <v>5102</v>
      </c>
      <c r="AD132" s="220" t="s">
        <v>1120</v>
      </c>
      <c r="AE132" s="104" t="s">
        <v>35</v>
      </c>
      <c r="AF132" s="104" t="s">
        <v>6208</v>
      </c>
      <c r="AG132" s="104" t="s">
        <v>6368</v>
      </c>
      <c r="AH132" s="218" t="s">
        <v>68</v>
      </c>
      <c r="AI132" s="218" t="s">
        <v>5555</v>
      </c>
      <c r="AJ132" s="218"/>
      <c r="AK132" s="218"/>
      <c r="AL132" s="263">
        <v>45133.72479310185</v>
      </c>
      <c r="AM132" s="219" t="s">
        <v>5598</v>
      </c>
      <c r="AN132" s="273">
        <f t="shared" ca="1" si="12"/>
        <v>103</v>
      </c>
      <c r="AO132" s="82">
        <f t="shared" ca="1" si="13"/>
        <v>90</v>
      </c>
      <c r="AP132" s="82" t="str">
        <f t="shared" ca="1" si="14"/>
        <v>-</v>
      </c>
    </row>
    <row r="133" spans="1:42">
      <c r="A133" s="211">
        <f>SUBTOTAL(103,$I$5:I133)</f>
        <v>129</v>
      </c>
      <c r="B133" s="1" t="s">
        <v>6058</v>
      </c>
      <c r="C133" s="1" t="s">
        <v>1714</v>
      </c>
      <c r="D133" s="4" t="s">
        <v>41</v>
      </c>
      <c r="E133" s="213"/>
      <c r="F133" s="5" t="s">
        <v>129</v>
      </c>
      <c r="G133" s="7">
        <v>40841</v>
      </c>
      <c r="H133" s="7" t="s">
        <v>45</v>
      </c>
      <c r="I133" s="5" t="s">
        <v>1955</v>
      </c>
      <c r="J133" s="1" t="s">
        <v>1042</v>
      </c>
      <c r="K133" s="272" t="s">
        <v>6217</v>
      </c>
      <c r="M133" s="213">
        <v>45145.574143518519</v>
      </c>
      <c r="N133" s="7">
        <v>45154.715914351851</v>
      </c>
      <c r="P133" s="288" t="s">
        <v>3</v>
      </c>
      <c r="Q133" s="3" t="s">
        <v>4871</v>
      </c>
      <c r="U133" s="6" t="s">
        <v>12</v>
      </c>
      <c r="AC133" s="4" t="s">
        <v>6155</v>
      </c>
      <c r="AD133" s="4" t="s">
        <v>53</v>
      </c>
      <c r="AE133" s="1" t="s">
        <v>6156</v>
      </c>
      <c r="AG133" s="1" t="s">
        <v>6385</v>
      </c>
      <c r="AH133" s="102" t="s">
        <v>68</v>
      </c>
      <c r="AI133" s="1" t="s">
        <v>5559</v>
      </c>
      <c r="AL133" s="264">
        <v>45156.809964814813</v>
      </c>
      <c r="AM133" s="86" t="s">
        <v>54</v>
      </c>
      <c r="AN133" s="273">
        <f t="shared" ca="1" si="12"/>
        <v>19</v>
      </c>
      <c r="AO133" s="82" t="str">
        <f t="shared" ca="1" si="13"/>
        <v>-</v>
      </c>
      <c r="AP133" s="82" t="str">
        <f t="shared" ca="1" si="14"/>
        <v>-</v>
      </c>
    </row>
    <row r="134" spans="1:42">
      <c r="A134" s="211">
        <f>SUBTOTAL(103,$I$5:I134)</f>
        <v>130</v>
      </c>
      <c r="B134" s="1" t="s">
        <v>6059</v>
      </c>
      <c r="C134" s="1" t="s">
        <v>3199</v>
      </c>
      <c r="D134" s="4" t="s">
        <v>2927</v>
      </c>
      <c r="E134" s="213" t="s">
        <v>4676</v>
      </c>
      <c r="F134" s="5" t="s">
        <v>22</v>
      </c>
      <c r="G134" s="7">
        <v>41484</v>
      </c>
      <c r="H134" s="7" t="s">
        <v>19</v>
      </c>
      <c r="I134" s="5" t="s">
        <v>3530</v>
      </c>
      <c r="J134" s="1" t="s">
        <v>1244</v>
      </c>
      <c r="K134" s="272" t="s">
        <v>6219</v>
      </c>
      <c r="L134" s="213">
        <v>41849</v>
      </c>
      <c r="M134" s="213">
        <v>45145.630196759259</v>
      </c>
      <c r="N134" s="7">
        <v>45145.631030092591</v>
      </c>
      <c r="P134" s="288" t="s">
        <v>2</v>
      </c>
      <c r="Q134" s="3" t="s">
        <v>6060</v>
      </c>
      <c r="R134" s="228">
        <v>9805</v>
      </c>
      <c r="S134" s="6">
        <v>45145</v>
      </c>
      <c r="U134" s="6" t="s">
        <v>12</v>
      </c>
      <c r="AC134" s="4" t="s">
        <v>6088</v>
      </c>
      <c r="AD134" s="4" t="s">
        <v>103</v>
      </c>
      <c r="AE134" s="1" t="s">
        <v>35</v>
      </c>
      <c r="AF134" s="104" t="s">
        <v>6207</v>
      </c>
      <c r="AG134" s="104" t="s">
        <v>6374</v>
      </c>
      <c r="AH134" s="102" t="s">
        <v>68</v>
      </c>
      <c r="AI134" s="1" t="s">
        <v>5555</v>
      </c>
      <c r="AL134" s="264">
        <v>45145.824380439815</v>
      </c>
      <c r="AM134" s="86" t="s">
        <v>5598</v>
      </c>
      <c r="AN134" s="273">
        <f t="shared" ca="1" si="12"/>
        <v>19</v>
      </c>
      <c r="AO134" s="82">
        <f t="shared" ca="1" si="13"/>
        <v>19</v>
      </c>
      <c r="AP134" s="82" t="str">
        <f t="shared" ca="1" si="14"/>
        <v>-</v>
      </c>
    </row>
    <row r="135" spans="1:42">
      <c r="A135" s="211">
        <f>SUBTOTAL(103,$I$5:I135)</f>
        <v>131</v>
      </c>
      <c r="B135" s="211" t="s">
        <v>5763</v>
      </c>
      <c r="C135" s="212" t="s">
        <v>3198</v>
      </c>
      <c r="D135" s="229" t="s">
        <v>2933</v>
      </c>
      <c r="E135" s="213"/>
      <c r="F135" s="213" t="s">
        <v>129</v>
      </c>
      <c r="G135" s="213">
        <v>43723</v>
      </c>
      <c r="H135" s="213" t="s">
        <v>1123</v>
      </c>
      <c r="I135" s="211" t="s">
        <v>5764</v>
      </c>
      <c r="J135" s="213" t="s">
        <v>39</v>
      </c>
      <c r="K135" s="214" t="s">
        <v>6215</v>
      </c>
      <c r="L135" s="213">
        <v>44089</v>
      </c>
      <c r="M135" s="213">
        <v>45118.572476851848</v>
      </c>
      <c r="N135" s="213">
        <v>45125.800347222219</v>
      </c>
      <c r="O135" s="215" t="s">
        <v>5868</v>
      </c>
      <c r="P135" s="215" t="s">
        <v>2</v>
      </c>
      <c r="Q135" s="215" t="s">
        <v>5820</v>
      </c>
      <c r="R135" s="226">
        <v>16079</v>
      </c>
      <c r="S135" s="215">
        <v>45131</v>
      </c>
      <c r="T135" s="215"/>
      <c r="U135" s="215"/>
      <c r="V135" s="215"/>
      <c r="W135" s="216"/>
      <c r="Y135" s="215"/>
      <c r="Z135" s="215"/>
      <c r="AA135" s="215"/>
      <c r="AB135" s="215"/>
      <c r="AC135" s="220" t="s">
        <v>5869</v>
      </c>
      <c r="AD135" s="220">
        <v>45140.487623414352</v>
      </c>
      <c r="AE135" s="104" t="s">
        <v>2611</v>
      </c>
      <c r="AF135" s="104" t="s">
        <v>6369</v>
      </c>
      <c r="AG135" s="104"/>
      <c r="AH135" s="218" t="s">
        <v>68</v>
      </c>
      <c r="AI135" s="218" t="s">
        <v>5555</v>
      </c>
      <c r="AJ135" s="218"/>
      <c r="AK135" s="218"/>
      <c r="AL135" s="263">
        <v>45140.487623414352</v>
      </c>
      <c r="AM135" s="219" t="s">
        <v>54</v>
      </c>
      <c r="AN135" s="273">
        <f t="shared" ca="1" si="12"/>
        <v>38</v>
      </c>
      <c r="AO135" s="82">
        <f t="shared" ca="1" si="13"/>
        <v>29</v>
      </c>
      <c r="AP135" s="82" t="str">
        <f t="shared" ca="1" si="14"/>
        <v>-</v>
      </c>
    </row>
    <row r="136" spans="1:42">
      <c r="A136" s="211">
        <f>SUBTOTAL(103,$I$5:I136)</f>
        <v>132</v>
      </c>
      <c r="B136" s="1" t="s">
        <v>6062</v>
      </c>
      <c r="C136" s="1" t="s">
        <v>3199</v>
      </c>
      <c r="D136" s="4" t="s">
        <v>37</v>
      </c>
      <c r="E136" s="213" t="s">
        <v>4635</v>
      </c>
      <c r="F136" s="5" t="s">
        <v>129</v>
      </c>
      <c r="G136" s="7">
        <v>43825</v>
      </c>
      <c r="H136" s="7" t="s">
        <v>34</v>
      </c>
      <c r="I136" s="5" t="s">
        <v>6063</v>
      </c>
      <c r="J136" s="1" t="s">
        <v>1043</v>
      </c>
      <c r="K136" s="272" t="s">
        <v>6216</v>
      </c>
      <c r="L136" s="213">
        <v>44191</v>
      </c>
      <c r="M136" s="213">
        <v>45145</v>
      </c>
      <c r="N136" s="7">
        <v>45148</v>
      </c>
      <c r="P136" s="288" t="s">
        <v>3</v>
      </c>
      <c r="Q136" s="3" t="s">
        <v>1666</v>
      </c>
      <c r="S136" s="6" t="s">
        <v>66</v>
      </c>
      <c r="U136" s="6" t="s">
        <v>12</v>
      </c>
      <c r="AC136" s="4" t="s">
        <v>6158</v>
      </c>
      <c r="AD136" s="4" t="s">
        <v>1102</v>
      </c>
      <c r="AE136" s="1" t="s">
        <v>28</v>
      </c>
      <c r="AF136" s="1" t="s">
        <v>66</v>
      </c>
      <c r="AG136" s="1" t="s">
        <v>6375</v>
      </c>
      <c r="AH136" s="102" t="s">
        <v>68</v>
      </c>
      <c r="AI136" s="1" t="s">
        <v>5558</v>
      </c>
      <c r="AL136" s="264">
        <v>45156.776229699077</v>
      </c>
      <c r="AM136" s="86" t="s">
        <v>54</v>
      </c>
      <c r="AN136" s="273">
        <f t="shared" ref="AN136:AN141" ca="1" si="15">IF(M136="","-",NETWORKDAYS.INTL(M136,TODAY()))</f>
        <v>19</v>
      </c>
      <c r="AO136" s="82" t="str">
        <f t="shared" ref="AO136:AO141" ca="1" si="16">IF(S136&lt;&gt;"",IFERROR(NETWORKDAYS.INTL(S136,TODAY()),"-"),"-")</f>
        <v>-</v>
      </c>
      <c r="AP136" s="82" t="str">
        <f t="shared" ref="AP136:AP141" ca="1" si="17">IF(V136&lt;&gt;"",IF(W136&lt;&gt;"",NETWORKDAYS.INTL(V136,W136),NETWORKDAYS.INTL(V136,TODAY())),"-")</f>
        <v>-</v>
      </c>
    </row>
    <row r="137" spans="1:42">
      <c r="A137" s="211">
        <f>SUBTOTAL(103,$I$5:I137)</f>
        <v>133</v>
      </c>
      <c r="B137" s="1" t="s">
        <v>6064</v>
      </c>
      <c r="C137" s="1" t="s">
        <v>3199</v>
      </c>
      <c r="D137" s="4" t="s">
        <v>37</v>
      </c>
      <c r="E137" s="213" t="s">
        <v>4635</v>
      </c>
      <c r="F137" s="5" t="s">
        <v>129</v>
      </c>
      <c r="G137" s="7">
        <v>42753</v>
      </c>
      <c r="H137" s="7" t="s">
        <v>34</v>
      </c>
      <c r="I137" s="5" t="s">
        <v>3369</v>
      </c>
      <c r="J137" s="1" t="s">
        <v>1043</v>
      </c>
      <c r="K137" s="272" t="s">
        <v>6216</v>
      </c>
      <c r="L137" s="213">
        <v>43118</v>
      </c>
      <c r="M137" s="213">
        <v>45145</v>
      </c>
      <c r="N137" s="7">
        <v>45152</v>
      </c>
      <c r="P137" s="288" t="s">
        <v>2</v>
      </c>
      <c r="Q137" s="3" t="s">
        <v>6065</v>
      </c>
      <c r="R137" s="228">
        <v>2132</v>
      </c>
      <c r="S137" s="6">
        <v>45161</v>
      </c>
      <c r="U137" s="6" t="s">
        <v>12</v>
      </c>
      <c r="AC137" s="4" t="s">
        <v>6159</v>
      </c>
      <c r="AD137" s="4" t="s">
        <v>1102</v>
      </c>
      <c r="AE137" s="1" t="s">
        <v>35</v>
      </c>
      <c r="AF137" s="104" t="s">
        <v>6338</v>
      </c>
      <c r="AG137" s="104" t="s">
        <v>6363</v>
      </c>
      <c r="AH137" s="102" t="s">
        <v>68</v>
      </c>
      <c r="AI137" s="1" t="s">
        <v>5558</v>
      </c>
      <c r="AL137" s="264">
        <v>45156.774055520837</v>
      </c>
      <c r="AM137" s="86" t="s">
        <v>54</v>
      </c>
      <c r="AN137" s="273">
        <f t="shared" ca="1" si="15"/>
        <v>19</v>
      </c>
      <c r="AO137" s="82">
        <f t="shared" ca="1" si="16"/>
        <v>7</v>
      </c>
      <c r="AP137" s="82" t="str">
        <f t="shared" ca="1" si="17"/>
        <v>-</v>
      </c>
    </row>
    <row r="138" spans="1:42">
      <c r="A138" s="211">
        <f>SUBTOTAL(103,$I$5:I138)</f>
        <v>134</v>
      </c>
      <c r="B138" s="1" t="s">
        <v>6067</v>
      </c>
      <c r="C138" s="1" t="s">
        <v>3198</v>
      </c>
      <c r="D138" s="4" t="s">
        <v>3466</v>
      </c>
      <c r="E138" s="213" t="s">
        <v>4676</v>
      </c>
      <c r="F138" s="5" t="s">
        <v>22</v>
      </c>
      <c r="G138" s="7">
        <v>42633</v>
      </c>
      <c r="H138" s="7" t="s">
        <v>3538</v>
      </c>
      <c r="I138" s="5" t="s">
        <v>3554</v>
      </c>
      <c r="J138" s="1" t="s">
        <v>1043</v>
      </c>
      <c r="K138" s="272" t="s">
        <v>6216</v>
      </c>
      <c r="L138" s="213">
        <v>42998</v>
      </c>
      <c r="M138" s="213">
        <v>45146</v>
      </c>
      <c r="N138" s="7">
        <v>45146</v>
      </c>
      <c r="O138" s="72" t="s">
        <v>6089</v>
      </c>
      <c r="P138" s="288" t="s">
        <v>2</v>
      </c>
      <c r="Q138" s="3" t="s">
        <v>6068</v>
      </c>
      <c r="R138" s="228">
        <v>2362</v>
      </c>
      <c r="S138" s="6">
        <v>45159</v>
      </c>
      <c r="U138" s="6" t="s">
        <v>12</v>
      </c>
      <c r="AC138" s="4" t="s">
        <v>6090</v>
      </c>
      <c r="AD138" s="4" t="s">
        <v>18</v>
      </c>
      <c r="AE138" s="1" t="s">
        <v>35</v>
      </c>
      <c r="AF138" s="104" t="s">
        <v>6207</v>
      </c>
      <c r="AG138" s="104" t="s">
        <v>6374</v>
      </c>
      <c r="AH138" s="102" t="s">
        <v>68</v>
      </c>
      <c r="AI138" s="1" t="s">
        <v>5558</v>
      </c>
      <c r="AL138" s="264">
        <v>45149.470275092594</v>
      </c>
      <c r="AM138" s="86" t="s">
        <v>20</v>
      </c>
      <c r="AN138" s="273">
        <f t="shared" ca="1" si="15"/>
        <v>18</v>
      </c>
      <c r="AO138" s="82">
        <f t="shared" ca="1" si="16"/>
        <v>9</v>
      </c>
      <c r="AP138" s="82" t="str">
        <f t="shared" ca="1" si="17"/>
        <v>-</v>
      </c>
    </row>
    <row r="139" spans="1:42">
      <c r="A139" s="211">
        <f>SUBTOTAL(103,$I$5:I139)</f>
        <v>135</v>
      </c>
      <c r="B139" s="1" t="s">
        <v>6072</v>
      </c>
      <c r="C139" s="1" t="s">
        <v>3199</v>
      </c>
      <c r="D139" s="4" t="s">
        <v>37</v>
      </c>
      <c r="E139" s="213" t="s">
        <v>4635</v>
      </c>
      <c r="F139" s="5" t="s">
        <v>129</v>
      </c>
      <c r="G139" s="7">
        <v>44533</v>
      </c>
      <c r="H139" s="7" t="s">
        <v>30</v>
      </c>
      <c r="I139" s="5" t="s">
        <v>4747</v>
      </c>
      <c r="J139" s="1" t="s">
        <v>39</v>
      </c>
      <c r="K139" s="272" t="s">
        <v>6216</v>
      </c>
      <c r="L139" s="213">
        <v>44898</v>
      </c>
      <c r="M139" s="213">
        <v>45146</v>
      </c>
      <c r="N139" s="7">
        <v>45148</v>
      </c>
      <c r="P139" s="288" t="s">
        <v>2</v>
      </c>
      <c r="Q139" s="3" t="s">
        <v>6073</v>
      </c>
      <c r="R139" s="228">
        <v>2332</v>
      </c>
      <c r="S139" s="6">
        <v>45152</v>
      </c>
      <c r="U139" s="6" t="s">
        <v>12</v>
      </c>
      <c r="AC139" s="4" t="s">
        <v>6109</v>
      </c>
      <c r="AD139" s="4" t="s">
        <v>33</v>
      </c>
      <c r="AE139" s="1" t="s">
        <v>35</v>
      </c>
      <c r="AF139" s="104" t="s">
        <v>6338</v>
      </c>
      <c r="AG139" s="104" t="s">
        <v>6363</v>
      </c>
      <c r="AH139" s="102" t="s">
        <v>68</v>
      </c>
      <c r="AI139" s="1" t="s">
        <v>5558</v>
      </c>
      <c r="AL139" s="264">
        <v>45148.660730451389</v>
      </c>
      <c r="AM139" s="86" t="s">
        <v>54</v>
      </c>
      <c r="AN139" s="273">
        <f t="shared" ca="1" si="15"/>
        <v>18</v>
      </c>
      <c r="AO139" s="82">
        <f t="shared" ca="1" si="16"/>
        <v>14</v>
      </c>
      <c r="AP139" s="82" t="str">
        <f t="shared" ca="1" si="17"/>
        <v>-</v>
      </c>
    </row>
    <row r="140" spans="1:42">
      <c r="A140" s="211">
        <f>SUBTOTAL(103,$I$5:I140)</f>
        <v>136</v>
      </c>
      <c r="B140" s="1" t="s">
        <v>6075</v>
      </c>
      <c r="C140" s="1" t="s">
        <v>3199</v>
      </c>
      <c r="D140" s="4" t="s">
        <v>37</v>
      </c>
      <c r="E140" s="213" t="s">
        <v>4635</v>
      </c>
      <c r="F140" s="5" t="s">
        <v>129</v>
      </c>
      <c r="G140" s="7">
        <v>44533</v>
      </c>
      <c r="H140" s="7" t="s">
        <v>34</v>
      </c>
      <c r="I140" s="5" t="s">
        <v>4688</v>
      </c>
      <c r="J140" s="1" t="s">
        <v>1043</v>
      </c>
      <c r="K140" s="272" t="s">
        <v>6216</v>
      </c>
      <c r="L140" s="213">
        <v>44898</v>
      </c>
      <c r="M140" s="213">
        <v>45146</v>
      </c>
      <c r="N140" s="7">
        <v>45154</v>
      </c>
      <c r="O140" s="72" t="s">
        <v>6376</v>
      </c>
      <c r="P140" s="288" t="s">
        <v>3</v>
      </c>
      <c r="Q140" s="3" t="s">
        <v>6132</v>
      </c>
      <c r="S140" s="6" t="s">
        <v>66</v>
      </c>
      <c r="U140" s="6" t="s">
        <v>12</v>
      </c>
      <c r="AC140" s="4" t="s">
        <v>6160</v>
      </c>
      <c r="AD140" s="4" t="s">
        <v>1277</v>
      </c>
      <c r="AE140" s="1" t="s">
        <v>28</v>
      </c>
      <c r="AF140" s="1" t="s">
        <v>6377</v>
      </c>
      <c r="AH140" s="102" t="s">
        <v>68</v>
      </c>
      <c r="AI140" s="1" t="s">
        <v>5558</v>
      </c>
      <c r="AL140" s="280">
        <v>45156.747018240741</v>
      </c>
      <c r="AM140" s="86" t="s">
        <v>54</v>
      </c>
      <c r="AN140" s="273">
        <f t="shared" ca="1" si="15"/>
        <v>18</v>
      </c>
      <c r="AO140" s="82" t="str">
        <f t="shared" ca="1" si="16"/>
        <v>-</v>
      </c>
      <c r="AP140" s="82" t="str">
        <f t="shared" ca="1" si="17"/>
        <v>-</v>
      </c>
    </row>
    <row r="141" spans="1:42">
      <c r="A141" s="211">
        <f>SUBTOTAL(103,$I$5:I141)</f>
        <v>137</v>
      </c>
      <c r="B141" s="1" t="s">
        <v>6077</v>
      </c>
      <c r="C141" s="1" t="s">
        <v>1714</v>
      </c>
      <c r="D141" s="4" t="s">
        <v>41</v>
      </c>
      <c r="E141" s="213"/>
      <c r="F141" s="5" t="s">
        <v>22</v>
      </c>
      <c r="G141" s="7">
        <v>42061</v>
      </c>
      <c r="H141" s="7" t="s">
        <v>30</v>
      </c>
      <c r="I141" s="5" t="s">
        <v>2970</v>
      </c>
      <c r="J141" s="1" t="s">
        <v>39</v>
      </c>
      <c r="K141" s="272" t="s">
        <v>6216</v>
      </c>
      <c r="L141" s="213">
        <v>42426</v>
      </c>
      <c r="M141" s="213">
        <v>45148.520300925928</v>
      </c>
      <c r="N141" s="7">
        <v>45149.468900462962</v>
      </c>
      <c r="O141" s="72" t="s">
        <v>6195</v>
      </c>
      <c r="P141" s="288" t="s">
        <v>2</v>
      </c>
      <c r="Q141" s="3" t="s">
        <v>1485</v>
      </c>
      <c r="R141" s="228">
        <v>687</v>
      </c>
      <c r="S141" s="6" t="s">
        <v>66</v>
      </c>
      <c r="U141" s="6" t="s">
        <v>12</v>
      </c>
      <c r="AC141" s="4" t="s">
        <v>6161</v>
      </c>
      <c r="AD141" s="4" t="s">
        <v>20</v>
      </c>
      <c r="AE141" s="1" t="s">
        <v>60</v>
      </c>
      <c r="AF141" s="1" t="s">
        <v>6190</v>
      </c>
      <c r="AH141" s="102" t="s">
        <v>68</v>
      </c>
      <c r="AI141" s="1" t="s">
        <v>5671</v>
      </c>
      <c r="AL141" s="264">
        <v>45152.549776064814</v>
      </c>
      <c r="AM141" s="86" t="s">
        <v>20</v>
      </c>
      <c r="AN141" s="273">
        <f t="shared" ca="1" si="15"/>
        <v>16</v>
      </c>
      <c r="AO141" s="82" t="str">
        <f t="shared" ca="1" si="16"/>
        <v>-</v>
      </c>
      <c r="AP141" s="82" t="str">
        <f t="shared" ca="1" si="17"/>
        <v>-</v>
      </c>
    </row>
    <row r="142" spans="1:42">
      <c r="A142" s="211">
        <f>SUBTOTAL(103,$I$5:I142)</f>
        <v>138</v>
      </c>
      <c r="B142" s="1" t="s">
        <v>6100</v>
      </c>
      <c r="C142" s="1" t="s">
        <v>3198</v>
      </c>
      <c r="D142" s="4" t="s">
        <v>4165</v>
      </c>
      <c r="E142" s="213" t="s">
        <v>4676</v>
      </c>
      <c r="F142" s="5" t="s">
        <v>22</v>
      </c>
      <c r="G142" s="7">
        <v>42154</v>
      </c>
      <c r="H142" s="7" t="s">
        <v>32</v>
      </c>
      <c r="I142" s="5" t="s">
        <v>6101</v>
      </c>
      <c r="J142" s="1" t="s">
        <v>39</v>
      </c>
      <c r="K142" s="272" t="s">
        <v>6221</v>
      </c>
      <c r="L142" s="213">
        <v>42520</v>
      </c>
      <c r="M142" s="213">
        <v>45149.687407407408</v>
      </c>
      <c r="N142" s="7">
        <v>45153.677141203705</v>
      </c>
      <c r="O142" s="72" t="s">
        <v>6162</v>
      </c>
      <c r="P142" s="288" t="s">
        <v>2</v>
      </c>
      <c r="Q142" s="3" t="s">
        <v>6173</v>
      </c>
      <c r="U142" s="6" t="s">
        <v>12</v>
      </c>
      <c r="AC142" s="4" t="s">
        <v>6163</v>
      </c>
      <c r="AD142" s="4" t="s">
        <v>20</v>
      </c>
      <c r="AE142" s="1" t="s">
        <v>1029</v>
      </c>
      <c r="AG142" s="1" t="s">
        <v>6371</v>
      </c>
      <c r="AH142" s="102" t="s">
        <v>68</v>
      </c>
      <c r="AI142" s="1" t="s">
        <v>5558</v>
      </c>
      <c r="AL142" s="264">
        <v>45156.457112638891</v>
      </c>
      <c r="AM142" s="86" t="s">
        <v>20</v>
      </c>
      <c r="AN142" s="273">
        <f t="shared" ref="AN142" ca="1" si="18">IF(M142="","-",NETWORKDAYS.INTL(M142,TODAY()))</f>
        <v>15</v>
      </c>
      <c r="AO142" s="82" t="str">
        <f t="shared" ref="AO142" ca="1" si="19">IF(S142&lt;&gt;"",IFERROR(NETWORKDAYS.INTL(S142,TODAY()),"-"),"-")</f>
        <v>-</v>
      </c>
      <c r="AP142" s="82" t="str">
        <f t="shared" ref="AP142" ca="1" si="20">IF(V142&lt;&gt;"",IF(W142&lt;&gt;"",NETWORKDAYS.INTL(V142,W142),NETWORKDAYS.INTL(V142,TODAY())),"-")</f>
        <v>-</v>
      </c>
    </row>
    <row r="143" spans="1:42">
      <c r="A143" s="211">
        <f>SUBTOTAL(103,$I$5:I143)</f>
        <v>139</v>
      </c>
      <c r="B143" s="1" t="s">
        <v>6135</v>
      </c>
      <c r="C143" s="1" t="s">
        <v>3198</v>
      </c>
      <c r="D143" s="4" t="s">
        <v>3466</v>
      </c>
      <c r="E143" s="213" t="s">
        <v>4676</v>
      </c>
      <c r="F143" s="5" t="s">
        <v>22</v>
      </c>
      <c r="G143" s="7">
        <v>42633</v>
      </c>
      <c r="H143" s="7" t="s">
        <v>27</v>
      </c>
      <c r="I143" s="5" t="s">
        <v>6136</v>
      </c>
      <c r="J143" s="1" t="s">
        <v>1042</v>
      </c>
      <c r="K143" s="272" t="s">
        <v>6217</v>
      </c>
      <c r="L143" s="213">
        <v>42998</v>
      </c>
      <c r="M143" s="213">
        <v>45152</v>
      </c>
      <c r="N143" s="7">
        <v>45152</v>
      </c>
      <c r="O143" s="72" t="s">
        <v>6164</v>
      </c>
      <c r="P143" s="288" t="s">
        <v>4</v>
      </c>
      <c r="Q143" s="3" t="s">
        <v>1093</v>
      </c>
      <c r="R143" s="228">
        <v>10313</v>
      </c>
      <c r="S143" s="6">
        <v>45154</v>
      </c>
      <c r="U143" s="6" t="s">
        <v>12</v>
      </c>
      <c r="AC143" s="4" t="s">
        <v>6165</v>
      </c>
      <c r="AD143" s="4" t="s">
        <v>24</v>
      </c>
      <c r="AE143" s="1" t="s">
        <v>35</v>
      </c>
      <c r="AH143" s="102" t="s">
        <v>68</v>
      </c>
      <c r="AI143" s="1" t="s">
        <v>5558</v>
      </c>
      <c r="AL143" s="264">
        <v>45156.457364189817</v>
      </c>
      <c r="AM143" s="86" t="s">
        <v>20</v>
      </c>
      <c r="AN143" s="273">
        <f t="shared" ref="AN143:AN149" ca="1" si="21">IF(M143="","-",NETWORKDAYS.INTL(M143,TODAY()))</f>
        <v>14</v>
      </c>
      <c r="AO143" s="82">
        <f t="shared" ref="AO143:AO149" ca="1" si="22">IF(S143&lt;&gt;"",IFERROR(NETWORKDAYS.INTL(S143,TODAY()),"-"),"-")</f>
        <v>12</v>
      </c>
      <c r="AP143" s="82" t="str">
        <f t="shared" ref="AP143:AP149" ca="1" si="23">IF(V143&lt;&gt;"",IF(W143&lt;&gt;"",NETWORKDAYS.INTL(V143,W143),NETWORKDAYS.INTL(V143,TODAY())),"-")</f>
        <v>-</v>
      </c>
    </row>
    <row r="144" spans="1:42">
      <c r="A144" s="211">
        <f>SUBTOTAL(103,$I$5:I144)</f>
        <v>140</v>
      </c>
      <c r="B144" s="1" t="s">
        <v>6138</v>
      </c>
      <c r="C144" s="1" t="s">
        <v>3198</v>
      </c>
      <c r="D144" s="4" t="s">
        <v>2484</v>
      </c>
      <c r="E144" s="213" t="s">
        <v>4676</v>
      </c>
      <c r="F144" s="5" t="s">
        <v>22</v>
      </c>
      <c r="G144" s="7">
        <v>42575</v>
      </c>
      <c r="H144" s="7" t="s">
        <v>64</v>
      </c>
      <c r="I144" s="5" t="s">
        <v>1160</v>
      </c>
      <c r="J144" s="1" t="s">
        <v>1043</v>
      </c>
      <c r="K144" s="272" t="s">
        <v>6222</v>
      </c>
      <c r="L144" s="213">
        <v>42940</v>
      </c>
      <c r="M144" s="213">
        <v>45160.700937499998</v>
      </c>
      <c r="N144" s="7">
        <v>45160.707141203704</v>
      </c>
      <c r="P144" s="288" t="s">
        <v>2</v>
      </c>
      <c r="Q144" s="3" t="s">
        <v>6147</v>
      </c>
      <c r="R144" s="228">
        <v>4818</v>
      </c>
      <c r="S144" s="6">
        <v>45162</v>
      </c>
      <c r="U144" s="6" t="s">
        <v>12</v>
      </c>
      <c r="AC144" s="4" t="s">
        <v>6277</v>
      </c>
      <c r="AD144" s="4" t="s">
        <v>18</v>
      </c>
      <c r="AE144" s="1" t="s">
        <v>35</v>
      </c>
      <c r="AF144" s="104" t="s">
        <v>6207</v>
      </c>
      <c r="AG144" s="104" t="s">
        <v>6374</v>
      </c>
      <c r="AH144" s="102" t="s">
        <v>68</v>
      </c>
      <c r="AI144" s="1" t="s">
        <v>5555</v>
      </c>
      <c r="AL144" s="264">
        <v>45162.808639687501</v>
      </c>
      <c r="AM144" s="86" t="s">
        <v>18</v>
      </c>
      <c r="AN144" s="273">
        <f t="shared" ca="1" si="21"/>
        <v>8</v>
      </c>
      <c r="AO144" s="82">
        <f t="shared" ca="1" si="22"/>
        <v>6</v>
      </c>
      <c r="AP144" s="82" t="str">
        <f t="shared" ca="1" si="23"/>
        <v>-</v>
      </c>
    </row>
    <row r="145" spans="1:42">
      <c r="A145" s="211">
        <f>SUBTOTAL(103,$I$5:I145)</f>
        <v>141</v>
      </c>
      <c r="B145" s="1" t="s">
        <v>6139</v>
      </c>
      <c r="C145" s="1" t="s">
        <v>3198</v>
      </c>
      <c r="D145" s="4" t="s">
        <v>105</v>
      </c>
      <c r="E145" s="213" t="s">
        <v>4676</v>
      </c>
      <c r="F145" s="5" t="s">
        <v>22</v>
      </c>
      <c r="G145" s="7">
        <v>43852</v>
      </c>
      <c r="H145" s="7" t="s">
        <v>1124</v>
      </c>
      <c r="I145" s="5" t="s">
        <v>4362</v>
      </c>
      <c r="J145" s="1" t="s">
        <v>39</v>
      </c>
      <c r="K145" s="272" t="s">
        <v>6223</v>
      </c>
      <c r="L145" s="213">
        <v>44218</v>
      </c>
      <c r="M145" s="213">
        <v>45155.657766203702</v>
      </c>
      <c r="N145" s="7">
        <v>45155.671793981484</v>
      </c>
      <c r="O145" s="72" t="s">
        <v>6166</v>
      </c>
      <c r="P145" s="288" t="s">
        <v>2</v>
      </c>
      <c r="Q145" s="3" t="s">
        <v>6140</v>
      </c>
      <c r="R145" s="228">
        <v>3826</v>
      </c>
      <c r="S145" s="6">
        <v>45161</v>
      </c>
      <c r="U145" s="6" t="s">
        <v>12</v>
      </c>
      <c r="AC145" s="4" t="s">
        <v>6167</v>
      </c>
      <c r="AD145" s="4" t="s">
        <v>18</v>
      </c>
      <c r="AE145" s="1" t="s">
        <v>35</v>
      </c>
      <c r="AF145" s="104" t="s">
        <v>6207</v>
      </c>
      <c r="AG145" s="104" t="s">
        <v>6374</v>
      </c>
      <c r="AH145" s="102" t="s">
        <v>68</v>
      </c>
      <c r="AI145" s="1" t="s">
        <v>5558</v>
      </c>
      <c r="AL145" s="264">
        <v>45156.456519953703</v>
      </c>
      <c r="AM145" s="86" t="s">
        <v>20</v>
      </c>
      <c r="AN145" s="273">
        <f t="shared" ca="1" si="21"/>
        <v>11</v>
      </c>
      <c r="AO145" s="82">
        <f t="shared" ca="1" si="22"/>
        <v>7</v>
      </c>
      <c r="AP145" s="82" t="str">
        <f t="shared" ca="1" si="23"/>
        <v>-</v>
      </c>
    </row>
    <row r="146" spans="1:42">
      <c r="A146" s="211">
        <f>SUBTOTAL(103,$I$5:I146)</f>
        <v>142</v>
      </c>
      <c r="B146" s="1" t="s">
        <v>6144</v>
      </c>
      <c r="C146" s="1" t="s">
        <v>1714</v>
      </c>
      <c r="D146" s="4" t="s">
        <v>41</v>
      </c>
      <c r="E146" s="213"/>
      <c r="F146" s="5" t="s">
        <v>129</v>
      </c>
      <c r="G146" s="7">
        <v>43210</v>
      </c>
      <c r="H146" s="7" t="s">
        <v>49</v>
      </c>
      <c r="I146" s="5" t="s">
        <v>1143</v>
      </c>
      <c r="J146" s="1" t="s">
        <v>39</v>
      </c>
      <c r="K146" s="272" t="s">
        <v>6215</v>
      </c>
      <c r="L146" s="213">
        <v>43575</v>
      </c>
      <c r="M146" s="213">
        <v>45154.86546296296</v>
      </c>
      <c r="N146" s="7">
        <v>45159.563321759262</v>
      </c>
      <c r="P146" s="288" t="s">
        <v>2</v>
      </c>
      <c r="Q146" s="3" t="s">
        <v>2597</v>
      </c>
      <c r="U146" s="6" t="s">
        <v>12</v>
      </c>
      <c r="AC146" s="4" t="s">
        <v>6278</v>
      </c>
      <c r="AD146" s="4" t="s">
        <v>1120</v>
      </c>
      <c r="AE146" s="1" t="s">
        <v>62</v>
      </c>
      <c r="AG146" s="104" t="s">
        <v>6385</v>
      </c>
      <c r="AH146" s="102" t="s">
        <v>68</v>
      </c>
      <c r="AI146" s="1" t="s">
        <v>5559</v>
      </c>
      <c r="AL146" s="264">
        <v>45159.563397060185</v>
      </c>
      <c r="AM146" s="86" t="s">
        <v>1120</v>
      </c>
      <c r="AN146" s="273">
        <f t="shared" ca="1" si="21"/>
        <v>12</v>
      </c>
      <c r="AO146" s="82" t="str">
        <f t="shared" ca="1" si="22"/>
        <v>-</v>
      </c>
      <c r="AP146" s="82" t="str">
        <f t="shared" ca="1" si="23"/>
        <v>-</v>
      </c>
    </row>
    <row r="147" spans="1:42">
      <c r="A147" s="211">
        <f>SUBTOTAL(103,$I$5:I147)</f>
        <v>143</v>
      </c>
      <c r="B147" s="1" t="s">
        <v>6145</v>
      </c>
      <c r="C147" s="1" t="s">
        <v>3198</v>
      </c>
      <c r="D147" s="4" t="s">
        <v>3766</v>
      </c>
      <c r="E147" s="213" t="s">
        <v>4676</v>
      </c>
      <c r="F147" s="5" t="s">
        <v>22</v>
      </c>
      <c r="G147" s="7">
        <v>43304</v>
      </c>
      <c r="H147" s="7" t="s">
        <v>38</v>
      </c>
      <c r="I147" s="5" t="s">
        <v>3981</v>
      </c>
      <c r="J147" s="1" t="s">
        <v>39</v>
      </c>
      <c r="K147" s="272" t="s">
        <v>6222</v>
      </c>
      <c r="L147" s="213">
        <v>43669</v>
      </c>
      <c r="M147" s="213">
        <v>45160.7109375</v>
      </c>
      <c r="N147" s="7">
        <v>45162.418356481481</v>
      </c>
      <c r="P147" s="288" t="s">
        <v>2</v>
      </c>
      <c r="Q147" s="3" t="s">
        <v>4772</v>
      </c>
      <c r="R147" s="228">
        <v>2951</v>
      </c>
      <c r="S147" s="6">
        <v>45162</v>
      </c>
      <c r="U147" s="6" t="s">
        <v>12</v>
      </c>
      <c r="AC147" s="4" t="s">
        <v>6279</v>
      </c>
      <c r="AD147" s="4" t="s">
        <v>18</v>
      </c>
      <c r="AE147" s="1" t="s">
        <v>35</v>
      </c>
      <c r="AF147" s="104" t="s">
        <v>6207</v>
      </c>
      <c r="AG147" s="104" t="s">
        <v>6374</v>
      </c>
      <c r="AH147" s="102" t="s">
        <v>68</v>
      </c>
      <c r="AL147" s="264">
        <v>45162.418954722219</v>
      </c>
      <c r="AM147" s="86" t="s">
        <v>18</v>
      </c>
      <c r="AN147" s="273">
        <f t="shared" ca="1" si="21"/>
        <v>8</v>
      </c>
      <c r="AO147" s="82">
        <f t="shared" ca="1" si="22"/>
        <v>6</v>
      </c>
      <c r="AP147" s="82" t="str">
        <f t="shared" ca="1" si="23"/>
        <v>-</v>
      </c>
    </row>
    <row r="148" spans="1:42">
      <c r="A148" s="211">
        <f>SUBTOTAL(103,$I$5:I148)</f>
        <v>144</v>
      </c>
      <c r="B148" s="1" t="s">
        <v>6146</v>
      </c>
      <c r="C148" s="1" t="s">
        <v>3198</v>
      </c>
      <c r="D148" s="4" t="s">
        <v>3766</v>
      </c>
      <c r="E148" s="213" t="s">
        <v>4676</v>
      </c>
      <c r="F148" s="5" t="s">
        <v>22</v>
      </c>
      <c r="G148" s="7">
        <v>43285</v>
      </c>
      <c r="H148" s="7" t="s">
        <v>64</v>
      </c>
      <c r="I148" s="5" t="s">
        <v>4080</v>
      </c>
      <c r="J148" s="1" t="s">
        <v>1043</v>
      </c>
      <c r="K148" s="272" t="s">
        <v>6222</v>
      </c>
      <c r="L148" s="213">
        <v>43650</v>
      </c>
      <c r="M148" s="213">
        <v>45155.657835648148</v>
      </c>
      <c r="N148" s="7">
        <v>45155.722256944442</v>
      </c>
      <c r="O148" s="72" t="s">
        <v>6196</v>
      </c>
      <c r="P148" s="288" t="s">
        <v>2</v>
      </c>
      <c r="Q148" s="3" t="s">
        <v>6147</v>
      </c>
      <c r="R148" s="228">
        <v>3214</v>
      </c>
      <c r="S148" s="6">
        <v>45161</v>
      </c>
      <c r="U148" s="6" t="s">
        <v>12</v>
      </c>
      <c r="AC148" s="4" t="s">
        <v>6280</v>
      </c>
      <c r="AD148" s="4" t="s">
        <v>18</v>
      </c>
      <c r="AE148" s="1" t="s">
        <v>35</v>
      </c>
      <c r="AF148" s="104" t="s">
        <v>6207</v>
      </c>
      <c r="AG148" s="104" t="s">
        <v>6374</v>
      </c>
      <c r="AH148" s="102" t="s">
        <v>68</v>
      </c>
      <c r="AI148" s="1" t="s">
        <v>5558</v>
      </c>
      <c r="AL148" s="264">
        <v>45162.428222627314</v>
      </c>
      <c r="AM148" s="86" t="s">
        <v>18</v>
      </c>
      <c r="AN148" s="273">
        <f t="shared" ca="1" si="21"/>
        <v>11</v>
      </c>
      <c r="AO148" s="82">
        <f t="shared" ca="1" si="22"/>
        <v>7</v>
      </c>
      <c r="AP148" s="82" t="str">
        <f t="shared" ca="1" si="23"/>
        <v>-</v>
      </c>
    </row>
    <row r="149" spans="1:42">
      <c r="A149" s="211">
        <f>SUBTOTAL(103,$I$5:I149)</f>
        <v>145</v>
      </c>
      <c r="B149" s="1" t="s">
        <v>6148</v>
      </c>
      <c r="C149" s="1" t="s">
        <v>3198</v>
      </c>
      <c r="D149" s="4" t="s">
        <v>2370</v>
      </c>
      <c r="E149" s="213" t="s">
        <v>4676</v>
      </c>
      <c r="F149" s="5" t="s">
        <v>22</v>
      </c>
      <c r="G149" s="7">
        <v>44907</v>
      </c>
      <c r="H149" s="7" t="s">
        <v>56</v>
      </c>
      <c r="I149" s="5" t="s">
        <v>6149</v>
      </c>
      <c r="J149" s="1" t="s">
        <v>1043</v>
      </c>
      <c r="K149" s="272" t="s">
        <v>6215</v>
      </c>
      <c r="L149" s="213">
        <v>45272</v>
      </c>
      <c r="M149" s="213">
        <v>45155.657685185186</v>
      </c>
      <c r="N149" s="7">
        <v>45155.664513888885</v>
      </c>
      <c r="O149" s="72" t="s">
        <v>6168</v>
      </c>
      <c r="P149" s="288" t="s">
        <v>3</v>
      </c>
      <c r="Q149" s="3" t="s">
        <v>514</v>
      </c>
      <c r="R149" s="228">
        <v>235</v>
      </c>
      <c r="S149" s="6">
        <v>45161</v>
      </c>
      <c r="U149" s="6" t="s">
        <v>12</v>
      </c>
      <c r="AC149" s="4" t="s">
        <v>6169</v>
      </c>
      <c r="AD149" s="4" t="s">
        <v>18</v>
      </c>
      <c r="AE149" s="1" t="s">
        <v>35</v>
      </c>
      <c r="AF149" s="104" t="s">
        <v>6207</v>
      </c>
      <c r="AG149" s="104" t="s">
        <v>6374</v>
      </c>
      <c r="AH149" s="102" t="s">
        <v>68</v>
      </c>
      <c r="AI149" s="1" t="s">
        <v>5558</v>
      </c>
      <c r="AL149" s="264">
        <v>45156.457606909724</v>
      </c>
      <c r="AM149" s="86" t="s">
        <v>20</v>
      </c>
      <c r="AN149" s="273">
        <f t="shared" ca="1" si="21"/>
        <v>11</v>
      </c>
      <c r="AO149" s="82">
        <f t="shared" ca="1" si="22"/>
        <v>7</v>
      </c>
      <c r="AP149" s="82" t="str">
        <f t="shared" ca="1" si="23"/>
        <v>-</v>
      </c>
    </row>
    <row r="150" spans="1:42">
      <c r="A150" s="211">
        <f>SUBTOTAL(103,$I$5:I150)</f>
        <v>146</v>
      </c>
      <c r="B150" s="1" t="s">
        <v>6174</v>
      </c>
      <c r="C150" s="1" t="s">
        <v>3199</v>
      </c>
      <c r="D150" s="4" t="s">
        <v>6175</v>
      </c>
      <c r="E150" s="213"/>
      <c r="F150" s="5" t="s">
        <v>129</v>
      </c>
      <c r="G150" s="7">
        <v>44913</v>
      </c>
      <c r="H150" s="7" t="s">
        <v>58</v>
      </c>
      <c r="I150" s="5" t="s">
        <v>6176</v>
      </c>
      <c r="J150" s="1" t="s">
        <v>1043</v>
      </c>
      <c r="K150" s="272" t="s">
        <v>6219</v>
      </c>
      <c r="L150" s="213">
        <v>45278</v>
      </c>
      <c r="M150" s="213">
        <v>45156.665717592594</v>
      </c>
      <c r="N150" s="7">
        <v>45159.715798611112</v>
      </c>
      <c r="O150" s="72" t="s">
        <v>6281</v>
      </c>
      <c r="P150" s="288" t="s">
        <v>2</v>
      </c>
      <c r="Q150" s="3" t="s">
        <v>4859</v>
      </c>
      <c r="S150" s="6" t="s">
        <v>55</v>
      </c>
      <c r="U150" s="6" t="s">
        <v>12</v>
      </c>
      <c r="V150" s="6">
        <v>45161</v>
      </c>
      <c r="AC150" s="4" t="s">
        <v>6282</v>
      </c>
      <c r="AD150" s="4" t="s">
        <v>33</v>
      </c>
      <c r="AE150" s="1" t="s">
        <v>28</v>
      </c>
      <c r="AF150" s="1" t="s">
        <v>6283</v>
      </c>
      <c r="AH150" s="102" t="s">
        <v>68</v>
      </c>
      <c r="AI150" s="1" t="s">
        <v>5406</v>
      </c>
      <c r="AL150" s="264">
        <v>45162.795472951388</v>
      </c>
      <c r="AM150" s="86" t="s">
        <v>54</v>
      </c>
      <c r="AN150" s="273">
        <f t="shared" ref="AN150:AN156" ca="1" si="24">IF(M150="","-",NETWORKDAYS.INTL(M150,TODAY()))</f>
        <v>10</v>
      </c>
      <c r="AO150" s="82" t="str">
        <f t="shared" ref="AO150:AO156" ca="1" si="25">IF(S150&lt;&gt;"",IFERROR(NETWORKDAYS.INTL(S150,TODAY()),"-"),"-")</f>
        <v>-</v>
      </c>
      <c r="AP150" s="82">
        <f t="shared" ref="AP150:AP156" ca="1" si="26">IF(V150&lt;&gt;"",IF(W150&lt;&gt;"",NETWORKDAYS.INTL(V150,W150),NETWORKDAYS.INTL(V150,TODAY())),"-")</f>
        <v>7</v>
      </c>
    </row>
    <row r="151" spans="1:42">
      <c r="A151" s="211">
        <f>SUBTOTAL(103,$I$5:I151)</f>
        <v>147</v>
      </c>
      <c r="B151" s="1" t="s">
        <v>6177</v>
      </c>
      <c r="C151" s="1" t="s">
        <v>3198</v>
      </c>
      <c r="D151" s="4" t="s">
        <v>1106</v>
      </c>
      <c r="E151" s="213" t="s">
        <v>2959</v>
      </c>
      <c r="F151" s="5" t="s">
        <v>129</v>
      </c>
      <c r="G151" s="7">
        <v>42788</v>
      </c>
      <c r="H151" s="7" t="s">
        <v>16</v>
      </c>
      <c r="I151" s="5" t="s">
        <v>2844</v>
      </c>
      <c r="J151" s="1" t="s">
        <v>39</v>
      </c>
      <c r="K151" s="272" t="s">
        <v>6219</v>
      </c>
      <c r="L151" s="213">
        <v>43153</v>
      </c>
      <c r="M151" s="213">
        <v>45159</v>
      </c>
      <c r="N151" s="7">
        <v>45160</v>
      </c>
      <c r="O151" s="72" t="s">
        <v>6383</v>
      </c>
      <c r="P151" s="288" t="s">
        <v>2</v>
      </c>
      <c r="Q151" s="3" t="s">
        <v>6225</v>
      </c>
      <c r="U151" s="6" t="s">
        <v>12</v>
      </c>
      <c r="AC151" s="4" t="s">
        <v>6384</v>
      </c>
      <c r="AD151" s="4" t="s">
        <v>1102</v>
      </c>
      <c r="AE151" s="1" t="s">
        <v>1029</v>
      </c>
      <c r="AG151" s="1" t="s">
        <v>6391</v>
      </c>
      <c r="AH151" s="102" t="s">
        <v>68</v>
      </c>
      <c r="AL151" s="264">
        <v>45160.75318349537</v>
      </c>
      <c r="AM151" s="86" t="s">
        <v>1102</v>
      </c>
      <c r="AN151" s="273">
        <f t="shared" ca="1" si="24"/>
        <v>9</v>
      </c>
      <c r="AO151" s="82" t="str">
        <f t="shared" ca="1" si="25"/>
        <v>-</v>
      </c>
      <c r="AP151" s="82" t="str">
        <f t="shared" ca="1" si="26"/>
        <v>-</v>
      </c>
    </row>
    <row r="152" spans="1:42">
      <c r="A152" s="211">
        <f>SUBTOTAL(103,$I$5:I152)</f>
        <v>148</v>
      </c>
      <c r="B152" s="1" t="s">
        <v>6178</v>
      </c>
      <c r="C152" s="1" t="s">
        <v>3199</v>
      </c>
      <c r="D152" s="4" t="s">
        <v>2854</v>
      </c>
      <c r="E152" s="213"/>
      <c r="F152" s="5" t="s">
        <v>129</v>
      </c>
      <c r="G152" s="7">
        <v>42488</v>
      </c>
      <c r="H152" s="7" t="s">
        <v>16</v>
      </c>
      <c r="I152" s="5" t="s">
        <v>2855</v>
      </c>
      <c r="J152" s="1" t="s">
        <v>39</v>
      </c>
      <c r="K152" s="272" t="s">
        <v>6219</v>
      </c>
      <c r="L152" s="213">
        <v>42853</v>
      </c>
      <c r="M152" s="213">
        <v>45159.437002314815</v>
      </c>
      <c r="N152" s="7">
        <v>45166.720185185186</v>
      </c>
      <c r="P152" s="288" t="s">
        <v>2</v>
      </c>
      <c r="Q152" s="3" t="s">
        <v>6355</v>
      </c>
      <c r="U152" s="6" t="s">
        <v>12</v>
      </c>
      <c r="AD152" s="4" t="s">
        <v>33</v>
      </c>
      <c r="AE152" s="1" t="s">
        <v>2671</v>
      </c>
      <c r="AG152" s="104" t="s">
        <v>6385</v>
      </c>
      <c r="AH152" s="102" t="s">
        <v>68</v>
      </c>
      <c r="AI152" s="1" t="s">
        <v>5559</v>
      </c>
      <c r="AL152" s="264">
        <v>45166.720262858798</v>
      </c>
      <c r="AM152" s="86" t="s">
        <v>1120</v>
      </c>
      <c r="AN152" s="273">
        <f t="shared" ca="1" si="24"/>
        <v>9</v>
      </c>
      <c r="AO152" s="82" t="str">
        <f t="shared" ca="1" si="25"/>
        <v>-</v>
      </c>
      <c r="AP152" s="82" t="str">
        <f t="shared" ca="1" si="26"/>
        <v>-</v>
      </c>
    </row>
    <row r="153" spans="1:42">
      <c r="A153" s="211">
        <f>SUBTOTAL(103,$I$5:I153)</f>
        <v>149</v>
      </c>
      <c r="B153" s="1" t="s">
        <v>6179</v>
      </c>
      <c r="C153" s="1" t="s">
        <v>3199</v>
      </c>
      <c r="D153" s="4" t="s">
        <v>37</v>
      </c>
      <c r="E153" s="213" t="s">
        <v>4635</v>
      </c>
      <c r="F153" s="5" t="s">
        <v>129</v>
      </c>
      <c r="G153" s="7">
        <v>43825</v>
      </c>
      <c r="H153" s="7" t="s">
        <v>34</v>
      </c>
      <c r="I153" s="5" t="s">
        <v>1676</v>
      </c>
      <c r="J153" s="1" t="s">
        <v>1043</v>
      </c>
      <c r="K153" s="272" t="s">
        <v>6216</v>
      </c>
      <c r="L153" s="213">
        <v>44191</v>
      </c>
      <c r="M153" s="213">
        <v>45159.45034722222</v>
      </c>
      <c r="N153" s="7">
        <v>45162.540960648148</v>
      </c>
      <c r="P153" s="288" t="s">
        <v>2</v>
      </c>
      <c r="Q153" s="3" t="s">
        <v>6226</v>
      </c>
      <c r="U153" s="6" t="s">
        <v>12</v>
      </c>
      <c r="AD153" s="4" t="s">
        <v>1102</v>
      </c>
      <c r="AE153" s="1" t="s">
        <v>2671</v>
      </c>
      <c r="AG153" s="104" t="s">
        <v>6385</v>
      </c>
      <c r="AH153" s="102" t="s">
        <v>68</v>
      </c>
      <c r="AI153" s="1" t="s">
        <v>5559</v>
      </c>
      <c r="AL153" s="264">
        <v>45162.550683506946</v>
      </c>
      <c r="AM153" s="86" t="s">
        <v>1102</v>
      </c>
      <c r="AN153" s="273">
        <f t="shared" ca="1" si="24"/>
        <v>9</v>
      </c>
      <c r="AO153" s="82" t="str">
        <f t="shared" ca="1" si="25"/>
        <v>-</v>
      </c>
      <c r="AP153" s="82" t="str">
        <f t="shared" ca="1" si="26"/>
        <v>-</v>
      </c>
    </row>
    <row r="154" spans="1:42">
      <c r="A154" s="211">
        <f>SUBTOTAL(103,$I$5:I154)</f>
        <v>150</v>
      </c>
      <c r="B154" s="1" t="s">
        <v>6180</v>
      </c>
      <c r="C154" s="1" t="s">
        <v>3199</v>
      </c>
      <c r="D154" s="4" t="s">
        <v>37</v>
      </c>
      <c r="E154" s="213" t="s">
        <v>4635</v>
      </c>
      <c r="F154" s="5" t="s">
        <v>129</v>
      </c>
      <c r="G154" s="7">
        <v>42865</v>
      </c>
      <c r="H154" s="7" t="s">
        <v>30</v>
      </c>
      <c r="I154" s="5" t="s">
        <v>2558</v>
      </c>
      <c r="J154" s="1" t="s">
        <v>39</v>
      </c>
      <c r="K154" s="272" t="s">
        <v>6216</v>
      </c>
      <c r="L154" s="213">
        <v>43230</v>
      </c>
      <c r="M154" s="213">
        <v>45159.454131944447</v>
      </c>
      <c r="N154" s="7">
        <v>45160.758171296293</v>
      </c>
      <c r="P154" s="288" t="s">
        <v>2</v>
      </c>
      <c r="Q154" s="3" t="s">
        <v>6227</v>
      </c>
      <c r="U154" s="6" t="s">
        <v>12</v>
      </c>
      <c r="AC154" s="4" t="s">
        <v>6284</v>
      </c>
      <c r="AD154" s="4" t="s">
        <v>1120</v>
      </c>
      <c r="AE154" s="1" t="s">
        <v>62</v>
      </c>
      <c r="AG154" s="104" t="s">
        <v>6385</v>
      </c>
      <c r="AH154" s="102" t="s">
        <v>68</v>
      </c>
      <c r="AI154" s="1" t="s">
        <v>5559</v>
      </c>
      <c r="AL154" s="264">
        <v>45160.758288668978</v>
      </c>
      <c r="AM154" s="86" t="s">
        <v>1120</v>
      </c>
      <c r="AN154" s="273">
        <f t="shared" ca="1" si="24"/>
        <v>9</v>
      </c>
      <c r="AO154" s="82" t="str">
        <f t="shared" ca="1" si="25"/>
        <v>-</v>
      </c>
      <c r="AP154" s="82" t="str">
        <f t="shared" ca="1" si="26"/>
        <v>-</v>
      </c>
    </row>
    <row r="155" spans="1:42">
      <c r="A155" s="211">
        <f>SUBTOTAL(103,$I$5:I155)</f>
        <v>151</v>
      </c>
      <c r="B155" s="1" t="s">
        <v>6183</v>
      </c>
      <c r="C155" s="1" t="s">
        <v>3199</v>
      </c>
      <c r="D155" s="4" t="s">
        <v>37</v>
      </c>
      <c r="E155" s="213" t="s">
        <v>4635</v>
      </c>
      <c r="F155" s="5" t="s">
        <v>129</v>
      </c>
      <c r="G155" s="7">
        <v>43825</v>
      </c>
      <c r="H155" s="7" t="s">
        <v>30</v>
      </c>
      <c r="I155" s="5" t="s">
        <v>2634</v>
      </c>
      <c r="J155" s="1" t="s">
        <v>39</v>
      </c>
      <c r="K155" s="272" t="s">
        <v>6216</v>
      </c>
      <c r="L155" s="213">
        <v>44191</v>
      </c>
      <c r="M155" s="213">
        <v>45159.457430555558</v>
      </c>
      <c r="N155" s="7">
        <v>45162.551157407404</v>
      </c>
      <c r="P155" s="288" t="s">
        <v>2</v>
      </c>
      <c r="Q155" s="3" t="s">
        <v>5296</v>
      </c>
      <c r="U155" s="6" t="s">
        <v>12</v>
      </c>
      <c r="AD155" s="4" t="s">
        <v>1102</v>
      </c>
      <c r="AE155" s="1" t="s">
        <v>2671</v>
      </c>
      <c r="AG155" s="104" t="s">
        <v>6385</v>
      </c>
      <c r="AH155" s="102" t="s">
        <v>4903</v>
      </c>
      <c r="AJ155" s="72" t="s">
        <v>1062</v>
      </c>
      <c r="AL155" s="264">
        <v>45166.441844374996</v>
      </c>
      <c r="AM155" s="86" t="s">
        <v>1102</v>
      </c>
      <c r="AN155" s="273">
        <f t="shared" ca="1" si="24"/>
        <v>9</v>
      </c>
      <c r="AO155" s="82" t="str">
        <f t="shared" ca="1" si="25"/>
        <v>-</v>
      </c>
      <c r="AP155" s="82" t="str">
        <f t="shared" ca="1" si="26"/>
        <v>-</v>
      </c>
    </row>
    <row r="156" spans="1:42">
      <c r="A156" s="211">
        <f>SUBTOTAL(103,$I$5:I156)</f>
        <v>152</v>
      </c>
      <c r="B156" s="1" t="s">
        <v>6184</v>
      </c>
      <c r="C156" s="1" t="s">
        <v>3199</v>
      </c>
      <c r="D156" s="4" t="s">
        <v>37</v>
      </c>
      <c r="E156" s="213" t="s">
        <v>4635</v>
      </c>
      <c r="F156" s="5" t="s">
        <v>129</v>
      </c>
      <c r="G156" s="7">
        <v>42753</v>
      </c>
      <c r="H156" s="7" t="s">
        <v>30</v>
      </c>
      <c r="I156" s="5" t="s">
        <v>5450</v>
      </c>
      <c r="J156" s="1" t="s">
        <v>39</v>
      </c>
      <c r="K156" s="272" t="s">
        <v>6216</v>
      </c>
      <c r="L156" s="213">
        <v>43118</v>
      </c>
      <c r="M156" s="213">
        <v>45159</v>
      </c>
      <c r="N156" s="7">
        <v>45160</v>
      </c>
      <c r="O156" s="72" t="s">
        <v>6386</v>
      </c>
      <c r="P156" s="288" t="s">
        <v>2</v>
      </c>
      <c r="Q156" s="3" t="s">
        <v>6228</v>
      </c>
      <c r="U156" s="6" t="s">
        <v>12</v>
      </c>
      <c r="AC156" s="4" t="s">
        <v>6285</v>
      </c>
      <c r="AD156" s="4" t="s">
        <v>1120</v>
      </c>
      <c r="AE156" s="1" t="s">
        <v>1029</v>
      </c>
      <c r="AG156" s="1" t="s">
        <v>6391</v>
      </c>
      <c r="AH156" s="102" t="s">
        <v>68</v>
      </c>
      <c r="AI156" s="1" t="s">
        <v>5558</v>
      </c>
      <c r="AL156" s="264">
        <v>45166.46743409722</v>
      </c>
      <c r="AM156" s="86" t="s">
        <v>54</v>
      </c>
      <c r="AN156" s="273">
        <f t="shared" ca="1" si="24"/>
        <v>9</v>
      </c>
      <c r="AO156" s="82" t="str">
        <f t="shared" ca="1" si="25"/>
        <v>-</v>
      </c>
      <c r="AP156" s="82" t="str">
        <f t="shared" ca="1" si="26"/>
        <v>-</v>
      </c>
    </row>
    <row r="157" spans="1:42">
      <c r="A157" s="211">
        <f>SUBTOTAL(103,$I$5:I157)</f>
        <v>153</v>
      </c>
      <c r="B157" s="1" t="s">
        <v>6185</v>
      </c>
      <c r="C157" s="1" t="s">
        <v>3199</v>
      </c>
      <c r="D157" s="4" t="s">
        <v>37</v>
      </c>
      <c r="E157" s="213" t="s">
        <v>4635</v>
      </c>
      <c r="F157" s="5" t="s">
        <v>129</v>
      </c>
      <c r="G157" s="7">
        <v>42753</v>
      </c>
      <c r="H157" s="7" t="s">
        <v>1704</v>
      </c>
      <c r="I157" s="5" t="s">
        <v>6186</v>
      </c>
      <c r="J157" s="1" t="s">
        <v>6187</v>
      </c>
      <c r="K157" s="272" t="s">
        <v>6188</v>
      </c>
      <c r="L157" s="213">
        <v>43118</v>
      </c>
      <c r="M157" s="213">
        <v>45159.462523148148</v>
      </c>
      <c r="N157" s="7">
        <v>45166.826967592591</v>
      </c>
      <c r="P157" s="288" t="s">
        <v>4</v>
      </c>
      <c r="Q157" s="3" t="s">
        <v>1093</v>
      </c>
      <c r="U157" s="6" t="s">
        <v>12</v>
      </c>
      <c r="AD157" s="4" t="s">
        <v>33</v>
      </c>
      <c r="AE157" s="1" t="s">
        <v>2673</v>
      </c>
      <c r="AG157" s="104" t="s">
        <v>6385</v>
      </c>
      <c r="AH157" s="102" t="s">
        <v>68</v>
      </c>
      <c r="AI157" s="1" t="s">
        <v>5559</v>
      </c>
      <c r="AL157" s="264">
        <v>45166.827098449074</v>
      </c>
      <c r="AM157" s="86" t="s">
        <v>1102</v>
      </c>
      <c r="AN157" s="273">
        <f t="shared" ref="AN157:AN175" ca="1" si="27">IF(M157="","-",NETWORKDAYS.INTL(M157,TODAY()))</f>
        <v>9</v>
      </c>
      <c r="AO157" s="82" t="str">
        <f t="shared" ref="AO157:AO175" ca="1" si="28">IF(S157&lt;&gt;"",IFERROR(NETWORKDAYS.INTL(S157,TODAY()),"-"),"-")</f>
        <v>-</v>
      </c>
      <c r="AP157" s="82" t="str">
        <f t="shared" ref="AP157:AP175" ca="1" si="29">IF(V157&lt;&gt;"",IF(W157&lt;&gt;"",NETWORKDAYS.INTL(V157,W157),NETWORKDAYS.INTL(V157,TODAY())),"-")</f>
        <v>-</v>
      </c>
    </row>
    <row r="158" spans="1:42">
      <c r="A158" s="211">
        <f>SUBTOTAL(103,$I$5:I158)</f>
        <v>154</v>
      </c>
      <c r="B158" s="1" t="s">
        <v>6229</v>
      </c>
      <c r="C158" s="1" t="s">
        <v>1714</v>
      </c>
      <c r="D158" s="4" t="s">
        <v>41</v>
      </c>
      <c r="E158" s="213"/>
      <c r="F158" s="5" t="s">
        <v>129</v>
      </c>
      <c r="G158" s="7">
        <v>41547</v>
      </c>
      <c r="H158" s="7" t="s">
        <v>32</v>
      </c>
      <c r="I158" s="5" t="s">
        <v>2695</v>
      </c>
      <c r="J158" s="1" t="s">
        <v>39</v>
      </c>
      <c r="K158" s="272" t="s">
        <v>6221</v>
      </c>
      <c r="L158" s="213">
        <v>41912</v>
      </c>
      <c r="M158" s="213">
        <v>45159.551701388889</v>
      </c>
      <c r="N158" s="7">
        <v>45159.568796296298</v>
      </c>
      <c r="P158" s="288" t="s">
        <v>3</v>
      </c>
      <c r="Q158" s="3" t="s">
        <v>6230</v>
      </c>
      <c r="U158" s="6" t="s">
        <v>12</v>
      </c>
      <c r="AC158" s="4" t="s">
        <v>6286</v>
      </c>
      <c r="AD158" s="4" t="s">
        <v>1120</v>
      </c>
      <c r="AE158" s="1" t="s">
        <v>62</v>
      </c>
      <c r="AG158" s="104" t="s">
        <v>6385</v>
      </c>
      <c r="AH158" s="102" t="s">
        <v>68</v>
      </c>
      <c r="AI158" s="1" t="s">
        <v>5559</v>
      </c>
      <c r="AL158" s="264">
        <v>45159.568879016202</v>
      </c>
      <c r="AM158" s="86" t="s">
        <v>1120</v>
      </c>
      <c r="AN158" s="273">
        <f t="shared" ca="1" si="27"/>
        <v>9</v>
      </c>
      <c r="AO158" s="82" t="str">
        <f t="shared" ca="1" si="28"/>
        <v>-</v>
      </c>
      <c r="AP158" s="82" t="str">
        <f t="shared" ca="1" si="29"/>
        <v>-</v>
      </c>
    </row>
    <row r="159" spans="1:42">
      <c r="A159" s="211">
        <f>SUBTOTAL(103,$I$5:I159)</f>
        <v>155</v>
      </c>
      <c r="B159" s="1" t="s">
        <v>6231</v>
      </c>
      <c r="C159" s="1" t="s">
        <v>3199</v>
      </c>
      <c r="D159" s="4" t="s">
        <v>21</v>
      </c>
      <c r="E159" s="213" t="s">
        <v>4635</v>
      </c>
      <c r="F159" s="5" t="s">
        <v>129</v>
      </c>
      <c r="G159" s="7">
        <v>45140</v>
      </c>
      <c r="H159" s="7" t="s">
        <v>30</v>
      </c>
      <c r="I159" s="5" t="s">
        <v>6232</v>
      </c>
      <c r="J159" s="1" t="s">
        <v>39</v>
      </c>
      <c r="K159" s="272" t="s">
        <v>6216</v>
      </c>
      <c r="L159" s="213">
        <v>45506</v>
      </c>
      <c r="M159" s="213">
        <v>45159</v>
      </c>
      <c r="N159" s="7">
        <v>45160</v>
      </c>
      <c r="O159" s="72" t="s">
        <v>6287</v>
      </c>
      <c r="P159" s="288" t="s">
        <v>2</v>
      </c>
      <c r="Q159" s="3" t="s">
        <v>1485</v>
      </c>
      <c r="S159" s="6" t="s">
        <v>55</v>
      </c>
      <c r="U159" s="6" t="s">
        <v>12</v>
      </c>
      <c r="AC159" s="4" t="s">
        <v>6288</v>
      </c>
      <c r="AD159" s="4" t="s">
        <v>33</v>
      </c>
      <c r="AE159" s="1" t="s">
        <v>28</v>
      </c>
      <c r="AF159" s="1" t="s">
        <v>6190</v>
      </c>
      <c r="AG159" s="1" t="s">
        <v>8</v>
      </c>
      <c r="AH159" s="102" t="s">
        <v>68</v>
      </c>
      <c r="AI159" s="1" t="s">
        <v>5406</v>
      </c>
      <c r="AL159" s="264">
        <v>45162.793586157408</v>
      </c>
      <c r="AM159" s="86" t="s">
        <v>54</v>
      </c>
      <c r="AN159" s="273">
        <f t="shared" ca="1" si="27"/>
        <v>9</v>
      </c>
      <c r="AO159" s="82" t="str">
        <f t="shared" ca="1" si="28"/>
        <v>-</v>
      </c>
      <c r="AP159" s="82" t="str">
        <f t="shared" ca="1" si="29"/>
        <v>-</v>
      </c>
    </row>
    <row r="160" spans="1:42">
      <c r="A160" s="211">
        <f>SUBTOTAL(103,$I$5:I160)</f>
        <v>156</v>
      </c>
      <c r="B160" s="1" t="s">
        <v>6235</v>
      </c>
      <c r="C160" s="1" t="s">
        <v>3199</v>
      </c>
      <c r="D160" s="4" t="s">
        <v>21</v>
      </c>
      <c r="E160" s="213" t="s">
        <v>4635</v>
      </c>
      <c r="F160" s="5" t="s">
        <v>129</v>
      </c>
      <c r="G160" s="7">
        <v>44414</v>
      </c>
      <c r="H160" s="7" t="s">
        <v>30</v>
      </c>
      <c r="I160" s="5" t="s">
        <v>6236</v>
      </c>
      <c r="J160" s="1" t="s">
        <v>39</v>
      </c>
      <c r="K160" s="272" t="s">
        <v>6216</v>
      </c>
      <c r="L160" s="213">
        <v>44785</v>
      </c>
      <c r="M160" s="213">
        <v>45159.720752314817</v>
      </c>
      <c r="N160" s="7">
        <v>45163.564363425925</v>
      </c>
      <c r="P160" s="288" t="s">
        <v>3</v>
      </c>
      <c r="Q160" s="3" t="s">
        <v>6300</v>
      </c>
      <c r="AD160" s="4" t="s">
        <v>1120</v>
      </c>
      <c r="AE160" s="1" t="s">
        <v>99</v>
      </c>
      <c r="AF160" s="1" t="s">
        <v>6328</v>
      </c>
      <c r="AH160" s="102" t="s">
        <v>4903</v>
      </c>
      <c r="AJ160" s="72" t="s">
        <v>1062</v>
      </c>
      <c r="AL160" s="264">
        <v>45163.566100636577</v>
      </c>
      <c r="AM160" s="86" t="s">
        <v>1120</v>
      </c>
      <c r="AN160" s="273">
        <f t="shared" ca="1" si="27"/>
        <v>9</v>
      </c>
      <c r="AO160" s="82" t="str">
        <f t="shared" ca="1" si="28"/>
        <v>-</v>
      </c>
      <c r="AP160" s="82" t="str">
        <f t="shared" ca="1" si="29"/>
        <v>-</v>
      </c>
    </row>
    <row r="161" spans="1:42">
      <c r="A161" s="211">
        <f>SUBTOTAL(103,$I$5:I161)</f>
        <v>157</v>
      </c>
      <c r="B161" s="1" t="s">
        <v>6237</v>
      </c>
      <c r="C161" s="1" t="s">
        <v>3199</v>
      </c>
      <c r="D161" s="4" t="s">
        <v>21</v>
      </c>
      <c r="E161" s="213" t="s">
        <v>4635</v>
      </c>
      <c r="F161" s="5" t="s">
        <v>129</v>
      </c>
      <c r="G161" s="7">
        <v>44520</v>
      </c>
      <c r="H161" s="7" t="s">
        <v>30</v>
      </c>
      <c r="I161" s="5" t="s">
        <v>6238</v>
      </c>
      <c r="J161" s="1" t="s">
        <v>39</v>
      </c>
      <c r="K161" s="272" t="s">
        <v>6216</v>
      </c>
      <c r="L161" s="213">
        <v>44885</v>
      </c>
      <c r="M161" s="213">
        <v>45159</v>
      </c>
      <c r="N161" s="7">
        <v>45161</v>
      </c>
      <c r="O161" s="72" t="s">
        <v>6387</v>
      </c>
      <c r="P161" s="288" t="s">
        <v>2</v>
      </c>
      <c r="Q161" s="3" t="s">
        <v>6239</v>
      </c>
      <c r="U161" s="6" t="s">
        <v>12</v>
      </c>
      <c r="AC161" s="4" t="s">
        <v>6289</v>
      </c>
      <c r="AD161" s="4" t="s">
        <v>1120</v>
      </c>
      <c r="AE161" s="1" t="s">
        <v>1029</v>
      </c>
      <c r="AG161" s="1" t="s">
        <v>6391</v>
      </c>
      <c r="AH161" s="102" t="s">
        <v>68</v>
      </c>
      <c r="AI161" s="1" t="s">
        <v>5558</v>
      </c>
      <c r="AL161" s="264">
        <v>45163.853768935187</v>
      </c>
      <c r="AM161" s="86" t="s">
        <v>54</v>
      </c>
      <c r="AN161" s="273">
        <f t="shared" ca="1" si="27"/>
        <v>9</v>
      </c>
      <c r="AO161" s="82" t="str">
        <f t="shared" ca="1" si="28"/>
        <v>-</v>
      </c>
      <c r="AP161" s="82" t="str">
        <f t="shared" ca="1" si="29"/>
        <v>-</v>
      </c>
    </row>
    <row r="162" spans="1:42">
      <c r="A162" s="211">
        <f>SUBTOTAL(103,$I$5:I162)</f>
        <v>158</v>
      </c>
      <c r="B162" s="1" t="s">
        <v>6240</v>
      </c>
      <c r="C162" s="1" t="s">
        <v>3199</v>
      </c>
      <c r="D162" s="4" t="s">
        <v>21</v>
      </c>
      <c r="E162" s="213" t="s">
        <v>4635</v>
      </c>
      <c r="F162" s="5" t="s">
        <v>129</v>
      </c>
      <c r="G162" s="7">
        <v>44250</v>
      </c>
      <c r="H162" s="7" t="s">
        <v>30</v>
      </c>
      <c r="I162" s="5" t="s">
        <v>1888</v>
      </c>
      <c r="J162" s="1" t="s">
        <v>39</v>
      </c>
      <c r="K162" s="272" t="s">
        <v>6216</v>
      </c>
      <c r="L162" s="213">
        <v>44621</v>
      </c>
      <c r="M162" s="213">
        <v>45159</v>
      </c>
      <c r="N162" s="7">
        <v>45161</v>
      </c>
      <c r="O162" s="72" t="s">
        <v>6388</v>
      </c>
      <c r="P162" s="288" t="s">
        <v>2</v>
      </c>
      <c r="Q162" s="3" t="s">
        <v>5848</v>
      </c>
      <c r="U162" s="6" t="s">
        <v>12</v>
      </c>
      <c r="AC162" s="4" t="s">
        <v>6290</v>
      </c>
      <c r="AD162" s="4" t="s">
        <v>1102</v>
      </c>
      <c r="AE162" s="1" t="s">
        <v>1029</v>
      </c>
      <c r="AG162" s="1" t="s">
        <v>6391</v>
      </c>
      <c r="AH162" s="102" t="s">
        <v>68</v>
      </c>
      <c r="AI162" s="1" t="s">
        <v>5558</v>
      </c>
      <c r="AL162" s="264">
        <v>45163.821105798612</v>
      </c>
      <c r="AM162" s="86" t="s">
        <v>54</v>
      </c>
      <c r="AN162" s="273">
        <f t="shared" ca="1" si="27"/>
        <v>9</v>
      </c>
      <c r="AO162" s="82" t="str">
        <f t="shared" ca="1" si="28"/>
        <v>-</v>
      </c>
      <c r="AP162" s="82" t="str">
        <f t="shared" ca="1" si="29"/>
        <v>-</v>
      </c>
    </row>
    <row r="163" spans="1:42">
      <c r="A163" s="211">
        <f>SUBTOTAL(103,$I$5:I163)</f>
        <v>159</v>
      </c>
      <c r="B163" s="1" t="s">
        <v>6241</v>
      </c>
      <c r="C163" s="1" t="s">
        <v>3199</v>
      </c>
      <c r="D163" s="4" t="s">
        <v>21</v>
      </c>
      <c r="E163" s="213" t="s">
        <v>4635</v>
      </c>
      <c r="F163" s="5" t="s">
        <v>129</v>
      </c>
      <c r="G163" s="7">
        <v>41492</v>
      </c>
      <c r="H163" s="7" t="s">
        <v>25</v>
      </c>
      <c r="I163" s="5" t="s">
        <v>298</v>
      </c>
      <c r="J163" s="1" t="s">
        <v>1043</v>
      </c>
      <c r="K163" s="272" t="s">
        <v>6219</v>
      </c>
      <c r="L163" s="213">
        <v>41857</v>
      </c>
      <c r="M163" s="213">
        <v>45159</v>
      </c>
      <c r="N163" s="7">
        <v>45161</v>
      </c>
      <c r="O163" s="72" t="s">
        <v>6389</v>
      </c>
      <c r="P163" s="288" t="s">
        <v>2</v>
      </c>
      <c r="Q163" s="3" t="s">
        <v>6242</v>
      </c>
      <c r="U163" s="6" t="s">
        <v>12</v>
      </c>
      <c r="AC163" s="4" t="s">
        <v>6291</v>
      </c>
      <c r="AD163" s="4" t="s">
        <v>1120</v>
      </c>
      <c r="AE163" s="1" t="s">
        <v>1029</v>
      </c>
      <c r="AG163" s="1" t="s">
        <v>6391</v>
      </c>
      <c r="AH163" s="102" t="s">
        <v>68</v>
      </c>
      <c r="AI163" s="1" t="s">
        <v>5558</v>
      </c>
      <c r="AL163" s="264">
        <v>45163.818141608797</v>
      </c>
      <c r="AM163" s="86" t="s">
        <v>54</v>
      </c>
      <c r="AN163" s="273">
        <f t="shared" ca="1" si="27"/>
        <v>9</v>
      </c>
      <c r="AO163" s="82" t="str">
        <f t="shared" ca="1" si="28"/>
        <v>-</v>
      </c>
      <c r="AP163" s="82" t="str">
        <f t="shared" ca="1" si="29"/>
        <v>-</v>
      </c>
    </row>
    <row r="164" spans="1:42">
      <c r="A164" s="211">
        <f>SUBTOTAL(103,$I$5:I164)</f>
        <v>160</v>
      </c>
      <c r="B164" s="1" t="s">
        <v>6243</v>
      </c>
      <c r="C164" s="1" t="s">
        <v>3199</v>
      </c>
      <c r="D164" s="4" t="s">
        <v>21</v>
      </c>
      <c r="E164" s="213" t="s">
        <v>4635</v>
      </c>
      <c r="F164" s="5" t="s">
        <v>129</v>
      </c>
      <c r="G164" s="7">
        <v>44520</v>
      </c>
      <c r="H164" s="7" t="s">
        <v>34</v>
      </c>
      <c r="I164" s="5" t="s">
        <v>5632</v>
      </c>
      <c r="J164" s="1" t="s">
        <v>1043</v>
      </c>
      <c r="K164" s="272" t="s">
        <v>6216</v>
      </c>
      <c r="L164" s="213">
        <v>44885</v>
      </c>
      <c r="M164" s="213">
        <v>45159.724004629628</v>
      </c>
      <c r="U164" s="6" t="s">
        <v>12</v>
      </c>
      <c r="AD164" s="4" t="s">
        <v>53</v>
      </c>
      <c r="AE164" s="1" t="s">
        <v>1053</v>
      </c>
      <c r="AH164" s="102" t="s">
        <v>69</v>
      </c>
      <c r="AL164" s="264">
        <v>45162.568739768518</v>
      </c>
      <c r="AM164" s="86" t="s">
        <v>54</v>
      </c>
      <c r="AN164" s="273">
        <f t="shared" ca="1" si="27"/>
        <v>9</v>
      </c>
      <c r="AO164" s="82" t="str">
        <f t="shared" ca="1" si="28"/>
        <v>-</v>
      </c>
      <c r="AP164" s="82" t="str">
        <f t="shared" ca="1" si="29"/>
        <v>-</v>
      </c>
    </row>
    <row r="165" spans="1:42">
      <c r="A165" s="211">
        <f>SUBTOTAL(103,$I$5:I165)</f>
        <v>161</v>
      </c>
      <c r="B165" s="1" t="s">
        <v>6244</v>
      </c>
      <c r="C165" s="1" t="s">
        <v>3199</v>
      </c>
      <c r="D165" s="4" t="s">
        <v>21</v>
      </c>
      <c r="E165" s="213" t="s">
        <v>4635</v>
      </c>
      <c r="F165" s="5" t="s">
        <v>129</v>
      </c>
      <c r="G165" s="7">
        <v>42282</v>
      </c>
      <c r="H165" s="7" t="s">
        <v>58</v>
      </c>
      <c r="I165" s="5" t="s">
        <v>1258</v>
      </c>
      <c r="J165" s="1" t="s">
        <v>1043</v>
      </c>
      <c r="K165" s="272" t="s">
        <v>6219</v>
      </c>
      <c r="L165" s="213">
        <v>42648</v>
      </c>
      <c r="M165" s="213">
        <v>45159.724560185183</v>
      </c>
      <c r="U165" s="6" t="s">
        <v>12</v>
      </c>
      <c r="AD165" s="4" t="s">
        <v>53</v>
      </c>
      <c r="AE165" s="1" t="s">
        <v>1053</v>
      </c>
      <c r="AH165" s="102" t="s">
        <v>69</v>
      </c>
      <c r="AL165" s="264">
        <v>45162.56821060185</v>
      </c>
      <c r="AM165" s="86" t="s">
        <v>54</v>
      </c>
      <c r="AN165" s="273">
        <f t="shared" ca="1" si="27"/>
        <v>9</v>
      </c>
      <c r="AO165" s="82" t="str">
        <f t="shared" ca="1" si="28"/>
        <v>-</v>
      </c>
      <c r="AP165" s="82" t="str">
        <f t="shared" ca="1" si="29"/>
        <v>-</v>
      </c>
    </row>
    <row r="166" spans="1:42">
      <c r="A166" s="211">
        <f>SUBTOTAL(103,$I$5:I166)</f>
        <v>162</v>
      </c>
      <c r="B166" s="1" t="s">
        <v>6245</v>
      </c>
      <c r="C166" s="1" t="s">
        <v>3199</v>
      </c>
      <c r="D166" s="4" t="s">
        <v>21</v>
      </c>
      <c r="E166" s="213" t="s">
        <v>4635</v>
      </c>
      <c r="F166" s="5" t="s">
        <v>129</v>
      </c>
      <c r="G166" s="7">
        <v>44260</v>
      </c>
      <c r="H166" s="7" t="s">
        <v>1139</v>
      </c>
      <c r="I166" s="5" t="s">
        <v>6246</v>
      </c>
      <c r="J166" s="1" t="s">
        <v>1043</v>
      </c>
      <c r="K166" s="272" t="s">
        <v>6223</v>
      </c>
      <c r="L166" s="213">
        <v>44625</v>
      </c>
      <c r="M166" s="213">
        <v>45159</v>
      </c>
      <c r="N166" s="7">
        <v>45162</v>
      </c>
      <c r="O166" s="72" t="s">
        <v>6390</v>
      </c>
      <c r="P166" s="288" t="s">
        <v>2</v>
      </c>
      <c r="Q166" s="3" t="s">
        <v>6301</v>
      </c>
      <c r="U166" s="6" t="s">
        <v>12</v>
      </c>
      <c r="AD166" s="4" t="s">
        <v>1120</v>
      </c>
      <c r="AE166" s="1" t="s">
        <v>1029</v>
      </c>
      <c r="AG166" s="1" t="s">
        <v>6391</v>
      </c>
      <c r="AH166" s="102" t="s">
        <v>68</v>
      </c>
      <c r="AI166" s="1" t="s">
        <v>5558</v>
      </c>
      <c r="AL166" s="264">
        <v>45163.820231909725</v>
      </c>
      <c r="AM166" s="86" t="s">
        <v>54</v>
      </c>
      <c r="AN166" s="273">
        <f t="shared" ca="1" si="27"/>
        <v>9</v>
      </c>
      <c r="AO166" s="82" t="str">
        <f t="shared" ca="1" si="28"/>
        <v>-</v>
      </c>
      <c r="AP166" s="82" t="str">
        <f t="shared" ca="1" si="29"/>
        <v>-</v>
      </c>
    </row>
    <row r="167" spans="1:42">
      <c r="A167" s="211">
        <f>SUBTOTAL(103,$I$5:I167)</f>
        <v>163</v>
      </c>
      <c r="B167" s="1" t="s">
        <v>6247</v>
      </c>
      <c r="C167" s="1" t="s">
        <v>3199</v>
      </c>
      <c r="D167" s="4" t="s">
        <v>21</v>
      </c>
      <c r="E167" s="213" t="s">
        <v>4635</v>
      </c>
      <c r="F167" s="5" t="s">
        <v>129</v>
      </c>
      <c r="G167" s="7">
        <v>44520</v>
      </c>
      <c r="H167" s="7" t="s">
        <v>34</v>
      </c>
      <c r="I167" s="5" t="s">
        <v>6248</v>
      </c>
      <c r="J167" s="1" t="s">
        <v>1043</v>
      </c>
      <c r="K167" s="272" t="s">
        <v>6216</v>
      </c>
      <c r="L167" s="213">
        <v>44885</v>
      </c>
      <c r="M167" s="213">
        <v>45159</v>
      </c>
      <c r="N167" s="7">
        <v>45161</v>
      </c>
      <c r="P167" s="288" t="s">
        <v>3</v>
      </c>
      <c r="Q167" s="3" t="s">
        <v>1666</v>
      </c>
      <c r="U167" s="6" t="s">
        <v>12</v>
      </c>
      <c r="AC167" s="4" t="s">
        <v>6292</v>
      </c>
      <c r="AD167" s="4" t="s">
        <v>1102</v>
      </c>
      <c r="AE167" s="1" t="s">
        <v>62</v>
      </c>
      <c r="AG167" s="104" t="s">
        <v>6385</v>
      </c>
      <c r="AH167" s="102" t="s">
        <v>68</v>
      </c>
      <c r="AI167" s="1" t="s">
        <v>5559</v>
      </c>
      <c r="AL167" s="264">
        <v>45163.819952268517</v>
      </c>
      <c r="AM167" s="86" t="s">
        <v>54</v>
      </c>
      <c r="AN167" s="273">
        <f t="shared" ca="1" si="27"/>
        <v>9</v>
      </c>
      <c r="AO167" s="82" t="str">
        <f t="shared" ca="1" si="28"/>
        <v>-</v>
      </c>
      <c r="AP167" s="82" t="str">
        <f t="shared" ca="1" si="29"/>
        <v>-</v>
      </c>
    </row>
    <row r="168" spans="1:42">
      <c r="A168" s="211">
        <f>SUBTOTAL(103,$I$5:I168)</f>
        <v>164</v>
      </c>
      <c r="B168" s="1" t="s">
        <v>6249</v>
      </c>
      <c r="C168" s="1" t="s">
        <v>1714</v>
      </c>
      <c r="D168" s="4" t="s">
        <v>44</v>
      </c>
      <c r="E168" s="213"/>
      <c r="F168" s="5" t="s">
        <v>129</v>
      </c>
      <c r="G168" s="7">
        <v>41849</v>
      </c>
      <c r="H168" s="7" t="s">
        <v>45</v>
      </c>
      <c r="I168" s="5" t="s">
        <v>152</v>
      </c>
      <c r="J168" s="1" t="s">
        <v>1042</v>
      </c>
      <c r="K168" s="272" t="s">
        <v>6217</v>
      </c>
      <c r="M168" s="213">
        <v>45159.726736111108</v>
      </c>
      <c r="N168" s="7">
        <v>45163.719525462962</v>
      </c>
      <c r="P168" s="288" t="s">
        <v>4</v>
      </c>
      <c r="Q168" s="3" t="s">
        <v>4871</v>
      </c>
      <c r="U168" s="6" t="s">
        <v>12</v>
      </c>
      <c r="AD168" s="4" t="s">
        <v>1102</v>
      </c>
      <c r="AE168" s="1" t="s">
        <v>2673</v>
      </c>
      <c r="AG168" s="104" t="s">
        <v>6385</v>
      </c>
      <c r="AH168" s="102" t="s">
        <v>68</v>
      </c>
      <c r="AI168" s="1" t="s">
        <v>5559</v>
      </c>
      <c r="AL168" s="264">
        <v>45163.719876678239</v>
      </c>
      <c r="AM168" s="86" t="s">
        <v>1102</v>
      </c>
      <c r="AN168" s="273">
        <f t="shared" ca="1" si="27"/>
        <v>9</v>
      </c>
      <c r="AO168" s="82" t="str">
        <f t="shared" ca="1" si="28"/>
        <v>-</v>
      </c>
      <c r="AP168" s="82" t="str">
        <f t="shared" ca="1" si="29"/>
        <v>-</v>
      </c>
    </row>
    <row r="169" spans="1:42">
      <c r="A169" s="211">
        <f>SUBTOTAL(103,$I$5:I169)</f>
        <v>165</v>
      </c>
      <c r="B169" s="1" t="s">
        <v>6250</v>
      </c>
      <c r="C169" s="1" t="s">
        <v>3199</v>
      </c>
      <c r="D169" s="4" t="s">
        <v>299</v>
      </c>
      <c r="E169" s="213" t="s">
        <v>4676</v>
      </c>
      <c r="F169" s="5" t="s">
        <v>22</v>
      </c>
      <c r="G169" s="7">
        <v>43979</v>
      </c>
      <c r="H169" s="7" t="s">
        <v>104</v>
      </c>
      <c r="I169" s="5" t="s">
        <v>6251</v>
      </c>
      <c r="J169" s="1" t="s">
        <v>1244</v>
      </c>
      <c r="K169" s="272" t="s">
        <v>6219</v>
      </c>
      <c r="L169" s="213">
        <v>44344</v>
      </c>
      <c r="M169" s="213">
        <v>45160.415567129632</v>
      </c>
      <c r="N169" s="7">
        <v>45160.427974537037</v>
      </c>
      <c r="P169" s="288" t="s">
        <v>2</v>
      </c>
      <c r="Q169" s="3" t="s">
        <v>6252</v>
      </c>
      <c r="R169" s="228">
        <v>6872</v>
      </c>
      <c r="S169" s="6">
        <v>45162</v>
      </c>
      <c r="U169" s="6" t="s">
        <v>12</v>
      </c>
      <c r="AC169" s="4" t="s">
        <v>6293</v>
      </c>
      <c r="AD169" s="4" t="s">
        <v>18</v>
      </c>
      <c r="AE169" s="1" t="s">
        <v>35</v>
      </c>
      <c r="AF169" s="104" t="s">
        <v>6207</v>
      </c>
      <c r="AG169" s="104" t="s">
        <v>6374</v>
      </c>
      <c r="AH169" s="102" t="s">
        <v>68</v>
      </c>
      <c r="AI169" s="1" t="s">
        <v>5559</v>
      </c>
      <c r="AL169" s="264">
        <v>45162.49722690972</v>
      </c>
      <c r="AM169" s="86" t="s">
        <v>18</v>
      </c>
      <c r="AN169" s="273">
        <f t="shared" ca="1" si="27"/>
        <v>8</v>
      </c>
      <c r="AO169" s="82">
        <f t="shared" ca="1" si="28"/>
        <v>6</v>
      </c>
      <c r="AP169" s="82" t="str">
        <f t="shared" ca="1" si="29"/>
        <v>-</v>
      </c>
    </row>
    <row r="170" spans="1:42">
      <c r="A170" s="211">
        <f>SUBTOTAL(103,$I$5:I170)</f>
        <v>166</v>
      </c>
      <c r="B170" s="1" t="s">
        <v>6253</v>
      </c>
      <c r="C170" s="1" t="s">
        <v>3199</v>
      </c>
      <c r="D170" s="4" t="s">
        <v>6254</v>
      </c>
      <c r="E170" s="213" t="s">
        <v>4676</v>
      </c>
      <c r="F170" s="5" t="s">
        <v>22</v>
      </c>
      <c r="G170" s="7">
        <v>43076</v>
      </c>
      <c r="H170" s="7" t="s">
        <v>38</v>
      </c>
      <c r="I170" s="5" t="s">
        <v>6255</v>
      </c>
      <c r="J170" s="1" t="s">
        <v>39</v>
      </c>
      <c r="K170" s="272" t="s">
        <v>6222</v>
      </c>
      <c r="L170" s="213">
        <v>43441</v>
      </c>
      <c r="M170" s="213">
        <v>45161.555277777778</v>
      </c>
      <c r="N170" s="7">
        <v>45161.557529305559</v>
      </c>
      <c r="P170" s="288" t="s">
        <v>2</v>
      </c>
      <c r="Q170" s="3" t="s">
        <v>5599</v>
      </c>
      <c r="R170" s="228">
        <v>5865</v>
      </c>
      <c r="S170" s="6">
        <v>45161</v>
      </c>
      <c r="U170" s="6" t="s">
        <v>12</v>
      </c>
      <c r="AC170" s="4" t="s">
        <v>6294</v>
      </c>
      <c r="AD170" s="4" t="s">
        <v>20</v>
      </c>
      <c r="AE170" s="1" t="s">
        <v>35</v>
      </c>
      <c r="AF170" s="104" t="s">
        <v>6207</v>
      </c>
      <c r="AG170" s="104" t="s">
        <v>6374</v>
      </c>
      <c r="AH170" s="102" t="s">
        <v>68</v>
      </c>
      <c r="AL170" s="264">
        <v>45161.561030821758</v>
      </c>
      <c r="AM170" s="86" t="s">
        <v>20</v>
      </c>
      <c r="AN170" s="273">
        <f t="shared" ca="1" si="27"/>
        <v>7</v>
      </c>
      <c r="AO170" s="82">
        <f t="shared" ca="1" si="28"/>
        <v>7</v>
      </c>
      <c r="AP170" s="82" t="str">
        <f t="shared" ca="1" si="29"/>
        <v>-</v>
      </c>
    </row>
    <row r="171" spans="1:42">
      <c r="A171" s="211">
        <f>SUBTOTAL(103,$I$5:I171)</f>
        <v>167</v>
      </c>
      <c r="B171" s="1" t="s">
        <v>6256</v>
      </c>
      <c r="C171" s="1" t="s">
        <v>3199</v>
      </c>
      <c r="D171" s="4" t="s">
        <v>4541</v>
      </c>
      <c r="E171" s="213" t="s">
        <v>4676</v>
      </c>
      <c r="F171" s="5" t="s">
        <v>22</v>
      </c>
      <c r="G171" s="7">
        <v>43126</v>
      </c>
      <c r="H171" s="7" t="s">
        <v>16</v>
      </c>
      <c r="I171" s="5" t="s">
        <v>6257</v>
      </c>
      <c r="J171" s="1" t="s">
        <v>39</v>
      </c>
      <c r="K171" s="272" t="s">
        <v>6219</v>
      </c>
      <c r="L171" s="213">
        <v>43491</v>
      </c>
      <c r="M171" s="213">
        <v>45162.71130787037</v>
      </c>
      <c r="N171" s="7">
        <v>45162.719189814816</v>
      </c>
      <c r="O171" s="72" t="s">
        <v>6295</v>
      </c>
      <c r="P171" s="288" t="s">
        <v>3</v>
      </c>
      <c r="Q171" s="3" t="s">
        <v>6302</v>
      </c>
      <c r="U171" s="6" t="s">
        <v>12</v>
      </c>
      <c r="AC171" s="4" t="s">
        <v>6296</v>
      </c>
      <c r="AD171" s="4" t="s">
        <v>18</v>
      </c>
      <c r="AE171" s="1" t="s">
        <v>1029</v>
      </c>
      <c r="AH171" s="102" t="s">
        <v>68</v>
      </c>
      <c r="AI171" s="1" t="s">
        <v>5559</v>
      </c>
      <c r="AL171" s="264">
        <v>45162.824868900461</v>
      </c>
      <c r="AM171" s="86" t="s">
        <v>18</v>
      </c>
      <c r="AN171" s="273">
        <f t="shared" ca="1" si="27"/>
        <v>6</v>
      </c>
      <c r="AO171" s="82" t="str">
        <f t="shared" ca="1" si="28"/>
        <v>-</v>
      </c>
      <c r="AP171" s="82" t="str">
        <f t="shared" ca="1" si="29"/>
        <v>-</v>
      </c>
    </row>
    <row r="172" spans="1:42">
      <c r="A172" s="211">
        <f>SUBTOTAL(103,$I$5:I172)</f>
        <v>168</v>
      </c>
      <c r="B172" s="1" t="s">
        <v>6258</v>
      </c>
      <c r="C172" s="1" t="s">
        <v>1714</v>
      </c>
      <c r="D172" s="4" t="s">
        <v>41</v>
      </c>
      <c r="E172" s="213"/>
      <c r="F172" s="5" t="s">
        <v>129</v>
      </c>
      <c r="G172" s="7">
        <v>42061</v>
      </c>
      <c r="H172" s="7" t="s">
        <v>34</v>
      </c>
      <c r="I172" s="5" t="s">
        <v>2461</v>
      </c>
      <c r="J172" s="1" t="s">
        <v>1043</v>
      </c>
      <c r="K172" s="272" t="s">
        <v>6216</v>
      </c>
      <c r="L172" s="213">
        <v>42426</v>
      </c>
      <c r="M172" s="213">
        <v>45160.530023148145</v>
      </c>
      <c r="N172" s="7">
        <v>45162.729780092595</v>
      </c>
      <c r="P172" s="288" t="s">
        <v>2</v>
      </c>
      <c r="Q172" s="3" t="s">
        <v>6303</v>
      </c>
      <c r="AD172" s="4" t="s">
        <v>1102</v>
      </c>
      <c r="AE172" s="1" t="s">
        <v>2671</v>
      </c>
      <c r="AG172" s="104" t="s">
        <v>6385</v>
      </c>
      <c r="AH172" s="102" t="s">
        <v>68</v>
      </c>
      <c r="AI172" s="1" t="s">
        <v>5559</v>
      </c>
      <c r="AL172" s="264">
        <v>45162.751578842595</v>
      </c>
      <c r="AM172" s="86" t="s">
        <v>1102</v>
      </c>
      <c r="AN172" s="273">
        <f t="shared" ca="1" si="27"/>
        <v>8</v>
      </c>
      <c r="AO172" s="82" t="str">
        <f t="shared" ca="1" si="28"/>
        <v>-</v>
      </c>
      <c r="AP172" s="82" t="str">
        <f t="shared" ca="1" si="29"/>
        <v>-</v>
      </c>
    </row>
    <row r="173" spans="1:42">
      <c r="A173" s="211">
        <f>SUBTOTAL(103,$I$5:I173)</f>
        <v>169</v>
      </c>
      <c r="B173" s="1" t="s">
        <v>6261</v>
      </c>
      <c r="C173" s="1" t="s">
        <v>3199</v>
      </c>
      <c r="D173" s="4" t="s">
        <v>3049</v>
      </c>
      <c r="E173" s="213" t="s">
        <v>4635</v>
      </c>
      <c r="F173" s="5" t="s">
        <v>22</v>
      </c>
      <c r="G173" s="7">
        <v>44592</v>
      </c>
      <c r="H173" s="7" t="s">
        <v>16</v>
      </c>
      <c r="I173" s="5" t="s">
        <v>6262</v>
      </c>
      <c r="J173" s="1" t="s">
        <v>39</v>
      </c>
      <c r="K173" s="272" t="s">
        <v>6219</v>
      </c>
      <c r="L173" s="213">
        <v>44957</v>
      </c>
      <c r="M173" s="213"/>
      <c r="U173" s="6" t="s">
        <v>12</v>
      </c>
      <c r="AD173" s="4" t="s">
        <v>20</v>
      </c>
      <c r="AE173" s="1" t="s">
        <v>62</v>
      </c>
      <c r="AG173" s="104" t="s">
        <v>6392</v>
      </c>
      <c r="AH173" s="102" t="s">
        <v>1041</v>
      </c>
      <c r="AL173" s="264">
        <v>45161.428624733795</v>
      </c>
      <c r="AM173" s="86" t="s">
        <v>18</v>
      </c>
      <c r="AN173" s="273" t="str">
        <f t="shared" ca="1" si="27"/>
        <v>-</v>
      </c>
      <c r="AO173" s="82" t="str">
        <f t="shared" ca="1" si="28"/>
        <v>-</v>
      </c>
      <c r="AP173" s="82" t="str">
        <f t="shared" ca="1" si="29"/>
        <v>-</v>
      </c>
    </row>
    <row r="174" spans="1:42">
      <c r="A174" s="211">
        <f>SUBTOTAL(103,$I$5:I174)</f>
        <v>170</v>
      </c>
      <c r="B174" s="1" t="s">
        <v>6263</v>
      </c>
      <c r="C174" s="1" t="s">
        <v>3198</v>
      </c>
      <c r="D174" s="4" t="s">
        <v>2484</v>
      </c>
      <c r="E174" s="213" t="s">
        <v>4676</v>
      </c>
      <c r="F174" s="5" t="s">
        <v>22</v>
      </c>
      <c r="G174" s="7">
        <v>44433</v>
      </c>
      <c r="H174" s="7" t="s">
        <v>64</v>
      </c>
      <c r="I174" s="5" t="s">
        <v>4594</v>
      </c>
      <c r="J174" s="1" t="s">
        <v>1043</v>
      </c>
      <c r="K174" s="272" t="s">
        <v>6222</v>
      </c>
      <c r="L174" s="213">
        <v>44798</v>
      </c>
      <c r="M174" s="213">
        <v>45161.505104166667</v>
      </c>
      <c r="N174" s="7">
        <v>45161.55281927083</v>
      </c>
      <c r="P174" s="288" t="s">
        <v>2</v>
      </c>
      <c r="Q174" s="3" t="s">
        <v>5274</v>
      </c>
      <c r="R174" s="228">
        <v>1456</v>
      </c>
      <c r="S174" s="6">
        <v>45161</v>
      </c>
      <c r="U174" s="6" t="s">
        <v>12</v>
      </c>
      <c r="AC174" s="4" t="s">
        <v>6297</v>
      </c>
      <c r="AD174" s="4" t="s">
        <v>20</v>
      </c>
      <c r="AE174" s="1" t="s">
        <v>35</v>
      </c>
      <c r="AF174" s="104" t="s">
        <v>6207</v>
      </c>
      <c r="AG174" s="104" t="s">
        <v>6374</v>
      </c>
      <c r="AH174" s="102" t="s">
        <v>68</v>
      </c>
      <c r="AL174" s="264">
        <v>45161.554308726852</v>
      </c>
      <c r="AM174" s="86" t="s">
        <v>20</v>
      </c>
      <c r="AN174" s="273">
        <f t="shared" ca="1" si="27"/>
        <v>7</v>
      </c>
      <c r="AO174" s="82">
        <f t="shared" ca="1" si="28"/>
        <v>7</v>
      </c>
      <c r="AP174" s="82" t="str">
        <f t="shared" ca="1" si="29"/>
        <v>-</v>
      </c>
    </row>
    <row r="175" spans="1:42">
      <c r="A175" s="211">
        <f>SUBTOTAL(103,$I$5:I175)</f>
        <v>171</v>
      </c>
      <c r="B175" s="1" t="s">
        <v>6264</v>
      </c>
      <c r="C175" s="1" t="s">
        <v>3199</v>
      </c>
      <c r="D175" s="4" t="s">
        <v>2767</v>
      </c>
      <c r="F175" s="5" t="s">
        <v>129</v>
      </c>
      <c r="G175" s="7">
        <v>44578</v>
      </c>
      <c r="H175" s="7" t="s">
        <v>51</v>
      </c>
      <c r="I175" s="5" t="s">
        <v>6265</v>
      </c>
      <c r="J175" s="1" t="s">
        <v>1043</v>
      </c>
      <c r="K175" s="272" t="s">
        <v>6215</v>
      </c>
      <c r="L175" s="213">
        <v>44943</v>
      </c>
      <c r="M175" s="213">
        <v>45161.792939814812</v>
      </c>
      <c r="P175" s="288" t="s">
        <v>2</v>
      </c>
      <c r="Q175" s="3" t="s">
        <v>6304</v>
      </c>
      <c r="U175" s="6" t="s">
        <v>12</v>
      </c>
      <c r="AD175" s="4" t="s">
        <v>53</v>
      </c>
      <c r="AE175" s="1" t="s">
        <v>1053</v>
      </c>
      <c r="AH175" s="102" t="s">
        <v>69</v>
      </c>
      <c r="AL175" s="264">
        <v>45162.803098761571</v>
      </c>
      <c r="AM175" s="86" t="s">
        <v>1102</v>
      </c>
      <c r="AN175" s="273">
        <f t="shared" ca="1" si="27"/>
        <v>7</v>
      </c>
      <c r="AO175" s="82" t="str">
        <f t="shared" ca="1" si="28"/>
        <v>-</v>
      </c>
      <c r="AP175" s="82" t="str">
        <f t="shared" ca="1" si="29"/>
        <v>-</v>
      </c>
    </row>
    <row r="176" spans="1:42">
      <c r="A176" s="211">
        <f>SUBTOTAL(103,$I$5:I176)</f>
        <v>172</v>
      </c>
      <c r="B176" s="1" t="s">
        <v>6305</v>
      </c>
      <c r="C176" s="1" t="s">
        <v>3199</v>
      </c>
      <c r="D176" s="4" t="s">
        <v>1077</v>
      </c>
      <c r="E176" s="4" t="s">
        <v>4676</v>
      </c>
      <c r="F176" s="5" t="s">
        <v>22</v>
      </c>
      <c r="G176" s="7">
        <v>42361</v>
      </c>
      <c r="H176" s="7" t="s">
        <v>58</v>
      </c>
      <c r="I176" s="5" t="s">
        <v>2482</v>
      </c>
      <c r="J176" s="1" t="s">
        <v>1043</v>
      </c>
      <c r="K176" s="272" t="s">
        <v>6219</v>
      </c>
      <c r="L176" s="213">
        <v>42727</v>
      </c>
      <c r="M176" s="213"/>
      <c r="AD176" s="4" t="s">
        <v>18</v>
      </c>
      <c r="AE176" s="1" t="s">
        <v>1053</v>
      </c>
      <c r="AH176" s="102" t="s">
        <v>1041</v>
      </c>
      <c r="AL176" s="264">
        <v>45162.70872195602</v>
      </c>
      <c r="AM176" s="86" t="s">
        <v>18</v>
      </c>
      <c r="AN176" s="273" t="str">
        <f t="shared" ref="AN176:AN181" ca="1" si="30">IF(M176="","-",NETWORKDAYS.INTL(M176,TODAY()))</f>
        <v>-</v>
      </c>
      <c r="AO176" s="82" t="str">
        <f t="shared" ref="AO176:AO181" ca="1" si="31">IF(S176&lt;&gt;"",IFERROR(NETWORKDAYS.INTL(S176,TODAY()),"-"),"-")</f>
        <v>-</v>
      </c>
      <c r="AP176" s="82" t="str">
        <f t="shared" ref="AP176:AP181" ca="1" si="32">IF(V176&lt;&gt;"",IF(W176&lt;&gt;"",NETWORKDAYS.INTL(V176,W176),NETWORKDAYS.INTL(V176,TODAY())),"-")</f>
        <v>-</v>
      </c>
    </row>
    <row r="177" spans="1:42">
      <c r="A177" s="211">
        <f>SUBTOTAL(103,$I$5:I177)</f>
        <v>173</v>
      </c>
      <c r="B177" s="1" t="s">
        <v>6306</v>
      </c>
      <c r="C177" s="1" t="s">
        <v>3198</v>
      </c>
      <c r="D177" s="4" t="s">
        <v>40</v>
      </c>
      <c r="E177" s="4" t="s">
        <v>4635</v>
      </c>
      <c r="F177" s="5" t="s">
        <v>129</v>
      </c>
      <c r="G177" s="7">
        <v>42879</v>
      </c>
      <c r="H177" s="7" t="s">
        <v>56</v>
      </c>
      <c r="I177" s="5" t="s">
        <v>6307</v>
      </c>
      <c r="J177" s="1" t="s">
        <v>1043</v>
      </c>
      <c r="K177" s="272" t="s">
        <v>6215</v>
      </c>
      <c r="L177" s="213">
        <v>43244</v>
      </c>
      <c r="M177" s="213">
        <v>45162.805277777778</v>
      </c>
      <c r="P177" s="288" t="s">
        <v>2</v>
      </c>
      <c r="Q177" s="3" t="s">
        <v>4787</v>
      </c>
      <c r="AD177" s="4">
        <v>45166.80197980324</v>
      </c>
      <c r="AE177" s="1" t="s">
        <v>2671</v>
      </c>
      <c r="AG177" s="104" t="s">
        <v>6385</v>
      </c>
      <c r="AH177" s="102" t="s">
        <v>68</v>
      </c>
      <c r="AL177" s="264">
        <v>45166.80197980324</v>
      </c>
      <c r="AM177" s="86" t="s">
        <v>1120</v>
      </c>
      <c r="AN177" s="273">
        <f t="shared" ca="1" si="30"/>
        <v>6</v>
      </c>
      <c r="AO177" s="82" t="str">
        <f t="shared" ca="1" si="31"/>
        <v>-</v>
      </c>
      <c r="AP177" s="82" t="str">
        <f t="shared" ca="1" si="32"/>
        <v>-</v>
      </c>
    </row>
    <row r="178" spans="1:42">
      <c r="A178" s="211">
        <f>SUBTOTAL(103,$I$5:I178)</f>
        <v>174</v>
      </c>
      <c r="B178" s="1" t="s">
        <v>6308</v>
      </c>
      <c r="C178" s="1" t="s">
        <v>3198</v>
      </c>
      <c r="D178" s="4" t="s">
        <v>40</v>
      </c>
      <c r="E178" s="4" t="s">
        <v>4635</v>
      </c>
      <c r="F178" s="5" t="s">
        <v>129</v>
      </c>
      <c r="G178" s="7">
        <v>42774</v>
      </c>
      <c r="H178" s="7" t="s">
        <v>1123</v>
      </c>
      <c r="I178" s="5" t="s">
        <v>6309</v>
      </c>
      <c r="J178" s="1" t="s">
        <v>39</v>
      </c>
      <c r="K178" s="272" t="s">
        <v>6215</v>
      </c>
      <c r="L178" s="213">
        <v>43139</v>
      </c>
      <c r="M178" s="213">
        <v>45162.805869849537</v>
      </c>
      <c r="AD178" s="4" t="s">
        <v>1277</v>
      </c>
      <c r="AE178" s="1" t="s">
        <v>1053</v>
      </c>
      <c r="AH178" s="102" t="s">
        <v>69</v>
      </c>
      <c r="AL178" s="264">
        <v>45162.805869849537</v>
      </c>
      <c r="AM178" s="86" t="s">
        <v>1277</v>
      </c>
      <c r="AN178" s="273">
        <f t="shared" ca="1" si="30"/>
        <v>6</v>
      </c>
      <c r="AO178" s="82" t="str">
        <f t="shared" ca="1" si="31"/>
        <v>-</v>
      </c>
      <c r="AP178" s="82" t="str">
        <f t="shared" ca="1" si="32"/>
        <v>-</v>
      </c>
    </row>
    <row r="179" spans="1:42">
      <c r="A179" s="211">
        <f>SUBTOTAL(103,$I$5:I179)</f>
        <v>175</v>
      </c>
      <c r="B179" s="1" t="s">
        <v>6310</v>
      </c>
      <c r="C179" s="1" t="s">
        <v>3198</v>
      </c>
      <c r="D179" s="4" t="s">
        <v>40</v>
      </c>
      <c r="E179" s="4" t="s">
        <v>4635</v>
      </c>
      <c r="F179" s="5" t="s">
        <v>129</v>
      </c>
      <c r="G179" s="7">
        <v>42744</v>
      </c>
      <c r="H179" s="7" t="s">
        <v>49</v>
      </c>
      <c r="I179" s="5" t="s">
        <v>5381</v>
      </c>
      <c r="J179" s="1" t="s">
        <v>39</v>
      </c>
      <c r="K179" s="272" t="s">
        <v>6215</v>
      </c>
      <c r="L179" s="213">
        <v>43109</v>
      </c>
      <c r="M179" s="213">
        <v>45162.80641203704</v>
      </c>
      <c r="N179" s="7">
        <v>45167.460821759261</v>
      </c>
      <c r="P179" s="288" t="s">
        <v>3</v>
      </c>
      <c r="Q179" s="3" t="s">
        <v>2153</v>
      </c>
      <c r="AD179" s="4" t="s">
        <v>1277</v>
      </c>
      <c r="AE179" s="1" t="s">
        <v>300</v>
      </c>
      <c r="AF179" s="1" t="s">
        <v>5697</v>
      </c>
      <c r="AH179" s="102" t="s">
        <v>4903</v>
      </c>
      <c r="AJ179" s="72" t="s">
        <v>1062</v>
      </c>
      <c r="AL179" s="264">
        <v>45167.461559340278</v>
      </c>
      <c r="AM179" s="86" t="s">
        <v>54</v>
      </c>
      <c r="AN179" s="273">
        <f t="shared" ca="1" si="30"/>
        <v>6</v>
      </c>
      <c r="AO179" s="82" t="str">
        <f t="shared" ca="1" si="31"/>
        <v>-</v>
      </c>
      <c r="AP179" s="82" t="str">
        <f t="shared" ca="1" si="32"/>
        <v>-</v>
      </c>
    </row>
    <row r="180" spans="1:42">
      <c r="A180" s="211">
        <f>SUBTOTAL(103,$I$5:I180)</f>
        <v>176</v>
      </c>
      <c r="B180" s="1" t="s">
        <v>6311</v>
      </c>
      <c r="C180" s="1" t="s">
        <v>1714</v>
      </c>
      <c r="D180" s="4" t="s">
        <v>41</v>
      </c>
      <c r="F180" s="5" t="s">
        <v>129</v>
      </c>
      <c r="G180" s="7">
        <v>42364</v>
      </c>
      <c r="H180" s="7" t="s">
        <v>30</v>
      </c>
      <c r="I180" s="5" t="s">
        <v>1722</v>
      </c>
      <c r="J180" s="1" t="s">
        <v>39</v>
      </c>
      <c r="K180" s="272" t="s">
        <v>6216</v>
      </c>
      <c r="L180" s="213">
        <v>42730</v>
      </c>
      <c r="M180" s="213">
        <v>45162.809368495371</v>
      </c>
      <c r="AD180" s="4" t="s">
        <v>1277</v>
      </c>
      <c r="AE180" s="1" t="s">
        <v>1053</v>
      </c>
      <c r="AH180" s="102" t="s">
        <v>69</v>
      </c>
      <c r="AL180" s="264">
        <v>45162.809368495371</v>
      </c>
      <c r="AM180" s="86" t="s">
        <v>1277</v>
      </c>
      <c r="AN180" s="273">
        <f t="shared" ca="1" si="30"/>
        <v>6</v>
      </c>
      <c r="AO180" s="82" t="str">
        <f t="shared" ca="1" si="31"/>
        <v>-</v>
      </c>
      <c r="AP180" s="82" t="str">
        <f t="shared" ca="1" si="32"/>
        <v>-</v>
      </c>
    </row>
    <row r="181" spans="1:42">
      <c r="A181" s="211">
        <f>SUBTOTAL(103,$I$5:I181)</f>
        <v>177</v>
      </c>
      <c r="B181" s="1" t="s">
        <v>6312</v>
      </c>
      <c r="C181" s="1" t="s">
        <v>1714</v>
      </c>
      <c r="D181" s="4" t="s">
        <v>41</v>
      </c>
      <c r="F181" s="5" t="s">
        <v>129</v>
      </c>
      <c r="G181" s="7">
        <v>43805</v>
      </c>
      <c r="H181" s="7" t="s">
        <v>1115</v>
      </c>
      <c r="I181" s="5" t="s">
        <v>1228</v>
      </c>
      <c r="J181" s="1" t="s">
        <v>1043</v>
      </c>
      <c r="K181" s="272" t="s">
        <v>6219</v>
      </c>
      <c r="L181" s="213">
        <v>44171</v>
      </c>
      <c r="M181" s="213">
        <v>45163.574494548608</v>
      </c>
      <c r="U181" s="6" t="s">
        <v>12</v>
      </c>
      <c r="AD181" s="4" t="s">
        <v>53</v>
      </c>
      <c r="AE181" s="1" t="s">
        <v>1053</v>
      </c>
      <c r="AH181" s="102" t="s">
        <v>69</v>
      </c>
      <c r="AL181" s="264">
        <v>45163.574494548608</v>
      </c>
      <c r="AM181" s="86" t="s">
        <v>53</v>
      </c>
      <c r="AN181" s="273">
        <f t="shared" ca="1" si="30"/>
        <v>5</v>
      </c>
      <c r="AO181" s="82" t="str">
        <f t="shared" ca="1" si="31"/>
        <v>-</v>
      </c>
      <c r="AP181" s="82" t="str">
        <f t="shared" ca="1" si="32"/>
        <v>-</v>
      </c>
    </row>
    <row r="182" spans="1:42">
      <c r="A182" s="211">
        <f>SUBTOTAL(103,$I$5:I182)</f>
        <v>178</v>
      </c>
      <c r="B182" s="1" t="s">
        <v>6356</v>
      </c>
      <c r="C182" s="1" t="s">
        <v>3198</v>
      </c>
      <c r="D182" s="4" t="s">
        <v>4795</v>
      </c>
      <c r="E182" s="4" t="s">
        <v>4676</v>
      </c>
      <c r="F182" s="5" t="s">
        <v>129</v>
      </c>
      <c r="G182" s="7">
        <v>44591</v>
      </c>
      <c r="H182" s="7" t="s">
        <v>49</v>
      </c>
      <c r="I182" s="5" t="s">
        <v>6357</v>
      </c>
      <c r="J182" s="1" t="s">
        <v>39</v>
      </c>
      <c r="K182" s="272" t="s">
        <v>6215</v>
      </c>
      <c r="L182" s="213">
        <v>44956</v>
      </c>
      <c r="M182" s="213"/>
      <c r="AD182" s="4" t="s">
        <v>54</v>
      </c>
      <c r="AE182" s="1" t="s">
        <v>1053</v>
      </c>
      <c r="AH182" s="102" t="s">
        <v>69</v>
      </c>
      <c r="AL182" s="264">
        <v>45167.452639664349</v>
      </c>
      <c r="AM182" s="86" t="s">
        <v>54</v>
      </c>
      <c r="AN182" s="273" t="str">
        <f t="shared" ref="AN182" ca="1" si="33">IF(M182="","-",NETWORKDAYS.INTL(M182,TODAY()))</f>
        <v>-</v>
      </c>
      <c r="AO182" s="82" t="str">
        <f t="shared" ref="AO182" ca="1" si="34">IF(S182&lt;&gt;"",IFERROR(NETWORKDAYS.INTL(S182,TODAY()),"-"),"-")</f>
        <v>-</v>
      </c>
      <c r="AP182" s="82" t="str">
        <f t="shared" ref="AP182" ca="1" si="35">IF(V182&lt;&gt;"",IF(W182&lt;&gt;"",NETWORKDAYS.INTL(V182,W182),NETWORKDAYS.INTL(V182,TODAY())),"-")</f>
        <v>-</v>
      </c>
    </row>
  </sheetData>
  <autoFilter ref="A4:AP183" xr:uid="{00000000-0001-0000-0100-000000000000}"/>
  <dataConsolidate/>
  <phoneticPr fontId="23"/>
  <conditionalFormatting sqref="J2">
    <cfRule type="duplicateValues" dxfId="90" priority="7378"/>
  </conditionalFormatting>
  <conditionalFormatting sqref="I1:I1048576">
    <cfRule type="duplicateValues" dxfId="89" priority="3"/>
    <cfRule type="duplicateValues" dxfId="88" priority="423"/>
  </conditionalFormatting>
  <conditionalFormatting sqref="O21:AC21">
    <cfRule type="expression" dxfId="87" priority="98">
      <formula>IF(SEARCH("Received",$AC21),1,0)</formula>
    </cfRule>
    <cfRule type="expression" dxfId="86" priority="99">
      <formula>IF(SEARCH("under inspection",$AC21),1,0)</formula>
    </cfRule>
    <cfRule type="expression" dxfId="85" priority="100">
      <formula>IF(SEARCH("prepairing quotation",$AC21),1,0)</formula>
    </cfRule>
    <cfRule type="expression" dxfId="84" priority="101">
      <formula>IF(SEARCH("waiting confirm",$AC21),1,0)</formula>
    </cfRule>
    <cfRule type="expression" dxfId="83" priority="102">
      <formula>IF(SEARCH("waiting approved",$AC21),1,0)</formula>
    </cfRule>
    <cfRule type="expression" dxfId="82" priority="103">
      <formula>IF(SEARCH("waiting for part",$AC21),1,0)</formula>
    </cfRule>
    <cfRule type="expression" dxfId="81" priority="104">
      <formula>IF(SEARCH("under repair",$AC21),1,0)</formula>
    </cfRule>
    <cfRule type="expression" dxfId="80" priority="105">
      <formula>IF(SEARCH("waiting for repair",$AC21),1,0)</formula>
    </cfRule>
    <cfRule type="expression" dxfId="79" priority="106">
      <formula>IF(SEARCH("Completed repair",$AC21),1,0)</formula>
    </cfRule>
    <cfRule type="expression" dxfId="78" priority="107">
      <formula>IF(SEARCH("Transfer to sale team",$AC21),1,0)</formula>
    </cfRule>
    <cfRule type="expression" dxfId="77" priority="131">
      <formula>MOD($A21,2)</formula>
    </cfRule>
  </conditionalFormatting>
  <conditionalFormatting sqref="B1:B1048576">
    <cfRule type="duplicateValues" dxfId="76" priority="75"/>
  </conditionalFormatting>
  <conditionalFormatting sqref="X1:X2 X173:X1048576 AN5:AP182 A5:AG182">
    <cfRule type="expression" dxfId="75" priority="2">
      <formula>$A1&lt;&gt;""</formula>
    </cfRule>
  </conditionalFormatting>
  <conditionalFormatting sqref="X1:X2 X173:X1048576 A5:AG182">
    <cfRule type="expression" dxfId="74" priority="76">
      <formula>IF(SEARCH("Received",$AE1),1,0)</formula>
    </cfRule>
    <cfRule type="expression" dxfId="73" priority="77">
      <formula>IF(SEARCH("under inspection",$AE1),1,0)</formula>
    </cfRule>
    <cfRule type="expression" dxfId="72" priority="78">
      <formula>IF(SEARCH("prepairing quotation",$AE1),1,0)</formula>
    </cfRule>
    <cfRule type="expression" dxfId="71" priority="79">
      <formula>IF(SEARCH("waiting confirm",$AE1),1,0)</formula>
    </cfRule>
    <cfRule type="expression" dxfId="70" priority="80">
      <formula>IF(SEARCH("waiting approved",$AE1),1,0)</formula>
    </cfRule>
    <cfRule type="expression" dxfId="69" priority="81">
      <formula>IF(SEARCH("waiting for part",$AE1),1,0)</formula>
    </cfRule>
    <cfRule type="expression" dxfId="68" priority="82">
      <formula>IF(SEARCH("under repair",$AE1),1,0)</formula>
    </cfRule>
    <cfRule type="expression" dxfId="67" priority="83">
      <formula>IF(SEARCH("waiting for repair",$AE1),1,0)</formula>
    </cfRule>
    <cfRule type="expression" dxfId="66" priority="84">
      <formula>IF(SEARCH("Completed repair",$AE1),1,0)</formula>
    </cfRule>
    <cfRule type="expression" dxfId="65" priority="85">
      <formula>IF(SEARCH("Transfer to sale team",$AE1),1,0)</formula>
    </cfRule>
    <cfRule type="expression" dxfId="64" priority="97">
      <formula>MOD($A1,2)</formula>
    </cfRule>
  </conditionalFormatting>
  <conditionalFormatting sqref="A3:A4">
    <cfRule type="duplicateValues" dxfId="63" priority="1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5"/>
  <cols>
    <col min="1" max="1" width="16.28515625" style="82" bestFit="1" customWidth="1"/>
    <col min="2" max="2" width="30.7109375" style="83" customWidth="1"/>
    <col min="3" max="3" width="22.28515625" style="83" bestFit="1" customWidth="1"/>
    <col min="4" max="4" width="10.28515625" style="82" customWidth="1"/>
    <col min="5" max="5" width="17.7109375" style="82" customWidth="1"/>
    <col min="6" max="6" width="23.28515625" style="84" customWidth="1"/>
    <col min="7" max="7" width="6" customWidth="1"/>
    <col min="8" max="8" width="5.42578125" customWidth="1"/>
    <col min="9" max="9" width="5.7109375" customWidth="1"/>
    <col min="10" max="10" width="4.28515625" style="20" customWidth="1"/>
    <col min="11" max="11" width="16.28515625" bestFit="1" customWidth="1"/>
    <col min="12" max="12" width="13.7109375" bestFit="1" customWidth="1"/>
    <col min="13" max="13" width="21.42578125" bestFit="1" customWidth="1"/>
    <col min="16" max="16" width="12.7109375" bestFit="1" customWidth="1"/>
    <col min="18" max="18" width="6" customWidth="1"/>
    <col min="19" max="19" width="12.285156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5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3000000}"/>
  <dataConsolidate/>
  <phoneticPr fontId="36" type="noConversion"/>
  <conditionalFormatting sqref="N3:O3 N4:N83 O4:O493">
    <cfRule type="expression" dxfId="62" priority="25">
      <formula>IF(N3&gt;$Q3,1,0)</formula>
    </cfRule>
  </conditionalFormatting>
  <conditionalFormatting sqref="J3:T500">
    <cfRule type="expression" dxfId="61" priority="27">
      <formula>IF($S3&lt;&gt;"",1,0)</formula>
    </cfRule>
  </conditionalFormatting>
  <conditionalFormatting sqref="A3">
    <cfRule type="expression" dxfId="60" priority="1">
      <formula>IF(SEARCH("Received",$AE3),1,0)</formula>
    </cfRule>
    <cfRule type="expression" dxfId="59" priority="2">
      <formula>IF(SEARCH("under inspection",$AE3),1,0)</formula>
    </cfRule>
    <cfRule type="expression" dxfId="58" priority="3">
      <formula>IF(SEARCH("prepairing quotation",$AE3),1,0)</formula>
    </cfRule>
    <cfRule type="expression" dxfId="57" priority="4">
      <formula>IF(SEARCH("waiting confirm",$AE3),1,0)</formula>
    </cfRule>
    <cfRule type="expression" dxfId="56" priority="5">
      <formula>IF(SEARCH("waiting approved",$AE3),1,0)</formula>
    </cfRule>
    <cfRule type="expression" dxfId="55" priority="6">
      <formula>IF(SEARCH("waiting for part",$AE3),1,0)</formula>
    </cfRule>
    <cfRule type="expression" dxfId="54" priority="7">
      <formula>IF(SEARCH("under repair",$AE3),1,0)</formula>
    </cfRule>
    <cfRule type="expression" dxfId="53" priority="8">
      <formula>IF(SEARCH("waiting for repair",$AE3),1,0)</formula>
    </cfRule>
    <cfRule type="expression" dxfId="52" priority="9">
      <formula>IF(SEARCH("Completed repair",$AE3),1,0)</formula>
    </cfRule>
    <cfRule type="expression" dxfId="51" priority="10">
      <formula>IF(SEARCH("Transfer to sale team",$AE3),1,0)</formula>
    </cfRule>
    <cfRule type="expression" dxfId="50" priority="11">
      <formula>MOD($A3,2)</formula>
    </cfRule>
  </conditionalFormatting>
  <conditionalFormatting sqref="A3">
    <cfRule type="duplicateValues" dxfId="49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5"/>
  <cols>
    <col min="1" max="1" width="20.7109375" bestFit="1" customWidth="1"/>
    <col min="2" max="2" width="39" bestFit="1" customWidth="1"/>
    <col min="4" max="4" width="19" customWidth="1"/>
    <col min="5" max="5" width="18.570312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48" priority="3"/>
  </conditionalFormatting>
  <conditionalFormatting sqref="A1:A1048576">
    <cfRule type="duplicateValues" dxfId="47" priority="1"/>
    <cfRule type="duplicateValues" dxfId="46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5"/>
  <cols>
    <col min="2" max="2" width="13.28515625" customWidth="1"/>
    <col min="3" max="3" width="12.5703125" customWidth="1"/>
    <col min="5" max="5" width="11.28515625" customWidth="1"/>
  </cols>
  <sheetData>
    <row r="1" spans="1:6">
      <c r="E1" s="20"/>
    </row>
    <row r="2" spans="1:6" ht="15.75">
      <c r="A2" s="343" t="s">
        <v>265</v>
      </c>
      <c r="B2" s="343"/>
      <c r="C2" s="343"/>
      <c r="D2" s="343"/>
      <c r="E2" s="343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45" priority="1"/>
  </conditionalFormatting>
  <conditionalFormatting sqref="C6">
    <cfRule type="duplicateValues" dxfId="44" priority="2"/>
  </conditionalFormatting>
  <conditionalFormatting sqref="C5">
    <cfRule type="duplicateValues" dxfId="43" priority="3"/>
  </conditionalFormatting>
  <conditionalFormatting sqref="C4">
    <cfRule type="duplicateValues" dxfId="42" priority="4"/>
  </conditionalFormatting>
  <conditionalFormatting sqref="C7">
    <cfRule type="duplicateValues" dxfId="41" priority="5"/>
  </conditionalFormatting>
  <conditionalFormatting sqref="C14">
    <cfRule type="duplicateValues" dxfId="40" priority="6"/>
  </conditionalFormatting>
  <conditionalFormatting sqref="C15">
    <cfRule type="duplicateValues" dxfId="39" priority="7"/>
  </conditionalFormatting>
  <conditionalFormatting sqref="C16">
    <cfRule type="duplicateValues" dxfId="38" priority="8"/>
  </conditionalFormatting>
  <conditionalFormatting sqref="C17">
    <cfRule type="duplicateValues" dxfId="37" priority="9"/>
  </conditionalFormatting>
  <conditionalFormatting sqref="C19">
    <cfRule type="duplicateValues" dxfId="36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0635D-B6A2-414D-BB14-B4F88822F949}">
  <dimension ref="A1:R92"/>
  <sheetViews>
    <sheetView topLeftCell="C43" zoomScale="80" zoomScaleNormal="80" workbookViewId="0">
      <selection activeCell="N19" sqref="N19"/>
    </sheetView>
  </sheetViews>
  <sheetFormatPr defaultRowHeight="15"/>
  <cols>
    <col min="1" max="1" width="6.85546875" customWidth="1"/>
    <col min="2" max="2" width="17.28515625" bestFit="1" customWidth="1"/>
    <col min="3" max="3" width="47.85546875" bestFit="1" customWidth="1"/>
    <col min="4" max="4" width="7.85546875" customWidth="1"/>
    <col min="5" max="5" width="11.7109375" customWidth="1"/>
    <col min="6" max="6" width="10.28515625" bestFit="1" customWidth="1"/>
    <col min="7" max="8" width="12" style="293" bestFit="1" customWidth="1"/>
    <col min="9" max="9" width="11.7109375" customWidth="1"/>
    <col min="10" max="10" width="25.7109375" bestFit="1" customWidth="1"/>
    <col min="11" max="11" width="10.140625" style="294" bestFit="1" customWidth="1"/>
    <col min="12" max="12" width="12" style="293" bestFit="1" customWidth="1"/>
    <col min="13" max="13" width="39.28515625" bestFit="1" customWidth="1"/>
    <col min="14" max="14" width="38.42578125" customWidth="1"/>
    <col min="18" max="18" width="18.5703125" customWidth="1"/>
  </cols>
  <sheetData>
    <row r="1" spans="1:18">
      <c r="O1" s="295" t="s">
        <v>6202</v>
      </c>
      <c r="P1" s="295"/>
      <c r="Q1" s="295"/>
    </row>
    <row r="2" spans="1:18" s="20" customFormat="1">
      <c r="A2" s="20" t="s">
        <v>94</v>
      </c>
      <c r="B2" s="20" t="s">
        <v>1076</v>
      </c>
      <c r="C2" s="20" t="s">
        <v>6</v>
      </c>
      <c r="D2" s="20" t="s">
        <v>13</v>
      </c>
      <c r="E2" s="20" t="s">
        <v>7</v>
      </c>
      <c r="F2" s="20" t="s">
        <v>76</v>
      </c>
      <c r="G2" s="293" t="s">
        <v>98</v>
      </c>
      <c r="H2" s="293" t="s">
        <v>5839</v>
      </c>
      <c r="I2" s="20" t="s">
        <v>5841</v>
      </c>
      <c r="J2" s="20" t="s">
        <v>92</v>
      </c>
      <c r="K2" s="296" t="s">
        <v>5717</v>
      </c>
      <c r="L2" s="293" t="s">
        <v>5716</v>
      </c>
      <c r="M2" s="20" t="s">
        <v>77</v>
      </c>
      <c r="N2" s="20" t="s">
        <v>6361</v>
      </c>
      <c r="O2" s="20" t="s">
        <v>6203</v>
      </c>
      <c r="P2" s="20" t="s">
        <v>6204</v>
      </c>
      <c r="Q2" s="20" t="s">
        <v>6205</v>
      </c>
      <c r="R2" s="20" t="s">
        <v>1818</v>
      </c>
    </row>
    <row r="3" spans="1:18">
      <c r="A3">
        <f>SUBTOTAL(103,$B$3:B3)</f>
        <v>1</v>
      </c>
      <c r="B3" t="s">
        <v>5015</v>
      </c>
      <c r="C3" t="str">
        <f>IF(INDEX(mlist,MATCH($B3,mNo,0),MATCH('4. Waiting confirm'!C$2,mTitle,0))="","",INDEX(mlist,MATCH($B3,mNo,0),MATCH('4. Waiting confirm'!C$2,mTitle,0)))</f>
        <v>Hanoi Medical University Hospital</v>
      </c>
      <c r="D3" t="str">
        <f>IF(INDEX(mlist,MATCH($B3,mNo,0),MATCH('4. Waiting confirm'!D$2,mTitle,0))="","",INDEX(mlist,MATCH($B3,mNo,0),MATCH('4. Waiting confirm'!D$2,mTitle,0)))</f>
        <v>Hanoi</v>
      </c>
      <c r="E3" t="str">
        <f>IF(INDEX(mlist,MATCH($B3,mNo,0),MATCH('4. Waiting confirm'!E$2,mTitle,0))="","",INDEX(mlist,MATCH($B3,mNo,0),MATCH('4. Waiting confirm'!E$2,mTitle,0)))</f>
        <v>EG-600WR</v>
      </c>
      <c r="F3" t="str">
        <f>IF(INDEX(mlist,MATCH($B3,mNo,0),MATCH('4. Waiting confirm'!F$2,mTitle,0))="","",INDEX(mlist,MATCH($B3,mNo,0),MATCH('4. Waiting confirm'!F$2,mTitle,0)))</f>
        <v>7G391K201</v>
      </c>
      <c r="G3" s="293">
        <f>IF(INDEX(mlist,MATCH($B3,mNo,0),MATCH('4. Waiting confirm'!G$2,mTitle,0))="","",INDEX(mlist,MATCH($B3,mNo,0),MATCH('4. Waiting confirm'!G$2,mTitle,0)))</f>
        <v>45020.712731481479</v>
      </c>
      <c r="H3" s="293">
        <f>IF(INDEX(mlist,MATCH($B3,mNo,0),MATCH('4. Waiting confirm'!H$2,mTitle,0))="","",INDEX(mlist,MATCH($B3,mNo,0),MATCH('4. Waiting confirm'!H$2,mTitle,0)))</f>
        <v>45022.575636574074</v>
      </c>
      <c r="I3" t="str">
        <f>IF(INDEX(mlist,MATCH($B3,mNo,0),MATCH('4. Waiting confirm'!I$2,mTitle,0))="","",INDEX(mlist,MATCH($B3,mNo,0),MATCH('4. Waiting confirm'!I$2,mTitle,0)))</f>
        <v>Major</v>
      </c>
      <c r="J3" t="str">
        <f>IF(INDEX(mlist,MATCH($B3,mNo,0),MATCH('4. Waiting confirm'!J$2,mTitle,0))="","",INDEX(mlist,MATCH($B3,mNo,0),MATCH('4. Waiting confirm'!J$2,mTitle,0)))</f>
        <v>BSA, FCT, FSB, ISA, WGB</v>
      </c>
      <c r="K3" s="294">
        <f>IF(INDEX(mlist,MATCH($B3,mNo,0),MATCH('4. Waiting confirm'!K$2,mTitle,0))="","",INDEX(mlist,MATCH($B3,mNo,0),MATCH('4. Waiting confirm'!K$2,mTitle,0)))</f>
        <v>3495</v>
      </c>
      <c r="L3" s="293">
        <f>IF(INDEX(mlist,MATCH($B3,mNo,0),MATCH('4. Waiting confirm'!L$2,mTitle,0))="","",INDEX(mlist,MATCH($B3,mNo,0),MATCH('4. Waiting confirm'!L$2,mTitle,0)))</f>
        <v>45027</v>
      </c>
      <c r="M3" t="str">
        <f>IF(INDEX(mlist,MATCH($B3,mNo,0),MATCH('4. Waiting confirm'!M$2,mTitle,0))="","",INDEX(mlist,MATCH($B3,mNo,0),MATCH('4. Waiting confirm'!M$2,mTitle,0)))</f>
        <v xml:space="preserve">3. Tender process </v>
      </c>
      <c r="N3" t="str">
        <f>IF(INDEX(mlist,MATCH($B3,mNo,0),MATCH('4. Waiting confirm'!N$2,mTitle,0))="","",INDEX(mlist,MATCH($B3,mNo,0),MATCH('4. Waiting confirm'!N$2,mTitle,0)))</f>
        <v>Mặc định làm thầu đối với HMU</v>
      </c>
      <c r="O3" t="s">
        <v>288</v>
      </c>
      <c r="P3" t="s">
        <v>288</v>
      </c>
      <c r="Q3" t="s">
        <v>288</v>
      </c>
      <c r="R3" s="325">
        <f t="shared" ref="R3:R34" si="0">COUNTA(O3:Q3)/3</f>
        <v>1</v>
      </c>
    </row>
    <row r="4" spans="1:18">
      <c r="A4">
        <f>SUBTOTAL(103,$B$3:B4)</f>
        <v>2</v>
      </c>
      <c r="B4" t="s">
        <v>5030</v>
      </c>
      <c r="C4" t="str">
        <f>IF(INDEX(mlist,MATCH($B4,mNo,0),MATCH('4. Waiting confirm'!C$2,mTitle,0))="","",INDEX(mlist,MATCH($B4,mNo,0),MATCH('4. Waiting confirm'!C$2,mTitle,0)))</f>
        <v>Phu Tho General Hospital - Pediatric Center</v>
      </c>
      <c r="D4" t="str">
        <f>IF(INDEX(mlist,MATCH($B4,mNo,0),MATCH('4. Waiting confirm'!D$2,mTitle,0))="","",INDEX(mlist,MATCH($B4,mNo,0),MATCH('4. Waiting confirm'!D$2,mTitle,0)))</f>
        <v>Hanoi</v>
      </c>
      <c r="E4" t="str">
        <f>IF(INDEX(mlist,MATCH($B4,mNo,0),MATCH('4. Waiting confirm'!E$2,mTitle,0))="","",INDEX(mlist,MATCH($B4,mNo,0),MATCH('4. Waiting confirm'!E$2,mTitle,0)))</f>
        <v>EG-530FP</v>
      </c>
      <c r="F4" t="str">
        <f>IF(INDEX(mlist,MATCH($B4,mNo,0),MATCH('4. Waiting confirm'!F$2,mTitle,0))="","",INDEX(mlist,MATCH($B4,mNo,0),MATCH('4. Waiting confirm'!F$2,mTitle,0)))</f>
        <v>4G374K157</v>
      </c>
      <c r="G4" s="293">
        <f>IF(INDEX(mlist,MATCH($B4,mNo,0),MATCH('4. Waiting confirm'!G$2,mTitle,0))="","",INDEX(mlist,MATCH($B4,mNo,0),MATCH('4. Waiting confirm'!G$2,mTitle,0)))</f>
        <v>45021.509328703702</v>
      </c>
      <c r="H4" s="293">
        <f>IF(INDEX(mlist,MATCH($B4,mNo,0),MATCH('4. Waiting confirm'!H$2,mTitle,0))="","",INDEX(mlist,MATCH($B4,mNo,0),MATCH('4. Waiting confirm'!H$2,mTitle,0)))</f>
        <v>45034.43954861111</v>
      </c>
      <c r="I4" t="str">
        <f>IF(INDEX(mlist,MATCH($B4,mNo,0),MATCH('4. Waiting confirm'!I$2,mTitle,0))="","",INDEX(mlist,MATCH($B4,mNo,0),MATCH('4. Waiting confirm'!I$2,mTitle,0)))</f>
        <v>Major</v>
      </c>
      <c r="J4" t="str">
        <f>IF(INDEX(mlist,MATCH($B4,mNo,0),MATCH('4. Waiting confirm'!J$2,mTitle,0))="","",INDEX(mlist,MATCH($B4,mNo,0),MATCH('4. Waiting confirm'!J$2,mTitle,0)))</f>
        <v>CHA, BSA, FSA, LPA</v>
      </c>
      <c r="K4" s="294">
        <f>IF(INDEX(mlist,MATCH($B4,mNo,0),MATCH('4. Waiting confirm'!K$2,mTitle,0))="","",INDEX(mlist,MATCH($B4,mNo,0),MATCH('4. Waiting confirm'!K$2,mTitle,0)))</f>
        <v>6918</v>
      </c>
      <c r="L4" s="293">
        <f>IF(INDEX(mlist,MATCH($B4,mNo,0),MATCH('4. Waiting confirm'!L$2,mTitle,0))="","",INDEX(mlist,MATCH($B4,mNo,0),MATCH('4. Waiting confirm'!L$2,mTitle,0)))</f>
        <v>45021</v>
      </c>
      <c r="M4" t="str">
        <f>IF(INDEX(mlist,MATCH($B4,mNo,0),MATCH('4. Waiting confirm'!M$2,mTitle,0))="","",INDEX(mlist,MATCH($B4,mNo,0),MATCH('4. Waiting confirm'!M$2,mTitle,0)))</f>
        <v xml:space="preserve">3. Tender process </v>
      </c>
      <c r="N4" t="str">
        <f>IF(INDEX(mlist,MATCH($B4,mNo,0),MATCH('4. Waiting confirm'!N$2,mTitle,0))="","",INDEX(mlist,MATCH($B4,mNo,0),MATCH('4. Waiting confirm'!N$2,mTitle,0)))</f>
        <v>mở thầu 29-Aug</v>
      </c>
      <c r="O4" t="s">
        <v>288</v>
      </c>
      <c r="P4" t="s">
        <v>288</v>
      </c>
      <c r="R4" s="325">
        <f t="shared" si="0"/>
        <v>0.66666666666666663</v>
      </c>
    </row>
    <row r="5" spans="1:18">
      <c r="A5">
        <f>SUBTOTAL(103,$B$3:B5)</f>
        <v>3</v>
      </c>
      <c r="B5" t="s">
        <v>5061</v>
      </c>
      <c r="C5" t="str">
        <f>IF(INDEX(mlist,MATCH($B5,mNo,0),MATCH('4. Waiting confirm'!C$2,mTitle,0))="","",INDEX(mlist,MATCH($B5,mNo,0),MATCH('4. Waiting confirm'!C$2,mTitle,0)))</f>
        <v>Vietnam – Cuba Donghoi Friendship Hospital</v>
      </c>
      <c r="D5" t="str">
        <f>IF(INDEX(mlist,MATCH($B5,mNo,0),MATCH('4. Waiting confirm'!D$2,mTitle,0))="","",INDEX(mlist,MATCH($B5,mNo,0),MATCH('4. Waiting confirm'!D$2,mTitle,0)))</f>
        <v>Hanoi</v>
      </c>
      <c r="E5" t="str">
        <f>IF(INDEX(mlist,MATCH($B5,mNo,0),MATCH('4. Waiting confirm'!E$2,mTitle,0))="","",INDEX(mlist,MATCH($B5,mNo,0),MATCH('4. Waiting confirm'!E$2,mTitle,0)))</f>
        <v>EG-760R</v>
      </c>
      <c r="F5" t="str">
        <f>IF(INDEX(mlist,MATCH($B5,mNo,0),MATCH('4. Waiting confirm'!F$2,mTitle,0))="","",INDEX(mlist,MATCH($B5,mNo,0),MATCH('4. Waiting confirm'!F$2,mTitle,0)))</f>
        <v>6G402K258</v>
      </c>
      <c r="G5" s="293">
        <f>IF(INDEX(mlist,MATCH($B5,mNo,0),MATCH('4. Waiting confirm'!G$2,mTitle,0))="","",INDEX(mlist,MATCH($B5,mNo,0),MATCH('4. Waiting confirm'!G$2,mTitle,0)))</f>
        <v>45027.637928240743</v>
      </c>
      <c r="H5" s="293">
        <f>IF(INDEX(mlist,MATCH($B5,mNo,0),MATCH('4. Waiting confirm'!H$2,mTitle,0))="","",INDEX(mlist,MATCH($B5,mNo,0),MATCH('4. Waiting confirm'!H$2,mTitle,0)))</f>
        <v>45030.752847222226</v>
      </c>
      <c r="I5" t="str">
        <f>IF(INDEX(mlist,MATCH($B5,mNo,0),MATCH('4. Waiting confirm'!I$2,mTitle,0))="","",INDEX(mlist,MATCH($B5,mNo,0),MATCH('4. Waiting confirm'!I$2,mTitle,0)))</f>
        <v>Major</v>
      </c>
      <c r="J5" t="str">
        <f>IF(INDEX(mlist,MATCH($B5,mNo,0),MATCH('4. Waiting confirm'!J$2,mTitle,0))="","",INDEX(mlist,MATCH($B5,mNo,0),MATCH('4. Waiting confirm'!J$2,mTitle,0)))</f>
        <v>CHA, FCT, FSB</v>
      </c>
      <c r="K5" s="294">
        <f>IF(INDEX(mlist,MATCH($B5,mNo,0),MATCH('4. Waiting confirm'!K$2,mTitle,0))="","",INDEX(mlist,MATCH($B5,mNo,0),MATCH('4. Waiting confirm'!K$2,mTitle,0)))</f>
        <v>6238</v>
      </c>
      <c r="L5" s="293">
        <f>IF(INDEX(mlist,MATCH($B5,mNo,0),MATCH('4. Waiting confirm'!L$2,mTitle,0))="","",INDEX(mlist,MATCH($B5,mNo,0),MATCH('4. Waiting confirm'!L$2,mTitle,0)))</f>
        <v>45044</v>
      </c>
      <c r="M5" t="str">
        <f>IF(INDEX(mlist,MATCH($B5,mNo,0),MATCH('4. Waiting confirm'!M$2,mTitle,0))="","",INDEX(mlist,MATCH($B5,mNo,0),MATCH('4. Waiting confirm'!M$2,mTitle,0)))</f>
        <v>2. Dealer working with end user</v>
      </c>
      <c r="N5" t="str">
        <f>IF(INDEX(mlist,MATCH($B5,mNo,0),MATCH('4. Waiting confirm'!N$2,mTitle,0))="","",INDEX(mlist,MATCH($B5,mNo,0),MATCH('4. Waiting confirm'!N$2,mTitle,0)))</f>
        <v>da gui trang thi, hôm nay trang thi gui vien</v>
      </c>
      <c r="O5" t="s">
        <v>288</v>
      </c>
      <c r="P5" t="s">
        <v>288</v>
      </c>
      <c r="R5" s="325">
        <f t="shared" si="0"/>
        <v>0.66666666666666663</v>
      </c>
    </row>
    <row r="6" spans="1:18">
      <c r="A6">
        <f>SUBTOTAL(103,$B$3:B6)</f>
        <v>4</v>
      </c>
      <c r="B6" t="s">
        <v>5062</v>
      </c>
      <c r="C6" t="str">
        <f>IF(INDEX(mlist,MATCH($B6,mNo,0),MATCH('4. Waiting confirm'!C$2,mTitle,0))="","",INDEX(mlist,MATCH($B6,mNo,0),MATCH('4. Waiting confirm'!C$2,mTitle,0)))</f>
        <v>Vietnam – Cuba Donghoi Friendship Hospital</v>
      </c>
      <c r="D6" t="str">
        <f>IF(INDEX(mlist,MATCH($B6,mNo,0),MATCH('4. Waiting confirm'!D$2,mTitle,0))="","",INDEX(mlist,MATCH($B6,mNo,0),MATCH('4. Waiting confirm'!D$2,mTitle,0)))</f>
        <v>Hanoi</v>
      </c>
      <c r="E6" t="str">
        <f>IF(INDEX(mlist,MATCH($B6,mNo,0),MATCH('4. Waiting confirm'!E$2,mTitle,0))="","",INDEX(mlist,MATCH($B6,mNo,0),MATCH('4. Waiting confirm'!E$2,mTitle,0)))</f>
        <v>EC-760R-V/I</v>
      </c>
      <c r="F6" t="str">
        <f>IF(INDEX(mlist,MATCH($B6,mNo,0),MATCH('4. Waiting confirm'!F$2,mTitle,0))="","",INDEX(mlist,MATCH($B6,mNo,0),MATCH('4. Waiting confirm'!F$2,mTitle,0)))</f>
        <v>5C728K054</v>
      </c>
      <c r="G6" s="293">
        <f>IF(INDEX(mlist,MATCH($B6,mNo,0),MATCH('4. Waiting confirm'!G$2,mTitle,0))="","",INDEX(mlist,MATCH($B6,mNo,0),MATCH('4. Waiting confirm'!G$2,mTitle,0)))</f>
        <v>45027.638437499998</v>
      </c>
      <c r="H6" s="293">
        <f>IF(INDEX(mlist,MATCH($B6,mNo,0),MATCH('4. Waiting confirm'!H$2,mTitle,0))="","",INDEX(mlist,MATCH($B6,mNo,0),MATCH('4. Waiting confirm'!H$2,mTitle,0)))</f>
        <v>45030.800208333334</v>
      </c>
      <c r="I6" t="str">
        <f>IF(INDEX(mlist,MATCH($B6,mNo,0),MATCH('4. Waiting confirm'!I$2,mTitle,0))="","",INDEX(mlist,MATCH($B6,mNo,0),MATCH('4. Waiting confirm'!I$2,mTitle,0)))</f>
        <v>Major</v>
      </c>
      <c r="J6" t="str">
        <f>IF(INDEX(mlist,MATCH($B6,mNo,0),MATCH('4. Waiting confirm'!J$2,mTitle,0))="","",INDEX(mlist,MATCH($B6,mNo,0),MATCH('4. Waiting confirm'!J$2,mTitle,0)))</f>
        <v>FSA, CHA, DEC, FSB, LGB</v>
      </c>
      <c r="K6" s="294">
        <f>IF(INDEX(mlist,MATCH($B6,mNo,0),MATCH('4. Waiting confirm'!K$2,mTitle,0))="","",INDEX(mlist,MATCH($B6,mNo,0),MATCH('4. Waiting confirm'!K$2,mTitle,0)))</f>
        <v>14180</v>
      </c>
      <c r="L6" s="293">
        <f>IF(INDEX(mlist,MATCH($B6,mNo,0),MATCH('4. Waiting confirm'!L$2,mTitle,0))="","",INDEX(mlist,MATCH($B6,mNo,0),MATCH('4. Waiting confirm'!L$2,mTitle,0)))</f>
        <v>45044</v>
      </c>
      <c r="M6" t="str">
        <f>IF(INDEX(mlist,MATCH($B6,mNo,0),MATCH('4. Waiting confirm'!M$2,mTitle,0))="","",INDEX(mlist,MATCH($B6,mNo,0),MATCH('4. Waiting confirm'!M$2,mTitle,0)))</f>
        <v>2. Dealer working with end user</v>
      </c>
      <c r="N6" t="str">
        <f>IF(INDEX(mlist,MATCH($B6,mNo,0),MATCH('4. Waiting confirm'!N$2,mTitle,0))="","",INDEX(mlist,MATCH($B6,mNo,0),MATCH('4. Waiting confirm'!N$2,mTitle,0)))</f>
        <v>da gui trang thi, hôm nay trang thi gui vien</v>
      </c>
      <c r="O6" t="s">
        <v>288</v>
      </c>
      <c r="P6" t="s">
        <v>288</v>
      </c>
      <c r="R6" s="325">
        <f t="shared" si="0"/>
        <v>0.66666666666666663</v>
      </c>
    </row>
    <row r="7" spans="1:18">
      <c r="A7">
        <f>SUBTOTAL(103,$B$3:B7)</f>
        <v>5</v>
      </c>
      <c r="B7" t="s">
        <v>5073</v>
      </c>
      <c r="C7" t="str">
        <f>IF(INDEX(mlist,MATCH($B7,mNo,0),MATCH('4. Waiting confirm'!C$2,mTitle,0))="","",INDEX(mlist,MATCH($B7,mNo,0),MATCH('4. Waiting confirm'!C$2,mTitle,0)))</f>
        <v>115 PEOPLE HOSPITAL</v>
      </c>
      <c r="D7" t="str">
        <f>IF(INDEX(mlist,MATCH($B7,mNo,0),MATCH('4. Waiting confirm'!D$2,mTitle,0))="","",INDEX(mlist,MATCH($B7,mNo,0),MATCH('4. Waiting confirm'!D$2,mTitle,0)))</f>
        <v>HCM</v>
      </c>
      <c r="E7" t="str">
        <f>IF(INDEX(mlist,MATCH($B7,mNo,0),MATCH('4. Waiting confirm'!E$2,mTitle,0))="","",INDEX(mlist,MATCH($B7,mNo,0),MATCH('4. Waiting confirm'!E$2,mTitle,0)))</f>
        <v>EC-600WI</v>
      </c>
      <c r="F7" t="str">
        <f>IF(INDEX(mlist,MATCH($B7,mNo,0),MATCH('4. Waiting confirm'!F$2,mTitle,0))="","",INDEX(mlist,MATCH($B7,mNo,0),MATCH('4. Waiting confirm'!F$2,mTitle,0)))</f>
        <v>1C692K648</v>
      </c>
      <c r="G7" s="293">
        <f>IF(INDEX(mlist,MATCH($B7,mNo,0),MATCH('4. Waiting confirm'!G$2,mTitle,0))="","",INDEX(mlist,MATCH($B7,mNo,0),MATCH('4. Waiting confirm'!G$2,mTitle,0)))</f>
        <v>45029.664884259262</v>
      </c>
      <c r="H7" s="293">
        <f>IF(INDEX(mlist,MATCH($B7,mNo,0),MATCH('4. Waiting confirm'!H$2,mTitle,0))="","",INDEX(mlist,MATCH($B7,mNo,0),MATCH('4. Waiting confirm'!H$2,mTitle,0)))</f>
        <v>45029.682013888887</v>
      </c>
      <c r="I7" t="str">
        <f>IF(INDEX(mlist,MATCH($B7,mNo,0),MATCH('4. Waiting confirm'!I$2,mTitle,0))="","",INDEX(mlist,MATCH($B7,mNo,0),MATCH('4. Waiting confirm'!I$2,mTitle,0)))</f>
        <v>Major</v>
      </c>
      <c r="J7" t="str">
        <f>IF(INDEX(mlist,MATCH($B7,mNo,0),MATCH('4. Waiting confirm'!J$2,mTitle,0))="","",INDEX(mlist,MATCH($B7,mNo,0),MATCH('4. Waiting confirm'!J$2,mTitle,0)))</f>
        <v>BSA, DEC, FSA, SUT, VCA</v>
      </c>
      <c r="K7" s="294">
        <f>IF(INDEX(mlist,MATCH($B7,mNo,0),MATCH('4. Waiting confirm'!K$2,mTitle,0))="","",INDEX(mlist,MATCH($B7,mNo,0),MATCH('4. Waiting confirm'!K$2,mTitle,0)))</f>
        <v>7081</v>
      </c>
      <c r="L7" s="293">
        <f>IF(INDEX(mlist,MATCH($B7,mNo,0),MATCH('4. Waiting confirm'!L$2,mTitle,0))="","",INDEX(mlist,MATCH($B7,mNo,0),MATCH('4. Waiting confirm'!L$2,mTitle,0)))</f>
        <v>45030</v>
      </c>
      <c r="M7" t="str">
        <f>IF(INDEX(mlist,MATCH($B7,mNo,0),MATCH('4. Waiting confirm'!M$2,mTitle,0))="","",INDEX(mlist,MATCH($B7,mNo,0),MATCH('4. Waiting confirm'!M$2,mTitle,0)))</f>
        <v>2. Dealer working with end user</v>
      </c>
      <c r="N7" t="str">
        <f>IF(INDEX(mlist,MATCH($B7,mNo,0),MATCH('4. Waiting confirm'!N$2,mTitle,0))="","",INDEX(mlist,MATCH($B7,mNo,0),MATCH('4. Waiting confirm'!N$2,mTitle,0)))</f>
        <v>không có thông tin</v>
      </c>
      <c r="O7" t="s">
        <v>288</v>
      </c>
      <c r="P7" t="s">
        <v>288</v>
      </c>
      <c r="R7" s="325">
        <f t="shared" si="0"/>
        <v>0.66666666666666663</v>
      </c>
    </row>
    <row r="8" spans="1:18">
      <c r="A8">
        <f>SUBTOTAL(103,$B$3:B8)</f>
        <v>6</v>
      </c>
      <c r="B8" t="s">
        <v>5078</v>
      </c>
      <c r="C8" t="str">
        <f>IF(INDEX(mlist,MATCH($B8,mNo,0),MATCH('4. Waiting confirm'!C$2,mTitle,0))="","",INDEX(mlist,MATCH($B8,mNo,0),MATCH('4. Waiting confirm'!C$2,mTitle,0)))</f>
        <v>Nghe An Friendship General Hospital</v>
      </c>
      <c r="D8" t="str">
        <f>IF(INDEX(mlist,MATCH($B8,mNo,0),MATCH('4. Waiting confirm'!D$2,mTitle,0))="","",INDEX(mlist,MATCH($B8,mNo,0),MATCH('4. Waiting confirm'!D$2,mTitle,0)))</f>
        <v>Hanoi</v>
      </c>
      <c r="E8" t="str">
        <f>IF(INDEX(mlist,MATCH($B8,mNo,0),MATCH('4. Waiting confirm'!E$2,mTitle,0))="","",INDEX(mlist,MATCH($B8,mNo,0),MATCH('4. Waiting confirm'!E$2,mTitle,0)))</f>
        <v>XL-4450</v>
      </c>
      <c r="F8" t="str">
        <f>IF(INDEX(mlist,MATCH($B8,mNo,0),MATCH('4. Waiting confirm'!F$2,mTitle,0))="","",INDEX(mlist,MATCH($B8,mNo,0),MATCH('4. Waiting confirm'!F$2,mTitle,0)))</f>
        <v>3S094K410</v>
      </c>
      <c r="G8" s="293">
        <f>IF(INDEX(mlist,MATCH($B8,mNo,0),MATCH('4. Waiting confirm'!G$2,mTitle,0))="","",INDEX(mlist,MATCH($B8,mNo,0),MATCH('4. Waiting confirm'!G$2,mTitle,0)))</f>
        <v>45029.83525462963</v>
      </c>
      <c r="H8" s="293">
        <f>IF(INDEX(mlist,MATCH($B8,mNo,0),MATCH('4. Waiting confirm'!H$2,mTitle,0))="","",INDEX(mlist,MATCH($B8,mNo,0),MATCH('4. Waiting confirm'!H$2,mTitle,0)))</f>
        <v>45034.755520833336</v>
      </c>
      <c r="I8" t="str">
        <f>IF(INDEX(mlist,MATCH($B8,mNo,0),MATCH('4. Waiting confirm'!I$2,mTitle,0))="","",INDEX(mlist,MATCH($B8,mNo,0),MATCH('4. Waiting confirm'!I$2,mTitle,0)))</f>
        <v>Other</v>
      </c>
      <c r="J8" t="str">
        <f>IF(INDEX(mlist,MATCH($B8,mNo,0),MATCH('4. Waiting confirm'!J$2,mTitle,0))="","",INDEX(mlist,MATCH($B8,mNo,0),MATCH('4. Waiting confirm'!J$2,mTitle,0)))</f>
        <v>IRS</v>
      </c>
      <c r="K8" s="294">
        <f>IF(INDEX(mlist,MATCH($B8,mNo,0),MATCH('4. Waiting confirm'!K$2,mTitle,0))="","",INDEX(mlist,MATCH($B8,mNo,0),MATCH('4. Waiting confirm'!K$2,mTitle,0)))</f>
        <v>1241</v>
      </c>
      <c r="L8" s="293">
        <f>IF(INDEX(mlist,MATCH($B8,mNo,0),MATCH('4. Waiting confirm'!L$2,mTitle,0))="","",INDEX(mlist,MATCH($B8,mNo,0),MATCH('4. Waiting confirm'!L$2,mTitle,0)))</f>
        <v>45044</v>
      </c>
      <c r="M8" t="str">
        <f>IF(INDEX(mlist,MATCH($B8,mNo,0),MATCH('4. Waiting confirm'!M$2,mTitle,0))="","",INDEX(mlist,MATCH($B8,mNo,0),MATCH('4. Waiting confirm'!M$2,mTitle,0)))</f>
        <v>2. Dealer working with end user</v>
      </c>
      <c r="N8" t="str">
        <f>IF(INDEX(mlist,MATCH($B8,mNo,0),MATCH('4. Waiting confirm'!N$2,mTitle,0))="","",INDEX(mlist,MATCH($B8,mNo,0),MATCH('4. Waiting confirm'!N$2,mTitle,0)))</f>
        <v>BV confirm nhận báo giá</v>
      </c>
      <c r="O8" t="s">
        <v>288</v>
      </c>
      <c r="P8" t="s">
        <v>288</v>
      </c>
      <c r="R8" s="325">
        <f t="shared" si="0"/>
        <v>0.66666666666666663</v>
      </c>
    </row>
    <row r="9" spans="1:18">
      <c r="A9">
        <f>SUBTOTAL(103,$B$3:B9)</f>
        <v>7</v>
      </c>
      <c r="B9" t="s">
        <v>5104</v>
      </c>
      <c r="C9" t="str">
        <f>IF(INDEX(mlist,MATCH($B9,mNo,0),MATCH('4. Waiting confirm'!C$2,mTitle,0))="","",INDEX(mlist,MATCH($B9,mNo,0),MATCH('4. Waiting confirm'!C$2,mTitle,0)))</f>
        <v>Bach Mai Hospital</v>
      </c>
      <c r="D9" t="str">
        <f>IF(INDEX(mlist,MATCH($B9,mNo,0),MATCH('4. Waiting confirm'!D$2,mTitle,0))="","",INDEX(mlist,MATCH($B9,mNo,0),MATCH('4. Waiting confirm'!D$2,mTitle,0)))</f>
        <v>Hanoi</v>
      </c>
      <c r="E9" t="str">
        <f>IF(INDEX(mlist,MATCH($B9,mNo,0),MATCH('4. Waiting confirm'!E$2,mTitle,0))="","",INDEX(mlist,MATCH($B9,mNo,0),MATCH('4. Waiting confirm'!E$2,mTitle,0)))</f>
        <v>EG-600WR</v>
      </c>
      <c r="F9" t="str">
        <f>IF(INDEX(mlist,MATCH($B9,mNo,0),MATCH('4. Waiting confirm'!F$2,mTitle,0))="","",INDEX(mlist,MATCH($B9,mNo,0),MATCH('4. Waiting confirm'!F$2,mTitle,0)))</f>
        <v>8G391K423</v>
      </c>
      <c r="G9" s="293">
        <f>IF(INDEX(mlist,MATCH($B9,mNo,0),MATCH('4. Waiting confirm'!G$2,mTitle,0))="","",INDEX(mlist,MATCH($B9,mNo,0),MATCH('4. Waiting confirm'!G$2,mTitle,0)))</f>
        <v>45034.533750000002</v>
      </c>
      <c r="H9" s="293">
        <f>IF(INDEX(mlist,MATCH($B9,mNo,0),MATCH('4. Waiting confirm'!H$2,mTitle,0))="","",INDEX(mlist,MATCH($B9,mNo,0),MATCH('4. Waiting confirm'!H$2,mTitle,0)))</f>
        <v>45043.834178240744</v>
      </c>
      <c r="I9" t="str">
        <f>IF(INDEX(mlist,MATCH($B9,mNo,0),MATCH('4. Waiting confirm'!I$2,mTitle,0))="","",INDEX(mlist,MATCH($B9,mNo,0),MATCH('4. Waiting confirm'!I$2,mTitle,0)))</f>
        <v>Major</v>
      </c>
      <c r="J9" t="str">
        <f>IF(INDEX(mlist,MATCH($B9,mNo,0),MATCH('4. Waiting confirm'!J$2,mTitle,0))="","",INDEX(mlist,MATCH($B9,mNo,0),MATCH('4. Waiting confirm'!J$2,mTitle,0)))</f>
        <v>FSA, FSB, VCA, BSA, FCT</v>
      </c>
      <c r="K9" s="294">
        <f>IF(INDEX(mlist,MATCH($B9,mNo,0),MATCH('4. Waiting confirm'!K$2,mTitle,0))="","",INDEX(mlist,MATCH($B9,mNo,0),MATCH('4. Waiting confirm'!K$2,mTitle,0)))</f>
        <v>5123</v>
      </c>
      <c r="L9" s="293">
        <f>IF(INDEX(mlist,MATCH($B9,mNo,0),MATCH('4. Waiting confirm'!L$2,mTitle,0))="","",INDEX(mlist,MATCH($B9,mNo,0),MATCH('4. Waiting confirm'!L$2,mTitle,0)))</f>
        <v>45091</v>
      </c>
      <c r="M9" t="str">
        <f>IF(INDEX(mlist,MATCH($B9,mNo,0),MATCH('4. Waiting confirm'!M$2,mTitle,0))="","",INDEX(mlist,MATCH($B9,mNo,0),MATCH('4. Waiting confirm'!M$2,mTitle,0)))</f>
        <v>2. Dealer working with end user</v>
      </c>
      <c r="N9" t="str">
        <f>IF(INDEX(mlist,MATCH($B9,mNo,0),MATCH('4. Waiting confirm'!N$2,mTitle,0))="","",INDEX(mlist,MATCH($B9,mNo,0),MATCH('4. Waiting confirm'!N$2,mTitle,0)))</f>
        <v>đang làm việc với BV</v>
      </c>
      <c r="O9" t="s">
        <v>288</v>
      </c>
      <c r="P9" t="s">
        <v>288</v>
      </c>
      <c r="R9" s="325">
        <f t="shared" si="0"/>
        <v>0.66666666666666663</v>
      </c>
    </row>
    <row r="10" spans="1:18">
      <c r="A10">
        <f>SUBTOTAL(103,$B$3:B10)</f>
        <v>8</v>
      </c>
      <c r="B10" t="s">
        <v>5119</v>
      </c>
      <c r="C10" t="str">
        <f>IF(INDEX(mlist,MATCH($B10,mNo,0),MATCH('4. Waiting confirm'!C$2,mTitle,0))="","",INDEX(mlist,MATCH($B10,mNo,0),MATCH('4. Waiting confirm'!C$2,mTitle,0)))</f>
        <v>Quang Ninh Obstetrics And Pediatrics Hospital</v>
      </c>
      <c r="D10" t="str">
        <f>IF(INDEX(mlist,MATCH($B10,mNo,0),MATCH('4. Waiting confirm'!D$2,mTitle,0))="","",INDEX(mlist,MATCH($B10,mNo,0),MATCH('4. Waiting confirm'!D$2,mTitle,0)))</f>
        <v>Hanoi</v>
      </c>
      <c r="E10" t="str">
        <f>IF(INDEX(mlist,MATCH($B10,mNo,0),MATCH('4. Waiting confirm'!E$2,mTitle,0))="","",INDEX(mlist,MATCH($B10,mNo,0),MATCH('4. Waiting confirm'!E$2,mTitle,0)))</f>
        <v>ER-530S2</v>
      </c>
      <c r="F10" t="str">
        <f>IF(INDEX(mlist,MATCH($B10,mNo,0),MATCH('4. Waiting confirm'!F$2,mTitle,0))="","",INDEX(mlist,MATCH($B10,mNo,0),MATCH('4. Waiting confirm'!F$2,mTitle,0)))</f>
        <v>3Y196K006</v>
      </c>
      <c r="G10" s="293">
        <f>IF(INDEX(mlist,MATCH($B10,mNo,0),MATCH('4. Waiting confirm'!G$2,mTitle,0))="","",INDEX(mlist,MATCH($B10,mNo,0),MATCH('4. Waiting confirm'!G$2,mTitle,0)))</f>
        <v>45035.726412037038</v>
      </c>
      <c r="H10" s="293">
        <f>IF(INDEX(mlist,MATCH($B10,mNo,0),MATCH('4. Waiting confirm'!H$2,mTitle,0))="","",INDEX(mlist,MATCH($B10,mNo,0),MATCH('4. Waiting confirm'!H$2,mTitle,0)))</f>
        <v>45041.701342592591</v>
      </c>
      <c r="I10" t="str">
        <f>IF(INDEX(mlist,MATCH($B10,mNo,0),MATCH('4. Waiting confirm'!I$2,mTitle,0))="","",INDEX(mlist,MATCH($B10,mNo,0),MATCH('4. Waiting confirm'!I$2,mTitle,0)))</f>
        <v>Major</v>
      </c>
      <c r="J10" t="str">
        <f>IF(INDEX(mlist,MATCH($B10,mNo,0),MATCH('4. Waiting confirm'!J$2,mTitle,0))="","",INDEX(mlist,MATCH($B10,mNo,0),MATCH('4. Waiting confirm'!J$2,mTitle,0)))</f>
        <v>RBS, ISA, BSA</v>
      </c>
      <c r="K10" s="294">
        <f>IF(INDEX(mlist,MATCH($B10,mNo,0),MATCH('4. Waiting confirm'!K$2,mTitle,0))="","",INDEX(mlist,MATCH($B10,mNo,0),MATCH('4. Waiting confirm'!K$2,mTitle,0)))</f>
        <v>9371</v>
      </c>
      <c r="L10" s="293">
        <f>IF(INDEX(mlist,MATCH($B10,mNo,0),MATCH('4. Waiting confirm'!L$2,mTitle,0))="","",INDEX(mlist,MATCH($B10,mNo,0),MATCH('4. Waiting confirm'!L$2,mTitle,0)))</f>
        <v>45043</v>
      </c>
      <c r="M10" t="str">
        <f>IF(INDEX(mlist,MATCH($B10,mNo,0),MATCH('4. Waiting confirm'!M$2,mTitle,0))="","",INDEX(mlist,MATCH($B10,mNo,0),MATCH('4. Waiting confirm'!M$2,mTitle,0)))</f>
        <v>2. Dealer working with end user</v>
      </c>
      <c r="N10" t="str">
        <f>IF(INDEX(mlist,MATCH($B10,mNo,0),MATCH('4. Waiting confirm'!N$2,mTitle,0))="","",INDEX(mlist,MATCH($B10,mNo,0),MATCH('4. Waiting confirm'!N$2,mTitle,0)))</f>
        <v>Duc update sau</v>
      </c>
      <c r="O10" t="s">
        <v>288</v>
      </c>
      <c r="P10" t="s">
        <v>288</v>
      </c>
      <c r="R10" s="325">
        <f t="shared" si="0"/>
        <v>0.66666666666666663</v>
      </c>
    </row>
    <row r="11" spans="1:18">
      <c r="A11">
        <f>SUBTOTAL(103,$B$3:B11)</f>
        <v>9</v>
      </c>
      <c r="B11" t="s">
        <v>5167</v>
      </c>
      <c r="C11" t="str">
        <f>IF(INDEX(mlist,MATCH($B11,mNo,0),MATCH('4. Waiting confirm'!C$2,mTitle,0))="","",INDEX(mlist,MATCH($B11,mNo,0),MATCH('4. Waiting confirm'!C$2,mTitle,0)))</f>
        <v>Hanoi Medical University Hospital</v>
      </c>
      <c r="D11" t="str">
        <f>IF(INDEX(mlist,MATCH($B11,mNo,0),MATCH('4. Waiting confirm'!D$2,mTitle,0))="","",INDEX(mlist,MATCH($B11,mNo,0),MATCH('4. Waiting confirm'!D$2,mTitle,0)))</f>
        <v>Hanoi</v>
      </c>
      <c r="E11" t="str">
        <f>IF(INDEX(mlist,MATCH($B11,mNo,0),MATCH('4. Waiting confirm'!E$2,mTitle,0))="","",INDEX(mlist,MATCH($B11,mNo,0),MATCH('4. Waiting confirm'!E$2,mTitle,0)))</f>
        <v>EG-600WR</v>
      </c>
      <c r="F11" t="str">
        <f>IF(INDEX(mlist,MATCH($B11,mNo,0),MATCH('4. Waiting confirm'!F$2,mTitle,0))="","",INDEX(mlist,MATCH($B11,mNo,0),MATCH('4. Waiting confirm'!F$2,mTitle,0)))</f>
        <v>7G391K085</v>
      </c>
      <c r="G11" s="293">
        <f>IF(INDEX(mlist,MATCH($B11,mNo,0),MATCH('4. Waiting confirm'!G$2,mTitle,0))="","",INDEX(mlist,MATCH($B11,mNo,0),MATCH('4. Waiting confirm'!G$2,mTitle,0)))</f>
        <v>45043.454895833333</v>
      </c>
      <c r="H11" s="293">
        <f>IF(INDEX(mlist,MATCH($B11,mNo,0),MATCH('4. Waiting confirm'!H$2,mTitle,0))="","",INDEX(mlist,MATCH($B11,mNo,0),MATCH('4. Waiting confirm'!H$2,mTitle,0)))</f>
        <v>45043.751307870371</v>
      </c>
      <c r="I11" t="str">
        <f>IF(INDEX(mlist,MATCH($B11,mNo,0),MATCH('4. Waiting confirm'!I$2,mTitle,0))="","",INDEX(mlist,MATCH($B11,mNo,0),MATCH('4. Waiting confirm'!I$2,mTitle,0)))</f>
        <v>Major</v>
      </c>
      <c r="J11" t="str">
        <f>IF(INDEX(mlist,MATCH($B11,mNo,0),MATCH('4. Waiting confirm'!J$2,mTitle,0))="","",INDEX(mlist,MATCH($B11,mNo,0),MATCH('4. Waiting confirm'!J$2,mTitle,0)))</f>
        <v>FSA, FSB, BSA, FCT</v>
      </c>
      <c r="K11" s="294">
        <f>IF(INDEX(mlist,MATCH($B11,mNo,0),MATCH('4. Waiting confirm'!K$2,mTitle,0))="","",INDEX(mlist,MATCH($B11,mNo,0),MATCH('4. Waiting confirm'!K$2,mTitle,0)))</f>
        <v>7592</v>
      </c>
      <c r="L11" s="293">
        <f>IF(INDEX(mlist,MATCH($B11,mNo,0),MATCH('4. Waiting confirm'!L$2,mTitle,0))="","",INDEX(mlist,MATCH($B11,mNo,0),MATCH('4. Waiting confirm'!L$2,mTitle,0)))</f>
        <v>45075</v>
      </c>
      <c r="M11" t="str">
        <f>IF(INDEX(mlist,MATCH($B11,mNo,0),MATCH('4. Waiting confirm'!M$2,mTitle,0))="","",INDEX(mlist,MATCH($B11,mNo,0),MATCH('4. Waiting confirm'!M$2,mTitle,0)))</f>
        <v xml:space="preserve">3. Tender process </v>
      </c>
      <c r="N11" t="str">
        <f>IF(INDEX(mlist,MATCH($B11,mNo,0),MATCH('4. Waiting confirm'!N$2,mTitle,0))="","",INDEX(mlist,MATCH($B11,mNo,0),MATCH('4. Waiting confirm'!N$2,mTitle,0)))</f>
        <v>Mặc định làm thầu đối với HMU</v>
      </c>
      <c r="O11" t="s">
        <v>288</v>
      </c>
      <c r="P11" t="s">
        <v>288</v>
      </c>
      <c r="Q11" t="s">
        <v>288</v>
      </c>
      <c r="R11" s="325">
        <f t="shared" si="0"/>
        <v>1</v>
      </c>
    </row>
    <row r="12" spans="1:18">
      <c r="A12">
        <f>SUBTOTAL(103,$B$3:B12)</f>
        <v>10</v>
      </c>
      <c r="B12" t="s">
        <v>5189</v>
      </c>
      <c r="C12" t="str">
        <f>IF(INDEX(mlist,MATCH($B12,mNo,0),MATCH('4. Waiting confirm'!C$2,mTitle,0))="","",INDEX(mlist,MATCH($B12,mNo,0),MATCH('4. Waiting confirm'!C$2,mTitle,0)))</f>
        <v>Bach Mai Hospital</v>
      </c>
      <c r="D12" t="str">
        <f>IF(INDEX(mlist,MATCH($B12,mNo,0),MATCH('4. Waiting confirm'!D$2,mTitle,0))="","",INDEX(mlist,MATCH($B12,mNo,0),MATCH('4. Waiting confirm'!D$2,mTitle,0)))</f>
        <v>Hanoi</v>
      </c>
      <c r="E12" t="str">
        <f>IF(INDEX(mlist,MATCH($B12,mNo,0),MATCH('4. Waiting confirm'!E$2,mTitle,0))="","",INDEX(mlist,MATCH($B12,mNo,0),MATCH('4. Waiting confirm'!E$2,mTitle,0)))</f>
        <v>EG-600WR</v>
      </c>
      <c r="F12" t="str">
        <f>IF(INDEX(mlist,MATCH($B12,mNo,0),MATCH('4. Waiting confirm'!F$2,mTitle,0))="","",INDEX(mlist,MATCH($B12,mNo,0),MATCH('4. Waiting confirm'!F$2,mTitle,0)))</f>
        <v>8G391K374</v>
      </c>
      <c r="G12" s="293">
        <f>IF(INDEX(mlist,MATCH($B12,mNo,0),MATCH('4. Waiting confirm'!G$2,mTitle,0))="","",INDEX(mlist,MATCH($B12,mNo,0),MATCH('4. Waiting confirm'!G$2,mTitle,0)))</f>
        <v>45043.768900462965</v>
      </c>
      <c r="H12" s="293">
        <f>IF(INDEX(mlist,MATCH($B12,mNo,0),MATCH('4. Waiting confirm'!H$2,mTitle,0))="","",INDEX(mlist,MATCH($B12,mNo,0),MATCH('4. Waiting confirm'!H$2,mTitle,0)))</f>
        <v>45058.751493055555</v>
      </c>
      <c r="I12" t="str">
        <f>IF(INDEX(mlist,MATCH($B12,mNo,0),MATCH('4. Waiting confirm'!I$2,mTitle,0))="","",INDEX(mlist,MATCH($B12,mNo,0),MATCH('4. Waiting confirm'!I$2,mTitle,0)))</f>
        <v>Major</v>
      </c>
      <c r="J12" t="str">
        <f>IF(INDEX(mlist,MATCH($B12,mNo,0),MATCH('4. Waiting confirm'!J$2,mTitle,0))="","",INDEX(mlist,MATCH($B12,mNo,0),MATCH('4. Waiting confirm'!J$2,mTitle,0)))</f>
        <v>VCA, FCT, BSA</v>
      </c>
      <c r="K12" s="294">
        <f>IF(INDEX(mlist,MATCH($B12,mNo,0),MATCH('4. Waiting confirm'!K$2,mTitle,0))="","",INDEX(mlist,MATCH($B12,mNo,0),MATCH('4. Waiting confirm'!K$2,mTitle,0)))</f>
        <v>3320</v>
      </c>
      <c r="L12" s="293">
        <f>IF(INDEX(mlist,MATCH($B12,mNo,0),MATCH('4. Waiting confirm'!L$2,mTitle,0))="","",INDEX(mlist,MATCH($B12,mNo,0),MATCH('4. Waiting confirm'!L$2,mTitle,0)))</f>
        <v>45100</v>
      </c>
      <c r="M12" t="str">
        <f>IF(INDEX(mlist,MATCH($B12,mNo,0),MATCH('4. Waiting confirm'!M$2,mTitle,0))="","",INDEX(mlist,MATCH($B12,mNo,0),MATCH('4. Waiting confirm'!M$2,mTitle,0)))</f>
        <v>2. Dealer working with end user</v>
      </c>
      <c r="N12" t="str">
        <f>IF(INDEX(mlist,MATCH($B12,mNo,0),MATCH('4. Waiting confirm'!N$2,mTitle,0))="","",INDEX(mlist,MATCH($B12,mNo,0),MATCH('4. Waiting confirm'!N$2,mTitle,0)))</f>
        <v>đang làm việc với BV</v>
      </c>
      <c r="O12" t="s">
        <v>288</v>
      </c>
      <c r="P12" t="s">
        <v>288</v>
      </c>
      <c r="R12" s="325">
        <f t="shared" si="0"/>
        <v>0.66666666666666663</v>
      </c>
    </row>
    <row r="13" spans="1:18">
      <c r="A13">
        <f>SUBTOTAL(103,$B$3:B13)</f>
        <v>11</v>
      </c>
      <c r="B13" t="s">
        <v>5190</v>
      </c>
      <c r="C13" t="str">
        <f>IF(INDEX(mlist,MATCH($B13,mNo,0),MATCH('4. Waiting confirm'!C$2,mTitle,0))="","",INDEX(mlist,MATCH($B13,mNo,0),MATCH('4. Waiting confirm'!C$2,mTitle,0)))</f>
        <v>Bach Mai Hospital</v>
      </c>
      <c r="D13" t="str">
        <f>IF(INDEX(mlist,MATCH($B13,mNo,0),MATCH('4. Waiting confirm'!D$2,mTitle,0))="","",INDEX(mlist,MATCH($B13,mNo,0),MATCH('4. Waiting confirm'!D$2,mTitle,0)))</f>
        <v>Hanoi</v>
      </c>
      <c r="E13" t="str">
        <f>IF(INDEX(mlist,MATCH($B13,mNo,0),MATCH('4. Waiting confirm'!E$2,mTitle,0))="","",INDEX(mlist,MATCH($B13,mNo,0),MATCH('4. Waiting confirm'!E$2,mTitle,0)))</f>
        <v>EG-600WR</v>
      </c>
      <c r="F13" t="str">
        <f>IF(INDEX(mlist,MATCH($B13,mNo,0),MATCH('4. Waiting confirm'!F$2,mTitle,0))="","",INDEX(mlist,MATCH($B13,mNo,0),MATCH('4. Waiting confirm'!F$2,mTitle,0)))</f>
        <v>8G391K428</v>
      </c>
      <c r="G13" s="293">
        <f>IF(INDEX(mlist,MATCH($B13,mNo,0),MATCH('4. Waiting confirm'!G$2,mTitle,0))="","",INDEX(mlist,MATCH($B13,mNo,0),MATCH('4. Waiting confirm'!G$2,mTitle,0)))</f>
        <v>45043.769328703704</v>
      </c>
      <c r="H13" s="293">
        <f>IF(INDEX(mlist,MATCH($B13,mNo,0),MATCH('4. Waiting confirm'!H$2,mTitle,0))="","",INDEX(mlist,MATCH($B13,mNo,0),MATCH('4. Waiting confirm'!H$2,mTitle,0)))</f>
        <v>45057.706979166665</v>
      </c>
      <c r="I13" t="str">
        <f>IF(INDEX(mlist,MATCH($B13,mNo,0),MATCH('4. Waiting confirm'!I$2,mTitle,0))="","",INDEX(mlist,MATCH($B13,mNo,0),MATCH('4. Waiting confirm'!I$2,mTitle,0)))</f>
        <v>Major</v>
      </c>
      <c r="J13" t="str">
        <f>IF(INDEX(mlist,MATCH($B13,mNo,0),MATCH('4. Waiting confirm'!J$2,mTitle,0))="","",INDEX(mlist,MATCH($B13,mNo,0),MATCH('4. Waiting confirm'!J$2,mTitle,0)))</f>
        <v>DRY, FCT, FSB, BSA, VCA</v>
      </c>
      <c r="K13" s="294">
        <f>IF(INDEX(mlist,MATCH($B13,mNo,0),MATCH('4. Waiting confirm'!K$2,mTitle,0))="","",INDEX(mlist,MATCH($B13,mNo,0),MATCH('4. Waiting confirm'!K$2,mTitle,0)))</f>
        <v>4413</v>
      </c>
      <c r="L13" s="293">
        <f>IF(INDEX(mlist,MATCH($B13,mNo,0),MATCH('4. Waiting confirm'!L$2,mTitle,0))="","",INDEX(mlist,MATCH($B13,mNo,0),MATCH('4. Waiting confirm'!L$2,mTitle,0)))</f>
        <v>45082</v>
      </c>
      <c r="M13" t="str">
        <f>IF(INDEX(mlist,MATCH($B13,mNo,0),MATCH('4. Waiting confirm'!M$2,mTitle,0))="","",INDEX(mlist,MATCH($B13,mNo,0),MATCH('4. Waiting confirm'!M$2,mTitle,0)))</f>
        <v>2. Dealer working with end user</v>
      </c>
      <c r="N13" t="str">
        <f>IF(INDEX(mlist,MATCH($B13,mNo,0),MATCH('4. Waiting confirm'!N$2,mTitle,0))="","",INDEX(mlist,MATCH($B13,mNo,0),MATCH('4. Waiting confirm'!N$2,mTitle,0)))</f>
        <v>đang làm việc với BV</v>
      </c>
      <c r="O13" t="s">
        <v>288</v>
      </c>
      <c r="P13" t="s">
        <v>288</v>
      </c>
      <c r="R13" s="325">
        <f t="shared" si="0"/>
        <v>0.66666666666666663</v>
      </c>
    </row>
    <row r="14" spans="1:18">
      <c r="A14">
        <f>SUBTOTAL(103,$B$3:B14)</f>
        <v>12</v>
      </c>
      <c r="B14" t="s">
        <v>5191</v>
      </c>
      <c r="C14" t="str">
        <f>IF(INDEX(mlist,MATCH($B14,mNo,0),MATCH('4. Waiting confirm'!C$2,mTitle,0))="","",INDEX(mlist,MATCH($B14,mNo,0),MATCH('4. Waiting confirm'!C$2,mTitle,0)))</f>
        <v>Bac Giang Hospital</v>
      </c>
      <c r="D14" t="str">
        <f>IF(INDEX(mlist,MATCH($B14,mNo,0),MATCH('4. Waiting confirm'!D$2,mTitle,0))="","",INDEX(mlist,MATCH($B14,mNo,0),MATCH('4. Waiting confirm'!D$2,mTitle,0)))</f>
        <v>Hanoi</v>
      </c>
      <c r="E14" t="str">
        <f>IF(INDEX(mlist,MATCH($B14,mNo,0),MATCH('4. Waiting confirm'!E$2,mTitle,0))="","",INDEX(mlist,MATCH($B14,mNo,0),MATCH('4. Waiting confirm'!E$2,mTitle,0)))</f>
        <v>EC-530WL3</v>
      </c>
      <c r="F14" t="str">
        <f>IF(INDEX(mlist,MATCH($B14,mNo,0),MATCH('4. Waiting confirm'!F$2,mTitle,0))="","",INDEX(mlist,MATCH($B14,mNo,0),MATCH('4. Waiting confirm'!F$2,mTitle,0)))</f>
        <v>1C643K395</v>
      </c>
      <c r="G14" s="293">
        <f>IF(INDEX(mlist,MATCH($B14,mNo,0),MATCH('4. Waiting confirm'!G$2,mTitle,0))="","",INDEX(mlist,MATCH($B14,mNo,0),MATCH('4. Waiting confirm'!G$2,mTitle,0)))</f>
        <v>45044.801886574074</v>
      </c>
      <c r="H14" s="293">
        <f>IF(INDEX(mlist,MATCH($B14,mNo,0),MATCH('4. Waiting confirm'!H$2,mTitle,0))="","",INDEX(mlist,MATCH($B14,mNo,0),MATCH('4. Waiting confirm'!H$2,mTitle,0)))</f>
        <v>45054.804328703707</v>
      </c>
      <c r="I14" t="str">
        <f>IF(INDEX(mlist,MATCH($B14,mNo,0),MATCH('4. Waiting confirm'!I$2,mTitle,0))="","",INDEX(mlist,MATCH($B14,mNo,0),MATCH('4. Waiting confirm'!I$2,mTitle,0)))</f>
        <v>Major</v>
      </c>
      <c r="J14" t="str">
        <f>IF(INDEX(mlist,MATCH($B14,mNo,0),MATCH('4. Waiting confirm'!J$2,mTitle,0))="","",INDEX(mlist,MATCH($B14,mNo,0),MATCH('4. Waiting confirm'!J$2,mTitle,0)))</f>
        <v>FSA, BSA, LGB, DEC, VCA, FSB</v>
      </c>
      <c r="K14" s="294">
        <f>IF(INDEX(mlist,MATCH($B14,mNo,0),MATCH('4. Waiting confirm'!K$2,mTitle,0))="","",INDEX(mlist,MATCH($B14,mNo,0),MATCH('4. Waiting confirm'!K$2,mTitle,0)))</f>
        <v>6919</v>
      </c>
      <c r="L14" s="293">
        <f>IF(INDEX(mlist,MATCH($B14,mNo,0),MATCH('4. Waiting confirm'!L$2,mTitle,0))="","",INDEX(mlist,MATCH($B14,mNo,0),MATCH('4. Waiting confirm'!L$2,mTitle,0)))</f>
        <v>45055</v>
      </c>
      <c r="M14" t="str">
        <f>IF(INDEX(mlist,MATCH($B14,mNo,0),MATCH('4. Waiting confirm'!M$2,mTitle,0))="","",INDEX(mlist,MATCH($B14,mNo,0),MATCH('4. Waiting confirm'!M$2,mTitle,0)))</f>
        <v>2. Dealer working with end user</v>
      </c>
      <c r="N14" t="str">
        <f>IF(INDEX(mlist,MATCH($B14,mNo,0),MATCH('4. Waiting confirm'!N$2,mTitle,0))="","",INDEX(mlist,MATCH($B14,mNo,0),MATCH('4. Waiting confirm'!N$2,mTitle,0)))</f>
        <v>ffvn gửi dealr</v>
      </c>
      <c r="O14" t="s">
        <v>288</v>
      </c>
      <c r="P14" t="s">
        <v>288</v>
      </c>
      <c r="R14" s="325">
        <f t="shared" si="0"/>
        <v>0.66666666666666663</v>
      </c>
    </row>
    <row r="15" spans="1:18">
      <c r="A15">
        <f>SUBTOTAL(103,$B$3:B15)</f>
        <v>13</v>
      </c>
      <c r="B15" t="s">
        <v>5223</v>
      </c>
      <c r="C15" t="str">
        <f>IF(INDEX(mlist,MATCH($B15,mNo,0),MATCH('4. Waiting confirm'!C$2,mTitle,0))="","",INDEX(mlist,MATCH($B15,mNo,0),MATCH('4. Waiting confirm'!C$2,mTitle,0)))</f>
        <v>Dam Doi Hospital</v>
      </c>
      <c r="D15" t="str">
        <f>IF(INDEX(mlist,MATCH($B15,mNo,0),MATCH('4. Waiting confirm'!D$2,mTitle,0))="","",INDEX(mlist,MATCH($B15,mNo,0),MATCH('4. Waiting confirm'!D$2,mTitle,0)))</f>
        <v>HCM</v>
      </c>
      <c r="E15" t="str">
        <f>IF(INDEX(mlist,MATCH($B15,mNo,0),MATCH('4. Waiting confirm'!E$2,mTitle,0))="","",INDEX(mlist,MATCH($B15,mNo,0),MATCH('4. Waiting confirm'!E$2,mTitle,0)))</f>
        <v>EG-250WR5</v>
      </c>
      <c r="F15" t="str">
        <f>IF(INDEX(mlist,MATCH($B15,mNo,0),MATCH('4. Waiting confirm'!F$2,mTitle,0))="","",INDEX(mlist,MATCH($B15,mNo,0),MATCH('4. Waiting confirm'!F$2,mTitle,0)))</f>
        <v>SG202A469</v>
      </c>
      <c r="G15" s="293">
        <f>IF(INDEX(mlist,MATCH($B15,mNo,0),MATCH('4. Waiting confirm'!G$2,mTitle,0))="","",INDEX(mlist,MATCH($B15,mNo,0),MATCH('4. Waiting confirm'!G$2,mTitle,0)))</f>
        <v>45055.643425925926</v>
      </c>
      <c r="H15" s="293">
        <f>IF(INDEX(mlist,MATCH($B15,mNo,0),MATCH('4. Waiting confirm'!H$2,mTitle,0))="","",INDEX(mlist,MATCH($B15,mNo,0),MATCH('4. Waiting confirm'!H$2,mTitle,0)))</f>
        <v>45055.651678240742</v>
      </c>
      <c r="I15" t="str">
        <f>IF(INDEX(mlist,MATCH($B15,mNo,0),MATCH('4. Waiting confirm'!I$2,mTitle,0))="","",INDEX(mlist,MATCH($B15,mNo,0),MATCH('4. Waiting confirm'!I$2,mTitle,0)))</f>
        <v>Major</v>
      </c>
      <c r="J15" t="str">
        <f>IF(INDEX(mlist,MATCH($B15,mNo,0),MATCH('4. Waiting confirm'!J$2,mTitle,0))="","",INDEX(mlist,MATCH($B15,mNo,0),MATCH('4. Waiting confirm'!J$2,mTitle,0)))</f>
        <v>LGB, FSA, FSB, PCB</v>
      </c>
      <c r="K15" s="294">
        <f>IF(INDEX(mlist,MATCH($B15,mNo,0),MATCH('4. Waiting confirm'!K$2,mTitle,0))="","",INDEX(mlist,MATCH($B15,mNo,0),MATCH('4. Waiting confirm'!K$2,mTitle,0)))</f>
        <v>4274</v>
      </c>
      <c r="L15" s="293">
        <f>IF(INDEX(mlist,MATCH($B15,mNo,0),MATCH('4. Waiting confirm'!L$2,mTitle,0))="","",INDEX(mlist,MATCH($B15,mNo,0),MATCH('4. Waiting confirm'!L$2,mTitle,0)))</f>
        <v>45056</v>
      </c>
      <c r="M15" t="str">
        <f>IF(INDEX(mlist,MATCH($B15,mNo,0),MATCH('4. Waiting confirm'!M$2,mTitle,0))="","",INDEX(mlist,MATCH($B15,mNo,0),MATCH('4. Waiting confirm'!M$2,mTitle,0)))</f>
        <v>2. Dealer working with end user</v>
      </c>
      <c r="N15" t="str">
        <f>IF(INDEX(mlist,MATCH($B15,mNo,0),MATCH('4. Waiting confirm'!N$2,mTitle,0))="","",INDEX(mlist,MATCH($B15,mNo,0),MATCH('4. Waiting confirm'!N$2,mTitle,0)))</f>
        <v>chưa có thông tin</v>
      </c>
      <c r="O15" t="s">
        <v>288</v>
      </c>
      <c r="P15" t="s">
        <v>288</v>
      </c>
      <c r="R15" s="325">
        <f t="shared" si="0"/>
        <v>0.66666666666666663</v>
      </c>
    </row>
    <row r="16" spans="1:18">
      <c r="A16">
        <f>SUBTOTAL(103,$B$3:B16)</f>
        <v>14</v>
      </c>
      <c r="B16" t="s">
        <v>5229</v>
      </c>
      <c r="C16" t="str">
        <f>IF(INDEX(mlist,MATCH($B16,mNo,0),MATCH('4. Waiting confirm'!C$2,mTitle,0))="","",INDEX(mlist,MATCH($B16,mNo,0),MATCH('4. Waiting confirm'!C$2,mTitle,0)))</f>
        <v>Bach Mai Hospital</v>
      </c>
      <c r="D16" t="str">
        <f>IF(INDEX(mlist,MATCH($B16,mNo,0),MATCH('4. Waiting confirm'!D$2,mTitle,0))="","",INDEX(mlist,MATCH($B16,mNo,0),MATCH('4. Waiting confirm'!D$2,mTitle,0)))</f>
        <v>Hanoi</v>
      </c>
      <c r="E16" t="str">
        <f>IF(INDEX(mlist,MATCH($B16,mNo,0),MATCH('4. Waiting confirm'!E$2,mTitle,0))="","",INDEX(mlist,MATCH($B16,mNo,0),MATCH('4. Waiting confirm'!E$2,mTitle,0)))</f>
        <v>EC-590WL4</v>
      </c>
      <c r="F16" t="str">
        <f>IF(INDEX(mlist,MATCH($B16,mNo,0),MATCH('4. Waiting confirm'!F$2,mTitle,0))="","",INDEX(mlist,MATCH($B16,mNo,0),MATCH('4. Waiting confirm'!F$2,mTitle,0)))</f>
        <v>1C666K565</v>
      </c>
      <c r="G16" s="293">
        <f>IF(INDEX(mlist,MATCH($B16,mNo,0),MATCH('4. Waiting confirm'!G$2,mTitle,0))="","",INDEX(mlist,MATCH($B16,mNo,0),MATCH('4. Waiting confirm'!G$2,mTitle,0)))</f>
        <v>45055.483796296299</v>
      </c>
      <c r="H16" s="293">
        <f>IF(INDEX(mlist,MATCH($B16,mNo,0),MATCH('4. Waiting confirm'!H$2,mTitle,0))="","",INDEX(mlist,MATCH($B16,mNo,0),MATCH('4. Waiting confirm'!H$2,mTitle,0)))</f>
        <v>45055.497847222221</v>
      </c>
      <c r="I16" t="str">
        <f>IF(INDEX(mlist,MATCH($B16,mNo,0),MATCH('4. Waiting confirm'!I$2,mTitle,0))="","",INDEX(mlist,MATCH($B16,mNo,0),MATCH('4. Waiting confirm'!I$2,mTitle,0)))</f>
        <v>Major</v>
      </c>
      <c r="J16" t="str">
        <f>IF(INDEX(mlist,MATCH($B16,mNo,0),MATCH('4. Waiting confirm'!J$2,mTitle,0))="","",INDEX(mlist,MATCH($B16,mNo,0),MATCH('4. Waiting confirm'!J$2,mTitle,0)))</f>
        <v>FSA, FSB, VCA, BSA, DWA</v>
      </c>
      <c r="K16" s="294">
        <f>IF(INDEX(mlist,MATCH($B16,mNo,0),MATCH('4. Waiting confirm'!K$2,mTitle,0))="","",INDEX(mlist,MATCH($B16,mNo,0),MATCH('4. Waiting confirm'!K$2,mTitle,0)))</f>
        <v>5351</v>
      </c>
      <c r="L16" s="293">
        <f>IF(INDEX(mlist,MATCH($B16,mNo,0),MATCH('4. Waiting confirm'!L$2,mTitle,0))="","",INDEX(mlist,MATCH($B16,mNo,0),MATCH('4. Waiting confirm'!L$2,mTitle,0)))</f>
        <v>45055</v>
      </c>
      <c r="M16" t="str">
        <f>IF(INDEX(mlist,MATCH($B16,mNo,0),MATCH('4. Waiting confirm'!M$2,mTitle,0))="","",INDEX(mlist,MATCH($B16,mNo,0),MATCH('4. Waiting confirm'!M$2,mTitle,0)))</f>
        <v>2. Dealer working with end user</v>
      </c>
      <c r="N16" t="str">
        <f>IF(INDEX(mlist,MATCH($B16,mNo,0),MATCH('4. Waiting confirm'!N$2,mTitle,0))="","",INDEX(mlist,MATCH($B16,mNo,0),MATCH('4. Waiting confirm'!N$2,mTitle,0)))</f>
        <v>đang làm việc với BV</v>
      </c>
      <c r="O16" t="s">
        <v>288</v>
      </c>
      <c r="P16" t="s">
        <v>288</v>
      </c>
      <c r="R16" s="325">
        <f t="shared" si="0"/>
        <v>0.66666666666666663</v>
      </c>
    </row>
    <row r="17" spans="1:18">
      <c r="A17">
        <f>SUBTOTAL(103,$B$3:B17)</f>
        <v>15</v>
      </c>
      <c r="B17" t="s">
        <v>5235</v>
      </c>
      <c r="C17" t="str">
        <f>IF(INDEX(mlist,MATCH($B17,mNo,0),MATCH('4. Waiting confirm'!C$2,mTitle,0))="","",INDEX(mlist,MATCH($B17,mNo,0),MATCH('4. Waiting confirm'!C$2,mTitle,0)))</f>
        <v>Lam Hoa Private Hospital</v>
      </c>
      <c r="D17" t="str">
        <f>IF(INDEX(mlist,MATCH($B17,mNo,0),MATCH('4. Waiting confirm'!D$2,mTitle,0))="","",INDEX(mlist,MATCH($B17,mNo,0),MATCH('4. Waiting confirm'!D$2,mTitle,0)))</f>
        <v>Hanoi</v>
      </c>
      <c r="E17" t="str">
        <f>IF(INDEX(mlist,MATCH($B17,mNo,0),MATCH('4. Waiting confirm'!E$2,mTitle,0))="","",INDEX(mlist,MATCH($B17,mNo,0),MATCH('4. Waiting confirm'!E$2,mTitle,0)))</f>
        <v>EG-250WR5</v>
      </c>
      <c r="F17" t="str">
        <f>IF(INDEX(mlist,MATCH($B17,mNo,0),MATCH('4. Waiting confirm'!F$2,mTitle,0))="","",INDEX(mlist,MATCH($B17,mNo,0),MATCH('4. Waiting confirm'!F$2,mTitle,0)))</f>
        <v>3G202K117</v>
      </c>
      <c r="G17" s="293">
        <f>IF(INDEX(mlist,MATCH($B17,mNo,0),MATCH('4. Waiting confirm'!G$2,mTitle,0))="","",INDEX(mlist,MATCH($B17,mNo,0),MATCH('4. Waiting confirm'!G$2,mTitle,0)))</f>
        <v>45055.765775462962</v>
      </c>
      <c r="H17" s="293">
        <f>IF(INDEX(mlist,MATCH($B17,mNo,0),MATCH('4. Waiting confirm'!H$2,mTitle,0))="","",INDEX(mlist,MATCH($B17,mNo,0),MATCH('4. Waiting confirm'!H$2,mTitle,0)))</f>
        <v>45062.764444444445</v>
      </c>
      <c r="I17" t="str">
        <f>IF(INDEX(mlist,MATCH($B17,mNo,0),MATCH('4. Waiting confirm'!I$2,mTitle,0))="","",INDEX(mlist,MATCH($B17,mNo,0),MATCH('4. Waiting confirm'!I$2,mTitle,0)))</f>
        <v>Major</v>
      </c>
      <c r="J17" t="str">
        <f>IF(INDEX(mlist,MATCH($B17,mNo,0),MATCH('4. Waiting confirm'!J$2,mTitle,0))="","",INDEX(mlist,MATCH($B17,mNo,0),MATCH('4. Waiting confirm'!J$2,mTitle,0)))</f>
        <v>CHA</v>
      </c>
      <c r="K17" s="294">
        <f>IF(INDEX(mlist,MATCH($B17,mNo,0),MATCH('4. Waiting confirm'!K$2,mTitle,0))="","",INDEX(mlist,MATCH($B17,mNo,0),MATCH('4. Waiting confirm'!K$2,mTitle,0)))</f>
        <v>4315</v>
      </c>
      <c r="L17" s="293">
        <f>IF(INDEX(mlist,MATCH($B17,mNo,0),MATCH('4. Waiting confirm'!L$2,mTitle,0))="","",INDEX(mlist,MATCH($B17,mNo,0),MATCH('4. Waiting confirm'!L$2,mTitle,0)))</f>
        <v>45082</v>
      </c>
      <c r="M17" t="str">
        <f>IF(INDEX(mlist,MATCH($B17,mNo,0),MATCH('4. Waiting confirm'!M$2,mTitle,0))="","",INDEX(mlist,MATCH($B17,mNo,0),MATCH('4. Waiting confirm'!M$2,mTitle,0)))</f>
        <v>2. Dealer working with end user</v>
      </c>
      <c r="N17" t="str">
        <f>IF(INDEX(mlist,MATCH($B17,mNo,0),MATCH('4. Waiting confirm'!N$2,mTitle,0))="","",INDEX(mlist,MATCH($B17,mNo,0),MATCH('4. Waiting confirm'!N$2,mTitle,0)))</f>
        <v>Duc update sau</v>
      </c>
      <c r="O17" t="s">
        <v>288</v>
      </c>
      <c r="P17" t="s">
        <v>288</v>
      </c>
      <c r="R17" s="325">
        <f t="shared" si="0"/>
        <v>0.66666666666666663</v>
      </c>
    </row>
    <row r="18" spans="1:18">
      <c r="A18">
        <f>SUBTOTAL(103,$B$3:B18)</f>
        <v>16</v>
      </c>
      <c r="B18" t="s">
        <v>5263</v>
      </c>
      <c r="C18" t="str">
        <f>IF(INDEX(mlist,MATCH($B18,mNo,0),MATCH('4. Waiting confirm'!C$2,mTitle,0))="","",INDEX(mlist,MATCH($B18,mNo,0),MATCH('4. Waiting confirm'!C$2,mTitle,0)))</f>
        <v>Phu Tho General Hospital - Pediatric Center</v>
      </c>
      <c r="D18" t="str">
        <f>IF(INDEX(mlist,MATCH($B18,mNo,0),MATCH('4. Waiting confirm'!D$2,mTitle,0))="","",INDEX(mlist,MATCH($B18,mNo,0),MATCH('4. Waiting confirm'!D$2,mTitle,0)))</f>
        <v>Hanoi</v>
      </c>
      <c r="E18" t="str">
        <f>IF(INDEX(mlist,MATCH($B18,mNo,0),MATCH('4. Waiting confirm'!E$2,mTitle,0))="","",INDEX(mlist,MATCH($B18,mNo,0),MATCH('4. Waiting confirm'!E$2,mTitle,0)))</f>
        <v>EG-530FP</v>
      </c>
      <c r="F18" t="str">
        <f>IF(INDEX(mlist,MATCH($B18,mNo,0),MATCH('4. Waiting confirm'!F$2,mTitle,0))="","",INDEX(mlist,MATCH($B18,mNo,0),MATCH('4. Waiting confirm'!F$2,mTitle,0)))</f>
        <v>4G374K154</v>
      </c>
      <c r="G18" s="293">
        <f>IF(INDEX(mlist,MATCH($B18,mNo,0),MATCH('4. Waiting confirm'!G$2,mTitle,0))="","",INDEX(mlist,MATCH($B18,mNo,0),MATCH('4. Waiting confirm'!G$2,mTitle,0)))</f>
        <v>45058.844490740739</v>
      </c>
      <c r="H18" s="293">
        <f>IF(INDEX(mlist,MATCH($B18,mNo,0),MATCH('4. Waiting confirm'!H$2,mTitle,0))="","",INDEX(mlist,MATCH($B18,mNo,0),MATCH('4. Waiting confirm'!H$2,mTitle,0)))</f>
        <v>45069.541724537034</v>
      </c>
      <c r="I18" t="str">
        <f>IF(INDEX(mlist,MATCH($B18,mNo,0),MATCH('4. Waiting confirm'!I$2,mTitle,0))="","",INDEX(mlist,MATCH($B18,mNo,0),MATCH('4. Waiting confirm'!I$2,mTitle,0)))</f>
        <v>Major</v>
      </c>
      <c r="J18" t="str">
        <f>IF(INDEX(mlist,MATCH($B18,mNo,0),MATCH('4. Waiting confirm'!J$2,mTitle,0))="","",INDEX(mlist,MATCH($B18,mNo,0),MATCH('4. Waiting confirm'!J$2,mTitle,0)))</f>
        <v>FCT, CHA, BSA, FSA</v>
      </c>
      <c r="K18" s="294">
        <f>IF(INDEX(mlist,MATCH($B18,mNo,0),MATCH('4. Waiting confirm'!K$2,mTitle,0))="","",INDEX(mlist,MATCH($B18,mNo,0),MATCH('4. Waiting confirm'!K$2,mTitle,0)))</f>
        <v>6457</v>
      </c>
      <c r="L18" s="293">
        <f>IF(INDEX(mlist,MATCH($B18,mNo,0),MATCH('4. Waiting confirm'!L$2,mTitle,0))="","",INDEX(mlist,MATCH($B18,mNo,0),MATCH('4. Waiting confirm'!L$2,mTitle,0)))</f>
        <v>45086</v>
      </c>
      <c r="M18" t="str">
        <f>IF(INDEX(mlist,MATCH($B18,mNo,0),MATCH('4. Waiting confirm'!M$2,mTitle,0))="","",INDEX(mlist,MATCH($B18,mNo,0),MATCH('4. Waiting confirm'!M$2,mTitle,0)))</f>
        <v xml:space="preserve">3. Tender process </v>
      </c>
      <c r="N18" t="str">
        <f>IF(INDEX(mlist,MATCH($B18,mNo,0),MATCH('4. Waiting confirm'!N$2,mTitle,0))="","",INDEX(mlist,MATCH($B18,mNo,0),MATCH('4. Waiting confirm'!N$2,mTitle,0)))</f>
        <v>mở thầu 29-Aug</v>
      </c>
      <c r="O18" t="s">
        <v>288</v>
      </c>
      <c r="P18" t="s">
        <v>288</v>
      </c>
      <c r="R18" s="325">
        <f t="shared" si="0"/>
        <v>0.66666666666666663</v>
      </c>
    </row>
    <row r="19" spans="1:18">
      <c r="A19">
        <f>SUBTOTAL(103,$B$3:B19)</f>
        <v>17</v>
      </c>
      <c r="B19" t="s">
        <v>5307</v>
      </c>
      <c r="C19" t="str">
        <f>IF(INDEX(mlist,MATCH($B19,mNo,0),MATCH('4. Waiting confirm'!C$2,mTitle,0))="","",INDEX(mlist,MATCH($B19,mNo,0),MATCH('4. Waiting confirm'!C$2,mTitle,0)))</f>
        <v>Thai Nguyen General Hospital</v>
      </c>
      <c r="D19" t="str">
        <f>IF(INDEX(mlist,MATCH($B19,mNo,0),MATCH('4. Waiting confirm'!D$2,mTitle,0))="","",INDEX(mlist,MATCH($B19,mNo,0),MATCH('4. Waiting confirm'!D$2,mTitle,0)))</f>
        <v>Hanoi</v>
      </c>
      <c r="E19" t="str">
        <f>IF(INDEX(mlist,MATCH($B19,mNo,0),MATCH('4. Waiting confirm'!E$2,mTitle,0))="","",INDEX(mlist,MATCH($B19,mNo,0),MATCH('4. Waiting confirm'!E$2,mTitle,0)))</f>
        <v>EC-250WL5</v>
      </c>
      <c r="F19" t="str">
        <f>IF(INDEX(mlist,MATCH($B19,mNo,0),MATCH('4. Waiting confirm'!F$2,mTitle,0))="","",INDEX(mlist,MATCH($B19,mNo,0),MATCH('4. Waiting confirm'!F$2,mTitle,0)))</f>
        <v>3C309K012</v>
      </c>
      <c r="G19" s="293">
        <f>IF(INDEX(mlist,MATCH($B19,mNo,0),MATCH('4. Waiting confirm'!G$2,mTitle,0))="","",INDEX(mlist,MATCH($B19,mNo,0),MATCH('4. Waiting confirm'!G$2,mTitle,0)))</f>
        <v>45061.769814814812</v>
      </c>
      <c r="H19" s="293">
        <f>IF(INDEX(mlist,MATCH($B19,mNo,0),MATCH('4. Waiting confirm'!H$2,mTitle,0))="","",INDEX(mlist,MATCH($B19,mNo,0),MATCH('4. Waiting confirm'!H$2,mTitle,0)))</f>
        <v>45068.567060185182</v>
      </c>
      <c r="I19" t="str">
        <f>IF(INDEX(mlist,MATCH($B19,mNo,0),MATCH('4. Waiting confirm'!I$2,mTitle,0))="","",INDEX(mlist,MATCH($B19,mNo,0),MATCH('4. Waiting confirm'!I$2,mTitle,0)))</f>
        <v>Minor</v>
      </c>
      <c r="J19" t="str">
        <f>IF(INDEX(mlist,MATCH($B19,mNo,0),MATCH('4. Waiting confirm'!J$2,mTitle,0))="","",INDEX(mlist,MATCH($B19,mNo,0),MATCH('4. Waiting confirm'!J$2,mTitle,0)))</f>
        <v>DWA, DTA</v>
      </c>
      <c r="K19" s="294">
        <f>IF(INDEX(mlist,MATCH($B19,mNo,0),MATCH('4. Waiting confirm'!K$2,mTitle,0))="","",INDEX(mlist,MATCH($B19,mNo,0),MATCH('4. Waiting confirm'!K$2,mTitle,0)))</f>
        <v>235</v>
      </c>
      <c r="L19" s="293">
        <f>IF(INDEX(mlist,MATCH($B19,mNo,0),MATCH('4. Waiting confirm'!L$2,mTitle,0))="","",INDEX(mlist,MATCH($B19,mNo,0),MATCH('4. Waiting confirm'!L$2,mTitle,0)))</f>
        <v>45082</v>
      </c>
      <c r="M19" t="str">
        <f>IF(INDEX(mlist,MATCH($B19,mNo,0),MATCH('4. Waiting confirm'!M$2,mTitle,0))="","",INDEX(mlist,MATCH($B19,mNo,0),MATCH('4. Waiting confirm'!M$2,mTitle,0)))</f>
        <v>2. Dealer working with end user</v>
      </c>
      <c r="N19" t="str">
        <f>IF(INDEX(mlist,MATCH($B19,mNo,0),MATCH('4. Waiting confirm'!N$2,mTitle,0))="","",INDEX(mlist,MATCH($B19,mNo,0),MATCH('4. Waiting confirm'!N$2,mTitle,0)))</f>
        <v>repair</v>
      </c>
      <c r="O19" t="s">
        <v>288</v>
      </c>
      <c r="P19" t="s">
        <v>288</v>
      </c>
      <c r="R19" s="325">
        <f t="shared" si="0"/>
        <v>0.66666666666666663</v>
      </c>
    </row>
    <row r="20" spans="1:18">
      <c r="A20">
        <f>SUBTOTAL(103,$B$3:B20)</f>
        <v>18</v>
      </c>
      <c r="B20" t="s">
        <v>5309</v>
      </c>
      <c r="C20" t="str">
        <f>IF(INDEX(mlist,MATCH($B20,mNo,0),MATCH('4. Waiting confirm'!C$2,mTitle,0))="","",INDEX(mlist,MATCH($B20,mNo,0),MATCH('4. Waiting confirm'!C$2,mTitle,0)))</f>
        <v>Thai Nguyen General Hospital</v>
      </c>
      <c r="D20" t="str">
        <f>IF(INDEX(mlist,MATCH($B20,mNo,0),MATCH('4. Waiting confirm'!D$2,mTitle,0))="","",INDEX(mlist,MATCH($B20,mNo,0),MATCH('4. Waiting confirm'!D$2,mTitle,0)))</f>
        <v>Hanoi</v>
      </c>
      <c r="E20" t="str">
        <f>IF(INDEX(mlist,MATCH($B20,mNo,0),MATCH('4. Waiting confirm'!E$2,mTitle,0))="","",INDEX(mlist,MATCH($B20,mNo,0),MATCH('4. Waiting confirm'!E$2,mTitle,0)))</f>
        <v>EC-250WL5</v>
      </c>
      <c r="F20" t="str">
        <f>IF(INDEX(mlist,MATCH($B20,mNo,0),MATCH('4. Waiting confirm'!F$2,mTitle,0))="","",INDEX(mlist,MATCH($B20,mNo,0),MATCH('4. Waiting confirm'!F$2,mTitle,0)))</f>
        <v>3c309k028</v>
      </c>
      <c r="G20" s="293">
        <f>IF(INDEX(mlist,MATCH($B20,mNo,0),MATCH('4. Waiting confirm'!G$2,mTitle,0))="","",INDEX(mlist,MATCH($B20,mNo,0),MATCH('4. Waiting confirm'!G$2,mTitle,0)))</f>
        <v>45061.770335648151</v>
      </c>
      <c r="H20" s="293">
        <f>IF(INDEX(mlist,MATCH($B20,mNo,0),MATCH('4. Waiting confirm'!H$2,mTitle,0))="","",INDEX(mlist,MATCH($B20,mNo,0),MATCH('4. Waiting confirm'!H$2,mTitle,0)))</f>
        <v>45068.660555555558</v>
      </c>
      <c r="I20" t="str">
        <f>IF(INDEX(mlist,MATCH($B20,mNo,0),MATCH('4. Waiting confirm'!I$2,mTitle,0))="","",INDEX(mlist,MATCH($B20,mNo,0),MATCH('4. Waiting confirm'!I$2,mTitle,0)))</f>
        <v>Major</v>
      </c>
      <c r="J20" t="str">
        <f>IF(INDEX(mlist,MATCH($B20,mNo,0),MATCH('4. Waiting confirm'!J$2,mTitle,0))="","",INDEX(mlist,MATCH($B20,mNo,0),MATCH('4. Waiting confirm'!J$2,mTitle,0)))</f>
        <v>PCB, BSA</v>
      </c>
      <c r="K20" s="294">
        <f>IF(INDEX(mlist,MATCH($B20,mNo,0),MATCH('4. Waiting confirm'!K$2,mTitle,0))="","",INDEX(mlist,MATCH($B20,mNo,0),MATCH('4. Waiting confirm'!K$2,mTitle,0)))</f>
        <v>2342</v>
      </c>
      <c r="L20" s="293">
        <f>IF(INDEX(mlist,MATCH($B20,mNo,0),MATCH('4. Waiting confirm'!L$2,mTitle,0))="","",INDEX(mlist,MATCH($B20,mNo,0),MATCH('4. Waiting confirm'!L$2,mTitle,0)))</f>
        <v>45082</v>
      </c>
      <c r="M20" t="str">
        <f>IF(INDEX(mlist,MATCH($B20,mNo,0),MATCH('4. Waiting confirm'!M$2,mTitle,0))="","",INDEX(mlist,MATCH($B20,mNo,0),MATCH('4. Waiting confirm'!M$2,mTitle,0)))</f>
        <v>2. Dealer working with end user</v>
      </c>
      <c r="N20" t="str">
        <f>IF(INDEX(mlist,MATCH($B20,mNo,0),MATCH('4. Waiting confirm'!N$2,mTitle,0))="","",INDEX(mlist,MATCH($B20,mNo,0),MATCH('4. Waiting confirm'!N$2,mTitle,0)))</f>
        <v>nhan bao gia, ka nang khong sua</v>
      </c>
      <c r="O20" t="s">
        <v>288</v>
      </c>
      <c r="P20" t="s">
        <v>288</v>
      </c>
      <c r="R20" s="325">
        <f t="shared" si="0"/>
        <v>0.66666666666666663</v>
      </c>
    </row>
    <row r="21" spans="1:18">
      <c r="A21">
        <f>SUBTOTAL(103,$B$3:B21)</f>
        <v>19</v>
      </c>
      <c r="B21" t="s">
        <v>5339</v>
      </c>
      <c r="C21" t="str">
        <f>IF(INDEX(mlist,MATCH($B21,mNo,0),MATCH('4. Waiting confirm'!C$2,mTitle,0))="","",INDEX(mlist,MATCH($B21,mNo,0),MATCH('4. Waiting confirm'!C$2,mTitle,0)))</f>
        <v>Hoan My Da Nang Hospital</v>
      </c>
      <c r="D21" t="str">
        <f>IF(INDEX(mlist,MATCH($B21,mNo,0),MATCH('4. Waiting confirm'!D$2,mTitle,0))="","",INDEX(mlist,MATCH($B21,mNo,0),MATCH('4. Waiting confirm'!D$2,mTitle,0)))</f>
        <v>HCM</v>
      </c>
      <c r="E21" t="str">
        <f>IF(INDEX(mlist,MATCH($B21,mNo,0),MATCH('4. Waiting confirm'!E$2,mTitle,0))="","",INDEX(mlist,MATCH($B21,mNo,0),MATCH('4. Waiting confirm'!E$2,mTitle,0)))</f>
        <v>VP-4450HD</v>
      </c>
      <c r="F21" t="str">
        <f>IF(INDEX(mlist,MATCH($B21,mNo,0),MATCH('4. Waiting confirm'!F$2,mTitle,0))="","",INDEX(mlist,MATCH($B21,mNo,0),MATCH('4. Waiting confirm'!F$2,mTitle,0)))</f>
        <v>2V567K886</v>
      </c>
      <c r="G21" s="293">
        <f>IF(INDEX(mlist,MATCH($B21,mNo,0),MATCH('4. Waiting confirm'!G$2,mTitle,0))="","",INDEX(mlist,MATCH($B21,mNo,0),MATCH('4. Waiting confirm'!G$2,mTitle,0)))</f>
        <v>45075.434930555559</v>
      </c>
      <c r="H21" s="293">
        <f>IF(INDEX(mlist,MATCH($B21,mNo,0),MATCH('4. Waiting confirm'!H$2,mTitle,0))="","",INDEX(mlist,MATCH($B21,mNo,0),MATCH('4. Waiting confirm'!H$2,mTitle,0)))</f>
        <v>45075.463599537034</v>
      </c>
      <c r="I21" t="str">
        <f>IF(INDEX(mlist,MATCH($B21,mNo,0),MATCH('4. Waiting confirm'!I$2,mTitle,0))="","",INDEX(mlist,MATCH($B21,mNo,0),MATCH('4. Waiting confirm'!I$2,mTitle,0)))</f>
        <v>Other</v>
      </c>
      <c r="J21" t="str">
        <f>IF(INDEX(mlist,MATCH($B21,mNo,0),MATCH('4. Waiting confirm'!J$2,mTitle,0))="","",INDEX(mlist,MATCH($B21,mNo,0),MATCH('4. Waiting confirm'!J$2,mTitle,0)))</f>
        <v>PCB</v>
      </c>
      <c r="K21" s="294">
        <f>IF(INDEX(mlist,MATCH($B21,mNo,0),MATCH('4. Waiting confirm'!K$2,mTitle,0))="","",INDEX(mlist,MATCH($B21,mNo,0),MATCH('4. Waiting confirm'!K$2,mTitle,0)))</f>
        <v>10270</v>
      </c>
      <c r="L21" s="293">
        <f>IF(INDEX(mlist,MATCH($B21,mNo,0),MATCH('4. Waiting confirm'!L$2,mTitle,0))="","",INDEX(mlist,MATCH($B21,mNo,0),MATCH('4. Waiting confirm'!L$2,mTitle,0)))</f>
        <v>45075</v>
      </c>
      <c r="M21" t="str">
        <f>IF(INDEX(mlist,MATCH($B21,mNo,0),MATCH('4. Waiting confirm'!M$2,mTitle,0))="","",INDEX(mlist,MATCH($B21,mNo,0),MATCH('4. Waiting confirm'!M$2,mTitle,0)))</f>
        <v>2. Dealer working with end user</v>
      </c>
      <c r="N21" t="str">
        <f>IF(INDEX(mlist,MATCH($B21,mNo,0),MATCH('4. Waiting confirm'!N$2,mTitle,0))="","",INDEX(mlist,MATCH($B21,mNo,0),MATCH('4. Waiting confirm'!N$2,mTitle,0)))</f>
        <v/>
      </c>
      <c r="O21" t="s">
        <v>288</v>
      </c>
      <c r="P21" t="s">
        <v>288</v>
      </c>
      <c r="R21" s="325">
        <f t="shared" si="0"/>
        <v>0.66666666666666663</v>
      </c>
    </row>
    <row r="22" spans="1:18">
      <c r="A22">
        <f>SUBTOTAL(103,$B$3:B22)</f>
        <v>20</v>
      </c>
      <c r="B22" t="s">
        <v>5347</v>
      </c>
      <c r="C22" t="str">
        <f>IF(INDEX(mlist,MATCH($B22,mNo,0),MATCH('4. Waiting confirm'!C$2,mTitle,0))="","",INDEX(mlist,MATCH($B22,mNo,0),MATCH('4. Waiting confirm'!C$2,mTitle,0)))</f>
        <v>Thai Binh Hospital</v>
      </c>
      <c r="D22" t="str">
        <f>IF(INDEX(mlist,MATCH($B22,mNo,0),MATCH('4. Waiting confirm'!D$2,mTitle,0))="","",INDEX(mlist,MATCH($B22,mNo,0),MATCH('4. Waiting confirm'!D$2,mTitle,0)))</f>
        <v>Hanoi</v>
      </c>
      <c r="E22" t="str">
        <f>IF(INDEX(mlist,MATCH($B22,mNo,0),MATCH('4. Waiting confirm'!E$2,mTitle,0))="","",INDEX(mlist,MATCH($B22,mNo,0),MATCH('4. Waiting confirm'!E$2,mTitle,0)))</f>
        <v>EB-530S</v>
      </c>
      <c r="F22" t="str">
        <f>IF(INDEX(mlist,MATCH($B22,mNo,0),MATCH('4. Waiting confirm'!F$2,mTitle,0))="","",INDEX(mlist,MATCH($B22,mNo,0),MATCH('4. Waiting confirm'!F$2,mTitle,0)))</f>
        <v>1B083K279</v>
      </c>
      <c r="G22" s="293">
        <f>IF(INDEX(mlist,MATCH($B22,mNo,0),MATCH('4. Waiting confirm'!G$2,mTitle,0))="","",INDEX(mlist,MATCH($B22,mNo,0),MATCH('4. Waiting confirm'!G$2,mTitle,0)))</f>
        <v>45069.586261574077</v>
      </c>
      <c r="H22" s="293">
        <f>IF(INDEX(mlist,MATCH($B22,mNo,0),MATCH('4. Waiting confirm'!H$2,mTitle,0))="","",INDEX(mlist,MATCH($B22,mNo,0),MATCH('4. Waiting confirm'!H$2,mTitle,0)))</f>
        <v>45070.773182870369</v>
      </c>
      <c r="I22" t="str">
        <f>IF(INDEX(mlist,MATCH($B22,mNo,0),MATCH('4. Waiting confirm'!I$2,mTitle,0))="","",INDEX(mlist,MATCH($B22,mNo,0),MATCH('4. Waiting confirm'!I$2,mTitle,0)))</f>
        <v>Major</v>
      </c>
      <c r="J22" t="str">
        <f>IF(INDEX(mlist,MATCH($B22,mNo,0),MATCH('4. Waiting confirm'!J$2,mTitle,0))="","",INDEX(mlist,MATCH($B22,mNo,0),MATCH('4. Waiting confirm'!J$2,mTitle,0)))</f>
        <v>CHA, FCT</v>
      </c>
      <c r="K22" s="294">
        <f>IF(INDEX(mlist,MATCH($B22,mNo,0),MATCH('4. Waiting confirm'!K$2,mTitle,0))="","",INDEX(mlist,MATCH($B22,mNo,0),MATCH('4. Waiting confirm'!K$2,mTitle,0)))</f>
        <v>7203</v>
      </c>
      <c r="L22" s="293">
        <f>IF(INDEX(mlist,MATCH($B22,mNo,0),MATCH('4. Waiting confirm'!L$2,mTitle,0))="","",INDEX(mlist,MATCH($B22,mNo,0),MATCH('4. Waiting confirm'!L$2,mTitle,0)))</f>
        <v>45082</v>
      </c>
      <c r="M22" t="str">
        <f>IF(INDEX(mlist,MATCH($B22,mNo,0),MATCH('4. Waiting confirm'!M$2,mTitle,0))="","",INDEX(mlist,MATCH($B22,mNo,0),MATCH('4. Waiting confirm'!M$2,mTitle,0)))</f>
        <v>2. Dealer working with end user</v>
      </c>
      <c r="N22" t="str">
        <f>IF(INDEX(mlist,MATCH($B22,mNo,0),MATCH('4. Waiting confirm'!N$2,mTitle,0))="","",INDEX(mlist,MATCH($B22,mNo,0),MATCH('4. Waiting confirm'!N$2,mTitle,0)))</f>
        <v>bv dang tham dinh gia</v>
      </c>
      <c r="O22" t="s">
        <v>288</v>
      </c>
      <c r="P22" t="s">
        <v>288</v>
      </c>
      <c r="R22" s="325">
        <f t="shared" si="0"/>
        <v>0.66666666666666663</v>
      </c>
    </row>
    <row r="23" spans="1:18">
      <c r="A23">
        <f>SUBTOTAL(103,$B$3:B23)</f>
        <v>21</v>
      </c>
      <c r="B23" t="s">
        <v>5349</v>
      </c>
      <c r="C23" t="str">
        <f>IF(INDEX(mlist,MATCH($B23,mNo,0),MATCH('4. Waiting confirm'!C$2,mTitle,0))="","",INDEX(mlist,MATCH($B23,mNo,0),MATCH('4. Waiting confirm'!C$2,mTitle,0)))</f>
        <v>Thai Binh Hospital</v>
      </c>
      <c r="D23" t="str">
        <f>IF(INDEX(mlist,MATCH($B23,mNo,0),MATCH('4. Waiting confirm'!D$2,mTitle,0))="","",INDEX(mlist,MATCH($B23,mNo,0),MATCH('4. Waiting confirm'!D$2,mTitle,0)))</f>
        <v>Hanoi</v>
      </c>
      <c r="E23" t="str">
        <f>IF(INDEX(mlist,MATCH($B23,mNo,0),MATCH('4. Waiting confirm'!E$2,mTitle,0))="","",INDEX(mlist,MATCH($B23,mNo,0),MATCH('4. Waiting confirm'!E$2,mTitle,0)))</f>
        <v>EB-530S</v>
      </c>
      <c r="F23" t="str">
        <f>IF(INDEX(mlist,MATCH($B23,mNo,0),MATCH('4. Waiting confirm'!F$2,mTitle,0))="","",INDEX(mlist,MATCH($B23,mNo,0),MATCH('4. Waiting confirm'!F$2,mTitle,0)))</f>
        <v>1B083K278</v>
      </c>
      <c r="G23" s="293">
        <f>IF(INDEX(mlist,MATCH($B23,mNo,0),MATCH('4. Waiting confirm'!G$2,mTitle,0))="","",INDEX(mlist,MATCH($B23,mNo,0),MATCH('4. Waiting confirm'!G$2,mTitle,0)))</f>
        <v>45069.58693287037</v>
      </c>
      <c r="H23" s="293">
        <f>IF(INDEX(mlist,MATCH($B23,mNo,0),MATCH('4. Waiting confirm'!H$2,mTitle,0))="","",INDEX(mlist,MATCH($B23,mNo,0),MATCH('4. Waiting confirm'!H$2,mTitle,0)))</f>
        <v>45071.507256944446</v>
      </c>
      <c r="I23" t="str">
        <f>IF(INDEX(mlist,MATCH($B23,mNo,0),MATCH('4. Waiting confirm'!I$2,mTitle,0))="","",INDEX(mlist,MATCH($B23,mNo,0),MATCH('4. Waiting confirm'!I$2,mTitle,0)))</f>
        <v>Major</v>
      </c>
      <c r="J23" t="str">
        <f>IF(INDEX(mlist,MATCH($B23,mNo,0),MATCH('4. Waiting confirm'!J$2,mTitle,0))="","",INDEX(mlist,MATCH($B23,mNo,0),MATCH('4. Waiting confirm'!J$2,mTitle,0)))</f>
        <v>CHA, FCT, PCB</v>
      </c>
      <c r="K23" s="294">
        <f>IF(INDEX(mlist,MATCH($B23,mNo,0),MATCH('4. Waiting confirm'!K$2,mTitle,0))="","",INDEX(mlist,MATCH($B23,mNo,0),MATCH('4. Waiting confirm'!K$2,mTitle,0)))</f>
        <v>7203</v>
      </c>
      <c r="L23" s="293">
        <f>IF(INDEX(mlist,MATCH($B23,mNo,0),MATCH('4. Waiting confirm'!L$2,mTitle,0))="","",INDEX(mlist,MATCH($B23,mNo,0),MATCH('4. Waiting confirm'!L$2,mTitle,0)))</f>
        <v>45084</v>
      </c>
      <c r="M23" t="str">
        <f>IF(INDEX(mlist,MATCH($B23,mNo,0),MATCH('4. Waiting confirm'!M$2,mTitle,0))="","",INDEX(mlist,MATCH($B23,mNo,0),MATCH('4. Waiting confirm'!M$2,mTitle,0)))</f>
        <v>2. Dealer working with end user</v>
      </c>
      <c r="N23" t="str">
        <f>IF(INDEX(mlist,MATCH($B23,mNo,0),MATCH('4. Waiting confirm'!N$2,mTitle,0))="","",INDEX(mlist,MATCH($B23,mNo,0),MATCH('4. Waiting confirm'!N$2,mTitle,0)))</f>
        <v>bv dang tham dinh gia</v>
      </c>
      <c r="O23" t="s">
        <v>288</v>
      </c>
      <c r="P23" t="s">
        <v>288</v>
      </c>
      <c r="R23" s="325">
        <f t="shared" si="0"/>
        <v>0.66666666666666663</v>
      </c>
    </row>
    <row r="24" spans="1:18">
      <c r="A24">
        <f>SUBTOTAL(103,$B$3:B24)</f>
        <v>22</v>
      </c>
      <c r="B24" t="s">
        <v>5350</v>
      </c>
      <c r="C24" t="str">
        <f>IF(INDEX(mlist,MATCH($B24,mNo,0),MATCH('4. Waiting confirm'!C$2,mTitle,0))="","",INDEX(mlist,MATCH($B24,mNo,0),MATCH('4. Waiting confirm'!C$2,mTitle,0)))</f>
        <v>Bai Chay Hospital</v>
      </c>
      <c r="D24" t="str">
        <f>IF(INDEX(mlist,MATCH($B24,mNo,0),MATCH('4. Waiting confirm'!D$2,mTitle,0))="","",INDEX(mlist,MATCH($B24,mNo,0),MATCH('4. Waiting confirm'!D$2,mTitle,0)))</f>
        <v>Hanoi</v>
      </c>
      <c r="E24" t="str">
        <f>IF(INDEX(mlist,MATCH($B24,mNo,0),MATCH('4. Waiting confirm'!E$2,mTitle,0))="","",INDEX(mlist,MATCH($B24,mNo,0),MATCH('4. Waiting confirm'!E$2,mTitle,0)))</f>
        <v>EC-600WI</v>
      </c>
      <c r="F24" t="str">
        <f>IF(INDEX(mlist,MATCH($B24,mNo,0),MATCH('4. Waiting confirm'!F$2,mTitle,0))="","",INDEX(mlist,MATCH($B24,mNo,0),MATCH('4. Waiting confirm'!F$2,mTitle,0)))</f>
        <v>1C692K270</v>
      </c>
      <c r="G24" s="293">
        <f>IF(INDEX(mlist,MATCH($B24,mNo,0),MATCH('4. Waiting confirm'!G$2,mTitle,0))="","",INDEX(mlist,MATCH($B24,mNo,0),MATCH('4. Waiting confirm'!G$2,mTitle,0)))</f>
        <v>45069.599016203705</v>
      </c>
      <c r="H24" s="293">
        <f>IF(INDEX(mlist,MATCH($B24,mNo,0),MATCH('4. Waiting confirm'!H$2,mTitle,0))="","",INDEX(mlist,MATCH($B24,mNo,0),MATCH('4. Waiting confirm'!H$2,mTitle,0)))</f>
        <v>45071.812719907408</v>
      </c>
      <c r="I24" t="str">
        <f>IF(INDEX(mlist,MATCH($B24,mNo,0),MATCH('4. Waiting confirm'!I$2,mTitle,0))="","",INDEX(mlist,MATCH($B24,mNo,0),MATCH('4. Waiting confirm'!I$2,mTitle,0)))</f>
        <v>Major</v>
      </c>
      <c r="J24" t="str">
        <f>IF(INDEX(mlist,MATCH($B24,mNo,0),MATCH('4. Waiting confirm'!J$2,mTitle,0))="","",INDEX(mlist,MATCH($B24,mNo,0),MATCH('4. Waiting confirm'!J$2,mTitle,0)))</f>
        <v>CHA, BSA, FSB</v>
      </c>
      <c r="K24" s="294">
        <f>IF(INDEX(mlist,MATCH($B24,mNo,0),MATCH('4. Waiting confirm'!K$2,mTitle,0))="","",INDEX(mlist,MATCH($B24,mNo,0),MATCH('4. Waiting confirm'!K$2,mTitle,0)))</f>
        <v>9489</v>
      </c>
      <c r="L24" s="293">
        <f>IF(INDEX(mlist,MATCH($B24,mNo,0),MATCH('4. Waiting confirm'!L$2,mTitle,0))="","",INDEX(mlist,MATCH($B24,mNo,0),MATCH('4. Waiting confirm'!L$2,mTitle,0)))</f>
        <v>45082</v>
      </c>
      <c r="M24" t="str">
        <f>IF(INDEX(mlist,MATCH($B24,mNo,0),MATCH('4. Waiting confirm'!M$2,mTitle,0))="","",INDEX(mlist,MATCH($B24,mNo,0),MATCH('4. Waiting confirm'!M$2,mTitle,0)))</f>
        <v>2. Dealer working with end user</v>
      </c>
      <c r="N24" t="str">
        <f>IF(INDEX(mlist,MATCH($B24,mNo,0),MATCH('4. Waiting confirm'!N$2,mTitle,0))="","",INDEX(mlist,MATCH($B24,mNo,0),MATCH('4. Waiting confirm'!N$2,mTitle,0)))</f>
        <v>Duc update sau</v>
      </c>
      <c r="O24" t="s">
        <v>288</v>
      </c>
      <c r="P24" t="s">
        <v>288</v>
      </c>
      <c r="R24" s="325">
        <f t="shared" si="0"/>
        <v>0.66666666666666663</v>
      </c>
    </row>
    <row r="25" spans="1:18">
      <c r="A25">
        <f>SUBTOTAL(103,$B$3:B25)</f>
        <v>23</v>
      </c>
      <c r="B25" t="s">
        <v>5354</v>
      </c>
      <c r="C25" t="str">
        <f>IF(INDEX(mlist,MATCH($B25,mNo,0),MATCH('4. Waiting confirm'!C$2,mTitle,0))="","",INDEX(mlist,MATCH($B25,mNo,0),MATCH('4. Waiting confirm'!C$2,mTitle,0)))</f>
        <v>Bac Giang Hospital</v>
      </c>
      <c r="D25" t="str">
        <f>IF(INDEX(mlist,MATCH($B25,mNo,0),MATCH('4. Waiting confirm'!D$2,mTitle,0))="","",INDEX(mlist,MATCH($B25,mNo,0),MATCH('4. Waiting confirm'!D$2,mTitle,0)))</f>
        <v>Hanoi</v>
      </c>
      <c r="E25" t="str">
        <f>IF(INDEX(mlist,MATCH($B25,mNo,0),MATCH('4. Waiting confirm'!E$2,mTitle,0))="","",INDEX(mlist,MATCH($B25,mNo,0),MATCH('4. Waiting confirm'!E$2,mTitle,0)))</f>
        <v>EC-530WL3</v>
      </c>
      <c r="F25" t="str">
        <f>IF(INDEX(mlist,MATCH($B25,mNo,0),MATCH('4. Waiting confirm'!F$2,mTitle,0))="","",INDEX(mlist,MATCH($B25,mNo,0),MATCH('4. Waiting confirm'!F$2,mTitle,0)))</f>
        <v>1C643K899</v>
      </c>
      <c r="G25" s="293">
        <f>IF(INDEX(mlist,MATCH($B25,mNo,0),MATCH('4. Waiting confirm'!G$2,mTitle,0))="","",INDEX(mlist,MATCH($B25,mNo,0),MATCH('4. Waiting confirm'!G$2,mTitle,0)))</f>
        <v>45069.76462962963</v>
      </c>
      <c r="H25" s="293">
        <f>IF(INDEX(mlist,MATCH($B25,mNo,0),MATCH('4. Waiting confirm'!H$2,mTitle,0))="","",INDEX(mlist,MATCH($B25,mNo,0),MATCH('4. Waiting confirm'!H$2,mTitle,0)))</f>
        <v>45072.651956018519</v>
      </c>
      <c r="I25" t="str">
        <f>IF(INDEX(mlist,MATCH($B25,mNo,0),MATCH('4. Waiting confirm'!I$2,mTitle,0))="","",INDEX(mlist,MATCH($B25,mNo,0),MATCH('4. Waiting confirm'!I$2,mTitle,0)))</f>
        <v>Major</v>
      </c>
      <c r="J25" t="str">
        <f>IF(INDEX(mlist,MATCH($B25,mNo,0),MATCH('4. Waiting confirm'!J$2,mTitle,0))="","",INDEX(mlist,MATCH($B25,mNo,0),MATCH('4. Waiting confirm'!J$2,mTitle,0)))</f>
        <v>CHA, FSB, VCA, BSA</v>
      </c>
      <c r="K25" s="294">
        <f>IF(INDEX(mlist,MATCH($B25,mNo,0),MATCH('4. Waiting confirm'!K$2,mTitle,0))="","",INDEX(mlist,MATCH($B25,mNo,0),MATCH('4. Waiting confirm'!K$2,mTitle,0)))</f>
        <v>10257</v>
      </c>
      <c r="L25" s="293">
        <f>IF(INDEX(mlist,MATCH($B25,mNo,0),MATCH('4. Waiting confirm'!L$2,mTitle,0))="","",INDEX(mlist,MATCH($B25,mNo,0),MATCH('4. Waiting confirm'!L$2,mTitle,0)))</f>
        <v>45084</v>
      </c>
      <c r="M25" t="str">
        <f>IF(INDEX(mlist,MATCH($B25,mNo,0),MATCH('4. Waiting confirm'!M$2,mTitle,0))="","",INDEX(mlist,MATCH($B25,mNo,0),MATCH('4. Waiting confirm'!M$2,mTitle,0)))</f>
        <v>2. Dealer working with end user</v>
      </c>
      <c r="N25" t="str">
        <f>IF(INDEX(mlist,MATCH($B25,mNo,0),MATCH('4. Waiting confirm'!N$2,mTitle,0))="","",INDEX(mlist,MATCH($B25,mNo,0),MATCH('4. Waiting confirm'!N$2,mTitle,0)))</f>
        <v>ffvn gửi dealr</v>
      </c>
      <c r="O25" t="s">
        <v>288</v>
      </c>
      <c r="P25" t="s">
        <v>288</v>
      </c>
      <c r="R25" s="325">
        <f t="shared" si="0"/>
        <v>0.66666666666666663</v>
      </c>
    </row>
    <row r="26" spans="1:18">
      <c r="A26">
        <f>SUBTOTAL(103,$B$3:B26)</f>
        <v>24</v>
      </c>
      <c r="B26" t="s">
        <v>5375</v>
      </c>
      <c r="C26" t="str">
        <f>IF(INDEX(mlist,MATCH($B26,mNo,0),MATCH('4. Waiting confirm'!C$2,mTitle,0))="","",INDEX(mlist,MATCH($B26,mNo,0),MATCH('4. Waiting confirm'!C$2,mTitle,0)))</f>
        <v>Hanoi Medical University Hospital</v>
      </c>
      <c r="D26" t="str">
        <f>IF(INDEX(mlist,MATCH($B26,mNo,0),MATCH('4. Waiting confirm'!D$2,mTitle,0))="","",INDEX(mlist,MATCH($B26,mNo,0),MATCH('4. Waiting confirm'!D$2,mTitle,0)))</f>
        <v>Hanoi</v>
      </c>
      <c r="E26" t="str">
        <f>IF(INDEX(mlist,MATCH($B26,mNo,0),MATCH('4. Waiting confirm'!E$2,mTitle,0))="","",INDEX(mlist,MATCH($B26,mNo,0),MATCH('4. Waiting confirm'!E$2,mTitle,0)))</f>
        <v>EG-600WR</v>
      </c>
      <c r="F26" t="str">
        <f>IF(INDEX(mlist,MATCH($B26,mNo,0),MATCH('4. Waiting confirm'!F$2,mTitle,0))="","",INDEX(mlist,MATCH($B26,mNo,0),MATCH('4. Waiting confirm'!F$2,mTitle,0)))</f>
        <v>2G391K780</v>
      </c>
      <c r="G26" s="293">
        <f>IF(INDEX(mlist,MATCH($B26,mNo,0),MATCH('4. Waiting confirm'!G$2,mTitle,0))="","",INDEX(mlist,MATCH($B26,mNo,0),MATCH('4. Waiting confirm'!G$2,mTitle,0)))</f>
        <v>45071.485046296293</v>
      </c>
      <c r="H26" s="293">
        <f>IF(INDEX(mlist,MATCH($B26,mNo,0),MATCH('4. Waiting confirm'!H$2,mTitle,0))="","",INDEX(mlist,MATCH($B26,mNo,0),MATCH('4. Waiting confirm'!H$2,mTitle,0)))</f>
        <v>45076.448738425926</v>
      </c>
      <c r="I26" t="str">
        <f>IF(INDEX(mlist,MATCH($B26,mNo,0),MATCH('4. Waiting confirm'!I$2,mTitle,0))="","",INDEX(mlist,MATCH($B26,mNo,0),MATCH('4. Waiting confirm'!I$2,mTitle,0)))</f>
        <v>Major</v>
      </c>
      <c r="J26" t="str">
        <f>IF(INDEX(mlist,MATCH($B26,mNo,0),MATCH('4. Waiting confirm'!J$2,mTitle,0))="","",INDEX(mlist,MATCH($B26,mNo,0),MATCH('4. Waiting confirm'!J$2,mTitle,0)))</f>
        <v>BSA, FCT</v>
      </c>
      <c r="K26" s="294">
        <f>IF(INDEX(mlist,MATCH($B26,mNo,0),MATCH('4. Waiting confirm'!K$2,mTitle,0))="","",INDEX(mlist,MATCH($B26,mNo,0),MATCH('4. Waiting confirm'!K$2,mTitle,0)))</f>
        <v>2163</v>
      </c>
      <c r="L26" s="293">
        <f>IF(INDEX(mlist,MATCH($B26,mNo,0),MATCH('4. Waiting confirm'!L$2,mTitle,0))="","",INDEX(mlist,MATCH($B26,mNo,0),MATCH('4. Waiting confirm'!L$2,mTitle,0)))</f>
        <v>45082</v>
      </c>
      <c r="M26" t="str">
        <f>IF(INDEX(mlist,MATCH($B26,mNo,0),MATCH('4. Waiting confirm'!M$2,mTitle,0))="","",INDEX(mlist,MATCH($B26,mNo,0),MATCH('4. Waiting confirm'!M$2,mTitle,0)))</f>
        <v xml:space="preserve">3. Tender process </v>
      </c>
      <c r="N26" t="str">
        <f>IF(INDEX(mlist,MATCH($B26,mNo,0),MATCH('4. Waiting confirm'!N$2,mTitle,0))="","",INDEX(mlist,MATCH($B26,mNo,0),MATCH('4. Waiting confirm'!N$2,mTitle,0)))</f>
        <v>Mặc định làm thầu đối với HMU</v>
      </c>
      <c r="O26" t="s">
        <v>288</v>
      </c>
      <c r="P26" t="s">
        <v>288</v>
      </c>
      <c r="Q26" t="s">
        <v>288</v>
      </c>
      <c r="R26" s="325">
        <f t="shared" si="0"/>
        <v>1</v>
      </c>
    </row>
    <row r="27" spans="1:18">
      <c r="A27">
        <f>SUBTOTAL(103,$B$3:B27)</f>
        <v>25</v>
      </c>
      <c r="B27" t="s">
        <v>5408</v>
      </c>
      <c r="C27" t="str">
        <f>IF(INDEX(mlist,MATCH($B27,mNo,0),MATCH('4. Waiting confirm'!C$2,mTitle,0))="","",INDEX(mlist,MATCH($B27,mNo,0),MATCH('4. Waiting confirm'!C$2,mTitle,0)))</f>
        <v>Bai Chay Hospital</v>
      </c>
      <c r="D27" t="str">
        <f>IF(INDEX(mlist,MATCH($B27,mNo,0),MATCH('4. Waiting confirm'!D$2,mTitle,0))="","",INDEX(mlist,MATCH($B27,mNo,0),MATCH('4. Waiting confirm'!D$2,mTitle,0)))</f>
        <v>Hanoi</v>
      </c>
      <c r="E27" t="str">
        <f>IF(INDEX(mlist,MATCH($B27,mNo,0),MATCH('4. Waiting confirm'!E$2,mTitle,0))="","",INDEX(mlist,MATCH($B27,mNo,0),MATCH('4. Waiting confirm'!E$2,mTitle,0)))</f>
        <v>EG-600WR</v>
      </c>
      <c r="F27" t="str">
        <f>IF(INDEX(mlist,MATCH($B27,mNo,0),MATCH('4. Waiting confirm'!F$2,mTitle,0))="","",INDEX(mlist,MATCH($B27,mNo,0),MATCH('4. Waiting confirm'!F$2,mTitle,0)))</f>
        <v>2G391K484</v>
      </c>
      <c r="G27" s="293">
        <f>IF(INDEX(mlist,MATCH($B27,mNo,0),MATCH('4. Waiting confirm'!G$2,mTitle,0))="","",INDEX(mlist,MATCH($B27,mNo,0),MATCH('4. Waiting confirm'!G$2,mTitle,0)))</f>
        <v>45075.779120370367</v>
      </c>
      <c r="H27" s="293">
        <f>IF(INDEX(mlist,MATCH($B27,mNo,0),MATCH('4. Waiting confirm'!H$2,mTitle,0))="","",INDEX(mlist,MATCH($B27,mNo,0),MATCH('4. Waiting confirm'!H$2,mTitle,0)))</f>
        <v>45079.822893518518</v>
      </c>
      <c r="I27" t="str">
        <f>IF(INDEX(mlist,MATCH($B27,mNo,0),MATCH('4. Waiting confirm'!I$2,mTitle,0))="","",INDEX(mlist,MATCH($B27,mNo,0),MATCH('4. Waiting confirm'!I$2,mTitle,0)))</f>
        <v>Major</v>
      </c>
      <c r="J27" t="str">
        <f>IF(INDEX(mlist,MATCH($B27,mNo,0),MATCH('4. Waiting confirm'!J$2,mTitle,0))="","",INDEX(mlist,MATCH($B27,mNo,0),MATCH('4. Waiting confirm'!J$2,mTitle,0)))</f>
        <v>FSA, BSA, FCT, FSB, VCA</v>
      </c>
      <c r="K27" s="294">
        <f>IF(INDEX(mlist,MATCH($B27,mNo,0),MATCH('4. Waiting confirm'!K$2,mTitle,0))="","",INDEX(mlist,MATCH($B27,mNo,0),MATCH('4. Waiting confirm'!K$2,mTitle,0)))</f>
        <v>5653</v>
      </c>
      <c r="L27" s="293">
        <f>IF(INDEX(mlist,MATCH($B27,mNo,0),MATCH('4. Waiting confirm'!L$2,mTitle,0))="","",INDEX(mlist,MATCH($B27,mNo,0),MATCH('4. Waiting confirm'!L$2,mTitle,0)))</f>
        <v>45082</v>
      </c>
      <c r="M27" t="str">
        <f>IF(INDEX(mlist,MATCH($B27,mNo,0),MATCH('4. Waiting confirm'!M$2,mTitle,0))="","",INDEX(mlist,MATCH($B27,mNo,0),MATCH('4. Waiting confirm'!M$2,mTitle,0)))</f>
        <v>2. Dealer working with end user</v>
      </c>
      <c r="N27" t="str">
        <f>IF(INDEX(mlist,MATCH($B27,mNo,0),MATCH('4. Waiting confirm'!N$2,mTitle,0))="","",INDEX(mlist,MATCH($B27,mNo,0),MATCH('4. Waiting confirm'!N$2,mTitle,0)))</f>
        <v>Duc update sau</v>
      </c>
      <c r="O27" t="s">
        <v>288</v>
      </c>
      <c r="P27" t="s">
        <v>288</v>
      </c>
      <c r="R27" s="325">
        <f t="shared" si="0"/>
        <v>0.66666666666666663</v>
      </c>
    </row>
    <row r="28" spans="1:18">
      <c r="A28">
        <f>SUBTOTAL(103,$B$3:B28)</f>
        <v>26</v>
      </c>
      <c r="B28" t="s">
        <v>5412</v>
      </c>
      <c r="C28" t="str">
        <f>IF(INDEX(mlist,MATCH($B28,mNo,0),MATCH('4. Waiting confirm'!C$2,mTitle,0))="","",INDEX(mlist,MATCH($B28,mNo,0),MATCH('4. Waiting confirm'!C$2,mTitle,0)))</f>
        <v>Bach Mai Hospital</v>
      </c>
      <c r="D28" t="str">
        <f>IF(INDEX(mlist,MATCH($B28,mNo,0),MATCH('4. Waiting confirm'!D$2,mTitle,0))="","",INDEX(mlist,MATCH($B28,mNo,0),MATCH('4. Waiting confirm'!D$2,mTitle,0)))</f>
        <v>Hanoi</v>
      </c>
      <c r="E28" t="str">
        <f>IF(INDEX(mlist,MATCH($B28,mNo,0),MATCH('4. Waiting confirm'!E$2,mTitle,0))="","",INDEX(mlist,MATCH($B28,mNo,0),MATCH('4. Waiting confirm'!E$2,mTitle,0)))</f>
        <v>ED-580XT</v>
      </c>
      <c r="F28" t="str">
        <f>IF(INDEX(mlist,MATCH($B28,mNo,0),MATCH('4. Waiting confirm'!F$2,mTitle,0))="","",INDEX(mlist,MATCH($B28,mNo,0),MATCH('4. Waiting confirm'!F$2,mTitle,0)))</f>
        <v>3D127K339</v>
      </c>
      <c r="G28" s="293">
        <f>IF(INDEX(mlist,MATCH($B28,mNo,0),MATCH('4. Waiting confirm'!G$2,mTitle,0))="","",INDEX(mlist,MATCH($B28,mNo,0),MATCH('4. Waiting confirm'!G$2,mTitle,0)))</f>
        <v>45075.794363425928</v>
      </c>
      <c r="H28" s="293">
        <f>IF(INDEX(mlist,MATCH($B28,mNo,0),MATCH('4. Waiting confirm'!H$2,mTitle,0))="","",INDEX(mlist,MATCH($B28,mNo,0),MATCH('4. Waiting confirm'!H$2,mTitle,0)))</f>
        <v>45078.553530092591</v>
      </c>
      <c r="I28" t="str">
        <f>IF(INDEX(mlist,MATCH($B28,mNo,0),MATCH('4. Waiting confirm'!I$2,mTitle,0))="","",INDEX(mlist,MATCH($B28,mNo,0),MATCH('4. Waiting confirm'!I$2,mTitle,0)))</f>
        <v>Major</v>
      </c>
      <c r="J28" t="str">
        <f>IF(INDEX(mlist,MATCH($B28,mNo,0),MATCH('4. Waiting confirm'!J$2,mTitle,0))="","",INDEX(mlist,MATCH($B28,mNo,0),MATCH('4. Waiting confirm'!J$2,mTitle,0)))</f>
        <v>BSA</v>
      </c>
      <c r="K28" s="294">
        <f>IF(INDEX(mlist,MATCH($B28,mNo,0),MATCH('4. Waiting confirm'!K$2,mTitle,0))="","",INDEX(mlist,MATCH($B28,mNo,0),MATCH('4. Waiting confirm'!K$2,mTitle,0)))</f>
        <v>1368</v>
      </c>
      <c r="L28" s="293">
        <f>IF(INDEX(mlist,MATCH($B28,mNo,0),MATCH('4. Waiting confirm'!L$2,mTitle,0))="","",INDEX(mlist,MATCH($B28,mNo,0),MATCH('4. Waiting confirm'!L$2,mTitle,0)))</f>
        <v>45082</v>
      </c>
      <c r="M28" t="str">
        <f>IF(INDEX(mlist,MATCH($B28,mNo,0),MATCH('4. Waiting confirm'!M$2,mTitle,0))="","",INDEX(mlist,MATCH($B28,mNo,0),MATCH('4. Waiting confirm'!M$2,mTitle,0)))</f>
        <v>2. Dealer working with end user</v>
      </c>
      <c r="N28" t="str">
        <f>IF(INDEX(mlist,MATCH($B28,mNo,0),MATCH('4. Waiting confirm'!N$2,mTitle,0))="","",INDEX(mlist,MATCH($B28,mNo,0),MATCH('4. Waiting confirm'!N$2,mTitle,0)))</f>
        <v>đang làm việc với BV</v>
      </c>
      <c r="O28" t="s">
        <v>288</v>
      </c>
      <c r="P28" t="s">
        <v>288</v>
      </c>
      <c r="R28" s="325">
        <f t="shared" si="0"/>
        <v>0.66666666666666663</v>
      </c>
    </row>
    <row r="29" spans="1:18">
      <c r="A29">
        <f>SUBTOTAL(103,$B$3:B29)</f>
        <v>27</v>
      </c>
      <c r="B29" t="s">
        <v>5413</v>
      </c>
      <c r="C29" t="str">
        <f>IF(INDEX(mlist,MATCH($B29,mNo,0),MATCH('4. Waiting confirm'!C$2,mTitle,0))="","",INDEX(mlist,MATCH($B29,mNo,0),MATCH('4. Waiting confirm'!C$2,mTitle,0)))</f>
        <v>Bach Mai Hospital</v>
      </c>
      <c r="D29" t="str">
        <f>IF(INDEX(mlist,MATCH($B29,mNo,0),MATCH('4. Waiting confirm'!D$2,mTitle,0))="","",INDEX(mlist,MATCH($B29,mNo,0),MATCH('4. Waiting confirm'!D$2,mTitle,0)))</f>
        <v>Hanoi</v>
      </c>
      <c r="E29" t="str">
        <f>IF(INDEX(mlist,MATCH($B29,mNo,0),MATCH('4. Waiting confirm'!E$2,mTitle,0))="","",INDEX(mlist,MATCH($B29,mNo,0),MATCH('4. Waiting confirm'!E$2,mTitle,0)))</f>
        <v>EG-600WR</v>
      </c>
      <c r="F29" t="str">
        <f>IF(INDEX(mlist,MATCH($B29,mNo,0),MATCH('4. Waiting confirm'!F$2,mTitle,0))="","",INDEX(mlist,MATCH($B29,mNo,0),MATCH('4. Waiting confirm'!F$2,mTitle,0)))</f>
        <v>8G391K430</v>
      </c>
      <c r="G29" s="293">
        <f>IF(INDEX(mlist,MATCH($B29,mNo,0),MATCH('4. Waiting confirm'!G$2,mTitle,0))="","",INDEX(mlist,MATCH($B29,mNo,0),MATCH('4. Waiting confirm'!G$2,mTitle,0)))</f>
        <v>45075.794814814813</v>
      </c>
      <c r="H29" s="293">
        <f>IF(INDEX(mlist,MATCH($B29,mNo,0),MATCH('4. Waiting confirm'!H$2,mTitle,0))="","",INDEX(mlist,MATCH($B29,mNo,0),MATCH('4. Waiting confirm'!H$2,mTitle,0)))</f>
        <v>45085.577175925922</v>
      </c>
      <c r="I29" t="str">
        <f>IF(INDEX(mlist,MATCH($B29,mNo,0),MATCH('4. Waiting confirm'!I$2,mTitle,0))="","",INDEX(mlist,MATCH($B29,mNo,0),MATCH('4. Waiting confirm'!I$2,mTitle,0)))</f>
        <v>Major</v>
      </c>
      <c r="J29" t="str">
        <f>IF(INDEX(mlist,MATCH($B29,mNo,0),MATCH('4. Waiting confirm'!J$2,mTitle,0))="","",INDEX(mlist,MATCH($B29,mNo,0),MATCH('4. Waiting confirm'!J$2,mTitle,0)))</f>
        <v>DRY, FSB, FCT, VCA, BSA</v>
      </c>
      <c r="K29" s="294">
        <f>IF(INDEX(mlist,MATCH($B29,mNo,0),MATCH('4. Waiting confirm'!K$2,mTitle,0))="","",INDEX(mlist,MATCH($B29,mNo,0),MATCH('4. Waiting confirm'!K$2,mTitle,0)))</f>
        <v>4463</v>
      </c>
      <c r="L29" s="293">
        <f>IF(INDEX(mlist,MATCH($B29,mNo,0),MATCH('4. Waiting confirm'!L$2,mTitle,0))="","",INDEX(mlist,MATCH($B29,mNo,0),MATCH('4. Waiting confirm'!L$2,mTitle,0)))</f>
        <v>45086</v>
      </c>
      <c r="M29" t="str">
        <f>IF(INDEX(mlist,MATCH($B29,mNo,0),MATCH('4. Waiting confirm'!M$2,mTitle,0))="","",INDEX(mlist,MATCH($B29,mNo,0),MATCH('4. Waiting confirm'!M$2,mTitle,0)))</f>
        <v>2. Dealer working with end user</v>
      </c>
      <c r="N29" t="str">
        <f>IF(INDEX(mlist,MATCH($B29,mNo,0),MATCH('4. Waiting confirm'!N$2,mTitle,0))="","",INDEX(mlist,MATCH($B29,mNo,0),MATCH('4. Waiting confirm'!N$2,mTitle,0)))</f>
        <v>đang làm việc với BV</v>
      </c>
      <c r="O29" t="s">
        <v>288</v>
      </c>
      <c r="P29" t="s">
        <v>288</v>
      </c>
      <c r="R29" s="325">
        <f t="shared" si="0"/>
        <v>0.66666666666666663</v>
      </c>
    </row>
    <row r="30" spans="1:18">
      <c r="A30">
        <f>SUBTOTAL(103,$B$3:B30)</f>
        <v>28</v>
      </c>
      <c r="B30" t="s">
        <v>5480</v>
      </c>
      <c r="C30" t="str">
        <f>IF(INDEX(mlist,MATCH($B30,mNo,0),MATCH('4. Waiting confirm'!C$2,mTitle,0))="","",INDEX(mlist,MATCH($B30,mNo,0),MATCH('4. Waiting confirm'!C$2,mTitle,0)))</f>
        <v>Bach Mai Hospital</v>
      </c>
      <c r="D30" t="str">
        <f>IF(INDEX(mlist,MATCH($B30,mNo,0),MATCH('4. Waiting confirm'!D$2,mTitle,0))="","",INDEX(mlist,MATCH($B30,mNo,0),MATCH('4. Waiting confirm'!D$2,mTitle,0)))</f>
        <v>Hanoi</v>
      </c>
      <c r="E30" t="str">
        <f>IF(INDEX(mlist,MATCH($B30,mNo,0),MATCH('4. Waiting confirm'!E$2,mTitle,0))="","",INDEX(mlist,MATCH($B30,mNo,0),MATCH('4. Waiting confirm'!E$2,mTitle,0)))</f>
        <v>EG-600WR</v>
      </c>
      <c r="F30" t="str">
        <f>IF(INDEX(mlist,MATCH($B30,mNo,0),MATCH('4. Waiting confirm'!F$2,mTitle,0))="","",INDEX(mlist,MATCH($B30,mNo,0),MATCH('4. Waiting confirm'!F$2,mTitle,0)))</f>
        <v>8G391K041</v>
      </c>
      <c r="G30" s="293">
        <f>IF(INDEX(mlist,MATCH($B30,mNo,0),MATCH('4. Waiting confirm'!G$2,mTitle,0))="","",INDEX(mlist,MATCH($B30,mNo,0),MATCH('4. Waiting confirm'!G$2,mTitle,0)))</f>
        <v>45082.489212962966</v>
      </c>
      <c r="H30" s="293">
        <f>IF(INDEX(mlist,MATCH($B30,mNo,0),MATCH('4. Waiting confirm'!H$2,mTitle,0))="","",INDEX(mlist,MATCH($B30,mNo,0),MATCH('4. Waiting confirm'!H$2,mTitle,0)))</f>
        <v>45082.666701388887</v>
      </c>
      <c r="I30" t="str">
        <f>IF(INDEX(mlist,MATCH($B30,mNo,0),MATCH('4. Waiting confirm'!I$2,mTitle,0))="","",INDEX(mlist,MATCH($B30,mNo,0),MATCH('4. Waiting confirm'!I$2,mTitle,0)))</f>
        <v>Major</v>
      </c>
      <c r="J30" t="str">
        <f>IF(INDEX(mlist,MATCH($B30,mNo,0),MATCH('4. Waiting confirm'!J$2,mTitle,0))="","",INDEX(mlist,MATCH($B30,mNo,0),MATCH('4. Waiting confirm'!J$2,mTitle,0)))</f>
        <v>CHA, FCT, BSA, OSA</v>
      </c>
      <c r="K30" s="294">
        <f>IF(INDEX(mlist,MATCH($B30,mNo,0),MATCH('4. Waiting confirm'!K$2,mTitle,0))="","",INDEX(mlist,MATCH($B30,mNo,0),MATCH('4. Waiting confirm'!K$2,mTitle,0)))</f>
        <v>8142</v>
      </c>
      <c r="L30" s="293">
        <f>IF(INDEX(mlist,MATCH($B30,mNo,0),MATCH('4. Waiting confirm'!L$2,mTitle,0))="","",INDEX(mlist,MATCH($B30,mNo,0),MATCH('4. Waiting confirm'!L$2,mTitle,0)))</f>
        <v>45086</v>
      </c>
      <c r="M30" t="str">
        <f>IF(INDEX(mlist,MATCH($B30,mNo,0),MATCH('4. Waiting confirm'!M$2,mTitle,0))="","",INDEX(mlist,MATCH($B30,mNo,0),MATCH('4. Waiting confirm'!M$2,mTitle,0)))</f>
        <v>2. Dealer working with end user</v>
      </c>
      <c r="N30" t="str">
        <f>IF(INDEX(mlist,MATCH($B30,mNo,0),MATCH('4. Waiting confirm'!N$2,mTitle,0))="","",INDEX(mlist,MATCH($B30,mNo,0),MATCH('4. Waiting confirm'!N$2,mTitle,0)))</f>
        <v>đang làm việc với BV</v>
      </c>
      <c r="O30" t="s">
        <v>288</v>
      </c>
      <c r="P30" t="s">
        <v>288</v>
      </c>
      <c r="R30" s="325">
        <f t="shared" si="0"/>
        <v>0.66666666666666663</v>
      </c>
    </row>
    <row r="31" spans="1:18">
      <c r="A31">
        <f>SUBTOTAL(103,$B$3:B31)</f>
        <v>29</v>
      </c>
      <c r="B31" t="s">
        <v>5487</v>
      </c>
      <c r="C31" t="str">
        <f>IF(INDEX(mlist,MATCH($B31,mNo,0),MATCH('4. Waiting confirm'!C$2,mTitle,0))="","",INDEX(mlist,MATCH($B31,mNo,0),MATCH('4. Waiting confirm'!C$2,mTitle,0)))</f>
        <v>Hanoi Medical University Hospital</v>
      </c>
      <c r="D31" t="str">
        <f>IF(INDEX(mlist,MATCH($B31,mNo,0),MATCH('4. Waiting confirm'!D$2,mTitle,0))="","",INDEX(mlist,MATCH($B31,mNo,0),MATCH('4. Waiting confirm'!D$2,mTitle,0)))</f>
        <v>Hanoi</v>
      </c>
      <c r="E31" t="str">
        <f>IF(INDEX(mlist,MATCH($B31,mNo,0),MATCH('4. Waiting confirm'!E$2,mTitle,0))="","",INDEX(mlist,MATCH($B31,mNo,0),MATCH('4. Waiting confirm'!E$2,mTitle,0)))</f>
        <v>XL-4450</v>
      </c>
      <c r="F31" t="str">
        <f>IF(INDEX(mlist,MATCH($B31,mNo,0),MATCH('4. Waiting confirm'!F$2,mTitle,0))="","",INDEX(mlist,MATCH($B31,mNo,0),MATCH('4. Waiting confirm'!F$2,mTitle,0)))</f>
        <v>2S094K543</v>
      </c>
      <c r="G31" s="293">
        <f>IF(INDEX(mlist,MATCH($B31,mNo,0),MATCH('4. Waiting confirm'!G$2,mTitle,0))="","",INDEX(mlist,MATCH($B31,mNo,0),MATCH('4. Waiting confirm'!G$2,mTitle,0)))</f>
        <v>45083.656527777777</v>
      </c>
      <c r="H31" s="293">
        <f>IF(INDEX(mlist,MATCH($B31,mNo,0),MATCH('4. Waiting confirm'!H$2,mTitle,0))="","",INDEX(mlist,MATCH($B31,mNo,0),MATCH('4. Waiting confirm'!H$2,mTitle,0)))</f>
        <v>45083.819652777776</v>
      </c>
      <c r="I31" t="str">
        <f>IF(INDEX(mlist,MATCH($B31,mNo,0),MATCH('4. Waiting confirm'!I$2,mTitle,0))="","",INDEX(mlist,MATCH($B31,mNo,0),MATCH('4. Waiting confirm'!I$2,mTitle,0)))</f>
        <v>Other</v>
      </c>
      <c r="J31" t="str">
        <f>IF(INDEX(mlist,MATCH($B31,mNo,0),MATCH('4. Waiting confirm'!J$2,mTitle,0))="","",INDEX(mlist,MATCH($B31,mNo,0),MATCH('4. Waiting confirm'!J$2,mTitle,0)))</f>
        <v>IRS</v>
      </c>
      <c r="K31" s="294">
        <f>IF(INDEX(mlist,MATCH($B31,mNo,0),MATCH('4. Waiting confirm'!K$2,mTitle,0))="","",INDEX(mlist,MATCH($B31,mNo,0),MATCH('4. Waiting confirm'!K$2,mTitle,0)))</f>
        <v>1241</v>
      </c>
      <c r="L31" s="293">
        <f>IF(INDEX(mlist,MATCH($B31,mNo,0),MATCH('4. Waiting confirm'!L$2,mTitle,0))="","",INDEX(mlist,MATCH($B31,mNo,0),MATCH('4. Waiting confirm'!L$2,mTitle,0)))</f>
        <v>45086</v>
      </c>
      <c r="M31" t="str">
        <f>IF(INDEX(mlist,MATCH($B31,mNo,0),MATCH('4. Waiting confirm'!M$2,mTitle,0))="","",INDEX(mlist,MATCH($B31,mNo,0),MATCH('4. Waiting confirm'!M$2,mTitle,0)))</f>
        <v xml:space="preserve">3. Tender process </v>
      </c>
      <c r="N31" t="str">
        <f>IF(INDEX(mlist,MATCH($B31,mNo,0),MATCH('4. Waiting confirm'!N$2,mTitle,0))="","",INDEX(mlist,MATCH($B31,mNo,0),MATCH('4. Waiting confirm'!N$2,mTitle,0)))</f>
        <v>Mặc định làm thầu đối với HMU</v>
      </c>
      <c r="O31" t="s">
        <v>288</v>
      </c>
      <c r="P31" t="s">
        <v>288</v>
      </c>
      <c r="Q31" t="s">
        <v>288</v>
      </c>
      <c r="R31" s="325">
        <f t="shared" si="0"/>
        <v>1</v>
      </c>
    </row>
    <row r="32" spans="1:18">
      <c r="A32">
        <f>SUBTOTAL(103,$B$3:B32)</f>
        <v>30</v>
      </c>
      <c r="B32" t="s">
        <v>5570</v>
      </c>
      <c r="C32" t="str">
        <f>IF(INDEX(mlist,MATCH($B32,mNo,0),MATCH('4. Waiting confirm'!C$2,mTitle,0))="","",INDEX(mlist,MATCH($B32,mNo,0),MATCH('4. Waiting confirm'!C$2,mTitle,0)))</f>
        <v>Bach Mai Hospital</v>
      </c>
      <c r="D32" t="str">
        <f>IF(INDEX(mlist,MATCH($B32,mNo,0),MATCH('4. Waiting confirm'!D$2,mTitle,0))="","",INDEX(mlist,MATCH($B32,mNo,0),MATCH('4. Waiting confirm'!D$2,mTitle,0)))</f>
        <v>Hanoi</v>
      </c>
      <c r="E32" t="str">
        <f>IF(INDEX(mlist,MATCH($B32,mNo,0),MATCH('4. Waiting confirm'!E$2,mTitle,0))="","",INDEX(mlist,MATCH($B32,mNo,0),MATCH('4. Waiting confirm'!E$2,mTitle,0)))</f>
        <v>EG-600WR</v>
      </c>
      <c r="F32" t="str">
        <f>IF(INDEX(mlist,MATCH($B32,mNo,0),MATCH('4. Waiting confirm'!F$2,mTitle,0))="","",INDEX(mlist,MATCH($B32,mNo,0),MATCH('4. Waiting confirm'!F$2,mTitle,0)))</f>
        <v>8G391K429</v>
      </c>
      <c r="G32" s="293">
        <f>IF(INDEX(mlist,MATCH($B32,mNo,0),MATCH('4. Waiting confirm'!G$2,mTitle,0))="","",INDEX(mlist,MATCH($B32,mNo,0),MATCH('4. Waiting confirm'!G$2,mTitle,0)))</f>
        <v>45096.552615740744</v>
      </c>
      <c r="H32" s="293">
        <f>IF(INDEX(mlist,MATCH($B32,mNo,0),MATCH('4. Waiting confirm'!H$2,mTitle,0))="","",INDEX(mlist,MATCH($B32,mNo,0),MATCH('4. Waiting confirm'!H$2,mTitle,0)))</f>
        <v>45099.680347222224</v>
      </c>
      <c r="I32" t="str">
        <f>IF(INDEX(mlist,MATCH($B32,mNo,0),MATCH('4. Waiting confirm'!I$2,mTitle,0))="","",INDEX(mlist,MATCH($B32,mNo,0),MATCH('4. Waiting confirm'!I$2,mTitle,0)))</f>
        <v>Major</v>
      </c>
      <c r="J32" t="str">
        <f>IF(INDEX(mlist,MATCH($B32,mNo,0),MATCH('4. Waiting confirm'!J$2,mTitle,0))="","",INDEX(mlist,MATCH($B32,mNo,0),MATCH('4. Waiting confirm'!J$2,mTitle,0)))</f>
        <v>OSA, CHA, FSA, BSA</v>
      </c>
      <c r="K32" s="294">
        <f>IF(INDEX(mlist,MATCH($B32,mNo,0),MATCH('4. Waiting confirm'!K$2,mTitle,0))="","",INDEX(mlist,MATCH($B32,mNo,0),MATCH('4. Waiting confirm'!K$2,mTitle,0)))</f>
        <v>11795</v>
      </c>
      <c r="L32" s="293">
        <f>IF(INDEX(mlist,MATCH($B32,mNo,0),MATCH('4. Waiting confirm'!L$2,mTitle,0))="","",INDEX(mlist,MATCH($B32,mNo,0),MATCH('4. Waiting confirm'!L$2,mTitle,0)))</f>
        <v>45105</v>
      </c>
      <c r="M32" t="str">
        <f>IF(INDEX(mlist,MATCH($B32,mNo,0),MATCH('4. Waiting confirm'!M$2,mTitle,0))="","",INDEX(mlist,MATCH($B32,mNo,0),MATCH('4. Waiting confirm'!M$2,mTitle,0)))</f>
        <v>2. Dealer working with end user</v>
      </c>
      <c r="N32" t="str">
        <f>IF(INDEX(mlist,MATCH($B32,mNo,0),MATCH('4. Waiting confirm'!N$2,mTitle,0))="","",INDEX(mlist,MATCH($B32,mNo,0),MATCH('4. Waiting confirm'!N$2,mTitle,0)))</f>
        <v>đang làm việc với BV</v>
      </c>
      <c r="O32" t="s">
        <v>288</v>
      </c>
      <c r="P32" t="s">
        <v>288</v>
      </c>
      <c r="R32" s="325">
        <f t="shared" si="0"/>
        <v>0.66666666666666663</v>
      </c>
    </row>
    <row r="33" spans="1:18">
      <c r="A33">
        <f>SUBTOTAL(103,$B$3:B33)</f>
        <v>31</v>
      </c>
      <c r="B33" t="s">
        <v>5572</v>
      </c>
      <c r="C33" t="str">
        <f>IF(INDEX(mlist,MATCH($B33,mNo,0),MATCH('4. Waiting confirm'!C$2,mTitle,0))="","",INDEX(mlist,MATCH($B33,mNo,0),MATCH('4. Waiting confirm'!C$2,mTitle,0)))</f>
        <v>Bach Mai Hospital</v>
      </c>
      <c r="D33" t="str">
        <f>IF(INDEX(mlist,MATCH($B33,mNo,0),MATCH('4. Waiting confirm'!D$2,mTitle,0))="","",INDEX(mlist,MATCH($B33,mNo,0),MATCH('4. Waiting confirm'!D$2,mTitle,0)))</f>
        <v>Hanoi</v>
      </c>
      <c r="E33" t="str">
        <f>IF(INDEX(mlist,MATCH($B33,mNo,0),MATCH('4. Waiting confirm'!E$2,mTitle,0))="","",INDEX(mlist,MATCH($B33,mNo,0),MATCH('4. Waiting confirm'!E$2,mTitle,0)))</f>
        <v>EG-600WR</v>
      </c>
      <c r="F33" t="str">
        <f>IF(INDEX(mlist,MATCH($B33,mNo,0),MATCH('4. Waiting confirm'!F$2,mTitle,0))="","",INDEX(mlist,MATCH($B33,mNo,0),MATCH('4. Waiting confirm'!F$2,mTitle,0)))</f>
        <v>8G391K431</v>
      </c>
      <c r="G33" s="293">
        <f>IF(INDEX(mlist,MATCH($B33,mNo,0),MATCH('4. Waiting confirm'!G$2,mTitle,0))="","",INDEX(mlist,MATCH($B33,mNo,0),MATCH('4. Waiting confirm'!G$2,mTitle,0)))</f>
        <v>45096.553587962961</v>
      </c>
      <c r="H33" s="293">
        <f>IF(INDEX(mlist,MATCH($B33,mNo,0),MATCH('4. Waiting confirm'!H$2,mTitle,0))="","",INDEX(mlist,MATCH($B33,mNo,0),MATCH('4. Waiting confirm'!H$2,mTitle,0)))</f>
        <v>45099.688206018516</v>
      </c>
      <c r="I33" t="str">
        <f>IF(INDEX(mlist,MATCH($B33,mNo,0),MATCH('4. Waiting confirm'!I$2,mTitle,0))="","",INDEX(mlist,MATCH($B33,mNo,0),MATCH('4. Waiting confirm'!I$2,mTitle,0)))</f>
        <v>Major</v>
      </c>
      <c r="J33" t="str">
        <f>IF(INDEX(mlist,MATCH($B33,mNo,0),MATCH('4. Waiting confirm'!J$2,mTitle,0))="","",INDEX(mlist,MATCH($B33,mNo,0),MATCH('4. Waiting confirm'!J$2,mTitle,0)))</f>
        <v>BSA, CHA, VCA, FSB</v>
      </c>
      <c r="K33" s="294">
        <f>IF(INDEX(mlist,MATCH($B33,mNo,0),MATCH('4. Waiting confirm'!K$2,mTitle,0))="","",INDEX(mlist,MATCH($B33,mNo,0),MATCH('4. Waiting confirm'!K$2,mTitle,0)))</f>
        <v>10819</v>
      </c>
      <c r="L33" s="293">
        <f>IF(INDEX(mlist,MATCH($B33,mNo,0),MATCH('4. Waiting confirm'!L$2,mTitle,0))="","",INDEX(mlist,MATCH($B33,mNo,0),MATCH('4. Waiting confirm'!L$2,mTitle,0)))</f>
        <v>45105</v>
      </c>
      <c r="M33" t="str">
        <f>IF(INDEX(mlist,MATCH($B33,mNo,0),MATCH('4. Waiting confirm'!M$2,mTitle,0))="","",INDEX(mlist,MATCH($B33,mNo,0),MATCH('4. Waiting confirm'!M$2,mTitle,0)))</f>
        <v>2. Dealer working with end user</v>
      </c>
      <c r="N33" t="str">
        <f>IF(INDEX(mlist,MATCH($B33,mNo,0),MATCH('4. Waiting confirm'!N$2,mTitle,0))="","",INDEX(mlist,MATCH($B33,mNo,0),MATCH('4. Waiting confirm'!N$2,mTitle,0)))</f>
        <v>đang làm việc với BV</v>
      </c>
      <c r="O33" t="s">
        <v>288</v>
      </c>
      <c r="P33" t="s">
        <v>288</v>
      </c>
      <c r="R33" s="325">
        <f t="shared" si="0"/>
        <v>0.66666666666666663</v>
      </c>
    </row>
    <row r="34" spans="1:18">
      <c r="A34">
        <f>SUBTOTAL(103,$B$3:B34)</f>
        <v>32</v>
      </c>
      <c r="B34" t="s">
        <v>5590</v>
      </c>
      <c r="C34" t="str">
        <f>IF(INDEX(mlist,MATCH($B34,mNo,0),MATCH('4. Waiting confirm'!C$2,mTitle,0))="","",INDEX(mlist,MATCH($B34,mNo,0),MATCH('4. Waiting confirm'!C$2,mTitle,0)))</f>
        <v>Hanoi Medical University Hospital</v>
      </c>
      <c r="D34" t="str">
        <f>IF(INDEX(mlist,MATCH($B34,mNo,0),MATCH('4. Waiting confirm'!D$2,mTitle,0))="","",INDEX(mlist,MATCH($B34,mNo,0),MATCH('4. Waiting confirm'!D$2,mTitle,0)))</f>
        <v>Hanoi</v>
      </c>
      <c r="E34" t="str">
        <f>IF(INDEX(mlist,MATCH($B34,mNo,0),MATCH('4. Waiting confirm'!E$2,mTitle,0))="","",INDEX(mlist,MATCH($B34,mNo,0),MATCH('4. Waiting confirm'!E$2,mTitle,0)))</f>
        <v>EG-600WR</v>
      </c>
      <c r="F34" t="str">
        <f>IF(INDEX(mlist,MATCH($B34,mNo,0),MATCH('4. Waiting confirm'!F$2,mTitle,0))="","",INDEX(mlist,MATCH($B34,mNo,0),MATCH('4. Waiting confirm'!F$2,mTitle,0)))</f>
        <v>4G391K120</v>
      </c>
      <c r="G34" s="293">
        <f>IF(INDEX(mlist,MATCH($B34,mNo,0),MATCH('4. Waiting confirm'!G$2,mTitle,0))="","",INDEX(mlist,MATCH($B34,mNo,0),MATCH('4. Waiting confirm'!G$2,mTitle,0)))</f>
        <v>45097.500659722224</v>
      </c>
      <c r="H34" s="293">
        <f>IF(INDEX(mlist,MATCH($B34,mNo,0),MATCH('4. Waiting confirm'!H$2,mTitle,0))="","",INDEX(mlist,MATCH($B34,mNo,0),MATCH('4. Waiting confirm'!H$2,mTitle,0)))</f>
        <v>45100.746215277781</v>
      </c>
      <c r="I34" t="str">
        <f>IF(INDEX(mlist,MATCH($B34,mNo,0),MATCH('4. Waiting confirm'!I$2,mTitle,0))="","",INDEX(mlist,MATCH($B34,mNo,0),MATCH('4. Waiting confirm'!I$2,mTitle,0)))</f>
        <v>Major</v>
      </c>
      <c r="J34" t="str">
        <f>IF(INDEX(mlist,MATCH($B34,mNo,0),MATCH('4. Waiting confirm'!J$2,mTitle,0))="","",INDEX(mlist,MATCH($B34,mNo,0),MATCH('4. Waiting confirm'!J$2,mTitle,0)))</f>
        <v>BSA, FCT</v>
      </c>
      <c r="K34" s="294">
        <f>IF(INDEX(mlist,MATCH($B34,mNo,0),MATCH('4. Waiting confirm'!K$2,mTitle,0))="","",INDEX(mlist,MATCH($B34,mNo,0),MATCH('4. Waiting confirm'!K$2,mTitle,0)))</f>
        <v>2137</v>
      </c>
      <c r="L34" s="293">
        <f>IF(INDEX(mlist,MATCH($B34,mNo,0),MATCH('4. Waiting confirm'!L$2,mTitle,0))="","",INDEX(mlist,MATCH($B34,mNo,0),MATCH('4. Waiting confirm'!L$2,mTitle,0)))</f>
        <v>45105</v>
      </c>
      <c r="M34" t="str">
        <f>IF(INDEX(mlist,MATCH($B34,mNo,0),MATCH('4. Waiting confirm'!M$2,mTitle,0))="","",INDEX(mlist,MATCH($B34,mNo,0),MATCH('4. Waiting confirm'!M$2,mTitle,0)))</f>
        <v xml:space="preserve">3. Tender process </v>
      </c>
      <c r="N34" t="str">
        <f>IF(INDEX(mlist,MATCH($B34,mNo,0),MATCH('4. Waiting confirm'!N$2,mTitle,0))="","",INDEX(mlist,MATCH($B34,mNo,0),MATCH('4. Waiting confirm'!N$2,mTitle,0)))</f>
        <v>Mặc định làm thầu đối với HMU</v>
      </c>
      <c r="O34" t="s">
        <v>288</v>
      </c>
      <c r="P34" t="s">
        <v>288</v>
      </c>
      <c r="Q34" t="s">
        <v>288</v>
      </c>
      <c r="R34" s="325">
        <f t="shared" si="0"/>
        <v>1</v>
      </c>
    </row>
    <row r="35" spans="1:18">
      <c r="A35">
        <f>SUBTOTAL(103,$B$3:B35)</f>
        <v>33</v>
      </c>
      <c r="B35" t="s">
        <v>5591</v>
      </c>
      <c r="C35" t="str">
        <f>IF(INDEX(mlist,MATCH($B35,mNo,0),MATCH('4. Waiting confirm'!C$2,mTitle,0))="","",INDEX(mlist,MATCH($B35,mNo,0),MATCH('4. Waiting confirm'!C$2,mTitle,0)))</f>
        <v>Hanoi Medical University Hospital</v>
      </c>
      <c r="D35" t="str">
        <f>IF(INDEX(mlist,MATCH($B35,mNo,0),MATCH('4. Waiting confirm'!D$2,mTitle,0))="","",INDEX(mlist,MATCH($B35,mNo,0),MATCH('4. Waiting confirm'!D$2,mTitle,0)))</f>
        <v>Hanoi</v>
      </c>
      <c r="E35" t="str">
        <f>IF(INDEX(mlist,MATCH($B35,mNo,0),MATCH('4. Waiting confirm'!E$2,mTitle,0))="","",INDEX(mlist,MATCH($B35,mNo,0),MATCH('4. Waiting confirm'!E$2,mTitle,0)))</f>
        <v>EG-600WR</v>
      </c>
      <c r="F35" t="str">
        <f>IF(INDEX(mlist,MATCH($B35,mNo,0),MATCH('4. Waiting confirm'!F$2,mTitle,0))="","",INDEX(mlist,MATCH($B35,mNo,0),MATCH('4. Waiting confirm'!F$2,mTitle,0)))</f>
        <v>7G391K122</v>
      </c>
      <c r="G35" s="293">
        <f>IF(INDEX(mlist,MATCH($B35,mNo,0),MATCH('4. Waiting confirm'!G$2,mTitle,0))="","",INDEX(mlist,MATCH($B35,mNo,0),MATCH('4. Waiting confirm'!G$2,mTitle,0)))</f>
        <v>45097.504224537035</v>
      </c>
      <c r="H35" s="293">
        <f>IF(INDEX(mlist,MATCH($B35,mNo,0),MATCH('4. Waiting confirm'!H$2,mTitle,0))="","",INDEX(mlist,MATCH($B35,mNo,0),MATCH('4. Waiting confirm'!H$2,mTitle,0)))</f>
        <v>45100.787523148145</v>
      </c>
      <c r="I35" t="str">
        <f>IF(INDEX(mlist,MATCH($B35,mNo,0),MATCH('4. Waiting confirm'!I$2,mTitle,0))="","",INDEX(mlist,MATCH($B35,mNo,0),MATCH('4. Waiting confirm'!I$2,mTitle,0)))</f>
        <v>Major</v>
      </c>
      <c r="J35" t="str">
        <f>IF(INDEX(mlist,MATCH($B35,mNo,0),MATCH('4. Waiting confirm'!J$2,mTitle,0))="","",INDEX(mlist,MATCH($B35,mNo,0),MATCH('4. Waiting confirm'!J$2,mTitle,0)))</f>
        <v>BSA, FCT</v>
      </c>
      <c r="K35" s="294">
        <f>IF(INDEX(mlist,MATCH($B35,mNo,0),MATCH('4. Waiting confirm'!K$2,mTitle,0))="","",INDEX(mlist,MATCH($B35,mNo,0),MATCH('4. Waiting confirm'!K$2,mTitle,0)))</f>
        <v>2038</v>
      </c>
      <c r="L35" s="293">
        <f>IF(INDEX(mlist,MATCH($B35,mNo,0),MATCH('4. Waiting confirm'!L$2,mTitle,0))="","",INDEX(mlist,MATCH($B35,mNo,0),MATCH('4. Waiting confirm'!L$2,mTitle,0)))</f>
        <v>45105</v>
      </c>
      <c r="M35" t="str">
        <f>IF(INDEX(mlist,MATCH($B35,mNo,0),MATCH('4. Waiting confirm'!M$2,mTitle,0))="","",INDEX(mlist,MATCH($B35,mNo,0),MATCH('4. Waiting confirm'!M$2,mTitle,0)))</f>
        <v xml:space="preserve">3. Tender process </v>
      </c>
      <c r="N35" t="str">
        <f>IF(INDEX(mlist,MATCH($B35,mNo,0),MATCH('4. Waiting confirm'!N$2,mTitle,0))="","",INDEX(mlist,MATCH($B35,mNo,0),MATCH('4. Waiting confirm'!N$2,mTitle,0)))</f>
        <v>Mặc định làm thầu đối với HMU</v>
      </c>
      <c r="O35" t="s">
        <v>288</v>
      </c>
      <c r="P35" t="s">
        <v>288</v>
      </c>
      <c r="Q35" t="s">
        <v>288</v>
      </c>
      <c r="R35" s="325">
        <f t="shared" ref="R35:R66" si="1">COUNTA(O35:Q35)/3</f>
        <v>1</v>
      </c>
    </row>
    <row r="36" spans="1:18">
      <c r="A36">
        <f>SUBTOTAL(103,$B$3:B36)</f>
        <v>34</v>
      </c>
      <c r="B36" t="s">
        <v>5605</v>
      </c>
      <c r="C36" t="str">
        <f>IF(INDEX(mlist,MATCH($B36,mNo,0),MATCH('4. Waiting confirm'!C$2,mTitle,0))="","",INDEX(mlist,MATCH($B36,mNo,0),MATCH('4. Waiting confirm'!C$2,mTitle,0)))</f>
        <v>Thanh An- Ha Noi limited company</v>
      </c>
      <c r="D36" t="str">
        <f>IF(INDEX(mlist,MATCH($B36,mNo,0),MATCH('4. Waiting confirm'!D$2,mTitle,0))="","",INDEX(mlist,MATCH($B36,mNo,0),MATCH('4. Waiting confirm'!D$2,mTitle,0)))</f>
        <v>HCM</v>
      </c>
      <c r="E36" t="str">
        <f>IF(INDEX(mlist,MATCH($B36,mNo,0),MATCH('4. Waiting confirm'!E$2,mTitle,0))="","",INDEX(mlist,MATCH($B36,mNo,0),MATCH('4. Waiting confirm'!E$2,mTitle,0)))</f>
        <v>EC-760ZP-V/L</v>
      </c>
      <c r="F36" t="str">
        <f>IF(INDEX(mlist,MATCH($B36,mNo,0),MATCH('4. Waiting confirm'!F$2,mTitle,0))="","",INDEX(mlist,MATCH($B36,mNo,0),MATCH('4. Waiting confirm'!F$2,mTitle,0)))</f>
        <v>2C731K066</v>
      </c>
      <c r="G36" s="293">
        <f>IF(INDEX(mlist,MATCH($B36,mNo,0),MATCH('4. Waiting confirm'!G$2,mTitle,0))="","",INDEX(mlist,MATCH($B36,mNo,0),MATCH('4. Waiting confirm'!G$2,mTitle,0)))</f>
        <v>45107.478726851848</v>
      </c>
      <c r="H36" s="293">
        <f>IF(INDEX(mlist,MATCH($B36,mNo,0),MATCH('4. Waiting confirm'!H$2,mTitle,0))="","",INDEX(mlist,MATCH($B36,mNo,0),MATCH('4. Waiting confirm'!H$2,mTitle,0)))</f>
        <v>45107.49858796296</v>
      </c>
      <c r="I36" t="str">
        <f>IF(INDEX(mlist,MATCH($B36,mNo,0),MATCH('4. Waiting confirm'!I$2,mTitle,0))="","",INDEX(mlist,MATCH($B36,mNo,0),MATCH('4. Waiting confirm'!I$2,mTitle,0)))</f>
        <v>Major</v>
      </c>
      <c r="J36" t="str">
        <f>IF(INDEX(mlist,MATCH($B36,mNo,0),MATCH('4. Waiting confirm'!J$2,mTitle,0))="","",INDEX(mlist,MATCH($B36,mNo,0),MATCH('4. Waiting confirm'!J$2,mTitle,0)))</f>
        <v>AWB, DRY, BSA</v>
      </c>
      <c r="K36" s="294">
        <f>IF(INDEX(mlist,MATCH($B36,mNo,0),MATCH('4. Waiting confirm'!K$2,mTitle,0))="","",INDEX(mlist,MATCH($B36,mNo,0),MATCH('4. Waiting confirm'!K$2,mTitle,0)))</f>
        <v>1581</v>
      </c>
      <c r="L36" s="293">
        <f>IF(INDEX(mlist,MATCH($B36,mNo,0),MATCH('4. Waiting confirm'!L$2,mTitle,0))="","",INDEX(mlist,MATCH($B36,mNo,0),MATCH('4. Waiting confirm'!L$2,mTitle,0)))</f>
        <v>45112</v>
      </c>
      <c r="M36" t="str">
        <f>IF(INDEX(mlist,MATCH($B36,mNo,0),MATCH('4. Waiting confirm'!M$2,mTitle,0))="","",INDEX(mlist,MATCH($B36,mNo,0),MATCH('4. Waiting confirm'!M$2,mTitle,0)))</f>
        <v>2. Dealer working with end user</v>
      </c>
      <c r="N36" t="str">
        <f>IF(INDEX(mlist,MATCH($B36,mNo,0),MATCH('4. Waiting confirm'!N$2,mTitle,0))="","",INDEX(mlist,MATCH($B36,mNo,0),MATCH('4. Waiting confirm'!N$2,mTitle,0)))</f>
        <v>không có thông tin</v>
      </c>
      <c r="O36" t="s">
        <v>288</v>
      </c>
      <c r="P36" t="s">
        <v>288</v>
      </c>
      <c r="R36" s="325">
        <f t="shared" si="1"/>
        <v>0.66666666666666663</v>
      </c>
    </row>
    <row r="37" spans="1:18">
      <c r="A37">
        <f>SUBTOTAL(103,$B$3:B37)</f>
        <v>35</v>
      </c>
      <c r="B37" t="s">
        <v>5642</v>
      </c>
      <c r="C37" t="str">
        <f>IF(INDEX(mlist,MATCH($B37,mNo,0),MATCH('4. Waiting confirm'!C$2,mTitle,0))="","",INDEX(mlist,MATCH($B37,mNo,0),MATCH('4. Waiting confirm'!C$2,mTitle,0)))</f>
        <v>Bai Chay Hospital</v>
      </c>
      <c r="D37" t="str">
        <f>IF(INDEX(mlist,MATCH($B37,mNo,0),MATCH('4. Waiting confirm'!D$2,mTitle,0))="","",INDEX(mlist,MATCH($B37,mNo,0),MATCH('4. Waiting confirm'!D$2,mTitle,0)))</f>
        <v>Hanoi</v>
      </c>
      <c r="E37" t="str">
        <f>IF(INDEX(mlist,MATCH($B37,mNo,0),MATCH('4. Waiting confirm'!E$2,mTitle,0))="","",INDEX(mlist,MATCH($B37,mNo,0),MATCH('4. Waiting confirm'!E$2,mTitle,0)))</f>
        <v>VP-4450HD</v>
      </c>
      <c r="F37" t="str">
        <f>IF(INDEX(mlist,MATCH($B37,mNo,0),MATCH('4. Waiting confirm'!F$2,mTitle,0))="","",INDEX(mlist,MATCH($B37,mNo,0),MATCH('4. Waiting confirm'!F$2,mTitle,0)))</f>
        <v>2V567K846</v>
      </c>
      <c r="G37" s="293">
        <f>IF(INDEX(mlist,MATCH($B37,mNo,0),MATCH('4. Waiting confirm'!G$2,mTitle,0))="","",INDEX(mlist,MATCH($B37,mNo,0),MATCH('4. Waiting confirm'!G$2,mTitle,0)))</f>
        <v>45103.804814814815</v>
      </c>
      <c r="H37" s="293">
        <f>IF(INDEX(mlist,MATCH($B37,mNo,0),MATCH('4. Waiting confirm'!H$2,mTitle,0))="","",INDEX(mlist,MATCH($B37,mNo,0),MATCH('4. Waiting confirm'!H$2,mTitle,0)))</f>
        <v>45106.518287037034</v>
      </c>
      <c r="I37" t="str">
        <f>IF(INDEX(mlist,MATCH($B37,mNo,0),MATCH('4. Waiting confirm'!I$2,mTitle,0))="","",INDEX(mlist,MATCH($B37,mNo,0),MATCH('4. Waiting confirm'!I$2,mTitle,0)))</f>
        <v>Other</v>
      </c>
      <c r="J37" t="str">
        <f>IF(INDEX(mlist,MATCH($B37,mNo,0),MATCH('4. Waiting confirm'!J$2,mTitle,0))="","",INDEX(mlist,MATCH($B37,mNo,0),MATCH('4. Waiting confirm'!J$2,mTitle,0)))</f>
        <v>PCB</v>
      </c>
      <c r="K37" s="294">
        <f>IF(INDEX(mlist,MATCH($B37,mNo,0),MATCH('4. Waiting confirm'!K$2,mTitle,0))="","",INDEX(mlist,MATCH($B37,mNo,0),MATCH('4. Waiting confirm'!K$2,mTitle,0)))</f>
        <v>10698</v>
      </c>
      <c r="L37" s="293">
        <f>IF(INDEX(mlist,MATCH($B37,mNo,0),MATCH('4. Waiting confirm'!L$2,mTitle,0))="","",INDEX(mlist,MATCH($B37,mNo,0),MATCH('4. Waiting confirm'!L$2,mTitle,0)))</f>
        <v>45112</v>
      </c>
      <c r="M37" t="str">
        <f>IF(INDEX(mlist,MATCH($B37,mNo,0),MATCH('4. Waiting confirm'!M$2,mTitle,0))="","",INDEX(mlist,MATCH($B37,mNo,0),MATCH('4. Waiting confirm'!M$2,mTitle,0)))</f>
        <v>2. Dealer working with end user</v>
      </c>
      <c r="N37" t="str">
        <f>IF(INDEX(mlist,MATCH($B37,mNo,0),MATCH('4. Waiting confirm'!N$2,mTitle,0))="","",INDEX(mlist,MATCH($B37,mNo,0),MATCH('4. Waiting confirm'!N$2,mTitle,0)))</f>
        <v>Duc update sau</v>
      </c>
      <c r="O37" t="s">
        <v>288</v>
      </c>
      <c r="P37" t="s">
        <v>288</v>
      </c>
      <c r="R37" s="325">
        <f t="shared" si="1"/>
        <v>0.66666666666666663</v>
      </c>
    </row>
    <row r="38" spans="1:18">
      <c r="A38">
        <f>SUBTOTAL(103,$B$3:B38)</f>
        <v>36</v>
      </c>
      <c r="B38" t="s">
        <v>5662</v>
      </c>
      <c r="C38" t="str">
        <f>IF(INDEX(mlist,MATCH($B38,mNo,0),MATCH('4. Waiting confirm'!C$2,mTitle,0))="","",INDEX(mlist,MATCH($B38,mNo,0),MATCH('4. Waiting confirm'!C$2,mTitle,0)))</f>
        <v>MINH DUC HOSPITAL</v>
      </c>
      <c r="D38" t="str">
        <f>IF(INDEX(mlist,MATCH($B38,mNo,0),MATCH('4. Waiting confirm'!D$2,mTitle,0))="","",INDEX(mlist,MATCH($B38,mNo,0),MATCH('4. Waiting confirm'!D$2,mTitle,0)))</f>
        <v>HCM</v>
      </c>
      <c r="E38" t="str">
        <f>IF(INDEX(mlist,MATCH($B38,mNo,0),MATCH('4. Waiting confirm'!E$2,mTitle,0))="","",INDEX(mlist,MATCH($B38,mNo,0),MATCH('4. Waiting confirm'!E$2,mTitle,0)))</f>
        <v>EG-530NW</v>
      </c>
      <c r="F38" t="str">
        <f>IF(INDEX(mlist,MATCH($B38,mNo,0),MATCH('4. Waiting confirm'!F$2,mTitle,0))="","",INDEX(mlist,MATCH($B38,mNo,0),MATCH('4. Waiting confirm'!F$2,mTitle,0)))</f>
        <v>2G366K020</v>
      </c>
      <c r="G38" s="293">
        <f>IF(INDEX(mlist,MATCH($B38,mNo,0),MATCH('4. Waiting confirm'!G$2,mTitle,0))="","",INDEX(mlist,MATCH($B38,mNo,0),MATCH('4. Waiting confirm'!G$2,mTitle,0)))</f>
        <v>45106.693009259259</v>
      </c>
      <c r="H38" s="293">
        <f>IF(INDEX(mlist,MATCH($B38,mNo,0),MATCH('4. Waiting confirm'!H$2,mTitle,0))="","",INDEX(mlist,MATCH($B38,mNo,0),MATCH('4. Waiting confirm'!H$2,mTitle,0)))</f>
        <v>45107.474224537036</v>
      </c>
      <c r="I38" t="str">
        <f>IF(INDEX(mlist,MATCH($B38,mNo,0),MATCH('4. Waiting confirm'!I$2,mTitle,0))="","",INDEX(mlist,MATCH($B38,mNo,0),MATCH('4. Waiting confirm'!I$2,mTitle,0)))</f>
        <v>Major</v>
      </c>
      <c r="J38" t="str">
        <f>IF(INDEX(mlist,MATCH($B38,mNo,0),MATCH('4. Waiting confirm'!J$2,mTitle,0))="","",INDEX(mlist,MATCH($B38,mNo,0),MATCH('4. Waiting confirm'!J$2,mTitle,0)))</f>
        <v>ISA</v>
      </c>
      <c r="K38" s="294">
        <f>IF(INDEX(mlist,MATCH($B38,mNo,0),MATCH('4. Waiting confirm'!K$2,mTitle,0))="","",INDEX(mlist,MATCH($B38,mNo,0),MATCH('4. Waiting confirm'!K$2,mTitle,0)))</f>
        <v>8672</v>
      </c>
      <c r="L38" s="293">
        <f>IF(INDEX(mlist,MATCH($B38,mNo,0),MATCH('4. Waiting confirm'!L$2,mTitle,0))="","",INDEX(mlist,MATCH($B38,mNo,0),MATCH('4. Waiting confirm'!L$2,mTitle,0)))</f>
        <v>45112</v>
      </c>
      <c r="M38" t="str">
        <f>IF(INDEX(mlist,MATCH($B38,mNo,0),MATCH('4. Waiting confirm'!M$2,mTitle,0))="","",INDEX(mlist,MATCH($B38,mNo,0),MATCH('4. Waiting confirm'!M$2,mTitle,0)))</f>
        <v>2. Dealer working with end user</v>
      </c>
      <c r="N38" t="str">
        <f>IF(INDEX(mlist,MATCH($B38,mNo,0),MATCH('4. Waiting confirm'!N$2,mTitle,0))="","",INDEX(mlist,MATCH($B38,mNo,0),MATCH('4. Waiting confirm'!N$2,mTitle,0)))</f>
        <v>không có thông tin</v>
      </c>
      <c r="O38" t="s">
        <v>288</v>
      </c>
      <c r="P38" t="s">
        <v>288</v>
      </c>
      <c r="R38" s="325">
        <f t="shared" si="1"/>
        <v>0.66666666666666663</v>
      </c>
    </row>
    <row r="39" spans="1:18">
      <c r="A39">
        <f>SUBTOTAL(103,$B$3:B39)</f>
        <v>37</v>
      </c>
      <c r="B39" t="s">
        <v>5673</v>
      </c>
      <c r="C39" t="str">
        <f>IF(INDEX(mlist,MATCH($B39,mNo,0),MATCH('4. Waiting confirm'!C$2,mTitle,0))="","",INDEX(mlist,MATCH($B39,mNo,0),MATCH('4. Waiting confirm'!C$2,mTitle,0)))</f>
        <v>Hanoi Medical University Hospital</v>
      </c>
      <c r="D39" t="str">
        <f>IF(INDEX(mlist,MATCH($B39,mNo,0),MATCH('4. Waiting confirm'!D$2,mTitle,0))="","",INDEX(mlist,MATCH($B39,mNo,0),MATCH('4. Waiting confirm'!D$2,mTitle,0)))</f>
        <v>Hanoi</v>
      </c>
      <c r="E39" t="str">
        <f>IF(INDEX(mlist,MATCH($B39,mNo,0),MATCH('4. Waiting confirm'!E$2,mTitle,0))="","",INDEX(mlist,MATCH($B39,mNo,0),MATCH('4. Waiting confirm'!E$2,mTitle,0)))</f>
        <v>EG-600WR</v>
      </c>
      <c r="F39" t="str">
        <f>IF(INDEX(mlist,MATCH($B39,mNo,0),MATCH('4. Waiting confirm'!F$2,mTitle,0))="","",INDEX(mlist,MATCH($B39,mNo,0),MATCH('4. Waiting confirm'!F$2,mTitle,0)))</f>
        <v>2G391K779</v>
      </c>
      <c r="G39" s="293">
        <f>IF(INDEX(mlist,MATCH($B39,mNo,0),MATCH('4. Waiting confirm'!G$2,mTitle,0))="","",INDEX(mlist,MATCH($B39,mNo,0),MATCH('4. Waiting confirm'!G$2,mTitle,0)))</f>
        <v>45111.49627314815</v>
      </c>
      <c r="H39" s="293">
        <f>IF(INDEX(mlist,MATCH($B39,mNo,0),MATCH('4. Waiting confirm'!H$2,mTitle,0))="","",INDEX(mlist,MATCH($B39,mNo,0),MATCH('4. Waiting confirm'!H$2,mTitle,0)))</f>
        <v>45113.485891203702</v>
      </c>
      <c r="I39" t="str">
        <f>IF(INDEX(mlist,MATCH($B39,mNo,0),MATCH('4. Waiting confirm'!I$2,mTitle,0))="","",INDEX(mlist,MATCH($B39,mNo,0),MATCH('4. Waiting confirm'!I$2,mTitle,0)))</f>
        <v>Major</v>
      </c>
      <c r="J39" t="str">
        <f>IF(INDEX(mlist,MATCH($B39,mNo,0),MATCH('4. Waiting confirm'!J$2,mTitle,0))="","",INDEX(mlist,MATCH($B39,mNo,0),MATCH('4. Waiting confirm'!J$2,mTitle,0)))</f>
        <v>BSA, FSB, FCT</v>
      </c>
      <c r="K39" s="294">
        <f>IF(INDEX(mlist,MATCH($B39,mNo,0),MATCH('4. Waiting confirm'!K$2,mTitle,0))="","",INDEX(mlist,MATCH($B39,mNo,0),MATCH('4. Waiting confirm'!K$2,mTitle,0)))</f>
        <v>3973</v>
      </c>
      <c r="L39" s="293">
        <f>IF(INDEX(mlist,MATCH($B39,mNo,0),MATCH('4. Waiting confirm'!L$2,mTitle,0))="","",INDEX(mlist,MATCH($B39,mNo,0),MATCH('4. Waiting confirm'!L$2,mTitle,0)))</f>
        <v>45118</v>
      </c>
      <c r="M39" t="str">
        <f>IF(INDEX(mlist,MATCH($B39,mNo,0),MATCH('4. Waiting confirm'!M$2,mTitle,0))="","",INDEX(mlist,MATCH($B39,mNo,0),MATCH('4. Waiting confirm'!M$2,mTitle,0)))</f>
        <v xml:space="preserve">3. Tender process </v>
      </c>
      <c r="N39" t="str">
        <f>IF(INDEX(mlist,MATCH($B39,mNo,0),MATCH('4. Waiting confirm'!N$2,mTitle,0))="","",INDEX(mlist,MATCH($B39,mNo,0),MATCH('4. Waiting confirm'!N$2,mTitle,0)))</f>
        <v>Mặc định làm thầu đối với HMU</v>
      </c>
      <c r="O39" t="s">
        <v>288</v>
      </c>
      <c r="P39" t="s">
        <v>288</v>
      </c>
      <c r="Q39" t="s">
        <v>288</v>
      </c>
      <c r="R39" s="325">
        <f t="shared" si="1"/>
        <v>1</v>
      </c>
    </row>
    <row r="40" spans="1:18">
      <c r="A40">
        <f>SUBTOTAL(103,$B$3:B40)</f>
        <v>38</v>
      </c>
      <c r="B40" t="s">
        <v>5676</v>
      </c>
      <c r="C40" t="str">
        <f>IF(INDEX(mlist,MATCH($B40,mNo,0),MATCH('4. Waiting confirm'!C$2,mTitle,0))="","",INDEX(mlist,MATCH($B40,mNo,0),MATCH('4. Waiting confirm'!C$2,mTitle,0)))</f>
        <v>Hanoi Medical University Hospital</v>
      </c>
      <c r="D40" t="str">
        <f>IF(INDEX(mlist,MATCH($B40,mNo,0),MATCH('4. Waiting confirm'!D$2,mTitle,0))="","",INDEX(mlist,MATCH($B40,mNo,0),MATCH('4. Waiting confirm'!D$2,mTitle,0)))</f>
        <v>Hanoi</v>
      </c>
      <c r="E40" t="str">
        <f>IF(INDEX(mlist,MATCH($B40,mNo,0),MATCH('4. Waiting confirm'!E$2,mTitle,0))="","",INDEX(mlist,MATCH($B40,mNo,0),MATCH('4. Waiting confirm'!E$2,mTitle,0)))</f>
        <v>EG-600WR</v>
      </c>
      <c r="F40" t="str">
        <f>IF(INDEX(mlist,MATCH($B40,mNo,0),MATCH('4. Waiting confirm'!F$2,mTitle,0))="","",INDEX(mlist,MATCH($B40,mNo,0),MATCH('4. Waiting confirm'!F$2,mTitle,0)))</f>
        <v>5G391K028</v>
      </c>
      <c r="G40" s="293">
        <f>IF(INDEX(mlist,MATCH($B40,mNo,0),MATCH('4. Waiting confirm'!G$2,mTitle,0))="","",INDEX(mlist,MATCH($B40,mNo,0),MATCH('4. Waiting confirm'!G$2,mTitle,0)))</f>
        <v>45111.569247685184</v>
      </c>
      <c r="H40" s="293">
        <f>IF(INDEX(mlist,MATCH($B40,mNo,0),MATCH('4. Waiting confirm'!H$2,mTitle,0))="","",INDEX(mlist,MATCH($B40,mNo,0),MATCH('4. Waiting confirm'!H$2,mTitle,0)))</f>
        <v>45113.696655092594</v>
      </c>
      <c r="I40" t="str">
        <f>IF(INDEX(mlist,MATCH($B40,mNo,0),MATCH('4. Waiting confirm'!I$2,mTitle,0))="","",INDEX(mlist,MATCH($B40,mNo,0),MATCH('4. Waiting confirm'!I$2,mTitle,0)))</f>
        <v>Major</v>
      </c>
      <c r="J40" t="str">
        <f>IF(INDEX(mlist,MATCH($B40,mNo,0),MATCH('4. Waiting confirm'!J$2,mTitle,0))="","",INDEX(mlist,MATCH($B40,mNo,0),MATCH('4. Waiting confirm'!J$2,mTitle,0)))</f>
        <v>BSA, FSB, FCT, FSA, SUV</v>
      </c>
      <c r="K40" s="294">
        <f>IF(INDEX(mlist,MATCH($B40,mNo,0),MATCH('4. Waiting confirm'!K$2,mTitle,0))="","",INDEX(mlist,MATCH($B40,mNo,0),MATCH('4. Waiting confirm'!K$2,mTitle,0)))</f>
        <v>3921</v>
      </c>
      <c r="L40" s="293">
        <f>IF(INDEX(mlist,MATCH($B40,mNo,0),MATCH('4. Waiting confirm'!L$2,mTitle,0))="","",INDEX(mlist,MATCH($B40,mNo,0),MATCH('4. Waiting confirm'!L$2,mTitle,0)))</f>
        <v>45118</v>
      </c>
      <c r="M40" t="str">
        <f>IF(INDEX(mlist,MATCH($B40,mNo,0),MATCH('4. Waiting confirm'!M$2,mTitle,0))="","",INDEX(mlist,MATCH($B40,mNo,0),MATCH('4. Waiting confirm'!M$2,mTitle,0)))</f>
        <v xml:space="preserve">3. Tender process </v>
      </c>
      <c r="N40" t="str">
        <f>IF(INDEX(mlist,MATCH($B40,mNo,0),MATCH('4. Waiting confirm'!N$2,mTitle,0))="","",INDEX(mlist,MATCH($B40,mNo,0),MATCH('4. Waiting confirm'!N$2,mTitle,0)))</f>
        <v>Mặc định làm thầu đối với HMU</v>
      </c>
      <c r="O40" t="s">
        <v>288</v>
      </c>
      <c r="P40" t="s">
        <v>288</v>
      </c>
      <c r="Q40" t="s">
        <v>288</v>
      </c>
      <c r="R40" s="325">
        <f t="shared" si="1"/>
        <v>1</v>
      </c>
    </row>
    <row r="41" spans="1:18">
      <c r="A41">
        <f>SUBTOTAL(103,$B$3:B41)</f>
        <v>39</v>
      </c>
      <c r="B41" t="s">
        <v>5678</v>
      </c>
      <c r="C41" t="str">
        <f>IF(INDEX(mlist,MATCH($B41,mNo,0),MATCH('4. Waiting confirm'!C$2,mTitle,0))="","",INDEX(mlist,MATCH($B41,mNo,0),MATCH('4. Waiting confirm'!C$2,mTitle,0)))</f>
        <v>Hanoi Medical University Hospital</v>
      </c>
      <c r="D41" t="str">
        <f>IF(INDEX(mlist,MATCH($B41,mNo,0),MATCH('4. Waiting confirm'!D$2,mTitle,0))="","",INDEX(mlist,MATCH($B41,mNo,0),MATCH('4. Waiting confirm'!D$2,mTitle,0)))</f>
        <v>Hanoi</v>
      </c>
      <c r="E41" t="str">
        <f>IF(INDEX(mlist,MATCH($B41,mNo,0),MATCH('4. Waiting confirm'!E$2,mTitle,0))="","",INDEX(mlist,MATCH($B41,mNo,0),MATCH('4. Waiting confirm'!E$2,mTitle,0)))</f>
        <v>EG-600WR</v>
      </c>
      <c r="F41" t="str">
        <f>IF(INDEX(mlist,MATCH($B41,mNo,0),MATCH('4. Waiting confirm'!F$2,mTitle,0))="","",INDEX(mlist,MATCH($B41,mNo,0),MATCH('4. Waiting confirm'!F$2,mTitle,0)))</f>
        <v>2G391K945</v>
      </c>
      <c r="G41" s="293">
        <f>IF(INDEX(mlist,MATCH($B41,mNo,0),MATCH('4. Waiting confirm'!G$2,mTitle,0))="","",INDEX(mlist,MATCH($B41,mNo,0),MATCH('4. Waiting confirm'!G$2,mTitle,0)))</f>
        <v>45111.571273148147</v>
      </c>
      <c r="H41" s="293">
        <f>IF(INDEX(mlist,MATCH($B41,mNo,0),MATCH('4. Waiting confirm'!H$2,mTitle,0))="","",INDEX(mlist,MATCH($B41,mNo,0),MATCH('4. Waiting confirm'!H$2,mTitle,0)))</f>
        <v>45113.709155092591</v>
      </c>
      <c r="I41" t="str">
        <f>IF(INDEX(mlist,MATCH($B41,mNo,0),MATCH('4. Waiting confirm'!I$2,mTitle,0))="","",INDEX(mlist,MATCH($B41,mNo,0),MATCH('4. Waiting confirm'!I$2,mTitle,0)))</f>
        <v>Major</v>
      </c>
      <c r="J41" t="str">
        <f>IF(INDEX(mlist,MATCH($B41,mNo,0),MATCH('4. Waiting confirm'!J$2,mTitle,0))="","",INDEX(mlist,MATCH($B41,mNo,0),MATCH('4. Waiting confirm'!J$2,mTitle,0)))</f>
        <v>VCA, FSA, BSA</v>
      </c>
      <c r="K41" s="294">
        <f>IF(INDEX(mlist,MATCH($B41,mNo,0),MATCH('4. Waiting confirm'!K$2,mTitle,0))="","",INDEX(mlist,MATCH($B41,mNo,0),MATCH('4. Waiting confirm'!K$2,mTitle,0)))</f>
        <v>4110</v>
      </c>
      <c r="L41" s="293">
        <f>IF(INDEX(mlist,MATCH($B41,mNo,0),MATCH('4. Waiting confirm'!L$2,mTitle,0))="","",INDEX(mlist,MATCH($B41,mNo,0),MATCH('4. Waiting confirm'!L$2,mTitle,0)))</f>
        <v>45118</v>
      </c>
      <c r="M41" t="str">
        <f>IF(INDEX(mlist,MATCH($B41,mNo,0),MATCH('4. Waiting confirm'!M$2,mTitle,0))="","",INDEX(mlist,MATCH($B41,mNo,0),MATCH('4. Waiting confirm'!M$2,mTitle,0)))</f>
        <v xml:space="preserve">3. Tender process </v>
      </c>
      <c r="N41" t="str">
        <f>IF(INDEX(mlist,MATCH($B41,mNo,0),MATCH('4. Waiting confirm'!N$2,mTitle,0))="","",INDEX(mlist,MATCH($B41,mNo,0),MATCH('4. Waiting confirm'!N$2,mTitle,0)))</f>
        <v>Mặc định làm thầu đối với HMU</v>
      </c>
      <c r="O41" t="s">
        <v>288</v>
      </c>
      <c r="P41" t="s">
        <v>288</v>
      </c>
      <c r="Q41" t="s">
        <v>288</v>
      </c>
      <c r="R41" s="325">
        <f t="shared" si="1"/>
        <v>1</v>
      </c>
    </row>
    <row r="42" spans="1:18">
      <c r="A42">
        <f>SUBTOTAL(103,$B$3:B42)</f>
        <v>40</v>
      </c>
      <c r="B42" t="s">
        <v>5680</v>
      </c>
      <c r="C42" t="str">
        <f>IF(INDEX(mlist,MATCH($B42,mNo,0),MATCH('4. Waiting confirm'!C$2,mTitle,0))="","",INDEX(mlist,MATCH($B42,mNo,0),MATCH('4. Waiting confirm'!C$2,mTitle,0)))</f>
        <v>Hanoi Medical University Hospital</v>
      </c>
      <c r="D42" t="str">
        <f>IF(INDEX(mlist,MATCH($B42,mNo,0),MATCH('4. Waiting confirm'!D$2,mTitle,0))="","",INDEX(mlist,MATCH($B42,mNo,0),MATCH('4. Waiting confirm'!D$2,mTitle,0)))</f>
        <v>Hanoi</v>
      </c>
      <c r="E42" t="str">
        <f>IF(INDEX(mlist,MATCH($B42,mNo,0),MATCH('4. Waiting confirm'!E$2,mTitle,0))="","",INDEX(mlist,MATCH($B42,mNo,0),MATCH('4. Waiting confirm'!E$2,mTitle,0)))</f>
        <v>EG-600WR</v>
      </c>
      <c r="F42" t="str">
        <f>IF(INDEX(mlist,MATCH($B42,mNo,0),MATCH('4. Waiting confirm'!F$2,mTitle,0))="","",INDEX(mlist,MATCH($B42,mNo,0),MATCH('4. Waiting confirm'!F$2,mTitle,0)))</f>
        <v>2G391K093</v>
      </c>
      <c r="G42" s="293">
        <f>IF(INDEX(mlist,MATCH($B42,mNo,0),MATCH('4. Waiting confirm'!G$2,mTitle,0))="","",INDEX(mlist,MATCH($B42,mNo,0),MATCH('4. Waiting confirm'!G$2,mTitle,0)))</f>
        <v>45111.572557870371</v>
      </c>
      <c r="H42" s="293">
        <f>IF(INDEX(mlist,MATCH($B42,mNo,0),MATCH('4. Waiting confirm'!H$2,mTitle,0))="","",INDEX(mlist,MATCH($B42,mNo,0),MATCH('4. Waiting confirm'!H$2,mTitle,0)))</f>
        <v>45113.661099537036</v>
      </c>
      <c r="I42" t="str">
        <f>IF(INDEX(mlist,MATCH($B42,mNo,0),MATCH('4. Waiting confirm'!I$2,mTitle,0))="","",INDEX(mlist,MATCH($B42,mNo,0),MATCH('4. Waiting confirm'!I$2,mTitle,0)))</f>
        <v>Major</v>
      </c>
      <c r="J42" t="str">
        <f>IF(INDEX(mlist,MATCH($B42,mNo,0),MATCH('4. Waiting confirm'!J$2,mTitle,0))="","",INDEX(mlist,MATCH($B42,mNo,0),MATCH('4. Waiting confirm'!J$2,mTitle,0)))</f>
        <v>WJT, FSB, VCA, FSA</v>
      </c>
      <c r="K42" s="294">
        <f>IF(INDEX(mlist,MATCH($B42,mNo,0),MATCH('4. Waiting confirm'!K$2,mTitle,0))="","",INDEX(mlist,MATCH($B42,mNo,0),MATCH('4. Waiting confirm'!K$2,mTitle,0)))</f>
        <v>2847</v>
      </c>
      <c r="L42" s="293">
        <f>IF(INDEX(mlist,MATCH($B42,mNo,0),MATCH('4. Waiting confirm'!L$2,mTitle,0))="","",INDEX(mlist,MATCH($B42,mNo,0),MATCH('4. Waiting confirm'!L$2,mTitle,0)))</f>
        <v>45118</v>
      </c>
      <c r="M42" t="str">
        <f>IF(INDEX(mlist,MATCH($B42,mNo,0),MATCH('4. Waiting confirm'!M$2,mTitle,0))="","",INDEX(mlist,MATCH($B42,mNo,0),MATCH('4. Waiting confirm'!M$2,mTitle,0)))</f>
        <v xml:space="preserve">3. Tender process </v>
      </c>
      <c r="N42" t="str">
        <f>IF(INDEX(mlist,MATCH($B42,mNo,0),MATCH('4. Waiting confirm'!N$2,mTitle,0))="","",INDEX(mlist,MATCH($B42,mNo,0),MATCH('4. Waiting confirm'!N$2,mTitle,0)))</f>
        <v>Mặc định làm thầu đối với HMU</v>
      </c>
      <c r="O42" t="s">
        <v>288</v>
      </c>
      <c r="P42" t="s">
        <v>288</v>
      </c>
      <c r="Q42" t="s">
        <v>288</v>
      </c>
      <c r="R42" s="325">
        <f t="shared" si="1"/>
        <v>1</v>
      </c>
    </row>
    <row r="43" spans="1:18">
      <c r="A43">
        <f>SUBTOTAL(103,$B$3:B43)</f>
        <v>41</v>
      </c>
      <c r="B43" t="s">
        <v>5685</v>
      </c>
      <c r="C43" t="str">
        <f>IF(INDEX(mlist,MATCH($B43,mNo,0),MATCH('4. Waiting confirm'!C$2,mTitle,0))="","",INDEX(mlist,MATCH($B43,mNo,0),MATCH('4. Waiting confirm'!C$2,mTitle,0)))</f>
        <v>Hanoi Medical University Hospital</v>
      </c>
      <c r="D43" t="str">
        <f>IF(INDEX(mlist,MATCH($B43,mNo,0),MATCH('4. Waiting confirm'!D$2,mTitle,0))="","",INDEX(mlist,MATCH($B43,mNo,0),MATCH('4. Waiting confirm'!D$2,mTitle,0)))</f>
        <v>Hanoi</v>
      </c>
      <c r="E43" t="str">
        <f>IF(INDEX(mlist,MATCH($B43,mNo,0),MATCH('4. Waiting confirm'!E$2,mTitle,0))="","",INDEX(mlist,MATCH($B43,mNo,0),MATCH('4. Waiting confirm'!E$2,mTitle,0)))</f>
        <v>EC-600WI</v>
      </c>
      <c r="F43" t="str">
        <f>IF(INDEX(mlist,MATCH($B43,mNo,0),MATCH('4. Waiting confirm'!F$2,mTitle,0))="","",INDEX(mlist,MATCH($B43,mNo,0),MATCH('4. Waiting confirm'!F$2,mTitle,0)))</f>
        <v>1C692K734</v>
      </c>
      <c r="G43" s="293">
        <f>IF(INDEX(mlist,MATCH($B43,mNo,0),MATCH('4. Waiting confirm'!G$2,mTitle,0))="","",INDEX(mlist,MATCH($B43,mNo,0),MATCH('4. Waiting confirm'!G$2,mTitle,0)))</f>
        <v>45111.658518518518</v>
      </c>
      <c r="H43" s="293">
        <f>IF(INDEX(mlist,MATCH($B43,mNo,0),MATCH('4. Waiting confirm'!H$2,mTitle,0))="","",INDEX(mlist,MATCH($B43,mNo,0),MATCH('4. Waiting confirm'!H$2,mTitle,0)))</f>
        <v>45111.714166666665</v>
      </c>
      <c r="I43" t="str">
        <f>IF(INDEX(mlist,MATCH($B43,mNo,0),MATCH('4. Waiting confirm'!I$2,mTitle,0))="","",INDEX(mlist,MATCH($B43,mNo,0),MATCH('4. Waiting confirm'!I$2,mTitle,0)))</f>
        <v>Major</v>
      </c>
      <c r="J43" t="str">
        <f>IF(INDEX(mlist,MATCH($B43,mNo,0),MATCH('4. Waiting confirm'!J$2,mTitle,0))="","",INDEX(mlist,MATCH($B43,mNo,0),MATCH('4. Waiting confirm'!J$2,mTitle,0)))</f>
        <v>FSA, BSA, VCA, FSB</v>
      </c>
      <c r="K43" s="294">
        <f>IF(INDEX(mlist,MATCH($B43,mNo,0),MATCH('4. Waiting confirm'!K$2,mTitle,0))="","",INDEX(mlist,MATCH($B43,mNo,0),MATCH('4. Waiting confirm'!K$2,mTitle,0)))</f>
        <v>5789</v>
      </c>
      <c r="L43" s="293">
        <f>IF(INDEX(mlist,MATCH($B43,mNo,0),MATCH('4. Waiting confirm'!L$2,mTitle,0))="","",INDEX(mlist,MATCH($B43,mNo,0),MATCH('4. Waiting confirm'!L$2,mTitle,0)))</f>
        <v>45112</v>
      </c>
      <c r="M43" t="str">
        <f>IF(INDEX(mlist,MATCH($B43,mNo,0),MATCH('4. Waiting confirm'!M$2,mTitle,0))="","",INDEX(mlist,MATCH($B43,mNo,0),MATCH('4. Waiting confirm'!M$2,mTitle,0)))</f>
        <v xml:space="preserve">3. Tender process </v>
      </c>
      <c r="N43" t="str">
        <f>IF(INDEX(mlist,MATCH($B43,mNo,0),MATCH('4. Waiting confirm'!N$2,mTitle,0))="","",INDEX(mlist,MATCH($B43,mNo,0),MATCH('4. Waiting confirm'!N$2,mTitle,0)))</f>
        <v>Mặc định làm thầu đối với HMU</v>
      </c>
      <c r="O43" t="s">
        <v>288</v>
      </c>
      <c r="P43" t="s">
        <v>288</v>
      </c>
      <c r="Q43" t="s">
        <v>288</v>
      </c>
      <c r="R43" s="325">
        <f t="shared" si="1"/>
        <v>1</v>
      </c>
    </row>
    <row r="44" spans="1:18">
      <c r="A44">
        <f>SUBTOTAL(103,$B$3:B44)</f>
        <v>42</v>
      </c>
      <c r="B44" t="s">
        <v>5691</v>
      </c>
      <c r="C44" t="str">
        <f>IF(INDEX(mlist,MATCH($B44,mNo,0),MATCH('4. Waiting confirm'!C$2,mTitle,0))="","",INDEX(mlist,MATCH($B44,mNo,0),MATCH('4. Waiting confirm'!C$2,mTitle,0)))</f>
        <v>Hanoi Medical University Hospital</v>
      </c>
      <c r="D44" t="str">
        <f>IF(INDEX(mlist,MATCH($B44,mNo,0),MATCH('4. Waiting confirm'!D$2,mTitle,0))="","",INDEX(mlist,MATCH($B44,mNo,0),MATCH('4. Waiting confirm'!D$2,mTitle,0)))</f>
        <v>Hanoi</v>
      </c>
      <c r="E44" t="str">
        <f>IF(INDEX(mlist,MATCH($B44,mNo,0),MATCH('4. Waiting confirm'!E$2,mTitle,0))="","",INDEX(mlist,MATCH($B44,mNo,0),MATCH('4. Waiting confirm'!E$2,mTitle,0)))</f>
        <v>EG-600WR</v>
      </c>
      <c r="F44" t="str">
        <f>IF(INDEX(mlist,MATCH($B44,mNo,0),MATCH('4. Waiting confirm'!F$2,mTitle,0))="","",INDEX(mlist,MATCH($B44,mNo,0),MATCH('4. Waiting confirm'!F$2,mTitle,0)))</f>
        <v>2G391K208</v>
      </c>
      <c r="G44" s="293">
        <f>IF(INDEX(mlist,MATCH($B44,mNo,0),MATCH('4. Waiting confirm'!G$2,mTitle,0))="","",INDEX(mlist,MATCH($B44,mNo,0),MATCH('4. Waiting confirm'!G$2,mTitle,0)))</f>
        <v>45113.778958333336</v>
      </c>
      <c r="H44" s="293">
        <f>IF(INDEX(mlist,MATCH($B44,mNo,0),MATCH('4. Waiting confirm'!H$2,mTitle,0))="","",INDEX(mlist,MATCH($B44,mNo,0),MATCH('4. Waiting confirm'!H$2,mTitle,0)))</f>
        <v>45113.800509259258</v>
      </c>
      <c r="I44" t="str">
        <f>IF(INDEX(mlist,MATCH($B44,mNo,0),MATCH('4. Waiting confirm'!I$2,mTitle,0))="","",INDEX(mlist,MATCH($B44,mNo,0),MATCH('4. Waiting confirm'!I$2,mTitle,0)))</f>
        <v>Major</v>
      </c>
      <c r="J44" t="str">
        <f>IF(INDEX(mlist,MATCH($B44,mNo,0),MATCH('4. Waiting confirm'!J$2,mTitle,0))="","",INDEX(mlist,MATCH($B44,mNo,0),MATCH('4. Waiting confirm'!J$2,mTitle,0)))</f>
        <v>SUV, FSB, VCA, BSA, LPA</v>
      </c>
      <c r="K44" s="294">
        <f>IF(INDEX(mlist,MATCH($B44,mNo,0),MATCH('4. Waiting confirm'!K$2,mTitle,0))="","",INDEX(mlist,MATCH($B44,mNo,0),MATCH('4. Waiting confirm'!K$2,mTitle,0)))</f>
        <v>4655</v>
      </c>
      <c r="L44" s="293">
        <f>IF(INDEX(mlist,MATCH($B44,mNo,0),MATCH('4. Waiting confirm'!L$2,mTitle,0))="","",INDEX(mlist,MATCH($B44,mNo,0),MATCH('4. Waiting confirm'!L$2,mTitle,0)))</f>
        <v>45118</v>
      </c>
      <c r="M44" t="str">
        <f>IF(INDEX(mlist,MATCH($B44,mNo,0),MATCH('4. Waiting confirm'!M$2,mTitle,0))="","",INDEX(mlist,MATCH($B44,mNo,0),MATCH('4. Waiting confirm'!M$2,mTitle,0)))</f>
        <v xml:space="preserve">3. Tender process </v>
      </c>
      <c r="N44" t="str">
        <f>IF(INDEX(mlist,MATCH($B44,mNo,0),MATCH('4. Waiting confirm'!N$2,mTitle,0))="","",INDEX(mlist,MATCH($B44,mNo,0),MATCH('4. Waiting confirm'!N$2,mTitle,0)))</f>
        <v>Mặc định làm thầu đối với HMU</v>
      </c>
      <c r="O44" t="s">
        <v>288</v>
      </c>
      <c r="P44" t="s">
        <v>288</v>
      </c>
      <c r="Q44" t="s">
        <v>288</v>
      </c>
      <c r="R44" s="325">
        <f t="shared" si="1"/>
        <v>1</v>
      </c>
    </row>
    <row r="45" spans="1:18">
      <c r="A45">
        <f>SUBTOTAL(103,$B$3:B45)</f>
        <v>43</v>
      </c>
      <c r="B45" t="s">
        <v>5732</v>
      </c>
      <c r="C45" t="str">
        <f>IF(INDEX(mlist,MATCH($B45,mNo,0),MATCH('4. Waiting confirm'!C$2,mTitle,0))="","",INDEX(mlist,MATCH($B45,mNo,0),MATCH('4. Waiting confirm'!C$2,mTitle,0)))</f>
        <v>Bach Mai Hospital</v>
      </c>
      <c r="D45" t="str">
        <f>IF(INDEX(mlist,MATCH($B45,mNo,0),MATCH('4. Waiting confirm'!D$2,mTitle,0))="","",INDEX(mlist,MATCH($B45,mNo,0),MATCH('4. Waiting confirm'!D$2,mTitle,0)))</f>
        <v>Hanoi</v>
      </c>
      <c r="E45" t="str">
        <f>IF(INDEX(mlist,MATCH($B45,mNo,0),MATCH('4. Waiting confirm'!E$2,mTitle,0))="","",INDEX(mlist,MATCH($B45,mNo,0),MATCH('4. Waiting confirm'!E$2,mTitle,0)))</f>
        <v>ED-580XT</v>
      </c>
      <c r="F45" t="str">
        <f>IF(INDEX(mlist,MATCH($B45,mNo,0),MATCH('4. Waiting confirm'!F$2,mTitle,0))="","",INDEX(mlist,MATCH($B45,mNo,0),MATCH('4. Waiting confirm'!F$2,mTitle,0)))</f>
        <v>3D127K338</v>
      </c>
      <c r="G45" s="293">
        <f>IF(INDEX(mlist,MATCH($B45,mNo,0),MATCH('4. Waiting confirm'!G$2,mTitle,0))="","",INDEX(mlist,MATCH($B45,mNo,0),MATCH('4. Waiting confirm'!G$2,mTitle,0)))</f>
        <v>45114.456446759257</v>
      </c>
      <c r="H45" s="293">
        <f>IF(INDEX(mlist,MATCH($B45,mNo,0),MATCH('4. Waiting confirm'!H$2,mTitle,0))="","",INDEX(mlist,MATCH($B45,mNo,0),MATCH('4. Waiting confirm'!H$2,mTitle,0)))</f>
        <v>45114.458958333336</v>
      </c>
      <c r="I45" t="str">
        <f>IF(INDEX(mlist,MATCH($B45,mNo,0),MATCH('4. Waiting confirm'!I$2,mTitle,0))="","",INDEX(mlist,MATCH($B45,mNo,0),MATCH('4. Waiting confirm'!I$2,mTitle,0)))</f>
        <v>Major</v>
      </c>
      <c r="J45" t="str">
        <f>IF(INDEX(mlist,MATCH($B45,mNo,0),MATCH('4. Waiting confirm'!J$2,mTitle,0))="","",INDEX(mlist,MATCH($B45,mNo,0),MATCH('4. Waiting confirm'!J$2,mTitle,0)))</f>
        <v>CLN, BSA, FCT</v>
      </c>
      <c r="K45" s="294">
        <f>IF(INDEX(mlist,MATCH($B45,mNo,0),MATCH('4. Waiting confirm'!K$2,mTitle,0))="","",INDEX(mlist,MATCH($B45,mNo,0),MATCH('4. Waiting confirm'!K$2,mTitle,0)))</f>
        <v>3017</v>
      </c>
      <c r="L45" s="293">
        <f>IF(INDEX(mlist,MATCH($B45,mNo,0),MATCH('4. Waiting confirm'!L$2,mTitle,0))="","",INDEX(mlist,MATCH($B45,mNo,0),MATCH('4. Waiting confirm'!L$2,mTitle,0)))</f>
        <v>45114</v>
      </c>
      <c r="M45" t="str">
        <f>IF(INDEX(mlist,MATCH($B45,mNo,0),MATCH('4. Waiting confirm'!M$2,mTitle,0))="","",INDEX(mlist,MATCH($B45,mNo,0),MATCH('4. Waiting confirm'!M$2,mTitle,0)))</f>
        <v>2. Dealer working with end user</v>
      </c>
      <c r="N45" t="str">
        <f>IF(INDEX(mlist,MATCH($B45,mNo,0),MATCH('4. Waiting confirm'!N$2,mTitle,0))="","",INDEX(mlist,MATCH($B45,mNo,0),MATCH('4. Waiting confirm'!N$2,mTitle,0)))</f>
        <v>đang làm việc với BV</v>
      </c>
      <c r="O45" t="s">
        <v>288</v>
      </c>
      <c r="P45" t="s">
        <v>288</v>
      </c>
      <c r="R45" s="325">
        <f t="shared" si="1"/>
        <v>0.66666666666666663</v>
      </c>
    </row>
    <row r="46" spans="1:18">
      <c r="A46">
        <f>SUBTOTAL(103,$B$3:B46)</f>
        <v>44</v>
      </c>
      <c r="B46" t="s">
        <v>5739</v>
      </c>
      <c r="C46" t="str">
        <f>IF(INDEX(mlist,MATCH($B46,mNo,0),MATCH('4. Waiting confirm'!C$2,mTitle,0))="","",INDEX(mlist,MATCH($B46,mNo,0),MATCH('4. Waiting confirm'!C$2,mTitle,0)))</f>
        <v>Northwestern Nghe An hospital</v>
      </c>
      <c r="D46" t="str">
        <f>IF(INDEX(mlist,MATCH($B46,mNo,0),MATCH('4. Waiting confirm'!D$2,mTitle,0))="","",INDEX(mlist,MATCH($B46,mNo,0),MATCH('4. Waiting confirm'!D$2,mTitle,0)))</f>
        <v>Hanoi</v>
      </c>
      <c r="E46" t="str">
        <f>IF(INDEX(mlist,MATCH($B46,mNo,0),MATCH('4. Waiting confirm'!E$2,mTitle,0))="","",INDEX(mlist,MATCH($B46,mNo,0),MATCH('4. Waiting confirm'!E$2,mTitle,0)))</f>
        <v>EG-250WR5</v>
      </c>
      <c r="F46" t="str">
        <f>IF(INDEX(mlist,MATCH($B46,mNo,0),MATCH('4. Waiting confirm'!F$2,mTitle,0))="","",INDEX(mlist,MATCH($B46,mNo,0),MATCH('4. Waiting confirm'!F$2,mTitle,0)))</f>
        <v>1G202K277</v>
      </c>
      <c r="G46" s="293">
        <f>IF(INDEX(mlist,MATCH($B46,mNo,0),MATCH('4. Waiting confirm'!G$2,mTitle,0))="","",INDEX(mlist,MATCH($B46,mNo,0),MATCH('4. Waiting confirm'!G$2,mTitle,0)))</f>
        <v>45117.496076388888</v>
      </c>
      <c r="H46" s="293">
        <f>IF(INDEX(mlist,MATCH($B46,mNo,0),MATCH('4. Waiting confirm'!H$2,mTitle,0))="","",INDEX(mlist,MATCH($B46,mNo,0),MATCH('4. Waiting confirm'!H$2,mTitle,0)))</f>
        <v>45118.473437499997</v>
      </c>
      <c r="I46" t="str">
        <f>IF(INDEX(mlist,MATCH($B46,mNo,0),MATCH('4. Waiting confirm'!I$2,mTitle,0))="","",INDEX(mlist,MATCH($B46,mNo,0),MATCH('4. Waiting confirm'!I$2,mTitle,0)))</f>
        <v>Major</v>
      </c>
      <c r="J46" t="str">
        <f>IF(INDEX(mlist,MATCH($B46,mNo,0),MATCH('4. Waiting confirm'!J$2,mTitle,0))="","",INDEX(mlist,MATCH($B46,mNo,0),MATCH('4. Waiting confirm'!J$2,mTitle,0)))</f>
        <v>FSA, BSA, FCT, DEC</v>
      </c>
      <c r="K46" s="294">
        <f>IF(INDEX(mlist,MATCH($B46,mNo,0),MATCH('4. Waiting confirm'!K$2,mTitle,0))="","",INDEX(mlist,MATCH($B46,mNo,0),MATCH('4. Waiting confirm'!K$2,mTitle,0)))</f>
        <v>1868</v>
      </c>
      <c r="L46" s="293">
        <f>IF(INDEX(mlist,MATCH($B46,mNo,0),MATCH('4. Waiting confirm'!L$2,mTitle,0))="","",INDEX(mlist,MATCH($B46,mNo,0),MATCH('4. Waiting confirm'!L$2,mTitle,0)))</f>
        <v>45126</v>
      </c>
      <c r="M46" t="str">
        <f>IF(INDEX(mlist,MATCH($B46,mNo,0),MATCH('4. Waiting confirm'!M$2,mTitle,0))="","",INDEX(mlist,MATCH($B46,mNo,0),MATCH('4. Waiting confirm'!M$2,mTitle,0)))</f>
        <v>2. Dealer working with end user</v>
      </c>
      <c r="N46" t="str">
        <f>IF(INDEX(mlist,MATCH($B46,mNo,0),MATCH('4. Waiting confirm'!N$2,mTitle,0))="","",INDEX(mlist,MATCH($B46,mNo,0),MATCH('4. Waiting confirm'!N$2,mTitle,0)))</f>
        <v>waiting for repair</v>
      </c>
      <c r="O46" t="s">
        <v>288</v>
      </c>
      <c r="P46" t="s">
        <v>288</v>
      </c>
      <c r="R46" s="325">
        <f t="shared" si="1"/>
        <v>0.66666666666666663</v>
      </c>
    </row>
    <row r="47" spans="1:18">
      <c r="A47">
        <f>SUBTOTAL(103,$B$3:B47)</f>
        <v>45</v>
      </c>
      <c r="B47" t="s">
        <v>5742</v>
      </c>
      <c r="C47" t="str">
        <f>IF(INDEX(mlist,MATCH($B47,mNo,0),MATCH('4. Waiting confirm'!C$2,mTitle,0))="","",INDEX(mlist,MATCH($B47,mNo,0),MATCH('4. Waiting confirm'!C$2,mTitle,0)))</f>
        <v>Nghe An Friendship General Hospital</v>
      </c>
      <c r="D47" t="str">
        <f>IF(INDEX(mlist,MATCH($B47,mNo,0),MATCH('4. Waiting confirm'!D$2,mTitle,0))="","",INDEX(mlist,MATCH($B47,mNo,0),MATCH('4. Waiting confirm'!D$2,mTitle,0)))</f>
        <v>Hanoi</v>
      </c>
      <c r="E47" t="str">
        <f>IF(INDEX(mlist,MATCH($B47,mNo,0),MATCH('4. Waiting confirm'!E$2,mTitle,0))="","",INDEX(mlist,MATCH($B47,mNo,0),MATCH('4. Waiting confirm'!E$2,mTitle,0)))</f>
        <v>EG-530WR</v>
      </c>
      <c r="F47" t="str">
        <f>IF(INDEX(mlist,MATCH($B47,mNo,0),MATCH('4. Waiting confirm'!F$2,mTitle,0))="","",INDEX(mlist,MATCH($B47,mNo,0),MATCH('4. Waiting confirm'!F$2,mTitle,0)))</f>
        <v>5G361k424</v>
      </c>
      <c r="G47" s="293">
        <f>IF(INDEX(mlist,MATCH($B47,mNo,0),MATCH('4. Waiting confirm'!G$2,mTitle,0))="","",INDEX(mlist,MATCH($B47,mNo,0),MATCH('4. Waiting confirm'!G$2,mTitle,0)))</f>
        <v>45117.510914351849</v>
      </c>
      <c r="H47" s="293">
        <f>IF(INDEX(mlist,MATCH($B47,mNo,0),MATCH('4. Waiting confirm'!H$2,mTitle,0))="","",INDEX(mlist,MATCH($B47,mNo,0),MATCH('4. Waiting confirm'!H$2,mTitle,0)))</f>
        <v>45118.464004629626</v>
      </c>
      <c r="I47" t="str">
        <f>IF(INDEX(mlist,MATCH($B47,mNo,0),MATCH('4. Waiting confirm'!I$2,mTitle,0))="","",INDEX(mlist,MATCH($B47,mNo,0),MATCH('4. Waiting confirm'!I$2,mTitle,0)))</f>
        <v>Major</v>
      </c>
      <c r="J47" t="str">
        <f>IF(INDEX(mlist,MATCH($B47,mNo,0),MATCH('4. Waiting confirm'!J$2,mTitle,0))="","",INDEX(mlist,MATCH($B47,mNo,0),MATCH('4. Waiting confirm'!J$2,mTitle,0)))</f>
        <v>BSA, LGB, FSB, FCT, VCA</v>
      </c>
      <c r="K47" s="294">
        <f>IF(INDEX(mlist,MATCH($B47,mNo,0),MATCH('4. Waiting confirm'!K$2,mTitle,0))="","",INDEX(mlist,MATCH($B47,mNo,0),MATCH('4. Waiting confirm'!K$2,mTitle,0)))</f>
        <v>4182</v>
      </c>
      <c r="L47" s="293">
        <f>IF(INDEX(mlist,MATCH($B47,mNo,0),MATCH('4. Waiting confirm'!L$2,mTitle,0))="","",INDEX(mlist,MATCH($B47,mNo,0),MATCH('4. Waiting confirm'!L$2,mTitle,0)))</f>
        <v>45121</v>
      </c>
      <c r="M47" t="str">
        <f>IF(INDEX(mlist,MATCH($B47,mNo,0),MATCH('4. Waiting confirm'!M$2,mTitle,0))="","",INDEX(mlist,MATCH($B47,mNo,0),MATCH('4. Waiting confirm'!M$2,mTitle,0)))</f>
        <v>2. Dealer working with end user</v>
      </c>
      <c r="N47" t="str">
        <f>IF(INDEX(mlist,MATCH($B47,mNo,0),MATCH('4. Waiting confirm'!N$2,mTitle,0))="","",INDEX(mlist,MATCH($B47,mNo,0),MATCH('4. Waiting confirm'!N$2,mTitle,0)))</f>
        <v>BV confirm nhận báo giá</v>
      </c>
      <c r="O47" t="s">
        <v>288</v>
      </c>
      <c r="P47" t="s">
        <v>288</v>
      </c>
      <c r="R47" s="325">
        <f t="shared" si="1"/>
        <v>0.66666666666666663</v>
      </c>
    </row>
    <row r="48" spans="1:18">
      <c r="A48">
        <f>SUBTOTAL(103,$B$3:B48)</f>
        <v>46</v>
      </c>
      <c r="B48" t="s">
        <v>5744</v>
      </c>
      <c r="C48" t="str">
        <f>IF(INDEX(mlist,MATCH($B48,mNo,0),MATCH('4. Waiting confirm'!C$2,mTitle,0))="","",INDEX(mlist,MATCH($B48,mNo,0),MATCH('4. Waiting confirm'!C$2,mTitle,0)))</f>
        <v>Nghe An Friendship General Hospital</v>
      </c>
      <c r="D48" t="str">
        <f>IF(INDEX(mlist,MATCH($B48,mNo,0),MATCH('4. Waiting confirm'!D$2,mTitle,0))="","",INDEX(mlist,MATCH($B48,mNo,0),MATCH('4. Waiting confirm'!D$2,mTitle,0)))</f>
        <v>Hanoi</v>
      </c>
      <c r="E48" t="str">
        <f>IF(INDEX(mlist,MATCH($B48,mNo,0),MATCH('4. Waiting confirm'!E$2,mTitle,0))="","",INDEX(mlist,MATCH($B48,mNo,0),MATCH('4. Waiting confirm'!E$2,mTitle,0)))</f>
        <v>EC-530WL3</v>
      </c>
      <c r="F48" t="str">
        <f>IF(INDEX(mlist,MATCH($B48,mNo,0),MATCH('4. Waiting confirm'!F$2,mTitle,0))="","",INDEX(mlist,MATCH($B48,mNo,0),MATCH('4. Waiting confirm'!F$2,mTitle,0)))</f>
        <v>5C643K347</v>
      </c>
      <c r="G48" s="293">
        <f>IF(INDEX(mlist,MATCH($B48,mNo,0),MATCH('4. Waiting confirm'!G$2,mTitle,0))="","",INDEX(mlist,MATCH($B48,mNo,0),MATCH('4. Waiting confirm'!G$2,mTitle,0)))</f>
        <v>45117.511759259258</v>
      </c>
      <c r="H48" s="293">
        <f>IF(INDEX(mlist,MATCH($B48,mNo,0),MATCH('4. Waiting confirm'!H$2,mTitle,0))="","",INDEX(mlist,MATCH($B48,mNo,0),MATCH('4. Waiting confirm'!H$2,mTitle,0)))</f>
        <v>45118.517974537041</v>
      </c>
      <c r="I48" t="str">
        <f>IF(INDEX(mlist,MATCH($B48,mNo,0),MATCH('4. Waiting confirm'!I$2,mTitle,0))="","",INDEX(mlist,MATCH($B48,mNo,0),MATCH('4. Waiting confirm'!I$2,mTitle,0)))</f>
        <v>Major</v>
      </c>
      <c r="J48" t="str">
        <f>IF(INDEX(mlist,MATCH($B48,mNo,0),MATCH('4. Waiting confirm'!J$2,mTitle,0))="","",INDEX(mlist,MATCH($B48,mNo,0),MATCH('4. Waiting confirm'!J$2,mTitle,0)))</f>
        <v>DEC, DRY, BSA, DWA</v>
      </c>
      <c r="K48" s="294">
        <f>IF(INDEX(mlist,MATCH($B48,mNo,0),MATCH('4. Waiting confirm'!K$2,mTitle,0))="","",INDEX(mlist,MATCH($B48,mNo,0),MATCH('4. Waiting confirm'!K$2,mTitle,0)))</f>
        <v>1275</v>
      </c>
      <c r="L48" s="293">
        <f>IF(INDEX(mlist,MATCH($B48,mNo,0),MATCH('4. Waiting confirm'!L$2,mTitle,0))="","",INDEX(mlist,MATCH($B48,mNo,0),MATCH('4. Waiting confirm'!L$2,mTitle,0)))</f>
        <v>45121</v>
      </c>
      <c r="M48" t="str">
        <f>IF(INDEX(mlist,MATCH($B48,mNo,0),MATCH('4. Waiting confirm'!M$2,mTitle,0))="","",INDEX(mlist,MATCH($B48,mNo,0),MATCH('4. Waiting confirm'!M$2,mTitle,0)))</f>
        <v>2. Dealer working with end user</v>
      </c>
      <c r="N48" t="str">
        <f>IF(INDEX(mlist,MATCH($B48,mNo,0),MATCH('4. Waiting confirm'!N$2,mTitle,0))="","",INDEX(mlist,MATCH($B48,mNo,0),MATCH('4. Waiting confirm'!N$2,mTitle,0)))</f>
        <v>BV confirm nhận báo giá</v>
      </c>
      <c r="O48" t="s">
        <v>288</v>
      </c>
      <c r="P48" t="s">
        <v>288</v>
      </c>
      <c r="R48" s="325">
        <f t="shared" si="1"/>
        <v>0.66666666666666663</v>
      </c>
    </row>
    <row r="49" spans="1:18">
      <c r="A49">
        <f>SUBTOTAL(103,$B$3:B49)</f>
        <v>47</v>
      </c>
      <c r="B49" t="s">
        <v>5746</v>
      </c>
      <c r="C49" t="str">
        <f>IF(INDEX(mlist,MATCH($B49,mNo,0),MATCH('4. Waiting confirm'!C$2,mTitle,0))="","",INDEX(mlist,MATCH($B49,mNo,0),MATCH('4. Waiting confirm'!C$2,mTitle,0)))</f>
        <v>Nghe An Friendship General Hospital</v>
      </c>
      <c r="D49" t="str">
        <f>IF(INDEX(mlist,MATCH($B49,mNo,0),MATCH('4. Waiting confirm'!D$2,mTitle,0))="","",INDEX(mlist,MATCH($B49,mNo,0),MATCH('4. Waiting confirm'!D$2,mTitle,0)))</f>
        <v>Hanoi</v>
      </c>
      <c r="E49" t="str">
        <f>IF(INDEX(mlist,MATCH($B49,mNo,0),MATCH('4. Waiting confirm'!E$2,mTitle,0))="","",INDEX(mlist,MATCH($B49,mNo,0),MATCH('4. Waiting confirm'!E$2,mTitle,0)))</f>
        <v>EG-530WR</v>
      </c>
      <c r="F49" t="str">
        <f>IF(INDEX(mlist,MATCH($B49,mNo,0),MATCH('4. Waiting confirm'!F$2,mTitle,0))="","",INDEX(mlist,MATCH($B49,mNo,0),MATCH('4. Waiting confirm'!F$2,mTitle,0)))</f>
        <v>8G361K200</v>
      </c>
      <c r="G49" s="293">
        <f>IF(INDEX(mlist,MATCH($B49,mNo,0),MATCH('4. Waiting confirm'!G$2,mTitle,0))="","",INDEX(mlist,MATCH($B49,mNo,0),MATCH('4. Waiting confirm'!G$2,mTitle,0)))</f>
        <v>45117.512650462966</v>
      </c>
      <c r="H49" s="293">
        <f>IF(INDEX(mlist,MATCH($B49,mNo,0),MATCH('4. Waiting confirm'!H$2,mTitle,0))="","",INDEX(mlist,MATCH($B49,mNo,0),MATCH('4. Waiting confirm'!H$2,mTitle,0)))</f>
        <v>45119.493645833332</v>
      </c>
      <c r="I49" t="str">
        <f>IF(INDEX(mlist,MATCH($B49,mNo,0),MATCH('4. Waiting confirm'!I$2,mTitle,0))="","",INDEX(mlist,MATCH($B49,mNo,0),MATCH('4. Waiting confirm'!I$2,mTitle,0)))</f>
        <v>Major</v>
      </c>
      <c r="J49" t="str">
        <f>IF(INDEX(mlist,MATCH($B49,mNo,0),MATCH('4. Waiting confirm'!J$2,mTitle,0))="","",INDEX(mlist,MATCH($B49,mNo,0),MATCH('4. Waiting confirm'!J$2,mTitle,0)))</f>
        <v>CHA, LGB, FSA, FCT</v>
      </c>
      <c r="K49" s="294">
        <f>IF(INDEX(mlist,MATCH($B49,mNo,0),MATCH('4. Waiting confirm'!K$2,mTitle,0))="","",INDEX(mlist,MATCH($B49,mNo,0),MATCH('4. Waiting confirm'!K$2,mTitle,0)))</f>
        <v>6320</v>
      </c>
      <c r="L49" s="293">
        <f>IF(INDEX(mlist,MATCH($B49,mNo,0),MATCH('4. Waiting confirm'!L$2,mTitle,0))="","",INDEX(mlist,MATCH($B49,mNo,0),MATCH('4. Waiting confirm'!L$2,mTitle,0)))</f>
        <v>45121</v>
      </c>
      <c r="M49" t="str">
        <f>IF(INDEX(mlist,MATCH($B49,mNo,0),MATCH('4. Waiting confirm'!M$2,mTitle,0))="","",INDEX(mlist,MATCH($B49,mNo,0),MATCH('4. Waiting confirm'!M$2,mTitle,0)))</f>
        <v>2. Dealer working with end user</v>
      </c>
      <c r="N49" t="str">
        <f>IF(INDEX(mlist,MATCH($B49,mNo,0),MATCH('4. Waiting confirm'!N$2,mTitle,0))="","",INDEX(mlist,MATCH($B49,mNo,0),MATCH('4. Waiting confirm'!N$2,mTitle,0)))</f>
        <v>BV confirm nhận báo giá</v>
      </c>
      <c r="O49" t="s">
        <v>288</v>
      </c>
      <c r="P49" t="s">
        <v>288</v>
      </c>
      <c r="R49" s="325">
        <f t="shared" si="1"/>
        <v>0.66666666666666663</v>
      </c>
    </row>
    <row r="50" spans="1:18">
      <c r="A50">
        <f>SUBTOTAL(103,$B$3:B50)</f>
        <v>48</v>
      </c>
      <c r="B50" t="s">
        <v>5748</v>
      </c>
      <c r="C50" t="str">
        <f>IF(INDEX(mlist,MATCH($B50,mNo,0),MATCH('4. Waiting confirm'!C$2,mTitle,0))="","",INDEX(mlist,MATCH($B50,mNo,0),MATCH('4. Waiting confirm'!C$2,mTitle,0)))</f>
        <v>Nghe An Friendship General Hospital</v>
      </c>
      <c r="D50" t="str">
        <f>IF(INDEX(mlist,MATCH($B50,mNo,0),MATCH('4. Waiting confirm'!D$2,mTitle,0))="","",INDEX(mlist,MATCH($B50,mNo,0),MATCH('4. Waiting confirm'!D$2,mTitle,0)))</f>
        <v>Hanoi</v>
      </c>
      <c r="E50" t="str">
        <f>IF(INDEX(mlist,MATCH($B50,mNo,0),MATCH('4. Waiting confirm'!E$2,mTitle,0))="","",INDEX(mlist,MATCH($B50,mNo,0),MATCH('4. Waiting confirm'!E$2,mTitle,0)))</f>
        <v>EG-530WR</v>
      </c>
      <c r="F50" t="str">
        <f>IF(INDEX(mlist,MATCH($B50,mNo,0),MATCH('4. Waiting confirm'!F$2,mTitle,0))="","",INDEX(mlist,MATCH($B50,mNo,0),MATCH('4. Waiting confirm'!F$2,mTitle,0)))</f>
        <v>5G361K426</v>
      </c>
      <c r="G50" s="293">
        <f>IF(INDEX(mlist,MATCH($B50,mNo,0),MATCH('4. Waiting confirm'!G$2,mTitle,0))="","",INDEX(mlist,MATCH($B50,mNo,0),MATCH('4. Waiting confirm'!G$2,mTitle,0)))</f>
        <v>45117.513437499998</v>
      </c>
      <c r="H50" s="293">
        <f>IF(INDEX(mlist,MATCH($B50,mNo,0),MATCH('4. Waiting confirm'!H$2,mTitle,0))="","",INDEX(mlist,MATCH($B50,mNo,0),MATCH('4. Waiting confirm'!H$2,mTitle,0)))</f>
        <v>45118.464282407411</v>
      </c>
      <c r="I50" t="str">
        <f>IF(INDEX(mlist,MATCH($B50,mNo,0),MATCH('4. Waiting confirm'!I$2,mTitle,0))="","",INDEX(mlist,MATCH($B50,mNo,0),MATCH('4. Waiting confirm'!I$2,mTitle,0)))</f>
        <v>Major</v>
      </c>
      <c r="J50" t="str">
        <f>IF(INDEX(mlist,MATCH($B50,mNo,0),MATCH('4. Waiting confirm'!J$2,mTitle,0))="","",INDEX(mlist,MATCH($B50,mNo,0),MATCH('4. Waiting confirm'!J$2,mTitle,0)))</f>
        <v>FCT, CHA, BSA, FSA, LGB, FSB</v>
      </c>
      <c r="K50" s="294">
        <f>IF(INDEX(mlist,MATCH($B50,mNo,0),MATCH('4. Waiting confirm'!K$2,mTitle,0))="","",INDEX(mlist,MATCH($B50,mNo,0),MATCH('4. Waiting confirm'!K$2,mTitle,0)))</f>
        <v>7342</v>
      </c>
      <c r="L50" s="293">
        <f>IF(INDEX(mlist,MATCH($B50,mNo,0),MATCH('4. Waiting confirm'!L$2,mTitle,0))="","",INDEX(mlist,MATCH($B50,mNo,0),MATCH('4. Waiting confirm'!L$2,mTitle,0)))</f>
        <v>45121</v>
      </c>
      <c r="M50" t="str">
        <f>IF(INDEX(mlist,MATCH($B50,mNo,0),MATCH('4. Waiting confirm'!M$2,mTitle,0))="","",INDEX(mlist,MATCH($B50,mNo,0),MATCH('4. Waiting confirm'!M$2,mTitle,0)))</f>
        <v>2. Dealer working with end user</v>
      </c>
      <c r="N50" t="str">
        <f>IF(INDEX(mlist,MATCH($B50,mNo,0),MATCH('4. Waiting confirm'!N$2,mTitle,0))="","",INDEX(mlist,MATCH($B50,mNo,0),MATCH('4. Waiting confirm'!N$2,mTitle,0)))</f>
        <v>BV confirm nhận báo giá</v>
      </c>
      <c r="O50" t="s">
        <v>288</v>
      </c>
      <c r="P50" t="s">
        <v>288</v>
      </c>
      <c r="R50" s="325">
        <f t="shared" si="1"/>
        <v>0.66666666666666663</v>
      </c>
    </row>
    <row r="51" spans="1:18">
      <c r="A51">
        <f>SUBTOTAL(103,$B$3:B51)</f>
        <v>49</v>
      </c>
      <c r="B51" t="s">
        <v>5750</v>
      </c>
      <c r="C51" t="str">
        <f>IF(INDEX(mlist,MATCH($B51,mNo,0),MATCH('4. Waiting confirm'!C$2,mTitle,0))="","",INDEX(mlist,MATCH($B51,mNo,0),MATCH('4. Waiting confirm'!C$2,mTitle,0)))</f>
        <v>Nghe An Friendship General Hospital</v>
      </c>
      <c r="D51" t="str">
        <f>IF(INDEX(mlist,MATCH($B51,mNo,0),MATCH('4. Waiting confirm'!D$2,mTitle,0))="","",INDEX(mlist,MATCH($B51,mNo,0),MATCH('4. Waiting confirm'!D$2,mTitle,0)))</f>
        <v>Hanoi</v>
      </c>
      <c r="E51" t="str">
        <f>IF(INDEX(mlist,MATCH($B51,mNo,0),MATCH('4. Waiting confirm'!E$2,mTitle,0))="","",INDEX(mlist,MATCH($B51,mNo,0),MATCH('4. Waiting confirm'!E$2,mTitle,0)))</f>
        <v>EC-530WL3</v>
      </c>
      <c r="F51" t="str">
        <f>IF(INDEX(mlist,MATCH($B51,mNo,0),MATCH('4. Waiting confirm'!F$2,mTitle,0))="","",INDEX(mlist,MATCH($B51,mNo,0),MATCH('4. Waiting confirm'!F$2,mTitle,0)))</f>
        <v>5C643K365</v>
      </c>
      <c r="G51" s="293">
        <f>IF(INDEX(mlist,MATCH($B51,mNo,0),MATCH('4. Waiting confirm'!G$2,mTitle,0))="","",INDEX(mlist,MATCH($B51,mNo,0),MATCH('4. Waiting confirm'!G$2,mTitle,0)))</f>
        <v>45117.515347222223</v>
      </c>
      <c r="H51" s="293">
        <f>IF(INDEX(mlist,MATCH($B51,mNo,0),MATCH('4. Waiting confirm'!H$2,mTitle,0))="","",INDEX(mlist,MATCH($B51,mNo,0),MATCH('4. Waiting confirm'!H$2,mTitle,0)))</f>
        <v>45118.841736111113</v>
      </c>
      <c r="I51" t="str">
        <f>IF(INDEX(mlist,MATCH($B51,mNo,0),MATCH('4. Waiting confirm'!I$2,mTitle,0))="","",INDEX(mlist,MATCH($B51,mNo,0),MATCH('4. Waiting confirm'!I$2,mTitle,0)))</f>
        <v>Major</v>
      </c>
      <c r="J51" t="str">
        <f>IF(INDEX(mlist,MATCH($B51,mNo,0),MATCH('4. Waiting confirm'!J$2,mTitle,0))="","",INDEX(mlist,MATCH($B51,mNo,0),MATCH('4. Waiting confirm'!J$2,mTitle,0)))</f>
        <v>CHA, DEC, DWA, BSA</v>
      </c>
      <c r="K51" s="294">
        <f>IF(INDEX(mlist,MATCH($B51,mNo,0),MATCH('4. Waiting confirm'!K$2,mTitle,0))="","",INDEX(mlist,MATCH($B51,mNo,0),MATCH('4. Waiting confirm'!K$2,mTitle,0)))</f>
        <v>4703</v>
      </c>
      <c r="L51" s="293">
        <f>IF(INDEX(mlist,MATCH($B51,mNo,0),MATCH('4. Waiting confirm'!L$2,mTitle,0))="","",INDEX(mlist,MATCH($B51,mNo,0),MATCH('4. Waiting confirm'!L$2,mTitle,0)))</f>
        <v>45121</v>
      </c>
      <c r="M51" t="str">
        <f>IF(INDEX(mlist,MATCH($B51,mNo,0),MATCH('4. Waiting confirm'!M$2,mTitle,0))="","",INDEX(mlist,MATCH($B51,mNo,0),MATCH('4. Waiting confirm'!M$2,mTitle,0)))</f>
        <v>2. Dealer working with end user</v>
      </c>
      <c r="N51" t="str">
        <f>IF(INDEX(mlist,MATCH($B51,mNo,0),MATCH('4. Waiting confirm'!N$2,mTitle,0))="","",INDEX(mlist,MATCH($B51,mNo,0),MATCH('4. Waiting confirm'!N$2,mTitle,0)))</f>
        <v>BV confirm nhận báo giá</v>
      </c>
      <c r="O51" t="s">
        <v>288</v>
      </c>
      <c r="P51" t="s">
        <v>288</v>
      </c>
      <c r="R51" s="325">
        <f t="shared" si="1"/>
        <v>0.66666666666666663</v>
      </c>
    </row>
    <row r="52" spans="1:18">
      <c r="A52">
        <f>SUBTOTAL(103,$B$3:B52)</f>
        <v>50</v>
      </c>
      <c r="B52" t="s">
        <v>5752</v>
      </c>
      <c r="C52" t="str">
        <f>IF(INDEX(mlist,MATCH($B52,mNo,0),MATCH('4. Waiting confirm'!C$2,mTitle,0))="","",INDEX(mlist,MATCH($B52,mNo,0),MATCH('4. Waiting confirm'!C$2,mTitle,0)))</f>
        <v>Nghe An Friendship General Hospital</v>
      </c>
      <c r="D52" t="str">
        <f>IF(INDEX(mlist,MATCH($B52,mNo,0),MATCH('4. Waiting confirm'!D$2,mTitle,0))="","",INDEX(mlist,MATCH($B52,mNo,0),MATCH('4. Waiting confirm'!D$2,mTitle,0)))</f>
        <v>Hanoi</v>
      </c>
      <c r="E52" t="str">
        <f>IF(INDEX(mlist,MATCH($B52,mNo,0),MATCH('4. Waiting confirm'!E$2,mTitle,0))="","",INDEX(mlist,MATCH($B52,mNo,0),MATCH('4. Waiting confirm'!E$2,mTitle,0)))</f>
        <v>EC-530WL3</v>
      </c>
      <c r="F52" t="str">
        <f>IF(INDEX(mlist,MATCH($B52,mNo,0),MATCH('4. Waiting confirm'!F$2,mTitle,0))="","",INDEX(mlist,MATCH($B52,mNo,0),MATCH('4. Waiting confirm'!F$2,mTitle,0)))</f>
        <v>3C643K193</v>
      </c>
      <c r="G52" s="293">
        <f>IF(INDEX(mlist,MATCH($B52,mNo,0),MATCH('4. Waiting confirm'!G$2,mTitle,0))="","",INDEX(mlist,MATCH($B52,mNo,0),MATCH('4. Waiting confirm'!G$2,mTitle,0)))</f>
        <v>45117.516134259262</v>
      </c>
      <c r="H52" s="293">
        <f>IF(INDEX(mlist,MATCH($B52,mNo,0),MATCH('4. Waiting confirm'!H$2,mTitle,0))="","",INDEX(mlist,MATCH($B52,mNo,0),MATCH('4. Waiting confirm'!H$2,mTitle,0)))</f>
        <v>45117.715462962966</v>
      </c>
      <c r="I52" t="str">
        <f>IF(INDEX(mlist,MATCH($B52,mNo,0),MATCH('4. Waiting confirm'!I$2,mTitle,0))="","",INDEX(mlist,MATCH($B52,mNo,0),MATCH('4. Waiting confirm'!I$2,mTitle,0)))</f>
        <v>Major</v>
      </c>
      <c r="J52" t="str">
        <f>IF(INDEX(mlist,MATCH($B52,mNo,0),MATCH('4. Waiting confirm'!J$2,mTitle,0))="","",INDEX(mlist,MATCH($B52,mNo,0),MATCH('4. Waiting confirm'!J$2,mTitle,0)))</f>
        <v>FSA, CHA, BSA</v>
      </c>
      <c r="K52" s="294">
        <f>IF(INDEX(mlist,MATCH($B52,mNo,0),MATCH('4. Waiting confirm'!K$2,mTitle,0))="","",INDEX(mlist,MATCH($B52,mNo,0),MATCH('4. Waiting confirm'!K$2,mTitle,0)))</f>
        <v>7273</v>
      </c>
      <c r="L52" s="293">
        <f>IF(INDEX(mlist,MATCH($B52,mNo,0),MATCH('4. Waiting confirm'!L$2,mTitle,0))="","",INDEX(mlist,MATCH($B52,mNo,0),MATCH('4. Waiting confirm'!L$2,mTitle,0)))</f>
        <v>45121</v>
      </c>
      <c r="M52" t="str">
        <f>IF(INDEX(mlist,MATCH($B52,mNo,0),MATCH('4. Waiting confirm'!M$2,mTitle,0))="","",INDEX(mlist,MATCH($B52,mNo,0),MATCH('4. Waiting confirm'!M$2,mTitle,0)))</f>
        <v>2. Dealer working with end user</v>
      </c>
      <c r="N52" t="str">
        <f>IF(INDEX(mlist,MATCH($B52,mNo,0),MATCH('4. Waiting confirm'!N$2,mTitle,0))="","",INDEX(mlist,MATCH($B52,mNo,0),MATCH('4. Waiting confirm'!N$2,mTitle,0)))</f>
        <v>BV confirm nhận báo giá</v>
      </c>
      <c r="O52" t="s">
        <v>288</v>
      </c>
      <c r="P52" t="s">
        <v>288</v>
      </c>
      <c r="R52" s="325">
        <f t="shared" si="1"/>
        <v>0.66666666666666663</v>
      </c>
    </row>
    <row r="53" spans="1:18">
      <c r="A53">
        <f>SUBTOTAL(103,$B$3:B53)</f>
        <v>51</v>
      </c>
      <c r="B53" t="s">
        <v>5754</v>
      </c>
      <c r="C53" t="str">
        <f>IF(INDEX(mlist,MATCH($B53,mNo,0),MATCH('4. Waiting confirm'!C$2,mTitle,0))="","",INDEX(mlist,MATCH($B53,mNo,0),MATCH('4. Waiting confirm'!C$2,mTitle,0)))</f>
        <v>Nghe An Friendship General Hospital</v>
      </c>
      <c r="D53" t="str">
        <f>IF(INDEX(mlist,MATCH($B53,mNo,0),MATCH('4. Waiting confirm'!D$2,mTitle,0))="","",INDEX(mlist,MATCH($B53,mNo,0),MATCH('4. Waiting confirm'!D$2,mTitle,0)))</f>
        <v>Hanoi</v>
      </c>
      <c r="E53" t="str">
        <f>IF(INDEX(mlist,MATCH($B53,mNo,0),MATCH('4. Waiting confirm'!E$2,mTitle,0))="","",INDEX(mlist,MATCH($B53,mNo,0),MATCH('4. Waiting confirm'!E$2,mTitle,0)))</f>
        <v>EB-530T</v>
      </c>
      <c r="F53" t="str">
        <f>IF(INDEX(mlist,MATCH($B53,mNo,0),MATCH('4. Waiting confirm'!F$2,mTitle,0))="","",INDEX(mlist,MATCH($B53,mNo,0),MATCH('4. Waiting confirm'!F$2,mTitle,0)))</f>
        <v>1B084K474</v>
      </c>
      <c r="G53" s="293">
        <f>IF(INDEX(mlist,MATCH($B53,mNo,0),MATCH('4. Waiting confirm'!G$2,mTitle,0))="","",INDEX(mlist,MATCH($B53,mNo,0),MATCH('4. Waiting confirm'!G$2,mTitle,0)))</f>
        <v>45117.517129629632</v>
      </c>
      <c r="H53" s="293">
        <f>IF(INDEX(mlist,MATCH($B53,mNo,0),MATCH('4. Waiting confirm'!H$2,mTitle,0))="","",INDEX(mlist,MATCH($B53,mNo,0),MATCH('4. Waiting confirm'!H$2,mTitle,0)))</f>
        <v>45118.708472222221</v>
      </c>
      <c r="I53" t="str">
        <f>IF(INDEX(mlist,MATCH($B53,mNo,0),MATCH('4. Waiting confirm'!I$2,mTitle,0))="","",INDEX(mlist,MATCH($B53,mNo,0),MATCH('4. Waiting confirm'!I$2,mTitle,0)))</f>
        <v>Major</v>
      </c>
      <c r="J53" t="str">
        <f>IF(INDEX(mlist,MATCH($B53,mNo,0),MATCH('4. Waiting confirm'!J$2,mTitle,0))="","",INDEX(mlist,MATCH($B53,mNo,0),MATCH('4. Waiting confirm'!J$2,mTitle,0)))</f>
        <v>VCA, CHA, FSB, PCB</v>
      </c>
      <c r="K53" s="294">
        <f>IF(INDEX(mlist,MATCH($B53,mNo,0),MATCH('4. Waiting confirm'!K$2,mTitle,0))="","",INDEX(mlist,MATCH($B53,mNo,0),MATCH('4. Waiting confirm'!K$2,mTitle,0)))</f>
        <v>10358</v>
      </c>
      <c r="L53" s="293">
        <f>IF(INDEX(mlist,MATCH($B53,mNo,0),MATCH('4. Waiting confirm'!L$2,mTitle,0))="","",INDEX(mlist,MATCH($B53,mNo,0),MATCH('4. Waiting confirm'!L$2,mTitle,0)))</f>
        <v>45121</v>
      </c>
      <c r="M53" t="str">
        <f>IF(INDEX(mlist,MATCH($B53,mNo,0),MATCH('4. Waiting confirm'!M$2,mTitle,0))="","",INDEX(mlist,MATCH($B53,mNo,0),MATCH('4. Waiting confirm'!M$2,mTitle,0)))</f>
        <v>2. Dealer working with end user</v>
      </c>
      <c r="N53" t="str">
        <f>IF(INDEX(mlist,MATCH($B53,mNo,0),MATCH('4. Waiting confirm'!N$2,mTitle,0))="","",INDEX(mlist,MATCH($B53,mNo,0),MATCH('4. Waiting confirm'!N$2,mTitle,0)))</f>
        <v>BV confirm nhận báo giá</v>
      </c>
      <c r="O53" t="s">
        <v>288</v>
      </c>
      <c r="P53" t="s">
        <v>288</v>
      </c>
      <c r="R53" s="325">
        <f t="shared" si="1"/>
        <v>0.66666666666666663</v>
      </c>
    </row>
    <row r="54" spans="1:18">
      <c r="A54">
        <f>SUBTOTAL(103,$B$3:B54)</f>
        <v>52</v>
      </c>
      <c r="B54" t="s">
        <v>5756</v>
      </c>
      <c r="C54" t="str">
        <f>IF(INDEX(mlist,MATCH($B54,mNo,0),MATCH('4. Waiting confirm'!C$2,mTitle,0))="","",INDEX(mlist,MATCH($B54,mNo,0),MATCH('4. Waiting confirm'!C$2,mTitle,0)))</f>
        <v>Nghe An Friendship General Hospital</v>
      </c>
      <c r="D54" t="str">
        <f>IF(INDEX(mlist,MATCH($B54,mNo,0),MATCH('4. Waiting confirm'!D$2,mTitle,0))="","",INDEX(mlist,MATCH($B54,mNo,0),MATCH('4. Waiting confirm'!D$2,mTitle,0)))</f>
        <v>Hanoi</v>
      </c>
      <c r="E54" t="str">
        <f>IF(INDEX(mlist,MATCH($B54,mNo,0),MATCH('4. Waiting confirm'!E$2,mTitle,0))="","",INDEX(mlist,MATCH($B54,mNo,0),MATCH('4. Waiting confirm'!E$2,mTitle,0)))</f>
        <v>EB-530T</v>
      </c>
      <c r="F54" t="str">
        <f>IF(INDEX(mlist,MATCH($B54,mNo,0),MATCH('4. Waiting confirm'!F$2,mTitle,0))="","",INDEX(mlist,MATCH($B54,mNo,0),MATCH('4. Waiting confirm'!F$2,mTitle,0)))</f>
        <v>5B084K008</v>
      </c>
      <c r="G54" s="293">
        <f>IF(INDEX(mlist,MATCH($B54,mNo,0),MATCH('4. Waiting confirm'!G$2,mTitle,0))="","",INDEX(mlist,MATCH($B54,mNo,0),MATCH('4. Waiting confirm'!G$2,mTitle,0)))</f>
        <v>45117.518310185187</v>
      </c>
      <c r="H54" s="293">
        <f>IF(INDEX(mlist,MATCH($B54,mNo,0),MATCH('4. Waiting confirm'!H$2,mTitle,0))="","",INDEX(mlist,MATCH($B54,mNo,0),MATCH('4. Waiting confirm'!H$2,mTitle,0)))</f>
        <v>45119.535937499997</v>
      </c>
      <c r="I54" t="str">
        <f>IF(INDEX(mlist,MATCH($B54,mNo,0),MATCH('4. Waiting confirm'!I$2,mTitle,0))="","",INDEX(mlist,MATCH($B54,mNo,0),MATCH('4. Waiting confirm'!I$2,mTitle,0)))</f>
        <v>Major</v>
      </c>
      <c r="J54" t="str">
        <f>IF(INDEX(mlist,MATCH($B54,mNo,0),MATCH('4. Waiting confirm'!J$2,mTitle,0))="","",INDEX(mlist,MATCH($B54,mNo,0),MATCH('4. Waiting confirm'!J$2,mTitle,0)))</f>
        <v>CHA, LGB, FCT, PCB</v>
      </c>
      <c r="K54" s="294">
        <f>IF(INDEX(mlist,MATCH($B54,mNo,0),MATCH('4. Waiting confirm'!K$2,mTitle,0))="","",INDEX(mlist,MATCH($B54,mNo,0),MATCH('4. Waiting confirm'!K$2,mTitle,0)))</f>
        <v>8052</v>
      </c>
      <c r="L54" s="293">
        <f>IF(INDEX(mlist,MATCH($B54,mNo,0),MATCH('4. Waiting confirm'!L$2,mTitle,0))="","",INDEX(mlist,MATCH($B54,mNo,0),MATCH('4. Waiting confirm'!L$2,mTitle,0)))</f>
        <v>45121</v>
      </c>
      <c r="M54" t="str">
        <f>IF(INDEX(mlist,MATCH($B54,mNo,0),MATCH('4. Waiting confirm'!M$2,mTitle,0))="","",INDEX(mlist,MATCH($B54,mNo,0),MATCH('4. Waiting confirm'!M$2,mTitle,0)))</f>
        <v>2. Dealer working with end user</v>
      </c>
      <c r="N54" t="str">
        <f>IF(INDEX(mlist,MATCH($B54,mNo,0),MATCH('4. Waiting confirm'!N$2,mTitle,0))="","",INDEX(mlist,MATCH($B54,mNo,0),MATCH('4. Waiting confirm'!N$2,mTitle,0)))</f>
        <v>BV confirm nhận báo giá</v>
      </c>
      <c r="O54" t="s">
        <v>288</v>
      </c>
      <c r="P54" t="s">
        <v>288</v>
      </c>
      <c r="R54" s="325">
        <f t="shared" si="1"/>
        <v>0.66666666666666663</v>
      </c>
    </row>
    <row r="55" spans="1:18">
      <c r="A55">
        <f>SUBTOTAL(103,$B$3:B55)</f>
        <v>53</v>
      </c>
      <c r="B55" t="s">
        <v>5759</v>
      </c>
      <c r="C55" t="str">
        <f>IF(INDEX(mlist,MATCH($B55,mNo,0),MATCH('4. Waiting confirm'!C$2,mTitle,0))="","",INDEX(mlist,MATCH($B55,mNo,0),MATCH('4. Waiting confirm'!C$2,mTitle,0)))</f>
        <v>Nghe An Friendship General Hospital</v>
      </c>
      <c r="D55" t="str">
        <f>IF(INDEX(mlist,MATCH($B55,mNo,0),MATCH('4. Waiting confirm'!D$2,mTitle,0))="","",INDEX(mlist,MATCH($B55,mNo,0),MATCH('4. Waiting confirm'!D$2,mTitle,0)))</f>
        <v>Hanoi</v>
      </c>
      <c r="E55" t="str">
        <f>IF(INDEX(mlist,MATCH($B55,mNo,0),MATCH('4. Waiting confirm'!E$2,mTitle,0))="","",INDEX(mlist,MATCH($B55,mNo,0),MATCH('4. Waiting confirm'!E$2,mTitle,0)))</f>
        <v>EG-530WR</v>
      </c>
      <c r="F55" t="str">
        <f>IF(INDEX(mlist,MATCH($B55,mNo,0),MATCH('4. Waiting confirm'!F$2,mTitle,0))="","",INDEX(mlist,MATCH($B55,mNo,0),MATCH('4. Waiting confirm'!F$2,mTitle,0)))</f>
        <v>2G361K829</v>
      </c>
      <c r="G55" s="293">
        <f>IF(INDEX(mlist,MATCH($B55,mNo,0),MATCH('4. Waiting confirm'!G$2,mTitle,0))="","",INDEX(mlist,MATCH($B55,mNo,0),MATCH('4. Waiting confirm'!G$2,mTitle,0)))</f>
        <v>45117.519409722219</v>
      </c>
      <c r="H55" s="293">
        <f>IF(INDEX(mlist,MATCH($B55,mNo,0),MATCH('4. Waiting confirm'!H$2,mTitle,0))="","",INDEX(mlist,MATCH($B55,mNo,0),MATCH('4. Waiting confirm'!H$2,mTitle,0)))</f>
        <v>45117.807685185187</v>
      </c>
      <c r="I55" t="str">
        <f>IF(INDEX(mlist,MATCH($B55,mNo,0),MATCH('4. Waiting confirm'!I$2,mTitle,0))="","",INDEX(mlist,MATCH($B55,mNo,0),MATCH('4. Waiting confirm'!I$2,mTitle,0)))</f>
        <v>Major</v>
      </c>
      <c r="J55" t="str">
        <f>IF(INDEX(mlist,MATCH($B55,mNo,0),MATCH('4. Waiting confirm'!J$2,mTitle,0))="","",INDEX(mlist,MATCH($B55,mNo,0),MATCH('4. Waiting confirm'!J$2,mTitle,0)))</f>
        <v>CHA, BSA, FCT, FSA, FSB</v>
      </c>
      <c r="K55" s="294">
        <f>IF(INDEX(mlist,MATCH($B55,mNo,0),MATCH('4. Waiting confirm'!K$2,mTitle,0))="","",INDEX(mlist,MATCH($B55,mNo,0),MATCH('4. Waiting confirm'!K$2,mTitle,0)))</f>
        <v>8929</v>
      </c>
      <c r="L55" s="293">
        <f>IF(INDEX(mlist,MATCH($B55,mNo,0),MATCH('4. Waiting confirm'!L$2,mTitle,0))="","",INDEX(mlist,MATCH($B55,mNo,0),MATCH('4. Waiting confirm'!L$2,mTitle,0)))</f>
        <v>45121</v>
      </c>
      <c r="M55" t="str">
        <f>IF(INDEX(mlist,MATCH($B55,mNo,0),MATCH('4. Waiting confirm'!M$2,mTitle,0))="","",INDEX(mlist,MATCH($B55,mNo,0),MATCH('4. Waiting confirm'!M$2,mTitle,0)))</f>
        <v>2. Dealer working with end user</v>
      </c>
      <c r="N55" t="str">
        <f>IF(INDEX(mlist,MATCH($B55,mNo,0),MATCH('4. Waiting confirm'!N$2,mTitle,0))="","",INDEX(mlist,MATCH($B55,mNo,0),MATCH('4. Waiting confirm'!N$2,mTitle,0)))</f>
        <v>BV confirm nhận báo giá</v>
      </c>
      <c r="O55" t="s">
        <v>288</v>
      </c>
      <c r="P55" t="s">
        <v>288</v>
      </c>
      <c r="R55" s="325">
        <f t="shared" si="1"/>
        <v>0.66666666666666663</v>
      </c>
    </row>
    <row r="56" spans="1:18">
      <c r="A56">
        <f>SUBTOTAL(103,$B$3:B56)</f>
        <v>54</v>
      </c>
      <c r="B56" t="s">
        <v>5761</v>
      </c>
      <c r="C56" t="str">
        <f>IF(INDEX(mlist,MATCH($B56,mNo,0),MATCH('4. Waiting confirm'!C$2,mTitle,0))="","",INDEX(mlist,MATCH($B56,mNo,0),MATCH('4. Waiting confirm'!C$2,mTitle,0)))</f>
        <v>Nghe An Friendship General Hospital</v>
      </c>
      <c r="D56" t="str">
        <f>IF(INDEX(mlist,MATCH($B56,mNo,0),MATCH('4. Waiting confirm'!D$2,mTitle,0))="","",INDEX(mlist,MATCH($B56,mNo,0),MATCH('4. Waiting confirm'!D$2,mTitle,0)))</f>
        <v>Hanoi</v>
      </c>
      <c r="E56" t="str">
        <f>IF(INDEX(mlist,MATCH($B56,mNo,0),MATCH('4. Waiting confirm'!E$2,mTitle,0))="","",INDEX(mlist,MATCH($B56,mNo,0),MATCH('4. Waiting confirm'!E$2,mTitle,0)))</f>
        <v>EG-530WR</v>
      </c>
      <c r="F56" t="str">
        <f>IF(INDEX(mlist,MATCH($B56,mNo,0),MATCH('4. Waiting confirm'!F$2,mTitle,0))="","",INDEX(mlist,MATCH($B56,mNo,0),MATCH('4. Waiting confirm'!F$2,mTitle,0)))</f>
        <v>8G361K199</v>
      </c>
      <c r="G56" s="293">
        <f>IF(INDEX(mlist,MATCH($B56,mNo,0),MATCH('4. Waiting confirm'!G$2,mTitle,0))="","",INDEX(mlist,MATCH($B56,mNo,0),MATCH('4. Waiting confirm'!G$2,mTitle,0)))</f>
        <v>45117.520266203705</v>
      </c>
      <c r="H56" s="293">
        <f>IF(INDEX(mlist,MATCH($B56,mNo,0),MATCH('4. Waiting confirm'!H$2,mTitle,0))="","",INDEX(mlist,MATCH($B56,mNo,0),MATCH('4. Waiting confirm'!H$2,mTitle,0)))</f>
        <v>45117.750173611108</v>
      </c>
      <c r="I56" t="str">
        <f>IF(INDEX(mlist,MATCH($B56,mNo,0),MATCH('4. Waiting confirm'!I$2,mTitle,0))="","",INDEX(mlist,MATCH($B56,mNo,0),MATCH('4. Waiting confirm'!I$2,mTitle,0)))</f>
        <v>Major</v>
      </c>
      <c r="J56" t="str">
        <f>IF(INDEX(mlist,MATCH($B56,mNo,0),MATCH('4. Waiting confirm'!J$2,mTitle,0))="","",INDEX(mlist,MATCH($B56,mNo,0),MATCH('4. Waiting confirm'!J$2,mTitle,0)))</f>
        <v>AWT, FSA, FSB, BSA, FCT, CHA</v>
      </c>
      <c r="K56" s="294">
        <f>IF(INDEX(mlist,MATCH($B56,mNo,0),MATCH('4. Waiting confirm'!K$2,mTitle,0))="","",INDEX(mlist,MATCH($B56,mNo,0),MATCH('4. Waiting confirm'!K$2,mTitle,0)))</f>
        <v>7818</v>
      </c>
      <c r="L56" s="293">
        <f>IF(INDEX(mlist,MATCH($B56,mNo,0),MATCH('4. Waiting confirm'!L$2,mTitle,0))="","",INDEX(mlist,MATCH($B56,mNo,0),MATCH('4. Waiting confirm'!L$2,mTitle,0)))</f>
        <v>45121</v>
      </c>
      <c r="M56" t="str">
        <f>IF(INDEX(mlist,MATCH($B56,mNo,0),MATCH('4. Waiting confirm'!M$2,mTitle,0))="","",INDEX(mlist,MATCH($B56,mNo,0),MATCH('4. Waiting confirm'!M$2,mTitle,0)))</f>
        <v>2. Dealer working with end user</v>
      </c>
      <c r="N56" t="str">
        <f>IF(INDEX(mlist,MATCH($B56,mNo,0),MATCH('4. Waiting confirm'!N$2,mTitle,0))="","",INDEX(mlist,MATCH($B56,mNo,0),MATCH('4. Waiting confirm'!N$2,mTitle,0)))</f>
        <v>BV confirm nhận báo giá</v>
      </c>
      <c r="O56" t="s">
        <v>288</v>
      </c>
      <c r="P56" t="s">
        <v>288</v>
      </c>
      <c r="R56" s="325">
        <f t="shared" si="1"/>
        <v>0.66666666666666663</v>
      </c>
    </row>
    <row r="57" spans="1:18">
      <c r="A57">
        <f>SUBTOTAL(103,$B$3:B57)</f>
        <v>55</v>
      </c>
      <c r="B57" t="s">
        <v>5763</v>
      </c>
      <c r="C57" t="str">
        <f>IF(INDEX(mlist,MATCH($B57,mNo,0),MATCH('4. Waiting confirm'!C$2,mTitle,0))="","",INDEX(mlist,MATCH($B57,mNo,0),MATCH('4. Waiting confirm'!C$2,mTitle,0)))</f>
        <v>Vinmec Times City International Hospital</v>
      </c>
      <c r="D57" t="str">
        <f>IF(INDEX(mlist,MATCH($B57,mNo,0),MATCH('4. Waiting confirm'!D$2,mTitle,0))="","",INDEX(mlist,MATCH($B57,mNo,0),MATCH('4. Waiting confirm'!D$2,mTitle,0)))</f>
        <v>Hanoi</v>
      </c>
      <c r="E57" t="str">
        <f>IF(INDEX(mlist,MATCH($B57,mNo,0),MATCH('4. Waiting confirm'!E$2,mTitle,0))="","",INDEX(mlist,MATCH($B57,mNo,0),MATCH('4. Waiting confirm'!E$2,mTitle,0)))</f>
        <v>EG-760Z</v>
      </c>
      <c r="F57" t="str">
        <f>IF(INDEX(mlist,MATCH($B57,mNo,0),MATCH('4. Waiting confirm'!F$2,mTitle,0))="","",INDEX(mlist,MATCH($B57,mNo,0),MATCH('4. Waiting confirm'!F$2,mTitle,0)))</f>
        <v>2G403K153</v>
      </c>
      <c r="G57" s="293">
        <f>IF(INDEX(mlist,MATCH($B57,mNo,0),MATCH('4. Waiting confirm'!G$2,mTitle,0))="","",INDEX(mlist,MATCH($B57,mNo,0),MATCH('4. Waiting confirm'!G$2,mTitle,0)))</f>
        <v>45118.572476851848</v>
      </c>
      <c r="H57" s="293">
        <f>IF(INDEX(mlist,MATCH($B57,mNo,0),MATCH('4. Waiting confirm'!H$2,mTitle,0))="","",INDEX(mlist,MATCH($B57,mNo,0),MATCH('4. Waiting confirm'!H$2,mTitle,0)))</f>
        <v>45125.800347222219</v>
      </c>
      <c r="I57" t="str">
        <f>IF(INDEX(mlist,MATCH($B57,mNo,0),MATCH('4. Waiting confirm'!I$2,mTitle,0))="","",INDEX(mlist,MATCH($B57,mNo,0),MATCH('4. Waiting confirm'!I$2,mTitle,0)))</f>
        <v>Major</v>
      </c>
      <c r="J57" t="str">
        <f>IF(INDEX(mlist,MATCH($B57,mNo,0),MATCH('4. Waiting confirm'!J$2,mTitle,0))="","",INDEX(mlist,MATCH($B57,mNo,0),MATCH('4. Waiting confirm'!J$2,mTitle,0)))</f>
        <v>WJT, FCT, CHA, FSA, BSA</v>
      </c>
      <c r="K57" s="294">
        <f>IF(INDEX(mlist,MATCH($B57,mNo,0),MATCH('4. Waiting confirm'!K$2,mTitle,0))="","",INDEX(mlist,MATCH($B57,mNo,0),MATCH('4. Waiting confirm'!K$2,mTitle,0)))</f>
        <v>16079</v>
      </c>
      <c r="L57" s="293">
        <f>IF(INDEX(mlist,MATCH($B57,mNo,0),MATCH('4. Waiting confirm'!L$2,mTitle,0))="","",INDEX(mlist,MATCH($B57,mNo,0),MATCH('4. Waiting confirm'!L$2,mTitle,0)))</f>
        <v>45131</v>
      </c>
      <c r="M57" t="str">
        <f>IF(INDEX(mlist,MATCH($B57,mNo,0),MATCH('4. Waiting confirm'!M$2,mTitle,0))="","",INDEX(mlist,MATCH($B57,mNo,0),MATCH('4. Waiting confirm'!M$2,mTitle,0)))</f>
        <v>RU: . Old Stt: waiting confirm. 2. Dealer working with end user</v>
      </c>
      <c r="N57" t="str">
        <f>IF(INDEX(mlist,MATCH($B57,mNo,0),MATCH('4. Waiting confirm'!N$2,mTitle,0))="","",INDEX(mlist,MATCH($B57,mNo,0),MATCH('4. Waiting confirm'!N$2,mTitle,0)))</f>
        <v/>
      </c>
      <c r="O57" t="s">
        <v>288</v>
      </c>
      <c r="P57" t="s">
        <v>288</v>
      </c>
      <c r="R57" s="325">
        <f t="shared" si="1"/>
        <v>0.66666666666666663</v>
      </c>
    </row>
    <row r="58" spans="1:18">
      <c r="A58">
        <f>SUBTOTAL(103,$B$3:B58)</f>
        <v>56</v>
      </c>
      <c r="B58" t="s">
        <v>5765</v>
      </c>
      <c r="C58" t="str">
        <f>IF(INDEX(mlist,MATCH($B58,mNo,0),MATCH('4. Waiting confirm'!C$2,mTitle,0))="","",INDEX(mlist,MATCH($B58,mNo,0),MATCH('4. Waiting confirm'!C$2,mTitle,0)))</f>
        <v>Nghe An Friendship General Hospital</v>
      </c>
      <c r="D58" t="str">
        <f>IF(INDEX(mlist,MATCH($B58,mNo,0),MATCH('4. Waiting confirm'!D$2,mTitle,0))="","",INDEX(mlist,MATCH($B58,mNo,0),MATCH('4. Waiting confirm'!D$2,mTitle,0)))</f>
        <v>Hanoi</v>
      </c>
      <c r="E58" t="str">
        <f>IF(INDEX(mlist,MATCH($B58,mNo,0),MATCH('4. Waiting confirm'!E$2,mTitle,0))="","",INDEX(mlist,MATCH($B58,mNo,0),MATCH('4. Waiting confirm'!E$2,mTitle,0)))</f>
        <v>EG-530WR</v>
      </c>
      <c r="F58" t="str">
        <f>IF(INDEX(mlist,MATCH($B58,mNo,0),MATCH('4. Waiting confirm'!F$2,mTitle,0))="","",INDEX(mlist,MATCH($B58,mNo,0),MATCH('4. Waiting confirm'!F$2,mTitle,0)))</f>
        <v>2G361K831</v>
      </c>
      <c r="G58" s="293">
        <f>IF(INDEX(mlist,MATCH($B58,mNo,0),MATCH('4. Waiting confirm'!G$2,mTitle,0))="","",INDEX(mlist,MATCH($B58,mNo,0),MATCH('4. Waiting confirm'!G$2,mTitle,0)))</f>
        <v>45119.497754629629</v>
      </c>
      <c r="H58" s="293">
        <f>IF(INDEX(mlist,MATCH($B58,mNo,0),MATCH('4. Waiting confirm'!H$2,mTitle,0))="","",INDEX(mlist,MATCH($B58,mNo,0),MATCH('4. Waiting confirm'!H$2,mTitle,0)))</f>
        <v>45119.525393518517</v>
      </c>
      <c r="I58" t="str">
        <f>IF(INDEX(mlist,MATCH($B58,mNo,0),MATCH('4. Waiting confirm'!I$2,mTitle,0))="","",INDEX(mlist,MATCH($B58,mNo,0),MATCH('4. Waiting confirm'!I$2,mTitle,0)))</f>
        <v>Major</v>
      </c>
      <c r="J58" t="str">
        <f>IF(INDEX(mlist,MATCH($B58,mNo,0),MATCH('4. Waiting confirm'!J$2,mTitle,0))="","",INDEX(mlist,MATCH($B58,mNo,0),MATCH('4. Waiting confirm'!J$2,mTitle,0)))</f>
        <v>FSB, CHA, BSA</v>
      </c>
      <c r="K58" s="294">
        <f>IF(INDEX(mlist,MATCH($B58,mNo,0),MATCH('4. Waiting confirm'!K$2,mTitle,0))="","",INDEX(mlist,MATCH($B58,mNo,0),MATCH('4. Waiting confirm'!K$2,mTitle,0)))</f>
        <v>5412</v>
      </c>
      <c r="L58" s="293">
        <f>IF(INDEX(mlist,MATCH($B58,mNo,0),MATCH('4. Waiting confirm'!L$2,mTitle,0))="","",INDEX(mlist,MATCH($B58,mNo,0),MATCH('4. Waiting confirm'!L$2,mTitle,0)))</f>
        <v>45121</v>
      </c>
      <c r="M58" t="str">
        <f>IF(INDEX(mlist,MATCH($B58,mNo,0),MATCH('4. Waiting confirm'!M$2,mTitle,0))="","",INDEX(mlist,MATCH($B58,mNo,0),MATCH('4. Waiting confirm'!M$2,mTitle,0)))</f>
        <v>2. Dealer working with end user</v>
      </c>
      <c r="N58" t="str">
        <f>IF(INDEX(mlist,MATCH($B58,mNo,0),MATCH('4. Waiting confirm'!N$2,mTitle,0))="","",INDEX(mlist,MATCH($B58,mNo,0),MATCH('4. Waiting confirm'!N$2,mTitle,0)))</f>
        <v>BV confirm nhận báo giá</v>
      </c>
      <c r="O58" t="s">
        <v>288</v>
      </c>
      <c r="P58" t="s">
        <v>288</v>
      </c>
      <c r="R58" s="325">
        <f t="shared" si="1"/>
        <v>0.66666666666666663</v>
      </c>
    </row>
    <row r="59" spans="1:18">
      <c r="A59">
        <f>SUBTOTAL(103,$B$3:B59)</f>
        <v>57</v>
      </c>
      <c r="B59" t="s">
        <v>5774</v>
      </c>
      <c r="C59" t="str">
        <f>IF(INDEX(mlist,MATCH($B59,mNo,0),MATCH('4. Waiting confirm'!C$2,mTitle,0))="","",INDEX(mlist,MATCH($B59,mNo,0),MATCH('4. Waiting confirm'!C$2,mTitle,0)))</f>
        <v>Nam Dinh General Hospital</v>
      </c>
      <c r="D59" t="str">
        <f>IF(INDEX(mlist,MATCH($B59,mNo,0),MATCH('4. Waiting confirm'!D$2,mTitle,0))="","",INDEX(mlist,MATCH($B59,mNo,0),MATCH('4. Waiting confirm'!D$2,mTitle,0)))</f>
        <v>Hanoi</v>
      </c>
      <c r="E59" t="str">
        <f>IF(INDEX(mlist,MATCH($B59,mNo,0),MATCH('4. Waiting confirm'!E$2,mTitle,0))="","",INDEX(mlist,MATCH($B59,mNo,0),MATCH('4. Waiting confirm'!E$2,mTitle,0)))</f>
        <v>EG-530FP</v>
      </c>
      <c r="F59" t="str">
        <f>IF(INDEX(mlist,MATCH($B59,mNo,0),MATCH('4. Waiting confirm'!F$2,mTitle,0))="","",INDEX(mlist,MATCH($B59,mNo,0),MATCH('4. Waiting confirm'!F$2,mTitle,0)))</f>
        <v>4G314A057</v>
      </c>
      <c r="G59" s="293">
        <f>IF(INDEX(mlist,MATCH($B59,mNo,0),MATCH('4. Waiting confirm'!G$2,mTitle,0))="","",INDEX(mlist,MATCH($B59,mNo,0),MATCH('4. Waiting confirm'!G$2,mTitle,0)))</f>
        <v>45120.795023148145</v>
      </c>
      <c r="H59" s="293">
        <f>IF(INDEX(mlist,MATCH($B59,mNo,0),MATCH('4. Waiting confirm'!H$2,mTitle,0))="","",INDEX(mlist,MATCH($B59,mNo,0),MATCH('4. Waiting confirm'!H$2,mTitle,0)))</f>
        <v>45125.524699074071</v>
      </c>
      <c r="I59" t="str">
        <f>IF(INDEX(mlist,MATCH($B59,mNo,0),MATCH('4. Waiting confirm'!I$2,mTitle,0))="","",INDEX(mlist,MATCH($B59,mNo,0),MATCH('4. Waiting confirm'!I$2,mTitle,0)))</f>
        <v>Major</v>
      </c>
      <c r="J59" t="str">
        <f>IF(INDEX(mlist,MATCH($B59,mNo,0),MATCH('4. Waiting confirm'!J$2,mTitle,0))="","",INDEX(mlist,MATCH($B59,mNo,0),MATCH('4. Waiting confirm'!J$2,mTitle,0)))</f>
        <v>FSA, FSB, BSA, VCA</v>
      </c>
      <c r="K59" s="294">
        <f>IF(INDEX(mlist,MATCH($B59,mNo,0),MATCH('4. Waiting confirm'!K$2,mTitle,0))="","",INDEX(mlist,MATCH($B59,mNo,0),MATCH('4. Waiting confirm'!K$2,mTitle,0)))</f>
        <v>4439</v>
      </c>
      <c r="L59" s="293">
        <f>IF(INDEX(mlist,MATCH($B59,mNo,0),MATCH('4. Waiting confirm'!L$2,mTitle,0))="","",INDEX(mlist,MATCH($B59,mNo,0),MATCH('4. Waiting confirm'!L$2,mTitle,0)))</f>
        <v>45132</v>
      </c>
      <c r="M59" t="str">
        <f>IF(INDEX(mlist,MATCH($B59,mNo,0),MATCH('4. Waiting confirm'!M$2,mTitle,0))="","",INDEX(mlist,MATCH($B59,mNo,0),MATCH('4. Waiting confirm'!M$2,mTitle,0)))</f>
        <v>2. Dealer working with end user</v>
      </c>
      <c r="N59" t="str">
        <f>IF(INDEX(mlist,MATCH($B59,mNo,0),MATCH('4. Waiting confirm'!N$2,mTitle,0))="","",INDEX(mlist,MATCH($B59,mNo,0),MATCH('4. Waiting confirm'!N$2,mTitle,0)))</f>
        <v>Dealer đã gửi báo giá cho BV</v>
      </c>
      <c r="O59" t="s">
        <v>288</v>
      </c>
      <c r="P59" t="s">
        <v>288</v>
      </c>
      <c r="R59" s="325">
        <f t="shared" si="1"/>
        <v>0.66666666666666663</v>
      </c>
    </row>
    <row r="60" spans="1:18">
      <c r="A60">
        <f>SUBTOTAL(103,$B$3:B60)</f>
        <v>58</v>
      </c>
      <c r="B60" t="s">
        <v>5776</v>
      </c>
      <c r="C60" t="str">
        <f>IF(INDEX(mlist,MATCH($B60,mNo,0),MATCH('4. Waiting confirm'!C$2,mTitle,0))="","",INDEX(mlist,MATCH($B60,mNo,0),MATCH('4. Waiting confirm'!C$2,mTitle,0)))</f>
        <v>Nam Dinh General Hospital</v>
      </c>
      <c r="D60" t="str">
        <f>IF(INDEX(mlist,MATCH($B60,mNo,0),MATCH('4. Waiting confirm'!D$2,mTitle,0))="","",INDEX(mlist,MATCH($B60,mNo,0),MATCH('4. Waiting confirm'!D$2,mTitle,0)))</f>
        <v>Hanoi</v>
      </c>
      <c r="E60" t="str">
        <f>IF(INDEX(mlist,MATCH($B60,mNo,0),MATCH('4. Waiting confirm'!E$2,mTitle,0))="","",INDEX(mlist,MATCH($B60,mNo,0),MATCH('4. Waiting confirm'!E$2,mTitle,0)))</f>
        <v>EC-530WI</v>
      </c>
      <c r="F60" t="str">
        <f>IF(INDEX(mlist,MATCH($B60,mNo,0),MATCH('4. Waiting confirm'!F$2,mTitle,0))="","",INDEX(mlist,MATCH($B60,mNo,0),MATCH('4. Waiting confirm'!F$2,mTitle,0)))</f>
        <v>4C449B022</v>
      </c>
      <c r="G60" s="293">
        <f>IF(INDEX(mlist,MATCH($B60,mNo,0),MATCH('4. Waiting confirm'!G$2,mTitle,0))="","",INDEX(mlist,MATCH($B60,mNo,0),MATCH('4. Waiting confirm'!G$2,mTitle,0)))</f>
        <v>45120.796701388892</v>
      </c>
      <c r="H60" s="293">
        <f>IF(INDEX(mlist,MATCH($B60,mNo,0),MATCH('4. Waiting confirm'!H$2,mTitle,0))="","",INDEX(mlist,MATCH($B60,mNo,0),MATCH('4. Waiting confirm'!H$2,mTitle,0)))</f>
        <v>45125.686041666668</v>
      </c>
      <c r="I60" t="str">
        <f>IF(INDEX(mlist,MATCH($B60,mNo,0),MATCH('4. Waiting confirm'!I$2,mTitle,0))="","",INDEX(mlist,MATCH($B60,mNo,0),MATCH('4. Waiting confirm'!I$2,mTitle,0)))</f>
        <v>Major</v>
      </c>
      <c r="J60" t="str">
        <f>IF(INDEX(mlist,MATCH($B60,mNo,0),MATCH('4. Waiting confirm'!J$2,mTitle,0))="","",INDEX(mlist,MATCH($B60,mNo,0),MATCH('4. Waiting confirm'!J$2,mTitle,0)))</f>
        <v>CHA, FSB, BSA, FSA, VCA</v>
      </c>
      <c r="K60" s="294">
        <f>IF(INDEX(mlist,MATCH($B60,mNo,0),MATCH('4. Waiting confirm'!K$2,mTitle,0))="","",INDEX(mlist,MATCH($B60,mNo,0),MATCH('4. Waiting confirm'!K$2,mTitle,0)))</f>
        <v>11996</v>
      </c>
      <c r="L60" s="293">
        <f>IF(INDEX(mlist,MATCH($B60,mNo,0),MATCH('4. Waiting confirm'!L$2,mTitle,0))="","",INDEX(mlist,MATCH($B60,mNo,0),MATCH('4. Waiting confirm'!L$2,mTitle,0)))</f>
        <v>45131</v>
      </c>
      <c r="M60" t="str">
        <f>IF(INDEX(mlist,MATCH($B60,mNo,0),MATCH('4. Waiting confirm'!M$2,mTitle,0))="","",INDEX(mlist,MATCH($B60,mNo,0),MATCH('4. Waiting confirm'!M$2,mTitle,0)))</f>
        <v>2. Dealer working with end user</v>
      </c>
      <c r="N60" t="str">
        <f>IF(INDEX(mlist,MATCH($B60,mNo,0),MATCH('4. Waiting confirm'!N$2,mTitle,0))="","",INDEX(mlist,MATCH($B60,mNo,0),MATCH('4. Waiting confirm'!N$2,mTitle,0)))</f>
        <v>Dealer đã gửi báo giá cho BV</v>
      </c>
      <c r="O60" t="s">
        <v>288</v>
      </c>
      <c r="P60" t="s">
        <v>288</v>
      </c>
      <c r="R60" s="325">
        <f t="shared" si="1"/>
        <v>0.66666666666666663</v>
      </c>
    </row>
    <row r="61" spans="1:18">
      <c r="A61">
        <f>SUBTOTAL(103,$B$3:B61)</f>
        <v>59</v>
      </c>
      <c r="B61" t="s">
        <v>5778</v>
      </c>
      <c r="C61" t="str">
        <f>IF(INDEX(mlist,MATCH($B61,mNo,0),MATCH('4. Waiting confirm'!C$2,mTitle,0))="","",INDEX(mlist,MATCH($B61,mNo,0),MATCH('4. Waiting confirm'!C$2,mTitle,0)))</f>
        <v>Nam Dinh General Hospital</v>
      </c>
      <c r="D61" t="str">
        <f>IF(INDEX(mlist,MATCH($B61,mNo,0),MATCH('4. Waiting confirm'!D$2,mTitle,0))="","",INDEX(mlist,MATCH($B61,mNo,0),MATCH('4. Waiting confirm'!D$2,mTitle,0)))</f>
        <v>Hanoi</v>
      </c>
      <c r="E61" t="str">
        <f>IF(INDEX(mlist,MATCH($B61,mNo,0),MATCH('4. Waiting confirm'!E$2,mTitle,0))="","",INDEX(mlist,MATCH($B61,mNo,0),MATCH('4. Waiting confirm'!E$2,mTitle,0)))</f>
        <v>EC-530WI</v>
      </c>
      <c r="F61" t="str">
        <f>IF(INDEX(mlist,MATCH($B61,mNo,0),MATCH('4. Waiting confirm'!F$2,mTitle,0))="","",INDEX(mlist,MATCH($B61,mNo,0),MATCH('4. Waiting confirm'!F$2,mTitle,0)))</f>
        <v>4C449B024</v>
      </c>
      <c r="G61" s="293">
        <f>IF(INDEX(mlist,MATCH($B61,mNo,0),MATCH('4. Waiting confirm'!G$2,mTitle,0))="","",INDEX(mlist,MATCH($B61,mNo,0),MATCH('4. Waiting confirm'!G$2,mTitle,0)))</f>
        <v>45120.798055555555</v>
      </c>
      <c r="H61" s="293">
        <f>IF(INDEX(mlist,MATCH($B61,mNo,0),MATCH('4. Waiting confirm'!H$2,mTitle,0))="","",INDEX(mlist,MATCH($B61,mNo,0),MATCH('4. Waiting confirm'!H$2,mTitle,0)))</f>
        <v>45125.51390046296</v>
      </c>
      <c r="I61" t="str">
        <f>IF(INDEX(mlist,MATCH($B61,mNo,0),MATCH('4. Waiting confirm'!I$2,mTitle,0))="","",INDEX(mlist,MATCH($B61,mNo,0),MATCH('4. Waiting confirm'!I$2,mTitle,0)))</f>
        <v>Major</v>
      </c>
      <c r="J61" t="str">
        <f>IF(INDEX(mlist,MATCH($B61,mNo,0),MATCH('4. Waiting confirm'!J$2,mTitle,0))="","",INDEX(mlist,MATCH($B61,mNo,0),MATCH('4. Waiting confirm'!J$2,mTitle,0)))</f>
        <v>CHA, FSA, FSB, VCA, BSA, SW</v>
      </c>
      <c r="K61" s="294">
        <f>IF(INDEX(mlist,MATCH($B61,mNo,0),MATCH('4. Waiting confirm'!K$2,mTitle,0))="","",INDEX(mlist,MATCH($B61,mNo,0),MATCH('4. Waiting confirm'!K$2,mTitle,0)))</f>
        <v>12518</v>
      </c>
      <c r="L61" s="293">
        <f>IF(INDEX(mlist,MATCH($B61,mNo,0),MATCH('4. Waiting confirm'!L$2,mTitle,0))="","",INDEX(mlist,MATCH($B61,mNo,0),MATCH('4. Waiting confirm'!L$2,mTitle,0)))</f>
        <v>45131</v>
      </c>
      <c r="M61" t="str">
        <f>IF(INDEX(mlist,MATCH($B61,mNo,0),MATCH('4. Waiting confirm'!M$2,mTitle,0))="","",INDEX(mlist,MATCH($B61,mNo,0),MATCH('4. Waiting confirm'!M$2,mTitle,0)))</f>
        <v>2. Dealer working with end user</v>
      </c>
      <c r="N61" t="str">
        <f>IF(INDEX(mlist,MATCH($B61,mNo,0),MATCH('4. Waiting confirm'!N$2,mTitle,0))="","",INDEX(mlist,MATCH($B61,mNo,0),MATCH('4. Waiting confirm'!N$2,mTitle,0)))</f>
        <v>Dealer đã gửi báo giá cho BV</v>
      </c>
      <c r="O61" t="s">
        <v>288</v>
      </c>
      <c r="P61" t="s">
        <v>288</v>
      </c>
      <c r="R61" s="325">
        <f t="shared" si="1"/>
        <v>0.66666666666666663</v>
      </c>
    </row>
    <row r="62" spans="1:18">
      <c r="A62">
        <f>SUBTOTAL(103,$B$3:B62)</f>
        <v>60</v>
      </c>
      <c r="B62" t="s">
        <v>5780</v>
      </c>
      <c r="C62" t="str">
        <f>IF(INDEX(mlist,MATCH($B62,mNo,0),MATCH('4. Waiting confirm'!C$2,mTitle,0))="","",INDEX(mlist,MATCH($B62,mNo,0),MATCH('4. Waiting confirm'!C$2,mTitle,0)))</f>
        <v>Nam Dinh General Hospital</v>
      </c>
      <c r="D62" t="str">
        <f>IF(INDEX(mlist,MATCH($B62,mNo,0),MATCH('4. Waiting confirm'!D$2,mTitle,0))="","",INDEX(mlist,MATCH($B62,mNo,0),MATCH('4. Waiting confirm'!D$2,mTitle,0)))</f>
        <v>Hanoi</v>
      </c>
      <c r="E62" t="str">
        <f>IF(INDEX(mlist,MATCH($B62,mNo,0),MATCH('4. Waiting confirm'!E$2,mTitle,0))="","",INDEX(mlist,MATCH($B62,mNo,0),MATCH('4. Waiting confirm'!E$2,mTitle,0)))</f>
        <v>EG-530WR</v>
      </c>
      <c r="F62" t="str">
        <f>IF(INDEX(mlist,MATCH($B62,mNo,0),MATCH('4. Waiting confirm'!F$2,mTitle,0))="","",INDEX(mlist,MATCH($B62,mNo,0),MATCH('4. Waiting confirm'!F$2,mTitle,0)))</f>
        <v>4G361A641</v>
      </c>
      <c r="G62" s="293">
        <f>IF(INDEX(mlist,MATCH($B62,mNo,0),MATCH('4. Waiting confirm'!G$2,mTitle,0))="","",INDEX(mlist,MATCH($B62,mNo,0),MATCH('4. Waiting confirm'!G$2,mTitle,0)))</f>
        <v>45120.801423611112</v>
      </c>
      <c r="H62" s="293">
        <f>IF(INDEX(mlist,MATCH($B62,mNo,0),MATCH('4. Waiting confirm'!H$2,mTitle,0))="","",INDEX(mlist,MATCH($B62,mNo,0),MATCH('4. Waiting confirm'!H$2,mTitle,0)))</f>
        <v>45125.670717592591</v>
      </c>
      <c r="I62" t="str">
        <f>IF(INDEX(mlist,MATCH($B62,mNo,0),MATCH('4. Waiting confirm'!I$2,mTitle,0))="","",INDEX(mlist,MATCH($B62,mNo,0),MATCH('4. Waiting confirm'!I$2,mTitle,0)))</f>
        <v>Major</v>
      </c>
      <c r="J62" t="str">
        <f>IF(INDEX(mlist,MATCH($B62,mNo,0),MATCH('4. Waiting confirm'!J$2,mTitle,0))="","",INDEX(mlist,MATCH($B62,mNo,0),MATCH('4. Waiting confirm'!J$2,mTitle,0)))</f>
        <v>AWT, CHA, FSB, BSA, VCA</v>
      </c>
      <c r="K62" s="294">
        <f>IF(INDEX(mlist,MATCH($B62,mNo,0),MATCH('4. Waiting confirm'!K$2,mTitle,0))="","",INDEX(mlist,MATCH($B62,mNo,0),MATCH('4. Waiting confirm'!K$2,mTitle,0)))</f>
        <v>8929</v>
      </c>
      <c r="L62" s="293">
        <f>IF(INDEX(mlist,MATCH($B62,mNo,0),MATCH('4. Waiting confirm'!L$2,mTitle,0))="","",INDEX(mlist,MATCH($B62,mNo,0),MATCH('4. Waiting confirm'!L$2,mTitle,0)))</f>
        <v>45131</v>
      </c>
      <c r="M62" t="str">
        <f>IF(INDEX(mlist,MATCH($B62,mNo,0),MATCH('4. Waiting confirm'!M$2,mTitle,0))="","",INDEX(mlist,MATCH($B62,mNo,0),MATCH('4. Waiting confirm'!M$2,mTitle,0)))</f>
        <v>2. Dealer working with end user</v>
      </c>
      <c r="N62" t="str">
        <f>IF(INDEX(mlist,MATCH($B62,mNo,0),MATCH('4. Waiting confirm'!N$2,mTitle,0))="","",INDEX(mlist,MATCH($B62,mNo,0),MATCH('4. Waiting confirm'!N$2,mTitle,0)))</f>
        <v>Dealer đã gửi báo giá cho BV</v>
      </c>
      <c r="O62" t="s">
        <v>288</v>
      </c>
      <c r="P62" t="s">
        <v>288</v>
      </c>
      <c r="R62" s="325">
        <f t="shared" si="1"/>
        <v>0.66666666666666663</v>
      </c>
    </row>
    <row r="63" spans="1:18">
      <c r="A63">
        <f>SUBTOTAL(103,$B$3:B63)</f>
        <v>61</v>
      </c>
      <c r="B63" t="s">
        <v>5827</v>
      </c>
      <c r="C63" t="str">
        <f>IF(INDEX(mlist,MATCH($B63,mNo,0),MATCH('4. Waiting confirm'!C$2,mTitle,0))="","",INDEX(mlist,MATCH($B63,mNo,0),MATCH('4. Waiting confirm'!C$2,mTitle,0)))</f>
        <v>No. 91 Endoscopy-Gastrointestinal-GI Scaning Test Clinic</v>
      </c>
      <c r="D63" t="str">
        <f>IF(INDEX(mlist,MATCH($B63,mNo,0),MATCH('4. Waiting confirm'!D$2,mTitle,0))="","",INDEX(mlist,MATCH($B63,mNo,0),MATCH('4. Waiting confirm'!D$2,mTitle,0)))</f>
        <v>HCM</v>
      </c>
      <c r="E63" t="str">
        <f>IF(INDEX(mlist,MATCH($B63,mNo,0),MATCH('4. Waiting confirm'!E$2,mTitle,0))="","",INDEX(mlist,MATCH($B63,mNo,0),MATCH('4. Waiting confirm'!E$2,mTitle,0)))</f>
        <v>EG-760Z</v>
      </c>
      <c r="F63" t="str">
        <f>IF(INDEX(mlist,MATCH($B63,mNo,0),MATCH('4. Waiting confirm'!F$2,mTitle,0))="","",INDEX(mlist,MATCH($B63,mNo,0),MATCH('4. Waiting confirm'!F$2,mTitle,0)))</f>
        <v>2G403K151</v>
      </c>
      <c r="G63" s="293">
        <f>IF(INDEX(mlist,MATCH($B63,mNo,0),MATCH('4. Waiting confirm'!G$2,mTitle,0))="","",INDEX(mlist,MATCH($B63,mNo,0),MATCH('4. Waiting confirm'!G$2,mTitle,0)))</f>
        <v>45125.786087962966</v>
      </c>
      <c r="H63" s="293">
        <f>IF(INDEX(mlist,MATCH($B63,mNo,0),MATCH('4. Waiting confirm'!H$2,mTitle,0))="","",INDEX(mlist,MATCH($B63,mNo,0),MATCH('4. Waiting confirm'!H$2,mTitle,0)))</f>
        <v>45127.66815972222</v>
      </c>
      <c r="I63" t="str">
        <f>IF(INDEX(mlist,MATCH($B63,mNo,0),MATCH('4. Waiting confirm'!I$2,mTitle,0))="","",INDEX(mlist,MATCH($B63,mNo,0),MATCH('4. Waiting confirm'!I$2,mTitle,0)))</f>
        <v>Major</v>
      </c>
      <c r="J63" t="str">
        <f>IF(INDEX(mlist,MATCH($B63,mNo,0),MATCH('4. Waiting confirm'!J$2,mTitle,0))="","",INDEX(mlist,MATCH($B63,mNo,0),MATCH('4. Waiting confirm'!J$2,mTitle,0)))</f>
        <v>FSB, ANGL</v>
      </c>
      <c r="K63" s="294">
        <f>IF(INDEX(mlist,MATCH($B63,mNo,0),MATCH('4. Waiting confirm'!K$2,mTitle,0))="","",INDEX(mlist,MATCH($B63,mNo,0),MATCH('4. Waiting confirm'!K$2,mTitle,0)))</f>
        <v>1434</v>
      </c>
      <c r="L63" s="293">
        <f>IF(INDEX(mlist,MATCH($B63,mNo,0),MATCH('4. Waiting confirm'!L$2,mTitle,0))="","",INDEX(mlist,MATCH($B63,mNo,0),MATCH('4. Waiting confirm'!L$2,mTitle,0)))</f>
        <v>45131</v>
      </c>
      <c r="M63" t="str">
        <f>IF(INDEX(mlist,MATCH($B63,mNo,0),MATCH('4. Waiting confirm'!M$2,mTitle,0))="","",INDEX(mlist,MATCH($B63,mNo,0),MATCH('4. Waiting confirm'!M$2,mTitle,0)))</f>
        <v>2. Dealer working with end user</v>
      </c>
      <c r="N63" t="str">
        <f>IF(INDEX(mlist,MATCH($B63,mNo,0),MATCH('4. Waiting confirm'!N$2,mTitle,0))="","",INDEX(mlist,MATCH($B63,mNo,0),MATCH('4. Waiting confirm'!N$2,mTitle,0)))</f>
        <v>không có thông tin</v>
      </c>
      <c r="O63" t="s">
        <v>288</v>
      </c>
      <c r="P63" t="s">
        <v>288</v>
      </c>
      <c r="R63" s="325">
        <f t="shared" si="1"/>
        <v>0.66666666666666663</v>
      </c>
    </row>
    <row r="64" spans="1:18">
      <c r="A64">
        <f>SUBTOTAL(103,$B$3:B64)</f>
        <v>62</v>
      </c>
      <c r="B64" t="s">
        <v>5829</v>
      </c>
      <c r="C64" t="str">
        <f>IF(INDEX(mlist,MATCH($B64,mNo,0),MATCH('4. Waiting confirm'!C$2,mTitle,0))="","",INDEX(mlist,MATCH($B64,mNo,0),MATCH('4. Waiting confirm'!C$2,mTitle,0)))</f>
        <v>Tuyen Quang General Hospital</v>
      </c>
      <c r="D64" t="str">
        <f>IF(INDEX(mlist,MATCH($B64,mNo,0),MATCH('4. Waiting confirm'!D$2,mTitle,0))="","",INDEX(mlist,MATCH($B64,mNo,0),MATCH('4. Waiting confirm'!D$2,mTitle,0)))</f>
        <v>Hanoi</v>
      </c>
      <c r="E64" t="str">
        <f>IF(INDEX(mlist,MATCH($B64,mNo,0),MATCH('4. Waiting confirm'!E$2,mTitle,0))="","",INDEX(mlist,MATCH($B64,mNo,0),MATCH('4. Waiting confirm'!E$2,mTitle,0)))</f>
        <v>EG-530WR</v>
      </c>
      <c r="F64" t="str">
        <f>IF(INDEX(mlist,MATCH($B64,mNo,0),MATCH('4. Waiting confirm'!F$2,mTitle,0))="","",INDEX(mlist,MATCH($B64,mNo,0),MATCH('4. Waiting confirm'!F$2,mTitle,0)))</f>
        <v>9G361K615</v>
      </c>
      <c r="G64" s="293">
        <f>IF(INDEX(mlist,MATCH($B64,mNo,0),MATCH('4. Waiting confirm'!G$2,mTitle,0))="","",INDEX(mlist,MATCH($B64,mNo,0),MATCH('4. Waiting confirm'!G$2,mTitle,0)))</f>
        <v>45125.714282407411</v>
      </c>
      <c r="H64" s="293">
        <f>IF(INDEX(mlist,MATCH($B64,mNo,0),MATCH('4. Waiting confirm'!H$2,mTitle,0))="","",INDEX(mlist,MATCH($B64,mNo,0),MATCH('4. Waiting confirm'!H$2,mTitle,0)))</f>
        <v>45126.639675925922</v>
      </c>
      <c r="I64" t="str">
        <f>IF(INDEX(mlist,MATCH($B64,mNo,0),MATCH('4. Waiting confirm'!I$2,mTitle,0))="","",INDEX(mlist,MATCH($B64,mNo,0),MATCH('4. Waiting confirm'!I$2,mTitle,0)))</f>
        <v>Major</v>
      </c>
      <c r="J64" t="str">
        <f>IF(INDEX(mlist,MATCH($B64,mNo,0),MATCH('4. Waiting confirm'!J$2,mTitle,0))="","",INDEX(mlist,MATCH($B64,mNo,0),MATCH('4. Waiting confirm'!J$2,mTitle,0)))</f>
        <v>CHA, BSA, FCT</v>
      </c>
      <c r="K64" s="294">
        <f>IF(INDEX(mlist,MATCH($B64,mNo,0),MATCH('4. Waiting confirm'!K$2,mTitle,0))="","",INDEX(mlist,MATCH($B64,mNo,0),MATCH('4. Waiting confirm'!K$2,mTitle,0)))</f>
        <v>4527</v>
      </c>
      <c r="L64" s="293">
        <f>IF(INDEX(mlist,MATCH($B64,mNo,0),MATCH('4. Waiting confirm'!L$2,mTitle,0))="","",INDEX(mlist,MATCH($B64,mNo,0),MATCH('4. Waiting confirm'!L$2,mTitle,0)))</f>
        <v>45145</v>
      </c>
      <c r="M64" t="str">
        <f>IF(INDEX(mlist,MATCH($B64,mNo,0),MATCH('4. Waiting confirm'!M$2,mTitle,0))="","",INDEX(mlist,MATCH($B64,mNo,0),MATCH('4. Waiting confirm'!M$2,mTitle,0)))</f>
        <v>2. Dealer working with end user</v>
      </c>
      <c r="N64" t="str">
        <f>IF(INDEX(mlist,MATCH($B64,mNo,0),MATCH('4. Waiting confirm'!N$2,mTitle,0))="","",INDEX(mlist,MATCH($B64,mNo,0),MATCH('4. Waiting confirm'!N$2,mTitle,0)))</f>
        <v>đã gửi báo giá, BV xin discount</v>
      </c>
      <c r="O64" t="s">
        <v>288</v>
      </c>
      <c r="P64" t="s">
        <v>288</v>
      </c>
      <c r="R64" s="325">
        <f t="shared" si="1"/>
        <v>0.66666666666666663</v>
      </c>
    </row>
    <row r="65" spans="1:18">
      <c r="A65">
        <f>SUBTOTAL(103,$B$3:B65)</f>
        <v>63</v>
      </c>
      <c r="B65" t="s">
        <v>5831</v>
      </c>
      <c r="C65" t="str">
        <f>IF(INDEX(mlist,MATCH($B65,mNo,0),MATCH('4. Waiting confirm'!C$2,mTitle,0))="","",INDEX(mlist,MATCH($B65,mNo,0),MATCH('4. Waiting confirm'!C$2,mTitle,0)))</f>
        <v>Tuyen Quang General Hospital</v>
      </c>
      <c r="D65" t="str">
        <f>IF(INDEX(mlist,MATCH($B65,mNo,0),MATCH('4. Waiting confirm'!D$2,mTitle,0))="","",INDEX(mlist,MATCH($B65,mNo,0),MATCH('4. Waiting confirm'!D$2,mTitle,0)))</f>
        <v>Hanoi</v>
      </c>
      <c r="E65" t="str">
        <f>IF(INDEX(mlist,MATCH($B65,mNo,0),MATCH('4. Waiting confirm'!E$2,mTitle,0))="","",INDEX(mlist,MATCH($B65,mNo,0),MATCH('4. Waiting confirm'!E$2,mTitle,0)))</f>
        <v>EB-530S</v>
      </c>
      <c r="F65" t="str">
        <f>IF(INDEX(mlist,MATCH($B65,mNo,0),MATCH('4. Waiting confirm'!F$2,mTitle,0))="","",INDEX(mlist,MATCH($B65,mNo,0),MATCH('4. Waiting confirm'!F$2,mTitle,0)))</f>
        <v>6B083K189</v>
      </c>
      <c r="G65" s="293">
        <f>IF(INDEX(mlist,MATCH($B65,mNo,0),MATCH('4. Waiting confirm'!G$2,mTitle,0))="","",INDEX(mlist,MATCH($B65,mNo,0),MATCH('4. Waiting confirm'!G$2,mTitle,0)))</f>
        <v>45125.715624999997</v>
      </c>
      <c r="H65" s="293">
        <f>IF(INDEX(mlist,MATCH($B65,mNo,0),MATCH('4. Waiting confirm'!H$2,mTitle,0))="","",INDEX(mlist,MATCH($B65,mNo,0),MATCH('4. Waiting confirm'!H$2,mTitle,0)))</f>
        <v>45128.543749999997</v>
      </c>
      <c r="I65" t="str">
        <f>IF(INDEX(mlist,MATCH($B65,mNo,0),MATCH('4. Waiting confirm'!I$2,mTitle,0))="","",INDEX(mlist,MATCH($B65,mNo,0),MATCH('4. Waiting confirm'!I$2,mTitle,0)))</f>
        <v>Major</v>
      </c>
      <c r="J65" t="str">
        <f>IF(INDEX(mlist,MATCH($B65,mNo,0),MATCH('4. Waiting confirm'!J$2,mTitle,0))="","",INDEX(mlist,MATCH($B65,mNo,0),MATCH('4. Waiting confirm'!J$2,mTitle,0)))</f>
        <v>CHA, BSA, FSA, DEC, LGB</v>
      </c>
      <c r="K65" s="294">
        <f>IF(INDEX(mlist,MATCH($B65,mNo,0),MATCH('4. Waiting confirm'!K$2,mTitle,0))="","",INDEX(mlist,MATCH($B65,mNo,0),MATCH('4. Waiting confirm'!K$2,mTitle,0)))</f>
        <v>6813</v>
      </c>
      <c r="L65" s="293">
        <f>IF(INDEX(mlist,MATCH($B65,mNo,0),MATCH('4. Waiting confirm'!L$2,mTitle,0))="","",INDEX(mlist,MATCH($B65,mNo,0),MATCH('4. Waiting confirm'!L$2,mTitle,0)))</f>
        <v>45145</v>
      </c>
      <c r="M65" t="str">
        <f>IF(INDEX(mlist,MATCH($B65,mNo,0),MATCH('4. Waiting confirm'!M$2,mTitle,0))="","",INDEX(mlist,MATCH($B65,mNo,0),MATCH('4. Waiting confirm'!M$2,mTitle,0)))</f>
        <v>2. Dealer working with end user</v>
      </c>
      <c r="N65" t="str">
        <f>IF(INDEX(mlist,MATCH($B65,mNo,0),MATCH('4. Waiting confirm'!N$2,mTitle,0))="","",INDEX(mlist,MATCH($B65,mNo,0),MATCH('4. Waiting confirm'!N$2,mTitle,0)))</f>
        <v>đã gửi báo giá, BV xin discount</v>
      </c>
      <c r="O65" t="s">
        <v>288</v>
      </c>
      <c r="P65" t="s">
        <v>288</v>
      </c>
      <c r="R65" s="325">
        <f t="shared" si="1"/>
        <v>0.66666666666666663</v>
      </c>
    </row>
    <row r="66" spans="1:18">
      <c r="A66">
        <f>SUBTOTAL(103,$B$3:B66)</f>
        <v>64</v>
      </c>
      <c r="B66" t="s">
        <v>5832</v>
      </c>
      <c r="C66" t="str">
        <f>IF(INDEX(mlist,MATCH($B66,mNo,0),MATCH('4. Waiting confirm'!C$2,mTitle,0))="","",INDEX(mlist,MATCH($B66,mNo,0),MATCH('4. Waiting confirm'!C$2,mTitle,0)))</f>
        <v>Tuyen Quang General Hospital</v>
      </c>
      <c r="D66" t="str">
        <f>IF(INDEX(mlist,MATCH($B66,mNo,0),MATCH('4. Waiting confirm'!D$2,mTitle,0))="","",INDEX(mlist,MATCH($B66,mNo,0),MATCH('4. Waiting confirm'!D$2,mTitle,0)))</f>
        <v>Hanoi</v>
      </c>
      <c r="E66" t="str">
        <f>IF(INDEX(mlist,MATCH($B66,mNo,0),MATCH('4. Waiting confirm'!E$2,mTitle,0))="","",INDEX(mlist,MATCH($B66,mNo,0),MATCH('4. Waiting confirm'!E$2,mTitle,0)))</f>
        <v>EG-600WR</v>
      </c>
      <c r="F66" t="str">
        <f>IF(INDEX(mlist,MATCH($B66,mNo,0),MATCH('4. Waiting confirm'!F$2,mTitle,0))="","",INDEX(mlist,MATCH($B66,mNo,0),MATCH('4. Waiting confirm'!F$2,mTitle,0)))</f>
        <v>1G391K698</v>
      </c>
      <c r="G66" s="293">
        <f>IF(INDEX(mlist,MATCH($B66,mNo,0),MATCH('4. Waiting confirm'!G$2,mTitle,0))="","",INDEX(mlist,MATCH($B66,mNo,0),MATCH('4. Waiting confirm'!G$2,mTitle,0)))</f>
        <v>45125.716446759259</v>
      </c>
      <c r="H66" s="293">
        <f>IF(INDEX(mlist,MATCH($B66,mNo,0),MATCH('4. Waiting confirm'!H$2,mTitle,0))="","",INDEX(mlist,MATCH($B66,mNo,0),MATCH('4. Waiting confirm'!H$2,mTitle,0)))</f>
        <v>45128.744363425925</v>
      </c>
      <c r="I66" t="str">
        <f>IF(INDEX(mlist,MATCH($B66,mNo,0),MATCH('4. Waiting confirm'!I$2,mTitle,0))="","",INDEX(mlist,MATCH($B66,mNo,0),MATCH('4. Waiting confirm'!I$2,mTitle,0)))</f>
        <v>Major</v>
      </c>
      <c r="J66" t="str">
        <f>IF(INDEX(mlist,MATCH($B66,mNo,0),MATCH('4. Waiting confirm'!J$2,mTitle,0))="","",INDEX(mlist,MATCH($B66,mNo,0),MATCH('4. Waiting confirm'!J$2,mTitle,0)))</f>
        <v>FSB, CHA, BSA, PCB, VCA, FSA</v>
      </c>
      <c r="K66" s="294">
        <f>IF(INDEX(mlist,MATCH($B66,mNo,0),MATCH('4. Waiting confirm'!K$2,mTitle,0))="","",INDEX(mlist,MATCH($B66,mNo,0),MATCH('4. Waiting confirm'!K$2,mTitle,0)))</f>
        <v>10657</v>
      </c>
      <c r="L66" s="293">
        <f>IF(INDEX(mlist,MATCH($B66,mNo,0),MATCH('4. Waiting confirm'!L$2,mTitle,0))="","",INDEX(mlist,MATCH($B66,mNo,0),MATCH('4. Waiting confirm'!L$2,mTitle,0)))</f>
        <v>45145</v>
      </c>
      <c r="M66" t="str">
        <f>IF(INDEX(mlist,MATCH($B66,mNo,0),MATCH('4. Waiting confirm'!M$2,mTitle,0))="","",INDEX(mlist,MATCH($B66,mNo,0),MATCH('4. Waiting confirm'!M$2,mTitle,0)))</f>
        <v>2. Dealer working with end user</v>
      </c>
      <c r="N66" t="str">
        <f>IF(INDEX(mlist,MATCH($B66,mNo,0),MATCH('4. Waiting confirm'!N$2,mTitle,0))="","",INDEX(mlist,MATCH($B66,mNo,0),MATCH('4. Waiting confirm'!N$2,mTitle,0)))</f>
        <v>đã gửi báo giá, BV xin discount</v>
      </c>
      <c r="O66" t="s">
        <v>288</v>
      </c>
      <c r="P66" t="s">
        <v>288</v>
      </c>
      <c r="R66" s="325">
        <f t="shared" si="1"/>
        <v>0.66666666666666663</v>
      </c>
    </row>
    <row r="67" spans="1:18">
      <c r="A67">
        <f>SUBTOTAL(103,$B$3:B67)</f>
        <v>65</v>
      </c>
      <c r="B67" t="s">
        <v>5833</v>
      </c>
      <c r="C67" t="str">
        <f>IF(INDEX(mlist,MATCH($B67,mNo,0),MATCH('4. Waiting confirm'!C$2,mTitle,0))="","",INDEX(mlist,MATCH($B67,mNo,0),MATCH('4. Waiting confirm'!C$2,mTitle,0)))</f>
        <v>Tuyen Quang General Hospital</v>
      </c>
      <c r="D67" t="str">
        <f>IF(INDEX(mlist,MATCH($B67,mNo,0),MATCH('4. Waiting confirm'!D$2,mTitle,0))="","",INDEX(mlist,MATCH($B67,mNo,0),MATCH('4. Waiting confirm'!D$2,mTitle,0)))</f>
        <v>Hanoi</v>
      </c>
      <c r="E67" t="str">
        <f>IF(INDEX(mlist,MATCH($B67,mNo,0),MATCH('4. Waiting confirm'!E$2,mTitle,0))="","",INDEX(mlist,MATCH($B67,mNo,0),MATCH('4. Waiting confirm'!E$2,mTitle,0)))</f>
        <v>EC-530WM</v>
      </c>
      <c r="F67" t="str">
        <f>IF(INDEX(mlist,MATCH($B67,mNo,0),MATCH('4. Waiting confirm'!F$2,mTitle,0))="","",INDEX(mlist,MATCH($B67,mNo,0),MATCH('4. Waiting confirm'!F$2,mTitle,0)))</f>
        <v>3C593A008</v>
      </c>
      <c r="G67" s="293">
        <f>IF(INDEX(mlist,MATCH($B67,mNo,0),MATCH('4. Waiting confirm'!G$2,mTitle,0))="","",INDEX(mlist,MATCH($B67,mNo,0),MATCH('4. Waiting confirm'!G$2,mTitle,0)))</f>
        <v>45125.717418981483</v>
      </c>
      <c r="H67" s="293">
        <f>IF(INDEX(mlist,MATCH($B67,mNo,0),MATCH('4. Waiting confirm'!H$2,mTitle,0))="","",INDEX(mlist,MATCH($B67,mNo,0),MATCH('4. Waiting confirm'!H$2,mTitle,0)))</f>
        <v>45128.581296296295</v>
      </c>
      <c r="I67" t="str">
        <f>IF(INDEX(mlist,MATCH($B67,mNo,0),MATCH('4. Waiting confirm'!I$2,mTitle,0))="","",INDEX(mlist,MATCH($B67,mNo,0),MATCH('4. Waiting confirm'!I$2,mTitle,0)))</f>
        <v>Major</v>
      </c>
      <c r="J67" t="str">
        <f>IF(INDEX(mlist,MATCH($B67,mNo,0),MATCH('4. Waiting confirm'!J$2,mTitle,0))="","",INDEX(mlist,MATCH($B67,mNo,0),MATCH('4. Waiting confirm'!J$2,mTitle,0)))</f>
        <v>FSB, PCB, BSA</v>
      </c>
      <c r="K67" s="294">
        <f>IF(INDEX(mlist,MATCH($B67,mNo,0),MATCH('4. Waiting confirm'!K$2,mTitle,0))="","",INDEX(mlist,MATCH($B67,mNo,0),MATCH('4. Waiting confirm'!K$2,mTitle,0)))</f>
        <v>3142</v>
      </c>
      <c r="L67" s="293">
        <f>IF(INDEX(mlist,MATCH($B67,mNo,0),MATCH('4. Waiting confirm'!L$2,mTitle,0))="","",INDEX(mlist,MATCH($B67,mNo,0),MATCH('4. Waiting confirm'!L$2,mTitle,0)))</f>
        <v>45145</v>
      </c>
      <c r="M67" t="str">
        <f>IF(INDEX(mlist,MATCH($B67,mNo,0),MATCH('4. Waiting confirm'!M$2,mTitle,0))="","",INDEX(mlist,MATCH($B67,mNo,0),MATCH('4. Waiting confirm'!M$2,mTitle,0)))</f>
        <v>2. Dealer working with end user</v>
      </c>
      <c r="N67" t="str">
        <f>IF(INDEX(mlist,MATCH($B67,mNo,0),MATCH('4. Waiting confirm'!N$2,mTitle,0))="","",INDEX(mlist,MATCH($B67,mNo,0),MATCH('4. Waiting confirm'!N$2,mTitle,0)))</f>
        <v>đã gửi báo giá, BV xin discount</v>
      </c>
      <c r="O67" t="s">
        <v>288</v>
      </c>
      <c r="P67" t="s">
        <v>288</v>
      </c>
      <c r="R67" s="325">
        <f t="shared" ref="R67:R92" si="2">COUNTA(O67:Q67)/3</f>
        <v>0.66666666666666663</v>
      </c>
    </row>
    <row r="68" spans="1:18">
      <c r="A68">
        <f>SUBTOTAL(103,$B$3:B68)</f>
        <v>66</v>
      </c>
      <c r="B68" t="s">
        <v>5850</v>
      </c>
      <c r="C68" t="str">
        <f>IF(INDEX(mlist,MATCH($B68,mNo,0),MATCH('4. Waiting confirm'!C$2,mTitle,0))="","",INDEX(mlist,MATCH($B68,mNo,0),MATCH('4. Waiting confirm'!C$2,mTitle,0)))</f>
        <v>No. 91 Endoscopy-Gastrointestinal-GI Scaning Test Clinic</v>
      </c>
      <c r="D68" t="str">
        <f>IF(INDEX(mlist,MATCH($B68,mNo,0),MATCH('4. Waiting confirm'!D$2,mTitle,0))="","",INDEX(mlist,MATCH($B68,mNo,0),MATCH('4. Waiting confirm'!D$2,mTitle,0)))</f>
        <v>HCM</v>
      </c>
      <c r="E68" t="str">
        <f>IF(INDEX(mlist,MATCH($B68,mNo,0),MATCH('4. Waiting confirm'!E$2,mTitle,0))="","",INDEX(mlist,MATCH($B68,mNo,0),MATCH('4. Waiting confirm'!E$2,mTitle,0)))</f>
        <v>EG-760R</v>
      </c>
      <c r="F68" t="str">
        <f>IF(INDEX(mlist,MATCH($B68,mNo,0),MATCH('4. Waiting confirm'!F$2,mTitle,0))="","",INDEX(mlist,MATCH($B68,mNo,0),MATCH('4. Waiting confirm'!F$2,mTitle,0)))</f>
        <v>1G402K686</v>
      </c>
      <c r="G68" s="293">
        <f>IF(INDEX(mlist,MATCH($B68,mNo,0),MATCH('4. Waiting confirm'!G$2,mTitle,0))="","",INDEX(mlist,MATCH($B68,mNo,0),MATCH('4. Waiting confirm'!G$2,mTitle,0)))</f>
        <v>45133.72315972222</v>
      </c>
      <c r="H68" s="293">
        <f>IF(INDEX(mlist,MATCH($B68,mNo,0),MATCH('4. Waiting confirm'!H$2,mTitle,0))="","",INDEX(mlist,MATCH($B68,mNo,0),MATCH('4. Waiting confirm'!H$2,mTitle,0)))</f>
        <v>45133.76189814815</v>
      </c>
      <c r="I68" t="str">
        <f>IF(INDEX(mlist,MATCH($B68,mNo,0),MATCH('4. Waiting confirm'!I$2,mTitle,0))="","",INDEX(mlist,MATCH($B68,mNo,0),MATCH('4. Waiting confirm'!I$2,mTitle,0)))</f>
        <v>Major</v>
      </c>
      <c r="J68" t="str">
        <f>IF(INDEX(mlist,MATCH($B68,mNo,0),MATCH('4. Waiting confirm'!J$2,mTitle,0))="","",INDEX(mlist,MATCH($B68,mNo,0),MATCH('4. Waiting confirm'!J$2,mTitle,0)))</f>
        <v>AWB, DRY, BSA</v>
      </c>
      <c r="K68" s="294">
        <f>IF(INDEX(mlist,MATCH($B68,mNo,0),MATCH('4. Waiting confirm'!K$2,mTitle,0))="","",INDEX(mlist,MATCH($B68,mNo,0),MATCH('4. Waiting confirm'!K$2,mTitle,0)))</f>
        <v>2297</v>
      </c>
      <c r="L68" s="293">
        <f>IF(INDEX(mlist,MATCH($B68,mNo,0),MATCH('4. Waiting confirm'!L$2,mTitle,0))="","",INDEX(mlist,MATCH($B68,mNo,0),MATCH('4. Waiting confirm'!L$2,mTitle,0)))</f>
        <v>45135</v>
      </c>
      <c r="M68" t="str">
        <f>IF(INDEX(mlist,MATCH($B68,mNo,0),MATCH('4. Waiting confirm'!M$2,mTitle,0))="","",INDEX(mlist,MATCH($B68,mNo,0),MATCH('4. Waiting confirm'!M$2,mTitle,0)))</f>
        <v>2. Dealer working with end user</v>
      </c>
      <c r="N68" t="str">
        <f>IF(INDEX(mlist,MATCH($B68,mNo,0),MATCH('4. Waiting confirm'!N$2,mTitle,0))="","",INDEX(mlist,MATCH($B68,mNo,0),MATCH('4. Waiting confirm'!N$2,mTitle,0)))</f>
        <v>không có thông tin</v>
      </c>
      <c r="O68" t="s">
        <v>288</v>
      </c>
      <c r="P68" t="s">
        <v>288</v>
      </c>
      <c r="R68" s="325">
        <f t="shared" si="2"/>
        <v>0.66666666666666663</v>
      </c>
    </row>
    <row r="69" spans="1:18">
      <c r="A69">
        <f>SUBTOTAL(103,$B$3:B69)</f>
        <v>67</v>
      </c>
      <c r="B69" t="s">
        <v>5917</v>
      </c>
      <c r="C69" t="str">
        <f>IF(INDEX(mlist,MATCH($B69,mNo,0),MATCH('4. Waiting confirm'!C$2,mTitle,0))="","",INDEX(mlist,MATCH($B69,mNo,0),MATCH('4. Waiting confirm'!C$2,mTitle,0)))</f>
        <v>UONG BI HOSPITAL</v>
      </c>
      <c r="D69" t="str">
        <f>IF(INDEX(mlist,MATCH($B69,mNo,0),MATCH('4. Waiting confirm'!D$2,mTitle,0))="","",INDEX(mlist,MATCH($B69,mNo,0),MATCH('4. Waiting confirm'!D$2,mTitle,0)))</f>
        <v>Hanoi</v>
      </c>
      <c r="E69" t="str">
        <f>IF(INDEX(mlist,MATCH($B69,mNo,0),MATCH('4. Waiting confirm'!E$2,mTitle,0))="","",INDEX(mlist,MATCH($B69,mNo,0),MATCH('4. Waiting confirm'!E$2,mTitle,0)))</f>
        <v>EC-530WI3</v>
      </c>
      <c r="F69" t="str">
        <f>IF(INDEX(mlist,MATCH($B69,mNo,0),MATCH('4. Waiting confirm'!F$2,mTitle,0))="","",INDEX(mlist,MATCH($B69,mNo,0),MATCH('4. Waiting confirm'!F$2,mTitle,0)))</f>
        <v>1C642K107</v>
      </c>
      <c r="G69" s="293">
        <f>IF(INDEX(mlist,MATCH($B69,mNo,0),MATCH('4. Waiting confirm'!G$2,mTitle,0))="","",INDEX(mlist,MATCH($B69,mNo,0),MATCH('4. Waiting confirm'!G$2,mTitle,0)))</f>
        <v>45132.745972222219</v>
      </c>
      <c r="H69" s="293">
        <f>IF(INDEX(mlist,MATCH($B69,mNo,0),MATCH('4. Waiting confirm'!H$2,mTitle,0))="","",INDEX(mlist,MATCH($B69,mNo,0),MATCH('4. Waiting confirm'!H$2,mTitle,0)))</f>
        <v>45133.50167824074</v>
      </c>
      <c r="I69" t="str">
        <f>IF(INDEX(mlist,MATCH($B69,mNo,0),MATCH('4. Waiting confirm'!I$2,mTitle,0))="","",INDEX(mlist,MATCH($B69,mNo,0),MATCH('4. Waiting confirm'!I$2,mTitle,0)))</f>
        <v>Major</v>
      </c>
      <c r="J69" t="str">
        <f>IF(INDEX(mlist,MATCH($B69,mNo,0),MATCH('4. Waiting confirm'!J$2,mTitle,0))="","",INDEX(mlist,MATCH($B69,mNo,0),MATCH('4. Waiting confirm'!J$2,mTitle,0)))</f>
        <v>FSA, DWA, BSA, NOZ, VCA, FSB</v>
      </c>
      <c r="K69" s="294">
        <f>IF(INDEX(mlist,MATCH($B69,mNo,0),MATCH('4. Waiting confirm'!K$2,mTitle,0))="","",INDEX(mlist,MATCH($B69,mNo,0),MATCH('4. Waiting confirm'!K$2,mTitle,0)))</f>
        <v>4306</v>
      </c>
      <c r="L69" s="293">
        <f>IF(INDEX(mlist,MATCH($B69,mNo,0),MATCH('4. Waiting confirm'!L$2,mTitle,0))="","",INDEX(mlist,MATCH($B69,mNo,0),MATCH('4. Waiting confirm'!L$2,mTitle,0)))</f>
        <v>45135</v>
      </c>
      <c r="M69" t="str">
        <f>IF(INDEX(mlist,MATCH($B69,mNo,0),MATCH('4. Waiting confirm'!M$2,mTitle,0))="","",INDEX(mlist,MATCH($B69,mNo,0),MATCH('4. Waiting confirm'!M$2,mTitle,0)))</f>
        <v>2. Dealer working with end user</v>
      </c>
      <c r="N69" t="str">
        <f>IF(INDEX(mlist,MATCH($B69,mNo,0),MATCH('4. Waiting confirm'!N$2,mTitle,0))="","",INDEX(mlist,MATCH($B69,mNo,0),MATCH('4. Waiting confirm'!N$2,mTitle,0)))</f>
        <v>Duc update sau</v>
      </c>
      <c r="O69" t="s">
        <v>288</v>
      </c>
      <c r="P69" t="s">
        <v>288</v>
      </c>
      <c r="R69" s="325">
        <f t="shared" si="2"/>
        <v>0.66666666666666663</v>
      </c>
    </row>
    <row r="70" spans="1:18">
      <c r="A70">
        <f>SUBTOTAL(103,$B$3:B70)</f>
        <v>68</v>
      </c>
      <c r="B70" t="s">
        <v>5921</v>
      </c>
      <c r="C70" t="str">
        <f>IF(INDEX(mlist,MATCH($B70,mNo,0),MATCH('4. Waiting confirm'!C$2,mTitle,0))="","",INDEX(mlist,MATCH($B70,mNo,0),MATCH('4. Waiting confirm'!C$2,mTitle,0)))</f>
        <v>DA NANG HOSPITAL</v>
      </c>
      <c r="D70" t="str">
        <f>IF(INDEX(mlist,MATCH($B70,mNo,0),MATCH('4. Waiting confirm'!D$2,mTitle,0))="","",INDEX(mlist,MATCH($B70,mNo,0),MATCH('4. Waiting confirm'!D$2,mTitle,0)))</f>
        <v>HCM</v>
      </c>
      <c r="E70" t="str">
        <f>IF(INDEX(mlist,MATCH($B70,mNo,0),MATCH('4. Waiting confirm'!E$2,mTitle,0))="","",INDEX(mlist,MATCH($B70,mNo,0),MATCH('4. Waiting confirm'!E$2,mTitle,0)))</f>
        <v>EG-530FP</v>
      </c>
      <c r="F70" t="str">
        <f>IF(INDEX(mlist,MATCH($B70,mNo,0),MATCH('4. Waiting confirm'!F$2,mTitle,0))="","",INDEX(mlist,MATCH($B70,mNo,0),MATCH('4. Waiting confirm'!F$2,mTitle,0)))</f>
        <v>1G374K023</v>
      </c>
      <c r="G70" s="293">
        <f>IF(INDEX(mlist,MATCH($B70,mNo,0),MATCH('4. Waiting confirm'!G$2,mTitle,0))="","",INDEX(mlist,MATCH($B70,mNo,0),MATCH('4. Waiting confirm'!G$2,mTitle,0)))</f>
        <v>45133.482546296298</v>
      </c>
      <c r="H70" s="293">
        <f>IF(INDEX(mlist,MATCH($B70,mNo,0),MATCH('4. Waiting confirm'!H$2,mTitle,0))="","",INDEX(mlist,MATCH($B70,mNo,0),MATCH('4. Waiting confirm'!H$2,mTitle,0)))</f>
        <v>45133.639837962961</v>
      </c>
      <c r="I70" t="str">
        <f>IF(INDEX(mlist,MATCH($B70,mNo,0),MATCH('4. Waiting confirm'!I$2,mTitle,0))="","",INDEX(mlist,MATCH($B70,mNo,0),MATCH('4. Waiting confirm'!I$2,mTitle,0)))</f>
        <v>Major</v>
      </c>
      <c r="J70" t="str">
        <f>IF(INDEX(mlist,MATCH($B70,mNo,0),MATCH('4. Waiting confirm'!J$2,mTitle,0))="","",INDEX(mlist,MATCH($B70,mNo,0),MATCH('4. Waiting confirm'!J$2,mTitle,0)))</f>
        <v>ISA, BSA, FSA, FSB, VCA, PCB</v>
      </c>
      <c r="K70" s="294">
        <f>IF(INDEX(mlist,MATCH($B70,mNo,0),MATCH('4. Waiting confirm'!K$2,mTitle,0))="","",INDEX(mlist,MATCH($B70,mNo,0),MATCH('4. Waiting confirm'!K$2,mTitle,0)))</f>
        <v>8920</v>
      </c>
      <c r="L70" s="293">
        <f>IF(INDEX(mlist,MATCH($B70,mNo,0),MATCH('4. Waiting confirm'!L$2,mTitle,0))="","",INDEX(mlist,MATCH($B70,mNo,0),MATCH('4. Waiting confirm'!L$2,mTitle,0)))</f>
        <v>45135</v>
      </c>
      <c r="M70" t="str">
        <f>IF(INDEX(mlist,MATCH($B70,mNo,0),MATCH('4. Waiting confirm'!M$2,mTitle,0))="","",INDEX(mlist,MATCH($B70,mNo,0),MATCH('4. Waiting confirm'!M$2,mTitle,0)))</f>
        <v>2. Dealer working with end user</v>
      </c>
      <c r="N70" t="str">
        <f>IF(INDEX(mlist,MATCH($B70,mNo,0),MATCH('4. Waiting confirm'!N$2,mTitle,0))="","",INDEX(mlist,MATCH($B70,mNo,0),MATCH('4. Waiting confirm'!N$2,mTitle,0)))</f>
        <v>không có thông tin</v>
      </c>
      <c r="O70" t="s">
        <v>288</v>
      </c>
      <c r="P70" t="s">
        <v>288</v>
      </c>
      <c r="R70" s="325">
        <f t="shared" si="2"/>
        <v>0.66666666666666663</v>
      </c>
    </row>
    <row r="71" spans="1:18">
      <c r="A71">
        <f>SUBTOTAL(103,$B$3:B71)</f>
        <v>69</v>
      </c>
      <c r="B71" t="s">
        <v>5925</v>
      </c>
      <c r="C71" t="str">
        <f>IF(INDEX(mlist,MATCH($B71,mNo,0),MATCH('4. Waiting confirm'!C$2,mTitle,0))="","",INDEX(mlist,MATCH($B71,mNo,0),MATCH('4. Waiting confirm'!C$2,mTitle,0)))</f>
        <v>DA NANG HOSPITAL</v>
      </c>
      <c r="D71" t="str">
        <f>IF(INDEX(mlist,MATCH($B71,mNo,0),MATCH('4. Waiting confirm'!D$2,mTitle,0))="","",INDEX(mlist,MATCH($B71,mNo,0),MATCH('4. Waiting confirm'!D$2,mTitle,0)))</f>
        <v>HCM</v>
      </c>
      <c r="E71" t="str">
        <f>IF(INDEX(mlist,MATCH($B71,mNo,0),MATCH('4. Waiting confirm'!E$2,mTitle,0))="","",INDEX(mlist,MATCH($B71,mNo,0),MATCH('4. Waiting confirm'!E$2,mTitle,0)))</f>
        <v>EC-530WI3</v>
      </c>
      <c r="F71" t="str">
        <f>IF(INDEX(mlist,MATCH($B71,mNo,0),MATCH('4. Waiting confirm'!F$2,mTitle,0))="","",INDEX(mlist,MATCH($B71,mNo,0),MATCH('4. Waiting confirm'!F$2,mTitle,0)))</f>
        <v>1C642K104</v>
      </c>
      <c r="G71" s="293">
        <f>IF(INDEX(mlist,MATCH($B71,mNo,0),MATCH('4. Waiting confirm'!G$2,mTitle,0))="","",INDEX(mlist,MATCH($B71,mNo,0),MATCH('4. Waiting confirm'!G$2,mTitle,0)))</f>
        <v>45133.482349537036</v>
      </c>
      <c r="H71" s="293">
        <f>IF(INDEX(mlist,MATCH($B71,mNo,0),MATCH('4. Waiting confirm'!H$2,mTitle,0))="","",INDEX(mlist,MATCH($B71,mNo,0),MATCH('4. Waiting confirm'!H$2,mTitle,0)))</f>
        <v>45133.549629629626</v>
      </c>
      <c r="I71" t="str">
        <f>IF(INDEX(mlist,MATCH($B71,mNo,0),MATCH('4. Waiting confirm'!I$2,mTitle,0))="","",INDEX(mlist,MATCH($B71,mNo,0),MATCH('4. Waiting confirm'!I$2,mTitle,0)))</f>
        <v>Major</v>
      </c>
      <c r="J71" t="str">
        <f>IF(INDEX(mlist,MATCH($B71,mNo,0),MATCH('4. Waiting confirm'!J$2,mTitle,0))="","",INDEX(mlist,MATCH($B71,mNo,0),MATCH('4. Waiting confirm'!J$2,mTitle,0)))</f>
        <v>ISA, BSA, FSA, FSB, VCA, PCB</v>
      </c>
      <c r="K71" s="294">
        <f>IF(INDEX(mlist,MATCH($B71,mNo,0),MATCH('4. Waiting confirm'!K$2,mTitle,0))="","",INDEX(mlist,MATCH($B71,mNo,0),MATCH('4. Waiting confirm'!K$2,mTitle,0)))</f>
        <v>10515</v>
      </c>
      <c r="L71" s="293">
        <f>IF(INDEX(mlist,MATCH($B71,mNo,0),MATCH('4. Waiting confirm'!L$2,mTitle,0))="","",INDEX(mlist,MATCH($B71,mNo,0),MATCH('4. Waiting confirm'!L$2,mTitle,0)))</f>
        <v>45135</v>
      </c>
      <c r="M71" t="str">
        <f>IF(INDEX(mlist,MATCH($B71,mNo,0),MATCH('4. Waiting confirm'!M$2,mTitle,0))="","",INDEX(mlist,MATCH($B71,mNo,0),MATCH('4. Waiting confirm'!M$2,mTitle,0)))</f>
        <v>2. Dealer working with end user</v>
      </c>
      <c r="N71" t="str">
        <f>IF(INDEX(mlist,MATCH($B71,mNo,0),MATCH('4. Waiting confirm'!N$2,mTitle,0))="","",INDEX(mlist,MATCH($B71,mNo,0),MATCH('4. Waiting confirm'!N$2,mTitle,0)))</f>
        <v>không có thông tin</v>
      </c>
      <c r="O71" t="s">
        <v>288</v>
      </c>
      <c r="P71" t="s">
        <v>288</v>
      </c>
      <c r="R71" s="325">
        <f t="shared" si="2"/>
        <v>0.66666666666666663</v>
      </c>
    </row>
    <row r="72" spans="1:18">
      <c r="A72">
        <f>SUBTOTAL(103,$B$3:B72)</f>
        <v>70</v>
      </c>
      <c r="B72" t="s">
        <v>5929</v>
      </c>
      <c r="C72" t="str">
        <f>IF(INDEX(mlist,MATCH($B72,mNo,0),MATCH('4. Waiting confirm'!C$2,mTitle,0))="","",INDEX(mlist,MATCH($B72,mNo,0),MATCH('4. Waiting confirm'!C$2,mTitle,0)))</f>
        <v>Bach Mai Hospital</v>
      </c>
      <c r="D72" t="str">
        <f>IF(INDEX(mlist,MATCH($B72,mNo,0),MATCH('4. Waiting confirm'!D$2,mTitle,0))="","",INDEX(mlist,MATCH($B72,mNo,0),MATCH('4. Waiting confirm'!D$2,mTitle,0)))</f>
        <v>Hanoi</v>
      </c>
      <c r="E72" t="str">
        <f>IF(INDEX(mlist,MATCH($B72,mNo,0),MATCH('4. Waiting confirm'!E$2,mTitle,0))="","",INDEX(mlist,MATCH($B72,mNo,0),MATCH('4. Waiting confirm'!E$2,mTitle,0)))</f>
        <v>EG-600WR</v>
      </c>
      <c r="F72" t="str">
        <f>IF(INDEX(mlist,MATCH($B72,mNo,0),MATCH('4. Waiting confirm'!F$2,mTitle,0))="","",INDEX(mlist,MATCH($B72,mNo,0),MATCH('4. Waiting confirm'!F$2,mTitle,0)))</f>
        <v>8G391K044</v>
      </c>
      <c r="G72" s="293">
        <f>IF(INDEX(mlist,MATCH($B72,mNo,0),MATCH('4. Waiting confirm'!G$2,mTitle,0))="","",INDEX(mlist,MATCH($B72,mNo,0),MATCH('4. Waiting confirm'!G$2,mTitle,0)))</f>
        <v>45134.491574074076</v>
      </c>
      <c r="H72" s="293">
        <f>IF(INDEX(mlist,MATCH($B72,mNo,0),MATCH('4. Waiting confirm'!H$2,mTitle,0))="","",INDEX(mlist,MATCH($B72,mNo,0),MATCH('4. Waiting confirm'!H$2,mTitle,0)))</f>
        <v>45134.735173611109</v>
      </c>
      <c r="I72" t="str">
        <f>IF(INDEX(mlist,MATCH($B72,mNo,0),MATCH('4. Waiting confirm'!I$2,mTitle,0))="","",INDEX(mlist,MATCH($B72,mNo,0),MATCH('4. Waiting confirm'!I$2,mTitle,0)))</f>
        <v>Major</v>
      </c>
      <c r="J72" t="str">
        <f>IF(INDEX(mlist,MATCH($B72,mNo,0),MATCH('4. Waiting confirm'!J$2,mTitle,0))="","",INDEX(mlist,MATCH($B72,mNo,0),MATCH('4. Waiting confirm'!J$2,mTitle,0)))</f>
        <v>BSA, FSB</v>
      </c>
      <c r="K72" s="294">
        <f>IF(INDEX(mlist,MATCH($B72,mNo,0),MATCH('4. Waiting confirm'!K$2,mTitle,0))="","",INDEX(mlist,MATCH($B72,mNo,0),MATCH('4. Waiting confirm'!K$2,mTitle,0)))</f>
        <v>2436</v>
      </c>
      <c r="L72" s="293">
        <f>IF(INDEX(mlist,MATCH($B72,mNo,0),MATCH('4. Waiting confirm'!L$2,mTitle,0))="","",INDEX(mlist,MATCH($B72,mNo,0),MATCH('4. Waiting confirm'!L$2,mTitle,0)))</f>
        <v>45140</v>
      </c>
      <c r="M72" t="str">
        <f>IF(INDEX(mlist,MATCH($B72,mNo,0),MATCH('4. Waiting confirm'!M$2,mTitle,0))="","",INDEX(mlist,MATCH($B72,mNo,0),MATCH('4. Waiting confirm'!M$2,mTitle,0)))</f>
        <v xml:space="preserve">3. Tender process </v>
      </c>
      <c r="N72" t="str">
        <f>IF(INDEX(mlist,MATCH($B72,mNo,0),MATCH('4. Waiting confirm'!N$2,mTitle,0))="","",INDEX(mlist,MATCH($B72,mNo,0),MATCH('4. Waiting confirm'!N$2,mTitle,0)))</f>
        <v>đang làm việc với BV</v>
      </c>
      <c r="O72" t="s">
        <v>288</v>
      </c>
      <c r="P72" t="s">
        <v>288</v>
      </c>
      <c r="Q72" t="s">
        <v>288</v>
      </c>
      <c r="R72" s="325">
        <f t="shared" si="2"/>
        <v>1</v>
      </c>
    </row>
    <row r="73" spans="1:18">
      <c r="A73">
        <f>SUBTOTAL(103,$B$3:B73)</f>
        <v>71</v>
      </c>
      <c r="B73" t="s">
        <v>5931</v>
      </c>
      <c r="C73" t="str">
        <f>IF(INDEX(mlist,MATCH($B73,mNo,0),MATCH('4. Waiting confirm'!C$2,mTitle,0))="","",INDEX(mlist,MATCH($B73,mNo,0),MATCH('4. Waiting confirm'!C$2,mTitle,0)))</f>
        <v>Bach Mai Hospital</v>
      </c>
      <c r="D73" t="str">
        <f>IF(INDEX(mlist,MATCH($B73,mNo,0),MATCH('4. Waiting confirm'!D$2,mTitle,0))="","",INDEX(mlist,MATCH($B73,mNo,0),MATCH('4. Waiting confirm'!D$2,mTitle,0)))</f>
        <v>Hanoi</v>
      </c>
      <c r="E73" t="str">
        <f>IF(INDEX(mlist,MATCH($B73,mNo,0),MATCH('4. Waiting confirm'!E$2,mTitle,0))="","",INDEX(mlist,MATCH($B73,mNo,0),MATCH('4. Waiting confirm'!E$2,mTitle,0)))</f>
        <v>EC-600WI</v>
      </c>
      <c r="F73" t="str">
        <f>IF(INDEX(mlist,MATCH($B73,mNo,0),MATCH('4. Waiting confirm'!F$2,mTitle,0))="","",INDEX(mlist,MATCH($B73,mNo,0),MATCH('4. Waiting confirm'!F$2,mTitle,0)))</f>
        <v>6C692K126</v>
      </c>
      <c r="G73" s="293">
        <f>IF(INDEX(mlist,MATCH($B73,mNo,0),MATCH('4. Waiting confirm'!G$2,mTitle,0))="","",INDEX(mlist,MATCH($B73,mNo,0),MATCH('4. Waiting confirm'!G$2,mTitle,0)))</f>
        <v>45134.492175925923</v>
      </c>
      <c r="H73" s="293">
        <f>IF(INDEX(mlist,MATCH($B73,mNo,0),MATCH('4. Waiting confirm'!H$2,mTitle,0))="","",INDEX(mlist,MATCH($B73,mNo,0),MATCH('4. Waiting confirm'!H$2,mTitle,0)))</f>
        <v>45134.764548611114</v>
      </c>
      <c r="I73" t="str">
        <f>IF(INDEX(mlist,MATCH($B73,mNo,0),MATCH('4. Waiting confirm'!I$2,mTitle,0))="","",INDEX(mlist,MATCH($B73,mNo,0),MATCH('4. Waiting confirm'!I$2,mTitle,0)))</f>
        <v>Major</v>
      </c>
      <c r="J73" t="str">
        <f>IF(INDEX(mlist,MATCH($B73,mNo,0),MATCH('4. Waiting confirm'!J$2,mTitle,0))="","",INDEX(mlist,MATCH($B73,mNo,0),MATCH('4. Waiting confirm'!J$2,mTitle,0)))</f>
        <v>RBS, DRY, FSA, FSB, BSA, VCA</v>
      </c>
      <c r="K73" s="294">
        <f>IF(INDEX(mlist,MATCH($B73,mNo,0),MATCH('4. Waiting confirm'!K$2,mTitle,0))="","",INDEX(mlist,MATCH($B73,mNo,0),MATCH('4. Waiting confirm'!K$2,mTitle,0)))</f>
        <v>5656</v>
      </c>
      <c r="L73" s="293">
        <f>IF(INDEX(mlist,MATCH($B73,mNo,0),MATCH('4. Waiting confirm'!L$2,mTitle,0))="","",INDEX(mlist,MATCH($B73,mNo,0),MATCH('4. Waiting confirm'!L$2,mTitle,0)))</f>
        <v>45140</v>
      </c>
      <c r="M73" t="str">
        <f>IF(INDEX(mlist,MATCH($B73,mNo,0),MATCH('4. Waiting confirm'!M$2,mTitle,0))="","",INDEX(mlist,MATCH($B73,mNo,0),MATCH('4. Waiting confirm'!M$2,mTitle,0)))</f>
        <v xml:space="preserve">3. Tender process </v>
      </c>
      <c r="N73" t="str">
        <f>IF(INDEX(mlist,MATCH($B73,mNo,0),MATCH('4. Waiting confirm'!N$2,mTitle,0))="","",INDEX(mlist,MATCH($B73,mNo,0),MATCH('4. Waiting confirm'!N$2,mTitle,0)))</f>
        <v>đang làm việc với BV</v>
      </c>
      <c r="O73" t="s">
        <v>288</v>
      </c>
      <c r="P73" t="s">
        <v>288</v>
      </c>
      <c r="Q73" t="s">
        <v>288</v>
      </c>
      <c r="R73" s="325">
        <f t="shared" si="2"/>
        <v>1</v>
      </c>
    </row>
    <row r="74" spans="1:18">
      <c r="A74">
        <f>SUBTOTAL(103,$B$3:B74)</f>
        <v>72</v>
      </c>
      <c r="B74" t="s">
        <v>5934</v>
      </c>
      <c r="C74" t="str">
        <f>IF(INDEX(mlist,MATCH($B74,mNo,0),MATCH('4. Waiting confirm'!C$2,mTitle,0))="","",INDEX(mlist,MATCH($B74,mNo,0),MATCH('4. Waiting confirm'!C$2,mTitle,0)))</f>
        <v>Bach Mai Hospital</v>
      </c>
      <c r="D74" t="str">
        <f>IF(INDEX(mlist,MATCH($B74,mNo,0),MATCH('4. Waiting confirm'!D$2,mTitle,0))="","",INDEX(mlist,MATCH($B74,mNo,0),MATCH('4. Waiting confirm'!D$2,mTitle,0)))</f>
        <v>Hanoi</v>
      </c>
      <c r="E74" t="str">
        <f>IF(INDEX(mlist,MATCH($B74,mNo,0),MATCH('4. Waiting confirm'!E$2,mTitle,0))="","",INDEX(mlist,MATCH($B74,mNo,0),MATCH('4. Waiting confirm'!E$2,mTitle,0)))</f>
        <v>EG-600WR</v>
      </c>
      <c r="F74" t="str">
        <f>IF(INDEX(mlist,MATCH($B74,mNo,0),MATCH('4. Waiting confirm'!F$2,mTitle,0))="","",INDEX(mlist,MATCH($B74,mNo,0),MATCH('4. Waiting confirm'!F$2,mTitle,0)))</f>
        <v>2G391K858</v>
      </c>
      <c r="G74" s="293">
        <f>IF(INDEX(mlist,MATCH($B74,mNo,0),MATCH('4. Waiting confirm'!G$2,mTitle,0))="","",INDEX(mlist,MATCH($B74,mNo,0),MATCH('4. Waiting confirm'!G$2,mTitle,0)))</f>
        <v>45134.493321759262</v>
      </c>
      <c r="H74" s="293">
        <f>IF(INDEX(mlist,MATCH($B74,mNo,0),MATCH('4. Waiting confirm'!H$2,mTitle,0))="","",INDEX(mlist,MATCH($B74,mNo,0),MATCH('4. Waiting confirm'!H$2,mTitle,0)))</f>
        <v>45134.796087962961</v>
      </c>
      <c r="I74" t="str">
        <f>IF(INDEX(mlist,MATCH($B74,mNo,0),MATCH('4. Waiting confirm'!I$2,mTitle,0))="","",INDEX(mlist,MATCH($B74,mNo,0),MATCH('4. Waiting confirm'!I$2,mTitle,0)))</f>
        <v>Major</v>
      </c>
      <c r="J74" t="str">
        <f>IF(INDEX(mlist,MATCH($B74,mNo,0),MATCH('4. Waiting confirm'!J$2,mTitle,0))="","",INDEX(mlist,MATCH($B74,mNo,0),MATCH('4. Waiting confirm'!J$2,mTitle,0)))</f>
        <v>BSA, FCT, FSA, FSB</v>
      </c>
      <c r="K74" s="294">
        <f>IF(INDEX(mlist,MATCH($B74,mNo,0),MATCH('4. Waiting confirm'!K$2,mTitle,0))="","",INDEX(mlist,MATCH($B74,mNo,0),MATCH('4. Waiting confirm'!K$2,mTitle,0)))</f>
        <v>3698</v>
      </c>
      <c r="L74" s="293">
        <f>IF(INDEX(mlist,MATCH($B74,mNo,0),MATCH('4. Waiting confirm'!L$2,mTitle,0))="","",INDEX(mlist,MATCH($B74,mNo,0),MATCH('4. Waiting confirm'!L$2,mTitle,0)))</f>
        <v>45140</v>
      </c>
      <c r="M74" t="str">
        <f>IF(INDEX(mlist,MATCH($B74,mNo,0),MATCH('4. Waiting confirm'!M$2,mTitle,0))="","",INDEX(mlist,MATCH($B74,mNo,0),MATCH('4. Waiting confirm'!M$2,mTitle,0)))</f>
        <v xml:space="preserve">3. Tender process </v>
      </c>
      <c r="N74" t="str">
        <f>IF(INDEX(mlist,MATCH($B74,mNo,0),MATCH('4. Waiting confirm'!N$2,mTitle,0))="","",INDEX(mlist,MATCH($B74,mNo,0),MATCH('4. Waiting confirm'!N$2,mTitle,0)))</f>
        <v>đang làm việc với BV</v>
      </c>
      <c r="O74" t="s">
        <v>288</v>
      </c>
      <c r="P74" t="s">
        <v>288</v>
      </c>
      <c r="Q74" t="s">
        <v>288</v>
      </c>
      <c r="R74" s="325">
        <f t="shared" si="2"/>
        <v>1</v>
      </c>
    </row>
    <row r="75" spans="1:18">
      <c r="A75">
        <f>SUBTOTAL(103,$B$3:B75)</f>
        <v>73</v>
      </c>
      <c r="B75" t="s">
        <v>5937</v>
      </c>
      <c r="C75" t="str">
        <f>IF(INDEX(mlist,MATCH($B75,mNo,0),MATCH('4. Waiting confirm'!C$2,mTitle,0))="","",INDEX(mlist,MATCH($B75,mNo,0),MATCH('4. Waiting confirm'!C$2,mTitle,0)))</f>
        <v>Tuyen Quang General Hospital</v>
      </c>
      <c r="D75" t="str">
        <f>IF(INDEX(mlist,MATCH($B75,mNo,0),MATCH('4. Waiting confirm'!D$2,mTitle,0))="","",INDEX(mlist,MATCH($B75,mNo,0),MATCH('4. Waiting confirm'!D$2,mTitle,0)))</f>
        <v>Hanoi</v>
      </c>
      <c r="E75" t="str">
        <f>IF(INDEX(mlist,MATCH($B75,mNo,0),MATCH('4. Waiting confirm'!E$2,mTitle,0))="","",INDEX(mlist,MATCH($B75,mNo,0),MATCH('4. Waiting confirm'!E$2,mTitle,0)))</f>
        <v>EC-201WI</v>
      </c>
      <c r="F75" t="str">
        <f>IF(INDEX(mlist,MATCH($B75,mNo,0),MATCH('4. Waiting confirm'!F$2,mTitle,0))="","",INDEX(mlist,MATCH($B75,mNo,0),MATCH('4. Waiting confirm'!F$2,mTitle,0)))</f>
        <v>RC328A025</v>
      </c>
      <c r="G75" s="293">
        <f>IF(INDEX(mlist,MATCH($B75,mNo,0),MATCH('4. Waiting confirm'!G$2,mTitle,0))="","",INDEX(mlist,MATCH($B75,mNo,0),MATCH('4. Waiting confirm'!G$2,mTitle,0)))</f>
        <v>45135.679594907408</v>
      </c>
      <c r="H75" s="293">
        <f>IF(INDEX(mlist,MATCH($B75,mNo,0),MATCH('4. Waiting confirm'!H$2,mTitle,0))="","",INDEX(mlist,MATCH($B75,mNo,0),MATCH('4. Waiting confirm'!H$2,mTitle,0)))</f>
        <v>45135.779143518521</v>
      </c>
      <c r="I75" t="str">
        <f>IF(INDEX(mlist,MATCH($B75,mNo,0),MATCH('4. Waiting confirm'!I$2,mTitle,0))="","",INDEX(mlist,MATCH($B75,mNo,0),MATCH('4. Waiting confirm'!I$2,mTitle,0)))</f>
        <v>Major</v>
      </c>
      <c r="J75" t="str">
        <f>IF(INDEX(mlist,MATCH($B75,mNo,0),MATCH('4. Waiting confirm'!J$2,mTitle,0))="","",INDEX(mlist,MATCH($B75,mNo,0),MATCH('4. Waiting confirm'!J$2,mTitle,0)))</f>
        <v>BSA</v>
      </c>
      <c r="K75" s="294">
        <f>IF(INDEX(mlist,MATCH($B75,mNo,0),MATCH('4. Waiting confirm'!K$2,mTitle,0))="","",INDEX(mlist,MATCH($B75,mNo,0),MATCH('4. Waiting confirm'!K$2,mTitle,0)))</f>
        <v>977</v>
      </c>
      <c r="L75" s="293">
        <f>IF(INDEX(mlist,MATCH($B75,mNo,0),MATCH('4. Waiting confirm'!L$2,mTitle,0))="","",INDEX(mlist,MATCH($B75,mNo,0),MATCH('4. Waiting confirm'!L$2,mTitle,0)))</f>
        <v>45145</v>
      </c>
      <c r="M75" t="str">
        <f>IF(INDEX(mlist,MATCH($B75,mNo,0),MATCH('4. Waiting confirm'!M$2,mTitle,0))="","",INDEX(mlist,MATCH($B75,mNo,0),MATCH('4. Waiting confirm'!M$2,mTitle,0)))</f>
        <v>2. Dealer working with end user</v>
      </c>
      <c r="N75" t="str">
        <f>IF(INDEX(mlist,MATCH($B75,mNo,0),MATCH('4. Waiting confirm'!N$2,mTitle,0))="","",INDEX(mlist,MATCH($B75,mNo,0),MATCH('4. Waiting confirm'!N$2,mTitle,0)))</f>
        <v>đã gửi báo giá, bx xin discount</v>
      </c>
      <c r="O75" t="s">
        <v>288</v>
      </c>
      <c r="P75" t="s">
        <v>288</v>
      </c>
      <c r="R75" s="325">
        <f t="shared" si="2"/>
        <v>0.66666666666666663</v>
      </c>
    </row>
    <row r="76" spans="1:18">
      <c r="A76">
        <f>SUBTOTAL(103,$B$3:B76)</f>
        <v>74</v>
      </c>
      <c r="B76" t="s">
        <v>5938</v>
      </c>
      <c r="C76" t="str">
        <f>IF(INDEX(mlist,MATCH($B76,mNo,0),MATCH('4. Waiting confirm'!C$2,mTitle,0))="","",INDEX(mlist,MATCH($B76,mNo,0),MATCH('4. Waiting confirm'!C$2,mTitle,0)))</f>
        <v>Tuyen Quang General Hospital</v>
      </c>
      <c r="D76" t="str">
        <f>IF(INDEX(mlist,MATCH($B76,mNo,0),MATCH('4. Waiting confirm'!D$2,mTitle,0))="","",INDEX(mlist,MATCH($B76,mNo,0),MATCH('4. Waiting confirm'!D$2,mTitle,0)))</f>
        <v>Hanoi</v>
      </c>
      <c r="E76" t="str">
        <f>IF(INDEX(mlist,MATCH($B76,mNo,0),MATCH('4. Waiting confirm'!E$2,mTitle,0))="","",INDEX(mlist,MATCH($B76,mNo,0),MATCH('4. Waiting confirm'!E$2,mTitle,0)))</f>
        <v>EC-530WL3</v>
      </c>
      <c r="F76" t="str">
        <f>IF(INDEX(mlist,MATCH($B76,mNo,0),MATCH('4. Waiting confirm'!F$2,mTitle,0))="","",INDEX(mlist,MATCH($B76,mNo,0),MATCH('4. Waiting confirm'!F$2,mTitle,0)))</f>
        <v>1C643K926</v>
      </c>
      <c r="G76" s="293">
        <f>IF(INDEX(mlist,MATCH($B76,mNo,0),MATCH('4. Waiting confirm'!G$2,mTitle,0))="","",INDEX(mlist,MATCH($B76,mNo,0),MATCH('4. Waiting confirm'!G$2,mTitle,0)))</f>
        <v>45135.680104166669</v>
      </c>
      <c r="H76" s="293">
        <f>IF(INDEX(mlist,MATCH($B76,mNo,0),MATCH('4. Waiting confirm'!H$2,mTitle,0))="","",INDEX(mlist,MATCH($B76,mNo,0),MATCH('4. Waiting confirm'!H$2,mTitle,0)))</f>
        <v>45135.821527777778</v>
      </c>
      <c r="I76" t="str">
        <f>IF(INDEX(mlist,MATCH($B76,mNo,0),MATCH('4. Waiting confirm'!I$2,mTitle,0))="","",INDEX(mlist,MATCH($B76,mNo,0),MATCH('4. Waiting confirm'!I$2,mTitle,0)))</f>
        <v>Major</v>
      </c>
      <c r="J76" t="str">
        <f>IF(INDEX(mlist,MATCH($B76,mNo,0),MATCH('4. Waiting confirm'!J$2,mTitle,0))="","",INDEX(mlist,MATCH($B76,mNo,0),MATCH('4. Waiting confirm'!J$2,mTitle,0)))</f>
        <v>CHA, FSA, FSB, LGB, OSA</v>
      </c>
      <c r="K76" s="294">
        <f>IF(INDEX(mlist,MATCH($B76,mNo,0),MATCH('4. Waiting confirm'!K$2,mTitle,0))="","",INDEX(mlist,MATCH($B76,mNo,0),MATCH('4. Waiting confirm'!K$2,mTitle,0)))</f>
        <v>15980</v>
      </c>
      <c r="L76" s="293">
        <f>IF(INDEX(mlist,MATCH($B76,mNo,0),MATCH('4. Waiting confirm'!L$2,mTitle,0))="","",INDEX(mlist,MATCH($B76,mNo,0),MATCH('4. Waiting confirm'!L$2,mTitle,0)))</f>
        <v>45145</v>
      </c>
      <c r="M76" t="str">
        <f>IF(INDEX(mlist,MATCH($B76,mNo,0),MATCH('4. Waiting confirm'!M$2,mTitle,0))="","",INDEX(mlist,MATCH($B76,mNo,0),MATCH('4. Waiting confirm'!M$2,mTitle,0)))</f>
        <v>2. Dealer working with end user</v>
      </c>
      <c r="N76" t="str">
        <f>IF(INDEX(mlist,MATCH($B76,mNo,0),MATCH('4. Waiting confirm'!N$2,mTitle,0))="","",INDEX(mlist,MATCH($B76,mNo,0),MATCH('4. Waiting confirm'!N$2,mTitle,0)))</f>
        <v>đã gửi báo giá, bx xin discount</v>
      </c>
      <c r="O76" t="s">
        <v>288</v>
      </c>
      <c r="P76" t="s">
        <v>288</v>
      </c>
      <c r="R76" s="325">
        <f t="shared" si="2"/>
        <v>0.66666666666666663</v>
      </c>
    </row>
    <row r="77" spans="1:18">
      <c r="A77">
        <f>SUBTOTAL(103,$B$3:B77)</f>
        <v>75</v>
      </c>
      <c r="B77" t="s">
        <v>5976</v>
      </c>
      <c r="C77" t="str">
        <f>IF(INDEX(mlist,MATCH($B77,mNo,0),MATCH('4. Waiting confirm'!C$2,mTitle,0))="","",INDEX(mlist,MATCH($B77,mNo,0),MATCH('4. Waiting confirm'!C$2,mTitle,0)))</f>
        <v>Kon Tum Provincial General Hospital</v>
      </c>
      <c r="D77" t="str">
        <f>IF(INDEX(mlist,MATCH($B77,mNo,0),MATCH('4. Waiting confirm'!D$2,mTitle,0))="","",INDEX(mlist,MATCH($B77,mNo,0),MATCH('4. Waiting confirm'!D$2,mTitle,0)))</f>
        <v>HCM</v>
      </c>
      <c r="E77" t="str">
        <f>IF(INDEX(mlist,MATCH($B77,mNo,0),MATCH('4. Waiting confirm'!E$2,mTitle,0))="","",INDEX(mlist,MATCH($B77,mNo,0),MATCH('4. Waiting confirm'!E$2,mTitle,0)))</f>
        <v>EG-530WR</v>
      </c>
      <c r="F77" t="str">
        <f>IF(INDEX(mlist,MATCH($B77,mNo,0),MATCH('4. Waiting confirm'!F$2,mTitle,0))="","",INDEX(mlist,MATCH($B77,mNo,0),MATCH('4. Waiting confirm'!F$2,mTitle,0)))</f>
        <v>4G361K372</v>
      </c>
      <c r="G77" s="293">
        <f>IF(INDEX(mlist,MATCH($B77,mNo,0),MATCH('4. Waiting confirm'!G$2,mTitle,0))="","",INDEX(mlist,MATCH($B77,mNo,0),MATCH('4. Waiting confirm'!G$2,mTitle,0)))</f>
        <v>45138.555868055555</v>
      </c>
      <c r="H77" s="293">
        <f>IF(INDEX(mlist,MATCH($B77,mNo,0),MATCH('4. Waiting confirm'!H$2,mTitle,0))="","",INDEX(mlist,MATCH($B77,mNo,0),MATCH('4. Waiting confirm'!H$2,mTitle,0)))</f>
        <v>45138.556284722225</v>
      </c>
      <c r="I77" t="str">
        <f>IF(INDEX(mlist,MATCH($B77,mNo,0),MATCH('4. Waiting confirm'!I$2,mTitle,0))="","",INDEX(mlist,MATCH($B77,mNo,0),MATCH('4. Waiting confirm'!I$2,mTitle,0)))</f>
        <v>Major</v>
      </c>
      <c r="J77" t="str">
        <f>IF(INDEX(mlist,MATCH($B77,mNo,0),MATCH('4. Waiting confirm'!J$2,mTitle,0))="","",INDEX(mlist,MATCH($B77,mNo,0),MATCH('4. Waiting confirm'!J$2,mTitle,0)))</f>
        <v>DEC, CHA, BSA, ANGL</v>
      </c>
      <c r="K77" s="294">
        <f>IF(INDEX(mlist,MATCH($B77,mNo,0),MATCH('4. Waiting confirm'!K$2,mTitle,0))="","",INDEX(mlist,MATCH($B77,mNo,0),MATCH('4. Waiting confirm'!K$2,mTitle,0)))</f>
        <v>4689</v>
      </c>
      <c r="L77" s="293">
        <f>IF(INDEX(mlist,MATCH($B77,mNo,0),MATCH('4. Waiting confirm'!L$2,mTitle,0))="","",INDEX(mlist,MATCH($B77,mNo,0),MATCH('4. Waiting confirm'!L$2,mTitle,0)))</f>
        <v>45138</v>
      </c>
      <c r="M77" t="str">
        <f>IF(INDEX(mlist,MATCH($B77,mNo,0),MATCH('4. Waiting confirm'!M$2,mTitle,0))="","",INDEX(mlist,MATCH($B77,mNo,0),MATCH('4. Waiting confirm'!M$2,mTitle,0)))</f>
        <v>2. Dealer working with end user</v>
      </c>
      <c r="N77" t="str">
        <f>IF(INDEX(mlist,MATCH($B77,mNo,0),MATCH('4. Waiting confirm'!N$2,mTitle,0))="","",INDEX(mlist,MATCH($B77,mNo,0),MATCH('4. Waiting confirm'!N$2,mTitle,0)))</f>
        <v>không có thông tin</v>
      </c>
      <c r="O77" t="s">
        <v>288</v>
      </c>
      <c r="P77" t="s">
        <v>288</v>
      </c>
      <c r="R77" s="325">
        <f t="shared" si="2"/>
        <v>0.66666666666666663</v>
      </c>
    </row>
    <row r="78" spans="1:18">
      <c r="A78">
        <f>SUBTOTAL(103,$B$3:B78)</f>
        <v>76</v>
      </c>
      <c r="B78" t="s">
        <v>5978</v>
      </c>
      <c r="C78" t="str">
        <f>IF(INDEX(mlist,MATCH($B78,mNo,0),MATCH('4. Waiting confirm'!C$2,mTitle,0))="","",INDEX(mlist,MATCH($B78,mNo,0),MATCH('4. Waiting confirm'!C$2,mTitle,0)))</f>
        <v>Kon Tum Provincial General Hospital</v>
      </c>
      <c r="D78" t="str">
        <f>IF(INDEX(mlist,MATCH($B78,mNo,0),MATCH('4. Waiting confirm'!D$2,mTitle,0))="","",INDEX(mlist,MATCH($B78,mNo,0),MATCH('4. Waiting confirm'!D$2,mTitle,0)))</f>
        <v>HCM</v>
      </c>
      <c r="E78" t="str">
        <f>IF(INDEX(mlist,MATCH($B78,mNo,0),MATCH('4. Waiting confirm'!E$2,mTitle,0))="","",INDEX(mlist,MATCH($B78,mNo,0),MATCH('4. Waiting confirm'!E$2,mTitle,0)))</f>
        <v>EC-530WL3</v>
      </c>
      <c r="F78" t="str">
        <f>IF(INDEX(mlist,MATCH($B78,mNo,0),MATCH('4. Waiting confirm'!F$2,mTitle,0))="","",INDEX(mlist,MATCH($B78,mNo,0),MATCH('4. Waiting confirm'!F$2,mTitle,0)))</f>
        <v>2C643K264</v>
      </c>
      <c r="G78" s="293">
        <f>IF(INDEX(mlist,MATCH($B78,mNo,0),MATCH('4. Waiting confirm'!G$2,mTitle,0))="","",INDEX(mlist,MATCH($B78,mNo,0),MATCH('4. Waiting confirm'!G$2,mTitle,0)))</f>
        <v>45138.55704861111</v>
      </c>
      <c r="H78" s="293">
        <f>IF(INDEX(mlist,MATCH($B78,mNo,0),MATCH('4. Waiting confirm'!H$2,mTitle,0))="","",INDEX(mlist,MATCH($B78,mNo,0),MATCH('4. Waiting confirm'!H$2,mTitle,0)))</f>
        <v>45138.558611111112</v>
      </c>
      <c r="I78" t="str">
        <f>IF(INDEX(mlist,MATCH($B78,mNo,0),MATCH('4. Waiting confirm'!I$2,mTitle,0))="","",INDEX(mlist,MATCH($B78,mNo,0),MATCH('4. Waiting confirm'!I$2,mTitle,0)))</f>
        <v>Major</v>
      </c>
      <c r="J78" t="str">
        <f>IF(INDEX(mlist,MATCH($B78,mNo,0),MATCH('4. Waiting confirm'!J$2,mTitle,0))="","",INDEX(mlist,MATCH($B78,mNo,0),MATCH('4. Waiting confirm'!J$2,mTitle,0)))</f>
        <v>BSA, FSA, DEC</v>
      </c>
      <c r="K78" s="294">
        <f>IF(INDEX(mlist,MATCH($B78,mNo,0),MATCH('4. Waiting confirm'!K$2,mTitle,0))="","",INDEX(mlist,MATCH($B78,mNo,0),MATCH('4. Waiting confirm'!K$2,mTitle,0)))</f>
        <v>2837</v>
      </c>
      <c r="L78" s="293">
        <f>IF(INDEX(mlist,MATCH($B78,mNo,0),MATCH('4. Waiting confirm'!L$2,mTitle,0))="","",INDEX(mlist,MATCH($B78,mNo,0),MATCH('4. Waiting confirm'!L$2,mTitle,0)))</f>
        <v>45138</v>
      </c>
      <c r="M78" t="str">
        <f>IF(INDEX(mlist,MATCH($B78,mNo,0),MATCH('4. Waiting confirm'!M$2,mTitle,0))="","",INDEX(mlist,MATCH($B78,mNo,0),MATCH('4. Waiting confirm'!M$2,mTitle,0)))</f>
        <v>2. Dealer working with end user</v>
      </c>
      <c r="N78" t="str">
        <f>IF(INDEX(mlist,MATCH($B78,mNo,0),MATCH('4. Waiting confirm'!N$2,mTitle,0))="","",INDEX(mlist,MATCH($B78,mNo,0),MATCH('4. Waiting confirm'!N$2,mTitle,0)))</f>
        <v>không có thông tin</v>
      </c>
      <c r="O78" t="s">
        <v>288</v>
      </c>
      <c r="P78" t="s">
        <v>288</v>
      </c>
      <c r="R78" s="325">
        <f t="shared" si="2"/>
        <v>0.66666666666666663</v>
      </c>
    </row>
    <row r="79" spans="1:18">
      <c r="A79">
        <f>SUBTOTAL(103,$B$3:B79)</f>
        <v>77</v>
      </c>
      <c r="B79" t="s">
        <v>5983</v>
      </c>
      <c r="C79" t="str">
        <f>IF(INDEX(mlist,MATCH($B79,mNo,0),MATCH('4. Waiting confirm'!C$2,mTitle,0))="","",INDEX(mlist,MATCH($B79,mNo,0),MATCH('4. Waiting confirm'!C$2,mTitle,0)))</f>
        <v>Vinh Duc General Hospital</v>
      </c>
      <c r="D79" t="str">
        <f>IF(INDEX(mlist,MATCH($B79,mNo,0),MATCH('4. Waiting confirm'!D$2,mTitle,0))="","",INDEX(mlist,MATCH($B79,mNo,0),MATCH('4. Waiting confirm'!D$2,mTitle,0)))</f>
        <v>HCM</v>
      </c>
      <c r="E79" t="str">
        <f>IF(INDEX(mlist,MATCH($B79,mNo,0),MATCH('4. Waiting confirm'!E$2,mTitle,0))="","",INDEX(mlist,MATCH($B79,mNo,0),MATCH('4. Waiting confirm'!E$2,mTitle,0)))</f>
        <v>EC-530WL3</v>
      </c>
      <c r="F79" t="str">
        <f>IF(INDEX(mlist,MATCH($B79,mNo,0),MATCH('4. Waiting confirm'!F$2,mTitle,0))="","",INDEX(mlist,MATCH($B79,mNo,0),MATCH('4. Waiting confirm'!F$2,mTitle,0)))</f>
        <v>5C643K343</v>
      </c>
      <c r="G79" s="293">
        <f>IF(INDEX(mlist,MATCH($B79,mNo,0),MATCH('4. Waiting confirm'!G$2,mTitle,0))="","",INDEX(mlist,MATCH($B79,mNo,0),MATCH('4. Waiting confirm'!G$2,mTitle,0)))</f>
        <v>45138.730879629627</v>
      </c>
      <c r="H79" s="293">
        <f>IF(INDEX(mlist,MATCH($B79,mNo,0),MATCH('4. Waiting confirm'!H$2,mTitle,0))="","",INDEX(mlist,MATCH($B79,mNo,0),MATCH('4. Waiting confirm'!H$2,mTitle,0)))</f>
        <v>45140.671180555553</v>
      </c>
      <c r="I79" t="str">
        <f>IF(INDEX(mlist,MATCH($B79,mNo,0),MATCH('4. Waiting confirm'!I$2,mTitle,0))="","",INDEX(mlist,MATCH($B79,mNo,0),MATCH('4. Waiting confirm'!I$2,mTitle,0)))</f>
        <v>Major</v>
      </c>
      <c r="J79" t="str">
        <f>IF(INDEX(mlist,MATCH($B79,mNo,0),MATCH('4. Waiting confirm'!J$2,mTitle,0))="","",INDEX(mlist,MATCH($B79,mNo,0),MATCH('4. Waiting confirm'!J$2,mTitle,0)))</f>
        <v>FSA, BSA</v>
      </c>
      <c r="K79" s="294">
        <f>IF(INDEX(mlist,MATCH($B79,mNo,0),MATCH('4. Waiting confirm'!K$2,mTitle,0))="","",INDEX(mlist,MATCH($B79,mNo,0),MATCH('4. Waiting confirm'!K$2,mTitle,0)))</f>
        <v>2892</v>
      </c>
      <c r="L79" s="293">
        <f>IF(INDEX(mlist,MATCH($B79,mNo,0),MATCH('4. Waiting confirm'!L$2,mTitle,0))="","",INDEX(mlist,MATCH($B79,mNo,0),MATCH('4. Waiting confirm'!L$2,mTitle,0)))</f>
        <v>45145</v>
      </c>
      <c r="M79" t="str">
        <f>IF(INDEX(mlist,MATCH($B79,mNo,0),MATCH('4. Waiting confirm'!M$2,mTitle,0))="","",INDEX(mlist,MATCH($B79,mNo,0),MATCH('4. Waiting confirm'!M$2,mTitle,0)))</f>
        <v>2. Dealer working with end user</v>
      </c>
      <c r="N79" t="str">
        <f>IF(INDEX(mlist,MATCH($B79,mNo,0),MATCH('4. Waiting confirm'!N$2,mTitle,0))="","",INDEX(mlist,MATCH($B79,mNo,0),MATCH('4. Waiting confirm'!N$2,mTitle,0)))</f>
        <v>không có thông tin</v>
      </c>
      <c r="O79" t="s">
        <v>288</v>
      </c>
      <c r="P79" t="s">
        <v>288</v>
      </c>
      <c r="R79" s="325">
        <f t="shared" si="2"/>
        <v>0.66666666666666663</v>
      </c>
    </row>
    <row r="80" spans="1:18">
      <c r="A80">
        <f>SUBTOTAL(103,$B$3:B80)</f>
        <v>78</v>
      </c>
      <c r="B80" t="s">
        <v>5984</v>
      </c>
      <c r="C80" t="str">
        <f>IF(INDEX(mlist,MATCH($B80,mNo,0),MATCH('4. Waiting confirm'!C$2,mTitle,0))="","",INDEX(mlist,MATCH($B80,mNo,0),MATCH('4. Waiting confirm'!C$2,mTitle,0)))</f>
        <v>Thien Hanh Hospital</v>
      </c>
      <c r="D80" t="str">
        <f>IF(INDEX(mlist,MATCH($B80,mNo,0),MATCH('4. Waiting confirm'!D$2,mTitle,0))="","",INDEX(mlist,MATCH($B80,mNo,0),MATCH('4. Waiting confirm'!D$2,mTitle,0)))</f>
        <v>HCM</v>
      </c>
      <c r="E80" t="str">
        <f>IF(INDEX(mlist,MATCH($B80,mNo,0),MATCH('4. Waiting confirm'!E$2,mTitle,0))="","",INDEX(mlist,MATCH($B80,mNo,0),MATCH('4. Waiting confirm'!E$2,mTitle,0)))</f>
        <v>EG-530NW</v>
      </c>
      <c r="F80" t="str">
        <f>IF(INDEX(mlist,MATCH($B80,mNo,0),MATCH('4. Waiting confirm'!F$2,mTitle,0))="","",INDEX(mlist,MATCH($B80,mNo,0),MATCH('4. Waiting confirm'!F$2,mTitle,0)))</f>
        <v>1G366K152</v>
      </c>
      <c r="G80" s="293">
        <f>IF(INDEX(mlist,MATCH($B80,mNo,0),MATCH('4. Waiting confirm'!G$2,mTitle,0))="","",INDEX(mlist,MATCH($B80,mNo,0),MATCH('4. Waiting confirm'!G$2,mTitle,0)))</f>
        <v>45138.730949074074</v>
      </c>
      <c r="H80" s="293">
        <f>IF(INDEX(mlist,MATCH($B80,mNo,0),MATCH('4. Waiting confirm'!H$2,mTitle,0))="","",INDEX(mlist,MATCH($B80,mNo,0),MATCH('4. Waiting confirm'!H$2,mTitle,0)))</f>
        <v>45140.665601851855</v>
      </c>
      <c r="I80" t="str">
        <f>IF(INDEX(mlist,MATCH($B80,mNo,0),MATCH('4. Waiting confirm'!I$2,mTitle,0))="","",INDEX(mlist,MATCH($B80,mNo,0),MATCH('4. Waiting confirm'!I$2,mTitle,0)))</f>
        <v>Major</v>
      </c>
      <c r="J80" t="str">
        <f>IF(INDEX(mlist,MATCH($B80,mNo,0),MATCH('4. Waiting confirm'!J$2,mTitle,0))="","",INDEX(mlist,MATCH($B80,mNo,0),MATCH('4. Waiting confirm'!J$2,mTitle,0)))</f>
        <v>ISA, FSA</v>
      </c>
      <c r="K80" s="294">
        <f>IF(INDEX(mlist,MATCH($B80,mNo,0),MATCH('4. Waiting confirm'!K$2,mTitle,0))="","",INDEX(mlist,MATCH($B80,mNo,0),MATCH('4. Waiting confirm'!K$2,mTitle,0)))</f>
        <v>8857</v>
      </c>
      <c r="L80" s="293">
        <f>IF(INDEX(mlist,MATCH($B80,mNo,0),MATCH('4. Waiting confirm'!L$2,mTitle,0))="","",INDEX(mlist,MATCH($B80,mNo,0),MATCH('4. Waiting confirm'!L$2,mTitle,0)))</f>
        <v>45145</v>
      </c>
      <c r="M80" t="str">
        <f>IF(INDEX(mlist,MATCH($B80,mNo,0),MATCH('4. Waiting confirm'!M$2,mTitle,0))="","",INDEX(mlist,MATCH($B80,mNo,0),MATCH('4. Waiting confirm'!M$2,mTitle,0)))</f>
        <v>2. Dealer working with end user</v>
      </c>
      <c r="N80" t="str">
        <f>IF(INDEX(mlist,MATCH($B80,mNo,0),MATCH('4. Waiting confirm'!N$2,mTitle,0))="","",INDEX(mlist,MATCH($B80,mNo,0),MATCH('4. Waiting confirm'!N$2,mTitle,0)))</f>
        <v>không có thông tin</v>
      </c>
      <c r="O80" t="s">
        <v>288</v>
      </c>
      <c r="P80" t="s">
        <v>288</v>
      </c>
      <c r="R80" s="325">
        <f t="shared" si="2"/>
        <v>0.66666666666666663</v>
      </c>
    </row>
    <row r="81" spans="1:18">
      <c r="A81">
        <f>SUBTOTAL(103,$B$3:B81)</f>
        <v>79</v>
      </c>
      <c r="B81" t="s">
        <v>5985</v>
      </c>
      <c r="C81" t="str">
        <f>IF(INDEX(mlist,MATCH($B81,mNo,0),MATCH('4. Waiting confirm'!C$2,mTitle,0))="","",INDEX(mlist,MATCH($B81,mNo,0),MATCH('4. Waiting confirm'!C$2,mTitle,0)))</f>
        <v>Thien Hanh Hospital</v>
      </c>
      <c r="D81" t="str">
        <f>IF(INDEX(mlist,MATCH($B81,mNo,0),MATCH('4. Waiting confirm'!D$2,mTitle,0))="","",INDEX(mlist,MATCH($B81,mNo,0),MATCH('4. Waiting confirm'!D$2,mTitle,0)))</f>
        <v>HCM</v>
      </c>
      <c r="E81" t="str">
        <f>IF(INDEX(mlist,MATCH($B81,mNo,0),MATCH('4. Waiting confirm'!E$2,mTitle,0))="","",INDEX(mlist,MATCH($B81,mNo,0),MATCH('4. Waiting confirm'!E$2,mTitle,0)))</f>
        <v>EC-720R/I</v>
      </c>
      <c r="F81" t="str">
        <f>IF(INDEX(mlist,MATCH($B81,mNo,0),MATCH('4. Waiting confirm'!F$2,mTitle,0))="","",INDEX(mlist,MATCH($B81,mNo,0),MATCH('4. Waiting confirm'!F$2,mTitle,0)))</f>
        <v>1C741K168</v>
      </c>
      <c r="G81" s="293">
        <f>IF(INDEX(mlist,MATCH($B81,mNo,0),MATCH('4. Waiting confirm'!G$2,mTitle,0))="","",INDEX(mlist,MATCH($B81,mNo,0),MATCH('4. Waiting confirm'!G$2,mTitle,0)))</f>
        <v>45138.73101851852</v>
      </c>
      <c r="H81" s="293">
        <f>IF(INDEX(mlist,MATCH($B81,mNo,0),MATCH('4. Waiting confirm'!H$2,mTitle,0))="","",INDEX(mlist,MATCH($B81,mNo,0),MATCH('4. Waiting confirm'!H$2,mTitle,0)))</f>
        <v>45140.660173611112</v>
      </c>
      <c r="I81" t="str">
        <f>IF(INDEX(mlist,MATCH($B81,mNo,0),MATCH('4. Waiting confirm'!I$2,mTitle,0))="","",INDEX(mlist,MATCH($B81,mNo,0),MATCH('4. Waiting confirm'!I$2,mTitle,0)))</f>
        <v>Major</v>
      </c>
      <c r="J81" t="str">
        <f>IF(INDEX(mlist,MATCH($B81,mNo,0),MATCH('4. Waiting confirm'!J$2,mTitle,0))="","",INDEX(mlist,MATCH($B81,mNo,0),MATCH('4. Waiting confirm'!J$2,mTitle,0)))</f>
        <v>FSA, BSA</v>
      </c>
      <c r="K81" s="294">
        <f>IF(INDEX(mlist,MATCH($B81,mNo,0),MATCH('4. Waiting confirm'!K$2,mTitle,0))="","",INDEX(mlist,MATCH($B81,mNo,0),MATCH('4. Waiting confirm'!K$2,mTitle,0)))</f>
        <v>3091</v>
      </c>
      <c r="L81" s="293">
        <f>IF(INDEX(mlist,MATCH($B81,mNo,0),MATCH('4. Waiting confirm'!L$2,mTitle,0))="","",INDEX(mlist,MATCH($B81,mNo,0),MATCH('4. Waiting confirm'!L$2,mTitle,0)))</f>
        <v>45145</v>
      </c>
      <c r="M81" t="str">
        <f>IF(INDEX(mlist,MATCH($B81,mNo,0),MATCH('4. Waiting confirm'!M$2,mTitle,0))="","",INDEX(mlist,MATCH($B81,mNo,0),MATCH('4. Waiting confirm'!M$2,mTitle,0)))</f>
        <v>2. Dealer working with end user</v>
      </c>
      <c r="N81" t="str">
        <f>IF(INDEX(mlist,MATCH($B81,mNo,0),MATCH('4. Waiting confirm'!N$2,mTitle,0))="","",INDEX(mlist,MATCH($B81,mNo,0),MATCH('4. Waiting confirm'!N$2,mTitle,0)))</f>
        <v>không có thông tin</v>
      </c>
      <c r="O81" t="s">
        <v>288</v>
      </c>
      <c r="P81" t="s">
        <v>288</v>
      </c>
      <c r="R81" s="325">
        <f t="shared" si="2"/>
        <v>0.66666666666666663</v>
      </c>
    </row>
    <row r="82" spans="1:18">
      <c r="A82">
        <f>SUBTOTAL(103,$B$3:B82)</f>
        <v>80</v>
      </c>
      <c r="B82" t="s">
        <v>6057</v>
      </c>
      <c r="C82" t="str">
        <f>IF(INDEX(mlist,MATCH($B82,mNo,0),MATCH('4. Waiting confirm'!C$2,mTitle,0))="","",INDEX(mlist,MATCH($B82,mNo,0),MATCH('4. Waiting confirm'!C$2,mTitle,0)))</f>
        <v>Bach Mai Hospital</v>
      </c>
      <c r="D82" t="str">
        <f>IF(INDEX(mlist,MATCH($B82,mNo,0),MATCH('4. Waiting confirm'!D$2,mTitle,0))="","",INDEX(mlist,MATCH($B82,mNo,0),MATCH('4. Waiting confirm'!D$2,mTitle,0)))</f>
        <v>Hanoi</v>
      </c>
      <c r="E82" t="str">
        <f>IF(INDEX(mlist,MATCH($B82,mNo,0),MATCH('4. Waiting confirm'!E$2,mTitle,0))="","",INDEX(mlist,MATCH($B82,mNo,0),MATCH('4. Waiting confirm'!E$2,mTitle,0)))</f>
        <v>EC-590WI</v>
      </c>
      <c r="F82" t="str">
        <f>IF(INDEX(mlist,MATCH($B82,mNo,0),MATCH('4. Waiting confirm'!F$2,mTitle,0))="","",INDEX(mlist,MATCH($B82,mNo,0),MATCH('4. Waiting confirm'!F$2,mTitle,0)))</f>
        <v>1C607K008</v>
      </c>
      <c r="G82" s="293">
        <f>IF(INDEX(mlist,MATCH($B82,mNo,0),MATCH('4. Waiting confirm'!G$2,mTitle,0))="","",INDEX(mlist,MATCH($B82,mNo,0),MATCH('4. Waiting confirm'!G$2,mTitle,0)))</f>
        <v>45145</v>
      </c>
      <c r="H82" s="293">
        <f>IF(INDEX(mlist,MATCH($B82,mNo,0),MATCH('4. Waiting confirm'!H$2,mTitle,0))="","",INDEX(mlist,MATCH($B82,mNo,0),MATCH('4. Waiting confirm'!H$2,mTitle,0)))</f>
        <v>45152</v>
      </c>
      <c r="I82" t="str">
        <f>IF(INDEX(mlist,MATCH($B82,mNo,0),MATCH('4. Waiting confirm'!I$2,mTitle,0))="","",INDEX(mlist,MATCH($B82,mNo,0),MATCH('4. Waiting confirm'!I$2,mTitle,0)))</f>
        <v>Major</v>
      </c>
      <c r="J82" t="str">
        <f>IF(INDEX(mlist,MATCH($B82,mNo,0),MATCH('4. Waiting confirm'!J$2,mTitle,0))="","",INDEX(mlist,MATCH($B82,mNo,0),MATCH('4. Waiting confirm'!J$2,mTitle,0)))</f>
        <v>LC, BSA, FCT, FSB</v>
      </c>
      <c r="K82" s="294">
        <f>IF(INDEX(mlist,MATCH($B82,mNo,0),MATCH('4. Waiting confirm'!K$2,mTitle,0))="","",INDEX(mlist,MATCH($B82,mNo,0),MATCH('4. Waiting confirm'!K$2,mTitle,0)))</f>
        <v>3266</v>
      </c>
      <c r="L82" s="293">
        <f>IF(INDEX(mlist,MATCH($B82,mNo,0),MATCH('4. Waiting confirm'!L$2,mTitle,0))="","",INDEX(mlist,MATCH($B82,mNo,0),MATCH('4. Waiting confirm'!L$2,mTitle,0)))</f>
        <v>45153</v>
      </c>
      <c r="M82" t="str">
        <f>IF(INDEX(mlist,MATCH($B82,mNo,0),MATCH('4. Waiting confirm'!M$2,mTitle,0))="","",INDEX(mlist,MATCH($B82,mNo,0),MATCH('4. Waiting confirm'!M$2,mTitle,0)))</f>
        <v>1. Send quotation to dealer</v>
      </c>
      <c r="N82" t="str">
        <f>IF(INDEX(mlist,MATCH($B82,mNo,0),MATCH('4. Waiting confirm'!N$2,mTitle,0))="","",INDEX(mlist,MATCH($B82,mNo,0),MATCH('4. Waiting confirm'!N$2,mTitle,0)))</f>
        <v>đang làm việc với BV</v>
      </c>
      <c r="O82" t="s">
        <v>288</v>
      </c>
      <c r="R82" s="325">
        <f t="shared" si="2"/>
        <v>0.33333333333333331</v>
      </c>
    </row>
    <row r="83" spans="1:18">
      <c r="A83">
        <f>SUBTOTAL(103,$B$3:B83)</f>
        <v>81</v>
      </c>
      <c r="B83" t="s">
        <v>6059</v>
      </c>
      <c r="C83" t="str">
        <f>IF(INDEX(mlist,MATCH($B83,mNo,0),MATCH('4. Waiting confirm'!C$2,mTitle,0))="","",INDEX(mlist,MATCH($B83,mNo,0),MATCH('4. Waiting confirm'!C$2,mTitle,0)))</f>
        <v>DA NANG HOSPITAL</v>
      </c>
      <c r="D83" t="str">
        <f>IF(INDEX(mlist,MATCH($B83,mNo,0),MATCH('4. Waiting confirm'!D$2,mTitle,0))="","",INDEX(mlist,MATCH($B83,mNo,0),MATCH('4. Waiting confirm'!D$2,mTitle,0)))</f>
        <v>HCM</v>
      </c>
      <c r="E83" t="str">
        <f>IF(INDEX(mlist,MATCH($B83,mNo,0),MATCH('4. Waiting confirm'!E$2,mTitle,0))="","",INDEX(mlist,MATCH($B83,mNo,0),MATCH('4. Waiting confirm'!E$2,mTitle,0)))</f>
        <v>EB-530T</v>
      </c>
      <c r="F83" t="str">
        <f>IF(INDEX(mlist,MATCH($B83,mNo,0),MATCH('4. Waiting confirm'!F$2,mTitle,0))="","",INDEX(mlist,MATCH($B83,mNo,0),MATCH('4. Waiting confirm'!F$2,mTitle,0)))</f>
        <v>3B084A197</v>
      </c>
      <c r="G83" s="293">
        <f>IF(INDEX(mlist,MATCH($B83,mNo,0),MATCH('4. Waiting confirm'!G$2,mTitle,0))="","",INDEX(mlist,MATCH($B83,mNo,0),MATCH('4. Waiting confirm'!G$2,mTitle,0)))</f>
        <v>45145.630196759259</v>
      </c>
      <c r="H83" s="293">
        <f>IF(INDEX(mlist,MATCH($B83,mNo,0),MATCH('4. Waiting confirm'!H$2,mTitle,0))="","",INDEX(mlist,MATCH($B83,mNo,0),MATCH('4. Waiting confirm'!H$2,mTitle,0)))</f>
        <v>45145.631030092591</v>
      </c>
      <c r="I83" t="str">
        <f>IF(INDEX(mlist,MATCH($B83,mNo,0),MATCH('4. Waiting confirm'!I$2,mTitle,0))="","",INDEX(mlist,MATCH($B83,mNo,0),MATCH('4. Waiting confirm'!I$2,mTitle,0)))</f>
        <v>Major</v>
      </c>
      <c r="J83" t="str">
        <f>IF(INDEX(mlist,MATCH($B83,mNo,0),MATCH('4. Waiting confirm'!J$2,mTitle,0))="","",INDEX(mlist,MATCH($B83,mNo,0),MATCH('4. Waiting confirm'!J$2,mTitle,0)))</f>
        <v>VCA, LGB, ISA, FSB</v>
      </c>
      <c r="K83" s="294">
        <f>IF(INDEX(mlist,MATCH($B83,mNo,0),MATCH('4. Waiting confirm'!K$2,mTitle,0))="","",INDEX(mlist,MATCH($B83,mNo,0),MATCH('4. Waiting confirm'!K$2,mTitle,0)))</f>
        <v>9805</v>
      </c>
      <c r="L83" s="293">
        <f>IF(INDEX(mlist,MATCH($B83,mNo,0),MATCH('4. Waiting confirm'!L$2,mTitle,0))="","",INDEX(mlist,MATCH($B83,mNo,0),MATCH('4. Waiting confirm'!L$2,mTitle,0)))</f>
        <v>45145</v>
      </c>
      <c r="M83" t="str">
        <f>IF(INDEX(mlist,MATCH($B83,mNo,0),MATCH('4. Waiting confirm'!M$2,mTitle,0))="","",INDEX(mlist,MATCH($B83,mNo,0),MATCH('4. Waiting confirm'!M$2,mTitle,0)))</f>
        <v>1. Send quotation to dealer</v>
      </c>
      <c r="N83" t="str">
        <f>IF(INDEX(mlist,MATCH($B83,mNo,0),MATCH('4. Waiting confirm'!N$2,mTitle,0))="","",INDEX(mlist,MATCH($B83,mNo,0),MATCH('4. Waiting confirm'!N$2,mTitle,0)))</f>
        <v>không có thông tin</v>
      </c>
      <c r="O83" t="s">
        <v>288</v>
      </c>
      <c r="R83" s="325">
        <f t="shared" si="2"/>
        <v>0.33333333333333331</v>
      </c>
    </row>
    <row r="84" spans="1:18">
      <c r="A84">
        <f>SUBTOTAL(103,$B$3:B84)</f>
        <v>82</v>
      </c>
      <c r="B84" t="s">
        <v>6072</v>
      </c>
      <c r="C84" t="str">
        <f>IF(INDEX(mlist,MATCH($B84,mNo,0),MATCH('4. Waiting confirm'!C$2,mTitle,0))="","",INDEX(mlist,MATCH($B84,mNo,0),MATCH('4. Waiting confirm'!C$2,mTitle,0)))</f>
        <v>Hanoi Medical University Hospital</v>
      </c>
      <c r="D84" t="str">
        <f>IF(INDEX(mlist,MATCH($B84,mNo,0),MATCH('4. Waiting confirm'!D$2,mTitle,0))="","",INDEX(mlist,MATCH($B84,mNo,0),MATCH('4. Waiting confirm'!D$2,mTitle,0)))</f>
        <v>Hanoi</v>
      </c>
      <c r="E84" t="str">
        <f>IF(INDEX(mlist,MATCH($B84,mNo,0),MATCH('4. Waiting confirm'!E$2,mTitle,0))="","",INDEX(mlist,MATCH($B84,mNo,0),MATCH('4. Waiting confirm'!E$2,mTitle,0)))</f>
        <v>EG-600WR</v>
      </c>
      <c r="F84" t="str">
        <f>IF(INDEX(mlist,MATCH($B84,mNo,0),MATCH('4. Waiting confirm'!F$2,mTitle,0))="","",INDEX(mlist,MATCH($B84,mNo,0),MATCH('4. Waiting confirm'!F$2,mTitle,0)))</f>
        <v>9G391K102</v>
      </c>
      <c r="G84" s="293">
        <f>IF(INDEX(mlist,MATCH($B84,mNo,0),MATCH('4. Waiting confirm'!G$2,mTitle,0))="","",INDEX(mlist,MATCH($B84,mNo,0),MATCH('4. Waiting confirm'!G$2,mTitle,0)))</f>
        <v>45146</v>
      </c>
      <c r="H84" s="293">
        <f>IF(INDEX(mlist,MATCH($B84,mNo,0),MATCH('4. Waiting confirm'!H$2,mTitle,0))="","",INDEX(mlist,MATCH($B84,mNo,0),MATCH('4. Waiting confirm'!H$2,mTitle,0)))</f>
        <v>45148</v>
      </c>
      <c r="I84" t="str">
        <f>IF(INDEX(mlist,MATCH($B84,mNo,0),MATCH('4. Waiting confirm'!I$2,mTitle,0))="","",INDEX(mlist,MATCH($B84,mNo,0),MATCH('4. Waiting confirm'!I$2,mTitle,0)))</f>
        <v>Major</v>
      </c>
      <c r="J84" t="str">
        <f>IF(INDEX(mlist,MATCH($B84,mNo,0),MATCH('4. Waiting confirm'!J$2,mTitle,0))="","",INDEX(mlist,MATCH($B84,mNo,0),MATCH('4. Waiting confirm'!J$2,mTitle,0)))</f>
        <v>DRY, BSA, FCT</v>
      </c>
      <c r="K84" s="294">
        <f>IF(INDEX(mlist,MATCH($B84,mNo,0),MATCH('4. Waiting confirm'!K$2,mTitle,0))="","",INDEX(mlist,MATCH($B84,mNo,0),MATCH('4. Waiting confirm'!K$2,mTitle,0)))</f>
        <v>2332</v>
      </c>
      <c r="L84" s="293">
        <f>IF(INDEX(mlist,MATCH($B84,mNo,0),MATCH('4. Waiting confirm'!L$2,mTitle,0))="","",INDEX(mlist,MATCH($B84,mNo,0),MATCH('4. Waiting confirm'!L$2,mTitle,0)))</f>
        <v>45152</v>
      </c>
      <c r="M84" t="str">
        <f>IF(INDEX(mlist,MATCH($B84,mNo,0),MATCH('4. Waiting confirm'!M$2,mTitle,0))="","",INDEX(mlist,MATCH($B84,mNo,0),MATCH('4. Waiting confirm'!M$2,mTitle,0)))</f>
        <v xml:space="preserve">3. Tender process </v>
      </c>
      <c r="N84" t="str">
        <f>IF(INDEX(mlist,MATCH($B84,mNo,0),MATCH('4. Waiting confirm'!N$2,mTitle,0))="","",INDEX(mlist,MATCH($B84,mNo,0),MATCH('4. Waiting confirm'!N$2,mTitle,0)))</f>
        <v>Mặc định làm thầu đối với HMU</v>
      </c>
      <c r="O84" t="s">
        <v>288</v>
      </c>
      <c r="P84" t="s">
        <v>288</v>
      </c>
      <c r="Q84" t="s">
        <v>288</v>
      </c>
      <c r="R84" s="325">
        <f t="shared" si="2"/>
        <v>1</v>
      </c>
    </row>
    <row r="85" spans="1:18">
      <c r="A85">
        <f>SUBTOTAL(103,$B$3:B85)</f>
        <v>83</v>
      </c>
      <c r="B85" t="s">
        <v>6138</v>
      </c>
      <c r="C85" t="str">
        <f>IF(INDEX(mlist,MATCH($B85,mNo,0),MATCH('4. Waiting confirm'!C$2,mTitle,0))="","",INDEX(mlist,MATCH($B85,mNo,0),MATCH('4. Waiting confirm'!C$2,mTitle,0)))</f>
        <v>245 Clinic - Dr.Cuong Clinic</v>
      </c>
      <c r="D85" t="str">
        <f>IF(INDEX(mlist,MATCH($B85,mNo,0),MATCH('4. Waiting confirm'!D$2,mTitle,0))="","",INDEX(mlist,MATCH($B85,mNo,0),MATCH('4. Waiting confirm'!D$2,mTitle,0)))</f>
        <v>HCM</v>
      </c>
      <c r="E85" t="str">
        <f>IF(INDEX(mlist,MATCH($B85,mNo,0),MATCH('4. Waiting confirm'!E$2,mTitle,0))="","",INDEX(mlist,MATCH($B85,mNo,0),MATCH('4. Waiting confirm'!E$2,mTitle,0)))</f>
        <v>EC-250WL5</v>
      </c>
      <c r="F85" t="str">
        <f>IF(INDEX(mlist,MATCH($B85,mNo,0),MATCH('4. Waiting confirm'!F$2,mTitle,0))="","",INDEX(mlist,MATCH($B85,mNo,0),MATCH('4. Waiting confirm'!F$2,mTitle,0)))</f>
        <v>1C309K108</v>
      </c>
      <c r="G85" s="293">
        <f>IF(INDEX(mlist,MATCH($B85,mNo,0),MATCH('4. Waiting confirm'!G$2,mTitle,0))="","",INDEX(mlist,MATCH($B85,mNo,0),MATCH('4. Waiting confirm'!G$2,mTitle,0)))</f>
        <v>45160.700937499998</v>
      </c>
      <c r="H85" s="293">
        <f>IF(INDEX(mlist,MATCH($B85,mNo,0),MATCH('4. Waiting confirm'!H$2,mTitle,0))="","",INDEX(mlist,MATCH($B85,mNo,0),MATCH('4. Waiting confirm'!H$2,mTitle,0)))</f>
        <v>45160.707141203704</v>
      </c>
      <c r="I85" t="str">
        <f>IF(INDEX(mlist,MATCH($B85,mNo,0),MATCH('4. Waiting confirm'!I$2,mTitle,0))="","",INDEX(mlist,MATCH($B85,mNo,0),MATCH('4. Waiting confirm'!I$2,mTitle,0)))</f>
        <v>Major</v>
      </c>
      <c r="J85" t="str">
        <f>IF(INDEX(mlist,MATCH($B85,mNo,0),MATCH('4. Waiting confirm'!J$2,mTitle,0))="","",INDEX(mlist,MATCH($B85,mNo,0),MATCH('4. Waiting confirm'!J$2,mTitle,0)))</f>
        <v>FSA, BSA, DEC, FCT, FSB</v>
      </c>
      <c r="K85" s="294">
        <f>IF(INDEX(mlist,MATCH($B85,mNo,0),MATCH('4. Waiting confirm'!K$2,mTitle,0))="","",INDEX(mlist,MATCH($B85,mNo,0),MATCH('4. Waiting confirm'!K$2,mTitle,0)))</f>
        <v>4818</v>
      </c>
      <c r="L85" s="293">
        <f>IF(INDEX(mlist,MATCH($B85,mNo,0),MATCH('4. Waiting confirm'!L$2,mTitle,0))="","",INDEX(mlist,MATCH($B85,mNo,0),MATCH('4. Waiting confirm'!L$2,mTitle,0)))</f>
        <v>45162</v>
      </c>
      <c r="M85" t="str">
        <f>IF(INDEX(mlist,MATCH($B85,mNo,0),MATCH('4. Waiting confirm'!M$2,mTitle,0))="","",INDEX(mlist,MATCH($B85,mNo,0),MATCH('4. Waiting confirm'!M$2,mTitle,0)))</f>
        <v>1. Send quotation to dealer</v>
      </c>
      <c r="N85" t="str">
        <f>IF(INDEX(mlist,MATCH($B85,mNo,0),MATCH('4. Waiting confirm'!N$2,mTitle,0))="","",INDEX(mlist,MATCH($B85,mNo,0),MATCH('4. Waiting confirm'!N$2,mTitle,0)))</f>
        <v>không có thông tin</v>
      </c>
      <c r="O85" t="s">
        <v>288</v>
      </c>
      <c r="R85" s="325">
        <f t="shared" si="2"/>
        <v>0.33333333333333331</v>
      </c>
    </row>
    <row r="86" spans="1:18">
      <c r="A86">
        <f>SUBTOTAL(103,$B$3:B86)</f>
        <v>84</v>
      </c>
      <c r="B86" t="s">
        <v>6139</v>
      </c>
      <c r="C86" t="str">
        <f>IF(INDEX(mlist,MATCH($B86,mNo,0),MATCH('4. Waiting confirm'!C$2,mTitle,0))="","",INDEX(mlist,MATCH($B86,mNo,0),MATCH('4. Waiting confirm'!C$2,mTitle,0)))</f>
        <v>Thien Hanh Hospital</v>
      </c>
      <c r="D86" t="str">
        <f>IF(INDEX(mlist,MATCH($B86,mNo,0),MATCH('4. Waiting confirm'!D$2,mTitle,0))="","",INDEX(mlist,MATCH($B86,mNo,0),MATCH('4. Waiting confirm'!D$2,mTitle,0)))</f>
        <v>HCM</v>
      </c>
      <c r="E86" t="str">
        <f>IF(INDEX(mlist,MATCH($B86,mNo,0),MATCH('4. Waiting confirm'!E$2,mTitle,0))="","",INDEX(mlist,MATCH($B86,mNo,0),MATCH('4. Waiting confirm'!E$2,mTitle,0)))</f>
        <v>EG-720R</v>
      </c>
      <c r="F86" t="str">
        <f>IF(INDEX(mlist,MATCH($B86,mNo,0),MATCH('4. Waiting confirm'!F$2,mTitle,0))="","",INDEX(mlist,MATCH($B86,mNo,0),MATCH('4. Waiting confirm'!F$2,mTitle,0)))</f>
        <v>1G412K264</v>
      </c>
      <c r="G86" s="293">
        <f>IF(INDEX(mlist,MATCH($B86,mNo,0),MATCH('4. Waiting confirm'!G$2,mTitle,0))="","",INDEX(mlist,MATCH($B86,mNo,0),MATCH('4. Waiting confirm'!G$2,mTitle,0)))</f>
        <v>45155.657766203702</v>
      </c>
      <c r="H86" s="293">
        <f>IF(INDEX(mlist,MATCH($B86,mNo,0),MATCH('4. Waiting confirm'!H$2,mTitle,0))="","",INDEX(mlist,MATCH($B86,mNo,0),MATCH('4. Waiting confirm'!H$2,mTitle,0)))</f>
        <v>45155.671793981484</v>
      </c>
      <c r="I86" t="str">
        <f>IF(INDEX(mlist,MATCH($B86,mNo,0),MATCH('4. Waiting confirm'!I$2,mTitle,0))="","",INDEX(mlist,MATCH($B86,mNo,0),MATCH('4. Waiting confirm'!I$2,mTitle,0)))</f>
        <v>Major</v>
      </c>
      <c r="J86" t="str">
        <f>IF(INDEX(mlist,MATCH($B86,mNo,0),MATCH('4. Waiting confirm'!J$2,mTitle,0))="","",INDEX(mlist,MATCH($B86,mNo,0),MATCH('4. Waiting confirm'!J$2,mTitle,0)))</f>
        <v>FSA, BSA, FSB</v>
      </c>
      <c r="K86" s="294">
        <f>IF(INDEX(mlist,MATCH($B86,mNo,0),MATCH('4. Waiting confirm'!K$2,mTitle,0))="","",INDEX(mlist,MATCH($B86,mNo,0),MATCH('4. Waiting confirm'!K$2,mTitle,0)))</f>
        <v>3826</v>
      </c>
      <c r="L86" s="293">
        <f>IF(INDEX(mlist,MATCH($B86,mNo,0),MATCH('4. Waiting confirm'!L$2,mTitle,0))="","",INDEX(mlist,MATCH($B86,mNo,0),MATCH('4. Waiting confirm'!L$2,mTitle,0)))</f>
        <v>45161</v>
      </c>
      <c r="M86" t="str">
        <f>IF(INDEX(mlist,MATCH($B86,mNo,0),MATCH('4. Waiting confirm'!M$2,mTitle,0))="","",INDEX(mlist,MATCH($B86,mNo,0),MATCH('4. Waiting confirm'!M$2,mTitle,0)))</f>
        <v>1. Send quotation to dealer</v>
      </c>
      <c r="N86" t="str">
        <f>IF(INDEX(mlist,MATCH($B86,mNo,0),MATCH('4. Waiting confirm'!N$2,mTitle,0))="","",INDEX(mlist,MATCH($B86,mNo,0),MATCH('4. Waiting confirm'!N$2,mTitle,0)))</f>
        <v>không có thông tin</v>
      </c>
      <c r="O86" t="s">
        <v>288</v>
      </c>
      <c r="R86" s="325">
        <f t="shared" si="2"/>
        <v>0.33333333333333331</v>
      </c>
    </row>
    <row r="87" spans="1:18">
      <c r="A87">
        <f>SUBTOTAL(103,$B$3:B87)</f>
        <v>85</v>
      </c>
      <c r="B87" t="s">
        <v>6145</v>
      </c>
      <c r="C87" t="str">
        <f>IF(INDEX(mlist,MATCH($B87,mNo,0),MATCH('4. Waiting confirm'!C$2,mTitle,0))="","",INDEX(mlist,MATCH($B87,mNo,0),MATCH('4. Waiting confirm'!C$2,mTitle,0)))</f>
        <v>Hoan My Sai Gon Clinic</v>
      </c>
      <c r="D87" t="str">
        <f>IF(INDEX(mlist,MATCH($B87,mNo,0),MATCH('4. Waiting confirm'!D$2,mTitle,0))="","",INDEX(mlist,MATCH($B87,mNo,0),MATCH('4. Waiting confirm'!D$2,mTitle,0)))</f>
        <v>HCM</v>
      </c>
      <c r="E87" t="str">
        <f>IF(INDEX(mlist,MATCH($B87,mNo,0),MATCH('4. Waiting confirm'!E$2,mTitle,0))="","",INDEX(mlist,MATCH($B87,mNo,0),MATCH('4. Waiting confirm'!E$2,mTitle,0)))</f>
        <v>EG-250WR5</v>
      </c>
      <c r="F87" t="str">
        <f>IF(INDEX(mlist,MATCH($B87,mNo,0),MATCH('4. Waiting confirm'!F$2,mTitle,0))="","",INDEX(mlist,MATCH($B87,mNo,0),MATCH('4. Waiting confirm'!F$2,mTitle,0)))</f>
        <v>2G202K019</v>
      </c>
      <c r="G87" s="293">
        <f>IF(INDEX(mlist,MATCH($B87,mNo,0),MATCH('4. Waiting confirm'!G$2,mTitle,0))="","",INDEX(mlist,MATCH($B87,mNo,0),MATCH('4. Waiting confirm'!G$2,mTitle,0)))</f>
        <v>45160.7109375</v>
      </c>
      <c r="H87" s="293">
        <f>IF(INDEX(mlist,MATCH($B87,mNo,0),MATCH('4. Waiting confirm'!H$2,mTitle,0))="","",INDEX(mlist,MATCH($B87,mNo,0),MATCH('4. Waiting confirm'!H$2,mTitle,0)))</f>
        <v>45162.418356481481</v>
      </c>
      <c r="I87" t="str">
        <f>IF(INDEX(mlist,MATCH($B87,mNo,0),MATCH('4. Waiting confirm'!I$2,mTitle,0))="","",INDEX(mlist,MATCH($B87,mNo,0),MATCH('4. Waiting confirm'!I$2,mTitle,0)))</f>
        <v>Major</v>
      </c>
      <c r="J87" t="str">
        <f>IF(INDEX(mlist,MATCH($B87,mNo,0),MATCH('4. Waiting confirm'!J$2,mTitle,0))="","",INDEX(mlist,MATCH($B87,mNo,0),MATCH('4. Waiting confirm'!J$2,mTitle,0)))</f>
        <v>FSB, BSA</v>
      </c>
      <c r="K87" s="294">
        <f>IF(INDEX(mlist,MATCH($B87,mNo,0),MATCH('4. Waiting confirm'!K$2,mTitle,0))="","",INDEX(mlist,MATCH($B87,mNo,0),MATCH('4. Waiting confirm'!K$2,mTitle,0)))</f>
        <v>2951</v>
      </c>
      <c r="L87" s="293">
        <f>IF(INDEX(mlist,MATCH($B87,mNo,0),MATCH('4. Waiting confirm'!L$2,mTitle,0))="","",INDEX(mlist,MATCH($B87,mNo,0),MATCH('4. Waiting confirm'!L$2,mTitle,0)))</f>
        <v>45162</v>
      </c>
      <c r="M87" t="str">
        <f>IF(INDEX(mlist,MATCH($B87,mNo,0),MATCH('4. Waiting confirm'!M$2,mTitle,0))="","",INDEX(mlist,MATCH($B87,mNo,0),MATCH('4. Waiting confirm'!M$2,mTitle,0)))</f>
        <v>1. Send quotation to dealer</v>
      </c>
      <c r="N87" t="str">
        <f>IF(INDEX(mlist,MATCH($B87,mNo,0),MATCH('4. Waiting confirm'!N$2,mTitle,0))="","",INDEX(mlist,MATCH($B87,mNo,0),MATCH('4. Waiting confirm'!N$2,mTitle,0)))</f>
        <v>không có thông tin</v>
      </c>
      <c r="O87" t="s">
        <v>288</v>
      </c>
      <c r="R87" s="325">
        <f t="shared" si="2"/>
        <v>0.33333333333333331</v>
      </c>
    </row>
    <row r="88" spans="1:18">
      <c r="A88">
        <f>SUBTOTAL(103,$B$3:B88)</f>
        <v>86</v>
      </c>
      <c r="B88" t="s">
        <v>6146</v>
      </c>
      <c r="C88" t="str">
        <f>IF(INDEX(mlist,MATCH($B88,mNo,0),MATCH('4. Waiting confirm'!C$2,mTitle,0))="","",INDEX(mlist,MATCH($B88,mNo,0),MATCH('4. Waiting confirm'!C$2,mTitle,0)))</f>
        <v>Hoan My Sai Gon Clinic</v>
      </c>
      <c r="D88" t="str">
        <f>IF(INDEX(mlist,MATCH($B88,mNo,0),MATCH('4. Waiting confirm'!D$2,mTitle,0))="","",INDEX(mlist,MATCH($B88,mNo,0),MATCH('4. Waiting confirm'!D$2,mTitle,0)))</f>
        <v>HCM</v>
      </c>
      <c r="E88" t="str">
        <f>IF(INDEX(mlist,MATCH($B88,mNo,0),MATCH('4. Waiting confirm'!E$2,mTitle,0))="","",INDEX(mlist,MATCH($B88,mNo,0),MATCH('4. Waiting confirm'!E$2,mTitle,0)))</f>
        <v>EC-250WL5</v>
      </c>
      <c r="F88" t="str">
        <f>IF(INDEX(mlist,MATCH($B88,mNo,0),MATCH('4. Waiting confirm'!F$2,mTitle,0))="","",INDEX(mlist,MATCH($B88,mNo,0),MATCH('4. Waiting confirm'!F$2,mTitle,0)))</f>
        <v>1C309K265</v>
      </c>
      <c r="G88" s="293">
        <f>IF(INDEX(mlist,MATCH($B88,mNo,0),MATCH('4. Waiting confirm'!G$2,mTitle,0))="","",INDEX(mlist,MATCH($B88,mNo,0),MATCH('4. Waiting confirm'!G$2,mTitle,0)))</f>
        <v>45155.657835648148</v>
      </c>
      <c r="H88" s="293">
        <f>IF(INDEX(mlist,MATCH($B88,mNo,0),MATCH('4. Waiting confirm'!H$2,mTitle,0))="","",INDEX(mlist,MATCH($B88,mNo,0),MATCH('4. Waiting confirm'!H$2,mTitle,0)))</f>
        <v>45155.722256944442</v>
      </c>
      <c r="I88" t="str">
        <f>IF(INDEX(mlist,MATCH($B88,mNo,0),MATCH('4. Waiting confirm'!I$2,mTitle,0))="","",INDEX(mlist,MATCH($B88,mNo,0),MATCH('4. Waiting confirm'!I$2,mTitle,0)))</f>
        <v>Major</v>
      </c>
      <c r="J88" t="str">
        <f>IF(INDEX(mlist,MATCH($B88,mNo,0),MATCH('4. Waiting confirm'!J$2,mTitle,0))="","",INDEX(mlist,MATCH($B88,mNo,0),MATCH('4. Waiting confirm'!J$2,mTitle,0)))</f>
        <v>FSA, BSA, DEC, FCT, FSB</v>
      </c>
      <c r="K88" s="294">
        <f>IF(INDEX(mlist,MATCH($B88,mNo,0),MATCH('4. Waiting confirm'!K$2,mTitle,0))="","",INDEX(mlist,MATCH($B88,mNo,0),MATCH('4. Waiting confirm'!K$2,mTitle,0)))</f>
        <v>3214</v>
      </c>
      <c r="L88" s="293">
        <f>IF(INDEX(mlist,MATCH($B88,mNo,0),MATCH('4. Waiting confirm'!L$2,mTitle,0))="","",INDEX(mlist,MATCH($B88,mNo,0),MATCH('4. Waiting confirm'!L$2,mTitle,0)))</f>
        <v>45161</v>
      </c>
      <c r="M88" t="str">
        <f>IF(INDEX(mlist,MATCH($B88,mNo,0),MATCH('4. Waiting confirm'!M$2,mTitle,0))="","",INDEX(mlist,MATCH($B88,mNo,0),MATCH('4. Waiting confirm'!M$2,mTitle,0)))</f>
        <v>1. Send quotation to dealer</v>
      </c>
      <c r="N88" t="str">
        <f>IF(INDEX(mlist,MATCH($B88,mNo,0),MATCH('4. Waiting confirm'!N$2,mTitle,0))="","",INDEX(mlist,MATCH($B88,mNo,0),MATCH('4. Waiting confirm'!N$2,mTitle,0)))</f>
        <v>không có thông tin</v>
      </c>
      <c r="O88" t="s">
        <v>288</v>
      </c>
      <c r="R88" s="325">
        <f t="shared" si="2"/>
        <v>0.33333333333333331</v>
      </c>
    </row>
    <row r="89" spans="1:18">
      <c r="A89">
        <f>SUBTOTAL(103,$B$3:B89)</f>
        <v>87</v>
      </c>
      <c r="B89" t="s">
        <v>6148</v>
      </c>
      <c r="C89" t="str">
        <f>IF(INDEX(mlist,MATCH($B89,mNo,0),MATCH('4. Waiting confirm'!C$2,mTitle,0))="","",INDEX(mlist,MATCH($B89,mNo,0),MATCH('4. Waiting confirm'!C$2,mTitle,0)))</f>
        <v>No. 91 Endoscopy-Gastrointestinal-GI Scaning Test Clinic</v>
      </c>
      <c r="D89" t="str">
        <f>IF(INDEX(mlist,MATCH($B89,mNo,0),MATCH('4. Waiting confirm'!D$2,mTitle,0))="","",INDEX(mlist,MATCH($B89,mNo,0),MATCH('4. Waiting confirm'!D$2,mTitle,0)))</f>
        <v>HCM</v>
      </c>
      <c r="E89" t="str">
        <f>IF(INDEX(mlist,MATCH($B89,mNo,0),MATCH('4. Waiting confirm'!E$2,mTitle,0))="","",INDEX(mlist,MATCH($B89,mNo,0),MATCH('4. Waiting confirm'!E$2,mTitle,0)))</f>
        <v>EC-760ZP-V/M</v>
      </c>
      <c r="F89" t="str">
        <f>IF(INDEX(mlist,MATCH($B89,mNo,0),MATCH('4. Waiting confirm'!F$2,mTitle,0))="","",INDEX(mlist,MATCH($B89,mNo,0),MATCH('4. Waiting confirm'!F$2,mTitle,0)))</f>
        <v>5C730K017</v>
      </c>
      <c r="G89" s="293">
        <f>IF(INDEX(mlist,MATCH($B89,mNo,0),MATCH('4. Waiting confirm'!G$2,mTitle,0))="","",INDEX(mlist,MATCH($B89,mNo,0),MATCH('4. Waiting confirm'!G$2,mTitle,0)))</f>
        <v>45155.657685185186</v>
      </c>
      <c r="H89" s="293">
        <f>IF(INDEX(mlist,MATCH($B89,mNo,0),MATCH('4. Waiting confirm'!H$2,mTitle,0))="","",INDEX(mlist,MATCH($B89,mNo,0),MATCH('4. Waiting confirm'!H$2,mTitle,0)))</f>
        <v>45155.664513888885</v>
      </c>
      <c r="I89" t="str">
        <f>IF(INDEX(mlist,MATCH($B89,mNo,0),MATCH('4. Waiting confirm'!I$2,mTitle,0))="","",INDEX(mlist,MATCH($B89,mNo,0),MATCH('4. Waiting confirm'!I$2,mTitle,0)))</f>
        <v>Minor</v>
      </c>
      <c r="J89" t="str">
        <f>IF(INDEX(mlist,MATCH($B89,mNo,0),MATCH('4. Waiting confirm'!J$2,mTitle,0))="","",INDEX(mlist,MATCH($B89,mNo,0),MATCH('4. Waiting confirm'!J$2,mTitle,0)))</f>
        <v>RBS</v>
      </c>
      <c r="K89" s="294">
        <f>IF(INDEX(mlist,MATCH($B89,mNo,0),MATCH('4. Waiting confirm'!K$2,mTitle,0))="","",INDEX(mlist,MATCH($B89,mNo,0),MATCH('4. Waiting confirm'!K$2,mTitle,0)))</f>
        <v>235</v>
      </c>
      <c r="L89" s="293">
        <f>IF(INDEX(mlist,MATCH($B89,mNo,0),MATCH('4. Waiting confirm'!L$2,mTitle,0))="","",INDEX(mlist,MATCH($B89,mNo,0),MATCH('4. Waiting confirm'!L$2,mTitle,0)))</f>
        <v>45161</v>
      </c>
      <c r="M89" t="str">
        <f>IF(INDEX(mlist,MATCH($B89,mNo,0),MATCH('4. Waiting confirm'!M$2,mTitle,0))="","",INDEX(mlist,MATCH($B89,mNo,0),MATCH('4. Waiting confirm'!M$2,mTitle,0)))</f>
        <v>1. Send quotation to dealer</v>
      </c>
      <c r="N89" t="str">
        <f>IF(INDEX(mlist,MATCH($B89,mNo,0),MATCH('4. Waiting confirm'!N$2,mTitle,0))="","",INDEX(mlist,MATCH($B89,mNo,0),MATCH('4. Waiting confirm'!N$2,mTitle,0)))</f>
        <v>không có thông tin</v>
      </c>
      <c r="O89" t="s">
        <v>288</v>
      </c>
      <c r="R89" s="325">
        <f t="shared" si="2"/>
        <v>0.33333333333333331</v>
      </c>
    </row>
    <row r="90" spans="1:18">
      <c r="A90">
        <f>SUBTOTAL(103,$B$3:B90)</f>
        <v>88</v>
      </c>
      <c r="B90" t="s">
        <v>6250</v>
      </c>
      <c r="C90" t="str">
        <f>IF(INDEX(mlist,MATCH($B90,mNo,0),MATCH('4. Waiting confirm'!C$2,mTitle,0))="","",INDEX(mlist,MATCH($B90,mNo,0),MATCH('4. Waiting confirm'!C$2,mTitle,0)))</f>
        <v>Tay Nguyen Regional General Hospital</v>
      </c>
      <c r="D90" t="str">
        <f>IF(INDEX(mlist,MATCH($B90,mNo,0),MATCH('4. Waiting confirm'!D$2,mTitle,0))="","",INDEX(mlist,MATCH($B90,mNo,0),MATCH('4. Waiting confirm'!D$2,mTitle,0)))</f>
        <v>HCM</v>
      </c>
      <c r="E90" t="str">
        <f>IF(INDEX(mlist,MATCH($B90,mNo,0),MATCH('4. Waiting confirm'!E$2,mTitle,0))="","",INDEX(mlist,MATCH($B90,mNo,0),MATCH('4. Waiting confirm'!E$2,mTitle,0)))</f>
        <v>EB-530S</v>
      </c>
      <c r="F90" t="str">
        <f>IF(INDEX(mlist,MATCH($B90,mNo,0),MATCH('4. Waiting confirm'!F$2,mTitle,0))="","",INDEX(mlist,MATCH($B90,mNo,0),MATCH('4. Waiting confirm'!F$2,mTitle,0)))</f>
        <v>5B089K052</v>
      </c>
      <c r="G90" s="298">
        <f>IF(INDEX(mlist,MATCH($B90,mNo,0),MATCH('4. Waiting confirm'!G$2,mTitle,0))="","",INDEX(mlist,MATCH($B90,mNo,0),MATCH('4. Waiting confirm'!G$2,mTitle,0)))</f>
        <v>45160.415567129632</v>
      </c>
      <c r="H90" s="298">
        <f>IF(INDEX(mlist,MATCH($B90,mNo,0),MATCH('4. Waiting confirm'!H$2,mTitle,0))="","",INDEX(mlist,MATCH($B90,mNo,0),MATCH('4. Waiting confirm'!H$2,mTitle,0)))</f>
        <v>45160.427974537037</v>
      </c>
      <c r="I90" t="str">
        <f>IF(INDEX(mlist,MATCH($B90,mNo,0),MATCH('4. Waiting confirm'!I$2,mTitle,0))="","",INDEX(mlist,MATCH($B90,mNo,0),MATCH('4. Waiting confirm'!I$2,mTitle,0)))</f>
        <v>Major</v>
      </c>
      <c r="J90" t="str">
        <f>IF(INDEX(mlist,MATCH($B90,mNo,0),MATCH('4. Waiting confirm'!J$2,mTitle,0))="","",INDEX(mlist,MATCH($B90,mNo,0),MATCH('4. Waiting confirm'!J$2,mTitle,0)))</f>
        <v>SW, ISA, LGB, ANGL</v>
      </c>
      <c r="K90" s="294">
        <f>IF(INDEX(mlist,MATCH($B90,mNo,0),MATCH('4. Waiting confirm'!K$2,mTitle,0))="","",INDEX(mlist,MATCH($B90,mNo,0),MATCH('4. Waiting confirm'!K$2,mTitle,0)))</f>
        <v>6872</v>
      </c>
      <c r="L90" s="298">
        <f>IF(INDEX(mlist,MATCH($B90,mNo,0),MATCH('4. Waiting confirm'!L$2,mTitle,0))="","",INDEX(mlist,MATCH($B90,mNo,0),MATCH('4. Waiting confirm'!L$2,mTitle,0)))</f>
        <v>45162</v>
      </c>
      <c r="M90" t="str">
        <f>IF(INDEX(mlist,MATCH($B90,mNo,0),MATCH('4. Waiting confirm'!M$2,mTitle,0))="","",INDEX(mlist,MATCH($B90,mNo,0),MATCH('4. Waiting confirm'!M$2,mTitle,0)))</f>
        <v>1. Send quotation to dealer</v>
      </c>
      <c r="N90" t="str">
        <f>IF(INDEX(mlist,MATCH($B90,mNo,0),MATCH('4. Waiting confirm'!N$2,mTitle,0))="","",INDEX(mlist,MATCH($B90,mNo,0),MATCH('4. Waiting confirm'!N$2,mTitle,0)))</f>
        <v>không có thông tin</v>
      </c>
      <c r="O90" t="s">
        <v>288</v>
      </c>
      <c r="R90" s="325">
        <f t="shared" si="2"/>
        <v>0.33333333333333331</v>
      </c>
    </row>
    <row r="91" spans="1:18">
      <c r="A91">
        <f>SUBTOTAL(103,$B$3:B91)</f>
        <v>89</v>
      </c>
      <c r="B91" t="s">
        <v>6253</v>
      </c>
      <c r="C91" t="str">
        <f>IF(INDEX(mlist,MATCH($B91,mNo,0),MATCH('4. Waiting confirm'!C$2,mTitle,0))="","",INDEX(mlist,MATCH($B91,mNo,0),MATCH('4. Waiting confirm'!C$2,mTitle,0)))</f>
        <v>Nam Lien Chieu General Hospital</v>
      </c>
      <c r="D91" t="str">
        <f>IF(INDEX(mlist,MATCH($B91,mNo,0),MATCH('4. Waiting confirm'!D$2,mTitle,0))="","",INDEX(mlist,MATCH($B91,mNo,0),MATCH('4. Waiting confirm'!D$2,mTitle,0)))</f>
        <v>HCM</v>
      </c>
      <c r="E91" t="str">
        <f>IF(INDEX(mlist,MATCH($B91,mNo,0),MATCH('4. Waiting confirm'!E$2,mTitle,0))="","",INDEX(mlist,MATCH($B91,mNo,0),MATCH('4. Waiting confirm'!E$2,mTitle,0)))</f>
        <v>EG-250WR5</v>
      </c>
      <c r="F91" t="str">
        <f>IF(INDEX(mlist,MATCH($B91,mNo,0),MATCH('4. Waiting confirm'!F$2,mTitle,0))="","",INDEX(mlist,MATCH($B91,mNo,0),MATCH('4. Waiting confirm'!F$2,mTitle,0)))</f>
        <v>1G202K617</v>
      </c>
      <c r="G91" s="298">
        <f>IF(INDEX(mlist,MATCH($B91,mNo,0),MATCH('4. Waiting confirm'!G$2,mTitle,0))="","",INDEX(mlist,MATCH($B91,mNo,0),MATCH('4. Waiting confirm'!G$2,mTitle,0)))</f>
        <v>45161.555277777778</v>
      </c>
      <c r="H91" s="298">
        <f>IF(INDEX(mlist,MATCH($B91,mNo,0),MATCH('4. Waiting confirm'!H$2,mTitle,0))="","",INDEX(mlist,MATCH($B91,mNo,0),MATCH('4. Waiting confirm'!H$2,mTitle,0)))</f>
        <v>45161.557529305559</v>
      </c>
      <c r="I91" t="str">
        <f>IF(INDEX(mlist,MATCH($B91,mNo,0),MATCH('4. Waiting confirm'!I$2,mTitle,0))="","",INDEX(mlist,MATCH($B91,mNo,0),MATCH('4. Waiting confirm'!I$2,mTitle,0)))</f>
        <v>Major</v>
      </c>
      <c r="J91" t="str">
        <f>IF(INDEX(mlist,MATCH($B91,mNo,0),MATCH('4. Waiting confirm'!J$2,mTitle,0))="","",INDEX(mlist,MATCH($B91,mNo,0),MATCH('4. Waiting confirm'!J$2,mTitle,0)))</f>
        <v>CHA, BSA</v>
      </c>
      <c r="K91" s="294">
        <f>IF(INDEX(mlist,MATCH($B91,mNo,0),MATCH('4. Waiting confirm'!K$2,mTitle,0))="","",INDEX(mlist,MATCH($B91,mNo,0),MATCH('4. Waiting confirm'!K$2,mTitle,0)))</f>
        <v>5865</v>
      </c>
      <c r="L91" s="298">
        <f>IF(INDEX(mlist,MATCH($B91,mNo,0),MATCH('4. Waiting confirm'!L$2,mTitle,0))="","",INDEX(mlist,MATCH($B91,mNo,0),MATCH('4. Waiting confirm'!L$2,mTitle,0)))</f>
        <v>45161</v>
      </c>
      <c r="M91" t="str">
        <f>IF(INDEX(mlist,MATCH($B91,mNo,0),MATCH('4. Waiting confirm'!M$2,mTitle,0))="","",INDEX(mlist,MATCH($B91,mNo,0),MATCH('4. Waiting confirm'!M$2,mTitle,0)))</f>
        <v>1. Send quotation to dealer</v>
      </c>
      <c r="N91" t="str">
        <f>IF(INDEX(mlist,MATCH($B91,mNo,0),MATCH('4. Waiting confirm'!N$2,mTitle,0))="","",INDEX(mlist,MATCH($B91,mNo,0),MATCH('4. Waiting confirm'!N$2,mTitle,0)))</f>
        <v>không có thông tin</v>
      </c>
      <c r="O91" t="s">
        <v>288</v>
      </c>
      <c r="R91" s="325">
        <f t="shared" si="2"/>
        <v>0.33333333333333331</v>
      </c>
    </row>
    <row r="92" spans="1:18">
      <c r="A92">
        <f>SUBTOTAL(103,$B$3:B92)</f>
        <v>90</v>
      </c>
      <c r="B92" t="s">
        <v>6263</v>
      </c>
      <c r="C92" t="str">
        <f>IF(INDEX(mlist,MATCH($B92,mNo,0),MATCH('4. Waiting confirm'!C$2,mTitle,0))="","",INDEX(mlist,MATCH($B92,mNo,0),MATCH('4. Waiting confirm'!C$2,mTitle,0)))</f>
        <v>245 Clinic - Dr.Cuong Clinic</v>
      </c>
      <c r="D92" t="str">
        <f>IF(INDEX(mlist,MATCH($B92,mNo,0),MATCH('4. Waiting confirm'!D$2,mTitle,0))="","",INDEX(mlist,MATCH($B92,mNo,0),MATCH('4. Waiting confirm'!D$2,mTitle,0)))</f>
        <v>HCM</v>
      </c>
      <c r="E92" t="str">
        <f>IF(INDEX(mlist,MATCH($B92,mNo,0),MATCH('4. Waiting confirm'!E$2,mTitle,0))="","",INDEX(mlist,MATCH($B92,mNo,0),MATCH('4. Waiting confirm'!E$2,mTitle,0)))</f>
        <v>EC-250WL5</v>
      </c>
      <c r="F92" t="str">
        <f>IF(INDEX(mlist,MATCH($B92,mNo,0),MATCH('4. Waiting confirm'!F$2,mTitle,0))="","",INDEX(mlist,MATCH($B92,mNo,0),MATCH('4. Waiting confirm'!F$2,mTitle,0)))</f>
        <v>3C309K057</v>
      </c>
      <c r="G92" s="298">
        <f>IF(INDEX(mlist,MATCH($B92,mNo,0),MATCH('4. Waiting confirm'!G$2,mTitle,0))="","",INDEX(mlist,MATCH($B92,mNo,0),MATCH('4. Waiting confirm'!G$2,mTitle,0)))</f>
        <v>45161.505104166667</v>
      </c>
      <c r="H92" s="298">
        <f>IF(INDEX(mlist,MATCH($B92,mNo,0),MATCH('4. Waiting confirm'!H$2,mTitle,0))="","",INDEX(mlist,MATCH($B92,mNo,0),MATCH('4. Waiting confirm'!H$2,mTitle,0)))</f>
        <v>45161.55281927083</v>
      </c>
      <c r="I92" t="str">
        <f>IF(INDEX(mlist,MATCH($B92,mNo,0),MATCH('4. Waiting confirm'!I$2,mTitle,0))="","",INDEX(mlist,MATCH($B92,mNo,0),MATCH('4. Waiting confirm'!I$2,mTitle,0)))</f>
        <v>Major</v>
      </c>
      <c r="J92" t="str">
        <f>IF(INDEX(mlist,MATCH($B92,mNo,0),MATCH('4. Waiting confirm'!J$2,mTitle,0))="","",INDEX(mlist,MATCH($B92,mNo,0),MATCH('4. Waiting confirm'!J$2,mTitle,0)))</f>
        <v>BSA, DWA</v>
      </c>
      <c r="K92" s="294">
        <f>IF(INDEX(mlist,MATCH($B92,mNo,0),MATCH('4. Waiting confirm'!K$2,mTitle,0))="","",INDEX(mlist,MATCH($B92,mNo,0),MATCH('4. Waiting confirm'!K$2,mTitle,0)))</f>
        <v>1456</v>
      </c>
      <c r="L92" s="298">
        <f>IF(INDEX(mlist,MATCH($B92,mNo,0),MATCH('4. Waiting confirm'!L$2,mTitle,0))="","",INDEX(mlist,MATCH($B92,mNo,0),MATCH('4. Waiting confirm'!L$2,mTitle,0)))</f>
        <v>45161</v>
      </c>
      <c r="M92" t="str">
        <f>IF(INDEX(mlist,MATCH($B92,mNo,0),MATCH('4. Waiting confirm'!M$2,mTitle,0))="","",INDEX(mlist,MATCH($B92,mNo,0),MATCH('4. Waiting confirm'!M$2,mTitle,0)))</f>
        <v>1. Send quotation to dealer</v>
      </c>
      <c r="N92" t="str">
        <f>IF(INDEX(mlist,MATCH($B92,mNo,0),MATCH('4. Waiting confirm'!N$2,mTitle,0))="","",INDEX(mlist,MATCH($B92,mNo,0),MATCH('4. Waiting confirm'!N$2,mTitle,0)))</f>
        <v>không có thông tin</v>
      </c>
      <c r="O92" t="s">
        <v>288</v>
      </c>
      <c r="R92" s="325">
        <f t="shared" si="2"/>
        <v>0.33333333333333331</v>
      </c>
    </row>
  </sheetData>
  <conditionalFormatting sqref="R3:R92">
    <cfRule type="dataBar" priority="18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R3:R92">
    <cfRule type="dataBar" priority="18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R3:R92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R3:R92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90480-30C4-4808-B712-E9B05046BB60}">
  <sheetPr codeName="Sheet10">
    <pageSetUpPr fitToPage="1"/>
  </sheetPr>
  <dimension ref="A1:AD1008"/>
  <sheetViews>
    <sheetView zoomScaleNormal="100" workbookViewId="0">
      <pane xSplit="5" ySplit="2" topLeftCell="O36" activePane="bottomRight" state="frozen"/>
      <selection pane="topRight" activeCell="F1" sqref="F1"/>
      <selection pane="bottomLeft" activeCell="A3" sqref="A3"/>
      <selection pane="bottomRight" activeCell="T29" sqref="T29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73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74" customWidth="1"/>
    <col min="15" max="15" width="41.7109375" customWidth="1"/>
    <col min="16" max="16" width="8.7109375" customWidth="1"/>
    <col min="17" max="18" width="9.140625" customWidth="1"/>
    <col min="19" max="19" width="10" customWidth="1"/>
    <col min="20" max="20" width="9.5703125" customWidth="1"/>
    <col min="21" max="22" width="11.5703125" customWidth="1"/>
    <col min="23" max="23" width="10.140625" customWidth="1"/>
    <col min="24" max="24" width="10.85546875" customWidth="1"/>
    <col min="26" max="26" width="9.7109375" bestFit="1" customWidth="1"/>
    <col min="27" max="27" width="13" customWidth="1"/>
    <col min="28" max="28" width="9.7109375" bestFit="1" customWidth="1"/>
    <col min="30" max="30" width="11.85546875" customWidth="1"/>
    <col min="32" max="32" width="10" bestFit="1" customWidth="1"/>
  </cols>
  <sheetData>
    <row r="1" spans="1:30" ht="90" customHeight="1">
      <c r="B1" s="11" t="s">
        <v>67</v>
      </c>
      <c r="O1" s="9" t="s">
        <v>4803</v>
      </c>
      <c r="S1" s="9" t="s">
        <v>5523</v>
      </c>
      <c r="T1" s="9" t="s">
        <v>6126</v>
      </c>
      <c r="U1" s="9"/>
      <c r="V1" s="9" t="s">
        <v>6334</v>
      </c>
      <c r="W1" s="9" t="s">
        <v>5564</v>
      </c>
      <c r="X1" s="9" t="s">
        <v>6125</v>
      </c>
      <c r="Y1" s="9" t="s">
        <v>6331</v>
      </c>
      <c r="Z1" s="9" t="s">
        <v>6335</v>
      </c>
      <c r="AA1" s="9" t="s">
        <v>6332</v>
      </c>
      <c r="AB1" s="9" t="s">
        <v>6336</v>
      </c>
      <c r="AC1" s="9" t="s">
        <v>6333</v>
      </c>
      <c r="AD1" s="9" t="s">
        <v>6127</v>
      </c>
    </row>
    <row r="2" spans="1:30" ht="51">
      <c r="A2" s="141" t="s">
        <v>94</v>
      </c>
      <c r="B2" s="141" t="s">
        <v>1076</v>
      </c>
      <c r="C2" s="141" t="s">
        <v>74</v>
      </c>
      <c r="D2" s="141" t="s">
        <v>75</v>
      </c>
      <c r="E2" s="141" t="s">
        <v>76</v>
      </c>
      <c r="F2" s="141" t="s">
        <v>98</v>
      </c>
      <c r="G2" s="141" t="s">
        <v>2408</v>
      </c>
      <c r="H2" s="141" t="s">
        <v>1972</v>
      </c>
      <c r="I2" s="145" t="s">
        <v>1894</v>
      </c>
      <c r="J2" s="141" t="s">
        <v>92</v>
      </c>
      <c r="K2" s="141" t="s">
        <v>97</v>
      </c>
      <c r="L2" s="152" t="s">
        <v>1970</v>
      </c>
      <c r="M2" s="141" t="s">
        <v>9</v>
      </c>
      <c r="N2" s="141" t="s">
        <v>1059</v>
      </c>
      <c r="O2" s="144" t="s">
        <v>1969</v>
      </c>
      <c r="P2" s="144" t="s">
        <v>2409</v>
      </c>
      <c r="Q2" s="144" t="s">
        <v>3057</v>
      </c>
      <c r="R2" s="181" t="s">
        <v>5055</v>
      </c>
      <c r="S2" s="183" t="s">
        <v>5137</v>
      </c>
      <c r="T2" s="194" t="s">
        <v>5138</v>
      </c>
      <c r="U2" s="194" t="s">
        <v>5139</v>
      </c>
      <c r="V2" s="299" t="s">
        <v>6214</v>
      </c>
      <c r="W2" s="197" t="s">
        <v>5469</v>
      </c>
      <c r="X2" s="197" t="s">
        <v>5140</v>
      </c>
      <c r="Y2" s="198" t="s">
        <v>5470</v>
      </c>
      <c r="Z2" s="202" t="s">
        <v>5141</v>
      </c>
      <c r="AA2" s="203" t="s">
        <v>5471</v>
      </c>
      <c r="AB2" s="204" t="s">
        <v>5473</v>
      </c>
      <c r="AC2" s="184" t="s">
        <v>5472</v>
      </c>
      <c r="AD2" s="184" t="s">
        <v>5254</v>
      </c>
    </row>
    <row r="3" spans="1:30">
      <c r="A3" s="313">
        <f>COUNTA($E$3:E3)</f>
        <v>1</v>
      </c>
      <c r="B3" s="313" t="s">
        <v>4781</v>
      </c>
      <c r="C3" s="313" t="s">
        <v>37</v>
      </c>
      <c r="D3" s="313" t="s">
        <v>34</v>
      </c>
      <c r="E3" s="313" t="s">
        <v>296</v>
      </c>
      <c r="F3" s="323">
        <v>44978.568194444444</v>
      </c>
      <c r="G3" s="323">
        <v>44984</v>
      </c>
      <c r="H3" s="323">
        <v>44984</v>
      </c>
      <c r="I3" s="323" t="s">
        <v>3</v>
      </c>
      <c r="J3" s="313" t="s">
        <v>1666</v>
      </c>
      <c r="K3" s="313" t="s">
        <v>33</v>
      </c>
      <c r="L3" s="171">
        <v>45166</v>
      </c>
      <c r="M3" s="178" t="s">
        <v>4808</v>
      </c>
      <c r="N3" s="180"/>
      <c r="O3" s="179"/>
      <c r="Q3" t="s">
        <v>129</v>
      </c>
      <c r="S3" s="187">
        <v>44984</v>
      </c>
      <c r="T3" s="195">
        <v>44984</v>
      </c>
      <c r="U3" s="195">
        <v>44984</v>
      </c>
      <c r="V3" s="324">
        <v>1</v>
      </c>
      <c r="W3" s="199">
        <v>44984</v>
      </c>
      <c r="X3" s="199">
        <v>45075.497175925928</v>
      </c>
      <c r="Y3" s="200">
        <v>66</v>
      </c>
      <c r="Z3" s="205">
        <v>45161</v>
      </c>
      <c r="AA3" s="206">
        <v>1</v>
      </c>
      <c r="AB3" s="205">
        <v>45161</v>
      </c>
      <c r="AC3" s="188">
        <v>128</v>
      </c>
      <c r="AD3" s="187" t="str">
        <f>IF(N3&lt;&gt;"",N3,"")</f>
        <v/>
      </c>
    </row>
    <row r="4" spans="1:30">
      <c r="A4" s="318">
        <f>COUNTA($E$3:E4)</f>
        <v>2</v>
      </c>
      <c r="B4" s="318" t="s">
        <v>6071</v>
      </c>
      <c r="C4" s="318" t="s">
        <v>41</v>
      </c>
      <c r="D4" s="318" t="s">
        <v>1193</v>
      </c>
      <c r="E4" s="318" t="s">
        <v>4257</v>
      </c>
      <c r="F4" s="316">
        <v>45145</v>
      </c>
      <c r="G4" s="316"/>
      <c r="H4" s="316"/>
      <c r="I4" s="316" t="s">
        <v>1110</v>
      </c>
      <c r="J4" s="318" t="s">
        <v>4769</v>
      </c>
      <c r="K4" s="318" t="s">
        <v>33</v>
      </c>
      <c r="L4" s="171">
        <v>45166</v>
      </c>
      <c r="M4" s="178" t="s">
        <v>6267</v>
      </c>
      <c r="N4" s="180"/>
      <c r="O4" s="179"/>
      <c r="Q4" t="s">
        <v>129</v>
      </c>
      <c r="S4" s="187">
        <v>45160.507951388892</v>
      </c>
      <c r="T4" s="195">
        <v>45160.507951388892</v>
      </c>
      <c r="U4" s="195">
        <v>45160.507951388892</v>
      </c>
      <c r="V4" s="324">
        <v>1</v>
      </c>
      <c r="W4" s="199">
        <v>45160.507951388892</v>
      </c>
      <c r="X4" s="199">
        <v>45160.5080787037</v>
      </c>
      <c r="Y4" s="200">
        <v>1</v>
      </c>
      <c r="Z4" s="205">
        <v>45160.5080787037</v>
      </c>
      <c r="AA4" s="206">
        <v>1</v>
      </c>
      <c r="AB4" s="205">
        <v>45160.5080787037</v>
      </c>
      <c r="AC4" s="188">
        <v>1</v>
      </c>
      <c r="AD4" s="187"/>
    </row>
    <row r="5" spans="1:30">
      <c r="A5" s="318">
        <f>COUNTA($E$3:E5)</f>
        <v>3</v>
      </c>
      <c r="B5" s="318" t="s">
        <v>6076</v>
      </c>
      <c r="C5" s="318" t="s">
        <v>41</v>
      </c>
      <c r="D5" s="318" t="s">
        <v>49</v>
      </c>
      <c r="E5" s="318" t="s">
        <v>4919</v>
      </c>
      <c r="F5" s="316">
        <v>45156.705231481479</v>
      </c>
      <c r="G5" s="316"/>
      <c r="H5" s="316"/>
      <c r="I5" s="316" t="s">
        <v>2</v>
      </c>
      <c r="J5" s="318" t="s">
        <v>6172</v>
      </c>
      <c r="K5" s="318"/>
      <c r="L5" s="171">
        <v>45166</v>
      </c>
      <c r="M5" s="178" t="s">
        <v>6273</v>
      </c>
      <c r="N5" s="180"/>
      <c r="O5" s="179"/>
      <c r="Q5" t="s">
        <v>22</v>
      </c>
      <c r="S5" s="187">
        <v>45156.710023148145</v>
      </c>
      <c r="T5" s="195">
        <v>45156.710023148145</v>
      </c>
      <c r="U5" s="195">
        <v>45156.710023148145</v>
      </c>
      <c r="V5" s="324">
        <v>1</v>
      </c>
      <c r="W5" s="199">
        <v>45156.710023148145</v>
      </c>
      <c r="X5" s="199">
        <v>45156.710162037038</v>
      </c>
      <c r="Y5" s="200">
        <v>1</v>
      </c>
      <c r="Z5" s="205">
        <v>45156.710162037038</v>
      </c>
      <c r="AA5" s="206">
        <v>1</v>
      </c>
      <c r="AB5" s="205">
        <v>45156.710162037038</v>
      </c>
      <c r="AC5" s="188">
        <v>1</v>
      </c>
      <c r="AD5" s="187"/>
    </row>
    <row r="6" spans="1:30">
      <c r="A6" s="318">
        <f>COUNTA($E$3:E6)</f>
        <v>4</v>
      </c>
      <c r="B6" s="318" t="s">
        <v>6102</v>
      </c>
      <c r="C6" s="318" t="s">
        <v>4122</v>
      </c>
      <c r="D6" s="318" t="s">
        <v>16</v>
      </c>
      <c r="E6" s="318" t="s">
        <v>4774</v>
      </c>
      <c r="F6" s="316">
        <v>45149.690127314818</v>
      </c>
      <c r="G6" s="316"/>
      <c r="H6" s="316" t="s">
        <v>55</v>
      </c>
      <c r="I6" s="316" t="s">
        <v>2</v>
      </c>
      <c r="J6" s="318" t="s">
        <v>6133</v>
      </c>
      <c r="K6" s="318" t="s">
        <v>20</v>
      </c>
      <c r="L6" s="171">
        <v>45166</v>
      </c>
      <c r="M6" s="178" t="s">
        <v>6268</v>
      </c>
      <c r="N6" s="180"/>
      <c r="O6" s="179"/>
      <c r="Q6" t="s">
        <v>22</v>
      </c>
      <c r="S6" s="187">
        <v>45152.546597222223</v>
      </c>
      <c r="T6" s="195">
        <v>45152.546597222223</v>
      </c>
      <c r="U6" s="195">
        <v>45152.546597222223</v>
      </c>
      <c r="V6" s="324">
        <v>1</v>
      </c>
      <c r="W6" s="199">
        <v>45152.546597222223</v>
      </c>
      <c r="X6" s="199">
        <v>45156.454895833333</v>
      </c>
      <c r="Y6" s="200">
        <v>5</v>
      </c>
      <c r="Z6" s="205">
        <v>45156</v>
      </c>
      <c r="AA6" s="206">
        <v>5</v>
      </c>
      <c r="AB6" s="205">
        <v>45162</v>
      </c>
      <c r="AC6" s="188">
        <v>9</v>
      </c>
      <c r="AD6" s="187"/>
    </row>
    <row r="7" spans="1:30">
      <c r="A7" s="318">
        <f>COUNTA($E$3:E7)</f>
        <v>5</v>
      </c>
      <c r="B7" s="318" t="s">
        <v>6134</v>
      </c>
      <c r="C7" s="318" t="s">
        <v>4122</v>
      </c>
      <c r="D7" s="318" t="s">
        <v>16</v>
      </c>
      <c r="E7" s="318" t="s">
        <v>5019</v>
      </c>
      <c r="F7" s="316">
        <v>45152.661689814813</v>
      </c>
      <c r="G7" s="316"/>
      <c r="H7" s="316"/>
      <c r="I7" s="316" t="s">
        <v>2</v>
      </c>
      <c r="J7" s="318" t="s">
        <v>17</v>
      </c>
      <c r="K7" s="318"/>
      <c r="L7" s="171">
        <v>45166</v>
      </c>
      <c r="M7" s="178" t="s">
        <v>6272</v>
      </c>
      <c r="N7" s="180"/>
      <c r="O7" s="179"/>
      <c r="Q7" t="s">
        <v>22</v>
      </c>
      <c r="S7" s="187">
        <v>45152.709131944444</v>
      </c>
      <c r="T7" s="195">
        <v>45152.709131944444</v>
      </c>
      <c r="U7" s="195">
        <v>45152.709131944444</v>
      </c>
      <c r="V7" s="324">
        <v>1</v>
      </c>
      <c r="W7" s="199">
        <v>45152.709131944444</v>
      </c>
      <c r="X7" s="199">
        <v>45156.489328703705</v>
      </c>
      <c r="Y7" s="200">
        <v>5</v>
      </c>
      <c r="Z7" s="205">
        <v>45156</v>
      </c>
      <c r="AA7" s="206">
        <v>1</v>
      </c>
      <c r="AB7" s="205">
        <v>45156</v>
      </c>
      <c r="AC7" s="188">
        <v>1</v>
      </c>
      <c r="AD7" s="187"/>
    </row>
    <row r="8" spans="1:30">
      <c r="A8" s="318">
        <f>COUNTA($E$3:E8)</f>
        <v>6</v>
      </c>
      <c r="B8" s="318" t="s">
        <v>6137</v>
      </c>
      <c r="C8" s="318" t="s">
        <v>41</v>
      </c>
      <c r="D8" s="318" t="s">
        <v>2052</v>
      </c>
      <c r="E8" s="318" t="s">
        <v>2114</v>
      </c>
      <c r="F8" s="316">
        <v>45152</v>
      </c>
      <c r="G8" s="316"/>
      <c r="H8" s="316"/>
      <c r="I8" s="316" t="s">
        <v>1110</v>
      </c>
      <c r="J8" s="318" t="s">
        <v>4769</v>
      </c>
      <c r="K8" s="318" t="s">
        <v>33</v>
      </c>
      <c r="L8" s="171">
        <v>45166</v>
      </c>
      <c r="M8" s="178" t="s">
        <v>6267</v>
      </c>
      <c r="N8" s="180"/>
      <c r="O8" s="179"/>
      <c r="Q8" t="s">
        <v>129</v>
      </c>
      <c r="S8" s="187">
        <v>45160.521689814814</v>
      </c>
      <c r="T8" s="195">
        <v>45160.521689814814</v>
      </c>
      <c r="U8" s="195">
        <v>45160.521689814814</v>
      </c>
      <c r="V8" s="324">
        <v>1</v>
      </c>
      <c r="W8" s="199">
        <v>45160.521689814814</v>
      </c>
      <c r="X8" s="199">
        <v>45160.521851851852</v>
      </c>
      <c r="Y8" s="200">
        <v>1</v>
      </c>
      <c r="Z8" s="205">
        <v>45160.521851851852</v>
      </c>
      <c r="AA8" s="206">
        <v>1</v>
      </c>
      <c r="AB8" s="205">
        <v>45160.521851851852</v>
      </c>
      <c r="AC8" s="188">
        <v>1</v>
      </c>
      <c r="AD8" s="187"/>
    </row>
    <row r="9" spans="1:30">
      <c r="A9" s="318">
        <f>COUNTA($E$3:E9)</f>
        <v>7</v>
      </c>
      <c r="B9" s="318" t="s">
        <v>6141</v>
      </c>
      <c r="C9" s="318" t="s">
        <v>41</v>
      </c>
      <c r="D9" s="318" t="s">
        <v>51</v>
      </c>
      <c r="E9" s="318" t="s">
        <v>4607</v>
      </c>
      <c r="F9" s="316">
        <v>45154</v>
      </c>
      <c r="G9" s="316"/>
      <c r="H9" s="316"/>
      <c r="I9" s="316" t="s">
        <v>3</v>
      </c>
      <c r="J9" s="318" t="s">
        <v>2153</v>
      </c>
      <c r="K9" s="318" t="s">
        <v>33</v>
      </c>
      <c r="L9" s="171">
        <v>45166</v>
      </c>
      <c r="M9" s="178" t="s">
        <v>3846</v>
      </c>
      <c r="N9" s="180"/>
      <c r="O9" s="179"/>
      <c r="Q9" t="s">
        <v>129</v>
      </c>
      <c r="S9" s="187">
        <v>45159.555520833332</v>
      </c>
      <c r="T9" s="195">
        <v>45159.555520833332</v>
      </c>
      <c r="U9" s="195">
        <v>45159.555520833332</v>
      </c>
      <c r="V9" s="324">
        <v>1</v>
      </c>
      <c r="W9" s="199">
        <v>45159.555520833332</v>
      </c>
      <c r="X9" s="199">
        <v>45159.555590277778</v>
      </c>
      <c r="Y9" s="200">
        <v>1</v>
      </c>
      <c r="Z9" s="205">
        <v>45159</v>
      </c>
      <c r="AA9" s="206">
        <v>3</v>
      </c>
      <c r="AB9" s="205">
        <v>45161</v>
      </c>
      <c r="AC9" s="188">
        <v>3</v>
      </c>
      <c r="AD9" s="187"/>
    </row>
    <row r="10" spans="1:30">
      <c r="A10" s="318">
        <f>COUNTA($E$3:E10)</f>
        <v>8</v>
      </c>
      <c r="B10" s="318" t="s">
        <v>6181</v>
      </c>
      <c r="C10" s="318" t="s">
        <v>37</v>
      </c>
      <c r="D10" s="318" t="s">
        <v>30</v>
      </c>
      <c r="E10" s="318" t="s">
        <v>5115</v>
      </c>
      <c r="F10" s="316">
        <v>45159</v>
      </c>
      <c r="G10" s="316"/>
      <c r="H10" s="316"/>
      <c r="I10" s="316" t="s">
        <v>3</v>
      </c>
      <c r="J10" s="318" t="s">
        <v>1720</v>
      </c>
      <c r="K10" s="318" t="s">
        <v>125</v>
      </c>
      <c r="L10" s="171">
        <v>45166</v>
      </c>
      <c r="M10" s="178" t="s">
        <v>6270</v>
      </c>
      <c r="N10" s="180"/>
      <c r="O10" s="179"/>
      <c r="Q10" t="s">
        <v>129</v>
      </c>
      <c r="S10" s="187">
        <v>45160.586435185185</v>
      </c>
      <c r="T10" s="195">
        <v>45160.586435185185</v>
      </c>
      <c r="U10" s="195">
        <v>45160.586435185185</v>
      </c>
      <c r="V10" s="324">
        <v>1</v>
      </c>
      <c r="W10" s="199">
        <v>45160.586435185185</v>
      </c>
      <c r="X10" s="199">
        <v>45160.586585648147</v>
      </c>
      <c r="Y10" s="200">
        <v>1</v>
      </c>
      <c r="Z10" s="205">
        <v>45160</v>
      </c>
      <c r="AA10" s="206">
        <v>1</v>
      </c>
      <c r="AB10" s="205">
        <v>45160</v>
      </c>
      <c r="AC10" s="188">
        <v>1</v>
      </c>
      <c r="AD10" s="187"/>
    </row>
    <row r="11" spans="1:30">
      <c r="A11" s="318">
        <f>COUNTA($E$3:E11)</f>
        <v>9</v>
      </c>
      <c r="B11" s="318" t="s">
        <v>6182</v>
      </c>
      <c r="C11" s="318" t="s">
        <v>37</v>
      </c>
      <c r="D11" s="318" t="s">
        <v>30</v>
      </c>
      <c r="E11" s="318" t="s">
        <v>4932</v>
      </c>
      <c r="F11" s="316">
        <v>45159.456412037034</v>
      </c>
      <c r="G11" s="316"/>
      <c r="H11" s="316"/>
      <c r="I11" s="316" t="s">
        <v>3</v>
      </c>
      <c r="J11" s="318" t="s">
        <v>1212</v>
      </c>
      <c r="K11" s="318"/>
      <c r="L11" s="171">
        <v>45166</v>
      </c>
      <c r="M11" s="178" t="s">
        <v>3837</v>
      </c>
      <c r="N11" s="180"/>
      <c r="O11" s="179"/>
      <c r="Q11" t="s">
        <v>129</v>
      </c>
      <c r="S11" s="187">
        <v>45160.540775462963</v>
      </c>
      <c r="T11" s="195">
        <v>45160.540775462963</v>
      </c>
      <c r="U11" s="195">
        <v>45160.540775462963</v>
      </c>
      <c r="V11" s="324">
        <v>1</v>
      </c>
      <c r="W11" s="199">
        <v>45160.540775462963</v>
      </c>
      <c r="X11" s="199">
        <v>45160.540914351855</v>
      </c>
      <c r="Y11" s="200">
        <v>1</v>
      </c>
      <c r="Z11" s="205">
        <v>45160</v>
      </c>
      <c r="AA11" s="206">
        <v>4</v>
      </c>
      <c r="AB11" s="205">
        <v>45163</v>
      </c>
      <c r="AC11" s="188">
        <v>4</v>
      </c>
      <c r="AD11" s="187"/>
    </row>
    <row r="12" spans="1:30">
      <c r="A12" s="318">
        <f>COUNTA($E$3:E12)</f>
        <v>10</v>
      </c>
      <c r="B12" s="318" t="s">
        <v>6233</v>
      </c>
      <c r="C12" s="318" t="s">
        <v>41</v>
      </c>
      <c r="D12" s="318" t="s">
        <v>51</v>
      </c>
      <c r="E12" s="318" t="s">
        <v>6234</v>
      </c>
      <c r="F12" s="316">
        <v>45159</v>
      </c>
      <c r="G12" s="316"/>
      <c r="H12" s="316"/>
      <c r="I12" s="316" t="s">
        <v>3</v>
      </c>
      <c r="J12" s="318" t="s">
        <v>6299</v>
      </c>
      <c r="K12" s="318" t="s">
        <v>33</v>
      </c>
      <c r="L12" s="171">
        <v>45166</v>
      </c>
      <c r="M12" s="178"/>
      <c r="N12" s="180"/>
      <c r="O12" s="179"/>
      <c r="Q12" t="s">
        <v>129</v>
      </c>
      <c r="S12" s="187">
        <v>45162.523333333331</v>
      </c>
      <c r="T12" s="195">
        <v>45162.523333333331</v>
      </c>
      <c r="U12" s="195">
        <v>45162.523333333331</v>
      </c>
      <c r="V12" s="324">
        <v>1</v>
      </c>
      <c r="W12" s="199">
        <v>45162.523333333331</v>
      </c>
      <c r="X12" s="199">
        <v>45162.5234837963</v>
      </c>
      <c r="Y12" s="200">
        <v>1</v>
      </c>
      <c r="Z12" s="205">
        <v>45162</v>
      </c>
      <c r="AA12" s="206">
        <v>1</v>
      </c>
      <c r="AB12" s="205">
        <v>45162</v>
      </c>
      <c r="AC12" s="188">
        <v>1</v>
      </c>
      <c r="AD12" s="187"/>
    </row>
    <row r="13" spans="1:30">
      <c r="A13" s="318">
        <f>COUNTA($E$3:E13)</f>
        <v>11</v>
      </c>
      <c r="B13" s="318" t="s">
        <v>6259</v>
      </c>
      <c r="C13" s="318" t="s">
        <v>5097</v>
      </c>
      <c r="D13" s="318" t="s">
        <v>1123</v>
      </c>
      <c r="E13" s="318" t="s">
        <v>6260</v>
      </c>
      <c r="F13" s="316">
        <v>45160</v>
      </c>
      <c r="G13" s="316"/>
      <c r="H13" s="316"/>
      <c r="I13" s="316" t="s">
        <v>3</v>
      </c>
      <c r="J13" s="318" t="s">
        <v>2153</v>
      </c>
      <c r="K13" s="318" t="s">
        <v>33</v>
      </c>
      <c r="L13" s="171">
        <v>45166</v>
      </c>
      <c r="M13" s="178" t="s">
        <v>6266</v>
      </c>
      <c r="N13" s="180"/>
      <c r="O13" s="179"/>
      <c r="Q13" t="s">
        <v>129</v>
      </c>
      <c r="S13" s="187">
        <v>45161.714467592596</v>
      </c>
      <c r="T13" s="195">
        <v>45161.714467592596</v>
      </c>
      <c r="U13" s="195">
        <v>45161.714467592596</v>
      </c>
      <c r="V13" s="324">
        <v>1</v>
      </c>
      <c r="W13" s="199">
        <v>45161.714467592596</v>
      </c>
      <c r="X13" s="199">
        <v>45161.71465277778</v>
      </c>
      <c r="Y13" s="200">
        <v>1</v>
      </c>
      <c r="Z13" s="205">
        <v>45161</v>
      </c>
      <c r="AA13" s="206">
        <v>1</v>
      </c>
      <c r="AB13" s="205">
        <v>45161</v>
      </c>
      <c r="AC13" s="188">
        <v>1</v>
      </c>
      <c r="AD13" s="187"/>
    </row>
    <row r="14" spans="1:30">
      <c r="A14" s="318">
        <f>COUNTA($E$3:E14)</f>
        <v>12</v>
      </c>
      <c r="B14" s="321" t="s">
        <v>6342</v>
      </c>
      <c r="C14" s="321" t="s">
        <v>41</v>
      </c>
      <c r="D14" s="321" t="s">
        <v>49</v>
      </c>
      <c r="E14" s="321" t="s">
        <v>2719</v>
      </c>
      <c r="F14" s="320"/>
      <c r="G14" s="320"/>
      <c r="H14" s="320"/>
      <c r="I14" s="320" t="s">
        <v>2</v>
      </c>
      <c r="J14" s="321"/>
      <c r="K14" s="321" t="s">
        <v>24</v>
      </c>
      <c r="L14" s="171">
        <v>45160</v>
      </c>
      <c r="M14" s="321" t="s">
        <v>3759</v>
      </c>
      <c r="N14" s="327"/>
      <c r="O14" s="179"/>
      <c r="Q14" t="s">
        <v>22</v>
      </c>
      <c r="S14" s="187"/>
      <c r="T14" s="195"/>
      <c r="U14" s="195"/>
      <c r="V14" s="324"/>
      <c r="W14" s="199"/>
      <c r="X14" s="199"/>
      <c r="Y14" s="200"/>
      <c r="Z14" s="205"/>
      <c r="AA14" s="206"/>
      <c r="AB14" s="205"/>
      <c r="AC14" s="188"/>
      <c r="AD14" s="187"/>
    </row>
    <row r="15" spans="1:30">
      <c r="A15" s="318">
        <f>COUNTA($E$3:E15)</f>
        <v>13</v>
      </c>
      <c r="B15" s="321" t="s">
        <v>6343</v>
      </c>
      <c r="C15" s="321" t="s">
        <v>3299</v>
      </c>
      <c r="D15" s="321" t="s">
        <v>58</v>
      </c>
      <c r="E15" s="321" t="s">
        <v>5260</v>
      </c>
      <c r="F15" s="320">
        <v>45139.79246527778</v>
      </c>
      <c r="G15" s="320"/>
      <c r="H15" s="320"/>
      <c r="I15" s="320"/>
      <c r="J15" s="321" t="s">
        <v>6344</v>
      </c>
      <c r="K15" s="321"/>
      <c r="L15" s="171">
        <v>45160</v>
      </c>
      <c r="M15" s="321" t="s">
        <v>6345</v>
      </c>
      <c r="N15" s="327"/>
      <c r="O15" s="179"/>
      <c r="Q15" t="s">
        <v>129</v>
      </c>
      <c r="S15" s="187"/>
      <c r="T15" s="195"/>
      <c r="U15" s="195"/>
      <c r="V15" s="324"/>
      <c r="W15" s="199"/>
      <c r="X15" s="199"/>
      <c r="Y15" s="200"/>
      <c r="Z15" s="205"/>
      <c r="AA15" s="206"/>
      <c r="AB15" s="205"/>
      <c r="AC15" s="188"/>
      <c r="AD15" s="187"/>
    </row>
    <row r="16" spans="1:30">
      <c r="A16" s="318">
        <f>COUNTA($E$3:E16)</f>
        <v>14</v>
      </c>
      <c r="B16" s="321" t="s">
        <v>6346</v>
      </c>
      <c r="C16" s="321" t="s">
        <v>109</v>
      </c>
      <c r="D16" s="321" t="s">
        <v>58</v>
      </c>
      <c r="E16" s="321" t="s">
        <v>6347</v>
      </c>
      <c r="F16" s="320">
        <v>45141.720868055556</v>
      </c>
      <c r="G16" s="320"/>
      <c r="H16" s="320"/>
      <c r="I16" s="320"/>
      <c r="J16" s="321" t="s">
        <v>2153</v>
      </c>
      <c r="K16" s="321"/>
      <c r="L16" s="171">
        <v>45160</v>
      </c>
      <c r="M16" s="321" t="s">
        <v>6345</v>
      </c>
      <c r="N16" s="327"/>
      <c r="O16" s="179"/>
      <c r="Q16" t="s">
        <v>129</v>
      </c>
      <c r="S16" s="187"/>
      <c r="T16" s="195"/>
      <c r="U16" s="195"/>
      <c r="V16" s="324"/>
      <c r="W16" s="199"/>
      <c r="X16" s="199"/>
      <c r="Y16" s="200"/>
      <c r="Z16" s="205"/>
      <c r="AA16" s="206"/>
      <c r="AB16" s="205"/>
      <c r="AC16" s="188"/>
      <c r="AD16" s="187"/>
    </row>
    <row r="17" spans="1:30">
      <c r="A17" s="318">
        <f>COUNTA($E$3:E17)</f>
        <v>15</v>
      </c>
      <c r="B17" s="321" t="s">
        <v>6348</v>
      </c>
      <c r="C17" s="321" t="s">
        <v>44</v>
      </c>
      <c r="D17" s="321" t="s">
        <v>1129</v>
      </c>
      <c r="E17" s="321" t="s">
        <v>5343</v>
      </c>
      <c r="F17" s="320">
        <v>45148.520138888889</v>
      </c>
      <c r="G17" s="320"/>
      <c r="H17" s="320"/>
      <c r="I17" s="320"/>
      <c r="J17" s="321" t="s">
        <v>17</v>
      </c>
      <c r="K17" s="321" t="s">
        <v>20</v>
      </c>
      <c r="L17" s="171">
        <v>45160</v>
      </c>
      <c r="M17" s="321"/>
      <c r="N17" s="327"/>
      <c r="O17" s="179"/>
      <c r="Q17" t="s">
        <v>22</v>
      </c>
      <c r="S17" s="187"/>
      <c r="T17" s="195"/>
      <c r="U17" s="195"/>
      <c r="V17" s="324"/>
      <c r="W17" s="199"/>
      <c r="X17" s="199"/>
      <c r="Y17" s="200"/>
      <c r="Z17" s="205"/>
      <c r="AA17" s="206"/>
      <c r="AB17" s="205"/>
      <c r="AC17" s="188"/>
      <c r="AD17" s="187"/>
    </row>
    <row r="18" spans="1:30">
      <c r="A18" s="318">
        <f>COUNTA($E$3:E18)</f>
        <v>16</v>
      </c>
      <c r="B18" s="321" t="s">
        <v>6349</v>
      </c>
      <c r="C18" s="321" t="s">
        <v>3984</v>
      </c>
      <c r="D18" s="321" t="s">
        <v>34</v>
      </c>
      <c r="E18" s="321" t="s">
        <v>6350</v>
      </c>
      <c r="F18" s="320">
        <v>45149.677442129629</v>
      </c>
      <c r="G18" s="320"/>
      <c r="H18" s="320"/>
      <c r="I18" s="320"/>
      <c r="J18" s="321" t="s">
        <v>6351</v>
      </c>
      <c r="K18" s="321" t="s">
        <v>1277</v>
      </c>
      <c r="L18" s="171">
        <v>45160</v>
      </c>
      <c r="M18" s="321"/>
      <c r="N18" s="327"/>
      <c r="O18" s="179"/>
      <c r="Q18" t="s">
        <v>129</v>
      </c>
      <c r="S18" s="187"/>
      <c r="T18" s="195"/>
      <c r="U18" s="195"/>
      <c r="V18" s="324"/>
      <c r="W18" s="199"/>
      <c r="X18" s="199"/>
      <c r="Y18" s="200"/>
      <c r="Z18" s="205"/>
      <c r="AA18" s="206"/>
      <c r="AB18" s="205"/>
      <c r="AC18" s="188"/>
      <c r="AD18" s="187"/>
    </row>
    <row r="19" spans="1:30">
      <c r="A19" s="318">
        <f>COUNTA($E$3:E19)</f>
        <v>17</v>
      </c>
      <c r="B19" s="321" t="s">
        <v>6352</v>
      </c>
      <c r="C19" s="321" t="s">
        <v>41</v>
      </c>
      <c r="D19" s="321" t="s">
        <v>56</v>
      </c>
      <c r="E19" s="321" t="s">
        <v>5553</v>
      </c>
      <c r="F19" s="320">
        <v>45152.765057870369</v>
      </c>
      <c r="G19" s="320"/>
      <c r="H19" s="320"/>
      <c r="I19" s="320" t="s">
        <v>3</v>
      </c>
      <c r="J19" s="321" t="s">
        <v>2153</v>
      </c>
      <c r="K19" s="321"/>
      <c r="L19" s="171">
        <v>45160</v>
      </c>
      <c r="M19" s="321" t="s">
        <v>6353</v>
      </c>
      <c r="N19" s="327"/>
      <c r="O19" s="179"/>
      <c r="Q19" t="s">
        <v>129</v>
      </c>
      <c r="S19" s="187"/>
      <c r="T19" s="195"/>
      <c r="U19" s="195"/>
      <c r="V19" s="324"/>
      <c r="W19" s="199"/>
      <c r="X19" s="199"/>
      <c r="Y19" s="200"/>
      <c r="Z19" s="205"/>
      <c r="AA19" s="206"/>
      <c r="AB19" s="205"/>
      <c r="AC19" s="188"/>
      <c r="AD19" s="187"/>
    </row>
    <row r="20" spans="1:30">
      <c r="A20" s="318">
        <f>COUNTA($E$3:E20)</f>
        <v>18</v>
      </c>
      <c r="B20" s="321" t="s">
        <v>6354</v>
      </c>
      <c r="C20" s="321" t="s">
        <v>41</v>
      </c>
      <c r="D20" s="321" t="s">
        <v>49</v>
      </c>
      <c r="E20" s="321" t="s">
        <v>5551</v>
      </c>
      <c r="F20" s="320">
        <v>45152.765694444446</v>
      </c>
      <c r="G20" s="320"/>
      <c r="H20" s="320"/>
      <c r="I20" s="320" t="s">
        <v>3</v>
      </c>
      <c r="J20" s="321" t="s">
        <v>2153</v>
      </c>
      <c r="K20" s="321"/>
      <c r="L20" s="171">
        <v>45160</v>
      </c>
      <c r="M20" s="321" t="s">
        <v>6353</v>
      </c>
      <c r="N20" s="327"/>
      <c r="O20" s="179"/>
      <c r="Q20" t="s">
        <v>129</v>
      </c>
      <c r="S20" s="187"/>
      <c r="T20" s="195"/>
      <c r="U20" s="195"/>
      <c r="V20" s="324"/>
      <c r="W20" s="199"/>
      <c r="X20" s="199"/>
      <c r="Y20" s="200"/>
      <c r="Z20" s="205"/>
      <c r="AA20" s="206"/>
      <c r="AB20" s="205"/>
      <c r="AC20" s="188"/>
      <c r="AD20" s="187"/>
    </row>
    <row r="21" spans="1:30">
      <c r="A21" s="318">
        <f>COUNTA($E$3:E21)</f>
        <v>19</v>
      </c>
      <c r="B21" s="318" t="s">
        <v>5232</v>
      </c>
      <c r="C21" s="318" t="s">
        <v>5233</v>
      </c>
      <c r="D21" s="318" t="s">
        <v>19</v>
      </c>
      <c r="E21" s="318" t="s">
        <v>5234</v>
      </c>
      <c r="F21" s="316">
        <v>45055.764918981484</v>
      </c>
      <c r="G21" s="316">
        <v>45139</v>
      </c>
      <c r="H21" s="316">
        <v>45105</v>
      </c>
      <c r="I21" s="316" t="s">
        <v>2</v>
      </c>
      <c r="J21" s="318" t="s">
        <v>5305</v>
      </c>
      <c r="K21" s="318" t="s">
        <v>1287</v>
      </c>
      <c r="L21" s="171">
        <v>45152</v>
      </c>
      <c r="M21" s="178" t="s">
        <v>33</v>
      </c>
      <c r="N21" s="180">
        <v>45148</v>
      </c>
      <c r="O21" s="179"/>
      <c r="Q21" t="s">
        <v>129</v>
      </c>
      <c r="S21" s="187">
        <v>45105</v>
      </c>
      <c r="T21" s="195">
        <v>45105</v>
      </c>
      <c r="U21" s="195">
        <v>45105</v>
      </c>
      <c r="V21" s="324">
        <v>1</v>
      </c>
      <c r="W21" s="199">
        <v>45142.732777777775</v>
      </c>
      <c r="X21" s="199">
        <v>45142.732777777775</v>
      </c>
      <c r="Y21" s="200">
        <v>1</v>
      </c>
      <c r="Z21" s="205">
        <v>45142</v>
      </c>
      <c r="AA21" s="206">
        <v>6</v>
      </c>
      <c r="AB21" s="205">
        <v>45149</v>
      </c>
      <c r="AC21" s="188">
        <v>33</v>
      </c>
      <c r="AD21" s="187"/>
    </row>
    <row r="22" spans="1:30">
      <c r="A22" s="318">
        <f>COUNTA($E$3:E22)</f>
        <v>20</v>
      </c>
      <c r="B22" s="318" t="s">
        <v>5418</v>
      </c>
      <c r="C22" s="318" t="s">
        <v>109</v>
      </c>
      <c r="D22" s="318" t="s">
        <v>58</v>
      </c>
      <c r="E22" s="318" t="s">
        <v>5419</v>
      </c>
      <c r="F22" s="316">
        <v>45076.866064814814</v>
      </c>
      <c r="G22" s="316"/>
      <c r="H22" s="316" t="s">
        <v>55</v>
      </c>
      <c r="I22" s="316" t="s">
        <v>2</v>
      </c>
      <c r="J22" s="318" t="s">
        <v>5420</v>
      </c>
      <c r="K22" s="318" t="s">
        <v>1296</v>
      </c>
      <c r="L22" s="171">
        <v>45152</v>
      </c>
      <c r="M22" s="178" t="s">
        <v>2955</v>
      </c>
      <c r="N22" s="180">
        <v>45148</v>
      </c>
      <c r="O22" s="179"/>
      <c r="Q22" t="s">
        <v>129</v>
      </c>
      <c r="S22" s="187">
        <v>45078.562326388892</v>
      </c>
      <c r="T22" s="195">
        <v>45078.562326388892</v>
      </c>
      <c r="U22" s="195">
        <v>45078.562326388892</v>
      </c>
      <c r="V22" s="324">
        <v>1</v>
      </c>
      <c r="W22" s="199">
        <v>45142.769837962966</v>
      </c>
      <c r="X22" s="199">
        <v>45142.769837962966</v>
      </c>
      <c r="Y22" s="200">
        <v>1</v>
      </c>
      <c r="Z22" s="205">
        <v>45142</v>
      </c>
      <c r="AA22" s="206">
        <v>1</v>
      </c>
      <c r="AB22" s="205">
        <v>45149</v>
      </c>
      <c r="AC22" s="188">
        <v>1</v>
      </c>
      <c r="AD22" s="187"/>
    </row>
    <row r="23" spans="1:30">
      <c r="A23" s="318">
        <f>COUNTA($E$3:E23)</f>
        <v>21</v>
      </c>
      <c r="B23" s="318" t="s">
        <v>5910</v>
      </c>
      <c r="C23" s="318" t="s">
        <v>37</v>
      </c>
      <c r="D23" s="318" t="s">
        <v>30</v>
      </c>
      <c r="E23" s="318" t="s">
        <v>3370</v>
      </c>
      <c r="F23" s="316">
        <v>45131.651435185187</v>
      </c>
      <c r="G23" s="316"/>
      <c r="H23" s="316"/>
      <c r="I23" s="316" t="s">
        <v>3</v>
      </c>
      <c r="J23" s="318" t="s">
        <v>1485</v>
      </c>
      <c r="K23" s="318" t="s">
        <v>1287</v>
      </c>
      <c r="L23" s="171">
        <v>45152</v>
      </c>
      <c r="M23" s="178" t="s">
        <v>6110</v>
      </c>
      <c r="N23" s="180">
        <v>45135</v>
      </c>
      <c r="O23" s="179"/>
      <c r="Q23" t="s">
        <v>129</v>
      </c>
      <c r="S23" s="187">
        <v>45132.736597222225</v>
      </c>
      <c r="T23" s="195">
        <v>45132.736597222225</v>
      </c>
      <c r="U23" s="195">
        <v>45132.736597222225</v>
      </c>
      <c r="V23" s="324">
        <v>1</v>
      </c>
      <c r="W23" s="199">
        <v>45132.736712962964</v>
      </c>
      <c r="X23" s="199">
        <v>45132.736712962964</v>
      </c>
      <c r="Y23" s="200">
        <v>1</v>
      </c>
      <c r="Z23" s="205">
        <v>45132</v>
      </c>
      <c r="AA23" s="206">
        <v>1</v>
      </c>
      <c r="AB23" s="205">
        <v>45149</v>
      </c>
      <c r="AC23" s="188">
        <v>1</v>
      </c>
      <c r="AD23" s="187"/>
    </row>
    <row r="24" spans="1:30">
      <c r="A24" s="318">
        <f>COUNTA($E$3:E24)</f>
        <v>22</v>
      </c>
      <c r="B24" s="318" t="s">
        <v>6026</v>
      </c>
      <c r="C24" s="318" t="s">
        <v>2370</v>
      </c>
      <c r="D24" s="318" t="s">
        <v>1123</v>
      </c>
      <c r="E24" s="318" t="s">
        <v>5533</v>
      </c>
      <c r="F24" s="316">
        <v>45142.467141203706</v>
      </c>
      <c r="G24" s="316"/>
      <c r="H24" s="316"/>
      <c r="I24" s="316" t="s">
        <v>2</v>
      </c>
      <c r="J24" s="318" t="s">
        <v>6027</v>
      </c>
      <c r="K24" s="318" t="s">
        <v>20</v>
      </c>
      <c r="L24" s="171">
        <v>45152</v>
      </c>
      <c r="M24" s="178" t="s">
        <v>3732</v>
      </c>
      <c r="N24" s="180">
        <v>45147</v>
      </c>
      <c r="O24" s="179"/>
      <c r="Q24" t="s">
        <v>22</v>
      </c>
      <c r="S24" s="187">
        <v>45142.472824074073</v>
      </c>
      <c r="T24" s="195">
        <v>45142.472824074073</v>
      </c>
      <c r="U24" s="195">
        <v>45142.472824074073</v>
      </c>
      <c r="V24" s="324">
        <v>1</v>
      </c>
      <c r="W24" s="199">
        <v>45148.509444444448</v>
      </c>
      <c r="X24" s="199">
        <v>45148.509444444448</v>
      </c>
      <c r="Y24" s="200">
        <v>1</v>
      </c>
      <c r="Z24" s="205">
        <v>45142</v>
      </c>
      <c r="AA24" s="206">
        <v>7</v>
      </c>
      <c r="AB24" s="205">
        <v>45152</v>
      </c>
      <c r="AC24" s="188">
        <v>7</v>
      </c>
      <c r="AD24" s="187">
        <v>45147</v>
      </c>
    </row>
    <row r="25" spans="1:30">
      <c r="A25" s="318">
        <f>COUNTA($E$3:E25)</f>
        <v>23</v>
      </c>
      <c r="B25" s="318" t="s">
        <v>6029</v>
      </c>
      <c r="C25" s="318" t="s">
        <v>2767</v>
      </c>
      <c r="D25" s="318" t="s">
        <v>16</v>
      </c>
      <c r="E25" s="318" t="s">
        <v>3277</v>
      </c>
      <c r="F25" s="316">
        <v>45142.648356481484</v>
      </c>
      <c r="G25" s="316"/>
      <c r="H25" s="316"/>
      <c r="I25" s="316" t="s">
        <v>2</v>
      </c>
      <c r="J25" s="318" t="s">
        <v>4926</v>
      </c>
      <c r="K25" s="318" t="s">
        <v>1120</v>
      </c>
      <c r="L25" s="171">
        <v>45152</v>
      </c>
      <c r="M25" s="178" t="s">
        <v>3732</v>
      </c>
      <c r="N25" s="180"/>
      <c r="O25" s="179"/>
      <c r="Q25" t="s">
        <v>129</v>
      </c>
      <c r="S25" s="187">
        <v>44882</v>
      </c>
      <c r="T25" s="195">
        <v>44886</v>
      </c>
      <c r="U25" s="195">
        <v>45033</v>
      </c>
      <c r="V25" s="324">
        <v>106</v>
      </c>
      <c r="W25" s="199">
        <v>45044</v>
      </c>
      <c r="X25" s="199">
        <v>45142</v>
      </c>
      <c r="Y25" s="200">
        <v>71</v>
      </c>
      <c r="Z25" s="205">
        <v>45142</v>
      </c>
      <c r="AA25" s="206">
        <v>5</v>
      </c>
      <c r="AB25" s="205">
        <v>45148</v>
      </c>
      <c r="AC25" s="188">
        <v>191</v>
      </c>
      <c r="AD25" s="187"/>
    </row>
    <row r="26" spans="1:30">
      <c r="A26" s="318">
        <f>COUNTA($E$3:E26)</f>
        <v>24</v>
      </c>
      <c r="B26" s="318" t="s">
        <v>6066</v>
      </c>
      <c r="C26" s="318" t="s">
        <v>37</v>
      </c>
      <c r="D26" s="318" t="s">
        <v>30</v>
      </c>
      <c r="E26" s="318" t="s">
        <v>3381</v>
      </c>
      <c r="F26" s="316">
        <v>45145.700879629629</v>
      </c>
      <c r="G26" s="316"/>
      <c r="H26" s="316"/>
      <c r="I26" s="316"/>
      <c r="J26" s="318" t="s">
        <v>1720</v>
      </c>
      <c r="K26" s="318"/>
      <c r="L26" s="171">
        <v>45152</v>
      </c>
      <c r="M26" s="178" t="s">
        <v>6111</v>
      </c>
      <c r="N26" s="180"/>
      <c r="O26" s="179"/>
      <c r="Q26" t="s">
        <v>129</v>
      </c>
      <c r="S26" s="187">
        <v>45147.710185185184</v>
      </c>
      <c r="T26" s="195">
        <v>45147.710185185184</v>
      </c>
      <c r="U26" s="195">
        <v>45147.710185185184</v>
      </c>
      <c r="V26" s="324">
        <v>1</v>
      </c>
      <c r="W26" s="199">
        <v>45147.710358796299</v>
      </c>
      <c r="X26" s="199">
        <v>45147.710358796299</v>
      </c>
      <c r="Y26" s="200">
        <v>1</v>
      </c>
      <c r="Z26" s="205">
        <v>45147</v>
      </c>
      <c r="AA26" s="206">
        <v>2</v>
      </c>
      <c r="AB26" s="205">
        <v>45148</v>
      </c>
      <c r="AC26" s="188">
        <v>2</v>
      </c>
      <c r="AD26" s="187"/>
    </row>
    <row r="27" spans="1:30">
      <c r="A27" s="318">
        <f>COUNTA($E$3:E27)</f>
        <v>25</v>
      </c>
      <c r="B27" s="318" t="s">
        <v>6069</v>
      </c>
      <c r="C27" s="318" t="s">
        <v>41</v>
      </c>
      <c r="D27" s="318" t="s">
        <v>1125</v>
      </c>
      <c r="E27" s="318" t="s">
        <v>2879</v>
      </c>
      <c r="F27" s="316">
        <v>45145.78634259259</v>
      </c>
      <c r="G27" s="316"/>
      <c r="H27" s="316"/>
      <c r="I27" s="316"/>
      <c r="J27" s="318" t="s">
        <v>4769</v>
      </c>
      <c r="K27" s="318"/>
      <c r="L27" s="171">
        <v>45152</v>
      </c>
      <c r="M27" s="178" t="s">
        <v>3755</v>
      </c>
      <c r="N27" s="180"/>
      <c r="O27" s="179"/>
      <c r="Q27" t="s">
        <v>129</v>
      </c>
      <c r="S27" s="187">
        <v>45148.755555555559</v>
      </c>
      <c r="T27" s="195">
        <v>45148.755555555559</v>
      </c>
      <c r="U27" s="195">
        <v>45148.755555555559</v>
      </c>
      <c r="V27" s="324">
        <v>1</v>
      </c>
      <c r="W27" s="199">
        <v>45148.755729166667</v>
      </c>
      <c r="X27" s="199">
        <v>45148.755729166667</v>
      </c>
      <c r="Y27" s="200">
        <v>1</v>
      </c>
      <c r="Z27" s="205">
        <v>45148</v>
      </c>
      <c r="AA27" s="206">
        <v>2</v>
      </c>
      <c r="AB27" s="205">
        <v>45151</v>
      </c>
      <c r="AC27" s="188">
        <v>2</v>
      </c>
      <c r="AD27" s="187"/>
    </row>
    <row r="28" spans="1:30">
      <c r="A28" s="318">
        <f>COUNTA($E$3:E28)</f>
        <v>26</v>
      </c>
      <c r="B28" s="318" t="s">
        <v>6070</v>
      </c>
      <c r="C28" s="318" t="s">
        <v>41</v>
      </c>
      <c r="D28" s="318" t="s">
        <v>49</v>
      </c>
      <c r="E28" s="318" t="s">
        <v>3744</v>
      </c>
      <c r="F28" s="316">
        <v>45145</v>
      </c>
      <c r="G28" s="316"/>
      <c r="H28" s="316"/>
      <c r="I28" s="316" t="s">
        <v>3</v>
      </c>
      <c r="J28" s="318" t="s">
        <v>4769</v>
      </c>
      <c r="K28" s="318"/>
      <c r="L28" s="171">
        <v>45152</v>
      </c>
      <c r="M28" s="178" t="s">
        <v>6112</v>
      </c>
      <c r="N28" s="180"/>
      <c r="O28" s="179"/>
      <c r="Q28" t="s">
        <v>129</v>
      </c>
      <c r="S28" s="187">
        <v>45148.520648148151</v>
      </c>
      <c r="T28" s="195">
        <v>45148.520648148151</v>
      </c>
      <c r="U28" s="195">
        <v>45148.520648148151</v>
      </c>
      <c r="V28" s="324">
        <v>1</v>
      </c>
      <c r="W28" s="199">
        <v>45148.520752314813</v>
      </c>
      <c r="X28" s="199">
        <v>45148.520752314813</v>
      </c>
      <c r="Y28" s="200">
        <v>1</v>
      </c>
      <c r="Z28" s="205">
        <v>45148</v>
      </c>
      <c r="AA28" s="206">
        <v>2</v>
      </c>
      <c r="AB28" s="205">
        <v>45151</v>
      </c>
      <c r="AC28" s="188">
        <v>2</v>
      </c>
      <c r="AD28" s="187"/>
    </row>
    <row r="29" spans="1:30">
      <c r="A29" s="318">
        <f>COUNTA($E$3:E29)</f>
        <v>27</v>
      </c>
      <c r="B29" s="318" t="s">
        <v>6074</v>
      </c>
      <c r="C29" s="318" t="s">
        <v>37</v>
      </c>
      <c r="D29" s="318" t="s">
        <v>30</v>
      </c>
      <c r="E29" s="318" t="s">
        <v>3871</v>
      </c>
      <c r="F29" s="316">
        <v>45146.727812500001</v>
      </c>
      <c r="G29" s="316"/>
      <c r="H29" s="316"/>
      <c r="I29" s="316" t="s">
        <v>3</v>
      </c>
      <c r="J29" s="318" t="s">
        <v>1212</v>
      </c>
      <c r="K29" s="318"/>
      <c r="L29" s="171">
        <v>45152</v>
      </c>
      <c r="M29" s="178" t="s">
        <v>6113</v>
      </c>
      <c r="N29" s="180"/>
      <c r="O29" s="179"/>
      <c r="Q29" t="s">
        <v>129</v>
      </c>
      <c r="S29" s="187">
        <v>45148.490474537037</v>
      </c>
      <c r="T29" s="195">
        <v>45148.490474537037</v>
      </c>
      <c r="U29" s="195">
        <v>45148.490474537037</v>
      </c>
      <c r="V29" s="324">
        <v>1</v>
      </c>
      <c r="W29" s="199">
        <v>45148.492291666669</v>
      </c>
      <c r="X29" s="199">
        <v>45148.492291666669</v>
      </c>
      <c r="Y29" s="200">
        <v>1</v>
      </c>
      <c r="Z29" s="205">
        <v>45148</v>
      </c>
      <c r="AA29" s="206">
        <v>1</v>
      </c>
      <c r="AB29" s="205">
        <v>45148</v>
      </c>
      <c r="AC29" s="188">
        <v>1</v>
      </c>
      <c r="AD29" s="187"/>
    </row>
    <row r="30" spans="1:30">
      <c r="A30" s="318">
        <f>COUNTA($E$3:E30)</f>
        <v>28</v>
      </c>
      <c r="B30" s="318" t="s">
        <v>6099</v>
      </c>
      <c r="C30" s="318" t="s">
        <v>4122</v>
      </c>
      <c r="D30" s="318" t="s">
        <v>16</v>
      </c>
      <c r="E30" s="318" t="s">
        <v>5221</v>
      </c>
      <c r="F30" s="316">
        <v>45149.685069444444</v>
      </c>
      <c r="G30" s="316"/>
      <c r="H30" s="316"/>
      <c r="I30" s="316" t="s">
        <v>3</v>
      </c>
      <c r="J30" s="318" t="s">
        <v>357</v>
      </c>
      <c r="K30" s="318" t="s">
        <v>20</v>
      </c>
      <c r="L30" s="171">
        <v>45152</v>
      </c>
      <c r="M30" s="178" t="s">
        <v>6103</v>
      </c>
      <c r="N30" s="180"/>
      <c r="O30" s="179"/>
      <c r="Q30" t="s">
        <v>22</v>
      </c>
      <c r="S30" s="187">
        <v>45149.68613425926</v>
      </c>
      <c r="T30" s="195">
        <v>45149.68613425926</v>
      </c>
      <c r="U30" s="195">
        <v>45149.68613425926</v>
      </c>
      <c r="V30" s="324">
        <v>1</v>
      </c>
      <c r="W30" s="199">
        <v>45149.68644675926</v>
      </c>
      <c r="X30" s="199">
        <v>45149.68644675926</v>
      </c>
      <c r="Y30" s="200">
        <v>1</v>
      </c>
      <c r="Z30" s="205">
        <v>45149</v>
      </c>
      <c r="AA30" s="206">
        <v>1</v>
      </c>
      <c r="AB30" s="205">
        <v>45149</v>
      </c>
      <c r="AC30" s="188">
        <v>1</v>
      </c>
      <c r="AD30" s="187"/>
    </row>
    <row r="31" spans="1:30">
      <c r="A31" s="318">
        <f>COUNTA($E$3:E31)</f>
        <v>29</v>
      </c>
      <c r="B31" s="318" t="s">
        <v>5378</v>
      </c>
      <c r="C31" s="318" t="s">
        <v>37</v>
      </c>
      <c r="D31" s="318" t="s">
        <v>34</v>
      </c>
      <c r="E31" s="318" t="s">
        <v>5379</v>
      </c>
      <c r="F31" s="316">
        <v>45071</v>
      </c>
      <c r="G31" s="316"/>
      <c r="H31" s="316" t="s">
        <v>66</v>
      </c>
      <c r="I31" s="316" t="s">
        <v>3</v>
      </c>
      <c r="J31" s="318" t="s">
        <v>1666</v>
      </c>
      <c r="K31" s="318" t="s">
        <v>33</v>
      </c>
      <c r="L31" s="171">
        <v>45145</v>
      </c>
      <c r="M31" s="178"/>
      <c r="N31" s="180">
        <v>45110</v>
      </c>
      <c r="O31" s="179"/>
      <c r="Q31" t="s">
        <v>129</v>
      </c>
      <c r="S31" s="187">
        <v>45076.41028935185</v>
      </c>
      <c r="T31" s="195">
        <v>45076.41028935185</v>
      </c>
      <c r="U31" s="195">
        <v>45076.41028935185</v>
      </c>
      <c r="V31" s="324">
        <v>1</v>
      </c>
      <c r="W31" s="199">
        <v>45104.455775462964</v>
      </c>
      <c r="X31" s="199">
        <v>45104.455775462964</v>
      </c>
      <c r="Y31" s="200">
        <v>1</v>
      </c>
      <c r="Z31" s="205">
        <v>45145</v>
      </c>
      <c r="AA31" s="206">
        <v>1</v>
      </c>
      <c r="AB31" s="205">
        <v>45149</v>
      </c>
      <c r="AC31" s="188">
        <v>1</v>
      </c>
      <c r="AD31" s="187">
        <v>45110</v>
      </c>
    </row>
    <row r="32" spans="1:30">
      <c r="A32" s="318">
        <f>COUNTA($E$3:E32)</f>
        <v>30</v>
      </c>
      <c r="B32" s="318" t="s">
        <v>5508</v>
      </c>
      <c r="C32" s="318" t="s">
        <v>297</v>
      </c>
      <c r="D32" s="318" t="s">
        <v>49</v>
      </c>
      <c r="E32" s="318" t="s">
        <v>5509</v>
      </c>
      <c r="F32" s="316"/>
      <c r="G32" s="316">
        <v>45093</v>
      </c>
      <c r="H32" s="316">
        <v>45086</v>
      </c>
      <c r="I32" s="316" t="s">
        <v>3</v>
      </c>
      <c r="J32" s="318"/>
      <c r="K32" s="318" t="s">
        <v>2032</v>
      </c>
      <c r="L32" s="171">
        <v>45145</v>
      </c>
      <c r="M32" s="178" t="s">
        <v>5999</v>
      </c>
      <c r="N32" s="180">
        <v>45140</v>
      </c>
      <c r="O32" s="179"/>
      <c r="Q32" t="s">
        <v>22</v>
      </c>
      <c r="S32" s="187">
        <v>45086.677465277775</v>
      </c>
      <c r="T32" s="195">
        <v>45086.677465277775</v>
      </c>
      <c r="U32" s="195">
        <v>45086.677465277775</v>
      </c>
      <c r="V32" s="324">
        <v>1</v>
      </c>
      <c r="W32" s="199">
        <v>45140.634826388887</v>
      </c>
      <c r="X32" s="199">
        <v>45140.634826388887</v>
      </c>
      <c r="Y32" s="200">
        <v>1</v>
      </c>
      <c r="Z32" s="205">
        <v>45139</v>
      </c>
      <c r="AA32" s="206">
        <v>2</v>
      </c>
      <c r="AB32" s="205">
        <v>45140</v>
      </c>
      <c r="AC32" s="188">
        <v>39</v>
      </c>
      <c r="AD32" s="187">
        <v>45140</v>
      </c>
    </row>
    <row r="33" spans="1:30">
      <c r="A33" s="318">
        <f>COUNTA($E$3:E33)</f>
        <v>31</v>
      </c>
      <c r="B33" s="318" t="s">
        <v>5734</v>
      </c>
      <c r="C33" s="318" t="s">
        <v>5735</v>
      </c>
      <c r="D33" s="318" t="s">
        <v>38</v>
      </c>
      <c r="E33" s="318" t="s">
        <v>5736</v>
      </c>
      <c r="F33" s="316">
        <v>45117.484699074077</v>
      </c>
      <c r="G33" s="316">
        <v>45126</v>
      </c>
      <c r="H33" s="316">
        <v>45118</v>
      </c>
      <c r="I33" s="316" t="s">
        <v>2</v>
      </c>
      <c r="J33" s="318" t="s">
        <v>5440</v>
      </c>
      <c r="K33" s="318" t="s">
        <v>24</v>
      </c>
      <c r="L33" s="171">
        <v>45145</v>
      </c>
      <c r="M33" s="178" t="s">
        <v>6044</v>
      </c>
      <c r="N33" s="180">
        <v>45142</v>
      </c>
      <c r="O33" s="179"/>
      <c r="Q33" t="s">
        <v>22</v>
      </c>
      <c r="S33" s="185">
        <v>45117.494270833333</v>
      </c>
      <c r="T33" s="196">
        <v>45117.494270833333</v>
      </c>
      <c r="U33" s="196">
        <v>45117.494270833333</v>
      </c>
      <c r="V33" s="324">
        <v>1</v>
      </c>
      <c r="W33" s="201">
        <v>45141.428518518522</v>
      </c>
      <c r="X33" s="201">
        <v>45141.428518518522</v>
      </c>
      <c r="Y33" s="200">
        <v>1</v>
      </c>
      <c r="Z33" s="207">
        <v>45141</v>
      </c>
      <c r="AA33" s="206">
        <v>8</v>
      </c>
      <c r="AB33" s="207">
        <v>45152</v>
      </c>
      <c r="AC33" s="188">
        <v>26</v>
      </c>
      <c r="AD33" s="187">
        <v>45142</v>
      </c>
    </row>
    <row r="34" spans="1:30">
      <c r="A34" s="318">
        <f>COUNTA($E$3:E34)</f>
        <v>32</v>
      </c>
      <c r="B34" s="318" t="s">
        <v>5784</v>
      </c>
      <c r="C34" s="318" t="s">
        <v>1218</v>
      </c>
      <c r="D34" s="318" t="s">
        <v>34</v>
      </c>
      <c r="E34" s="318" t="s">
        <v>5785</v>
      </c>
      <c r="F34" s="316"/>
      <c r="G34" s="316"/>
      <c r="H34" s="316"/>
      <c r="I34" s="316"/>
      <c r="J34" s="318"/>
      <c r="K34" s="318"/>
      <c r="L34" s="171">
        <v>45145</v>
      </c>
      <c r="M34" s="178" t="s">
        <v>6000</v>
      </c>
      <c r="N34" s="180">
        <v>45147</v>
      </c>
      <c r="O34" s="179"/>
      <c r="Q34" t="s">
        <v>129</v>
      </c>
      <c r="S34" s="185">
        <v>45127.444641203707</v>
      </c>
      <c r="T34" s="196">
        <v>45127.444641203707</v>
      </c>
      <c r="U34" s="196">
        <v>45127.444641203707</v>
      </c>
      <c r="V34" s="324">
        <v>1</v>
      </c>
      <c r="W34" s="201">
        <v>45127.444710648146</v>
      </c>
      <c r="X34" s="201">
        <v>45127.444710648146</v>
      </c>
      <c r="Y34" s="200">
        <v>1</v>
      </c>
      <c r="Z34" s="207">
        <v>45127</v>
      </c>
      <c r="AA34" s="206">
        <v>3</v>
      </c>
      <c r="AB34" s="207">
        <v>45131</v>
      </c>
      <c r="AC34" s="188">
        <v>3</v>
      </c>
      <c r="AD34" s="187"/>
    </row>
    <row r="35" spans="1:30">
      <c r="A35" s="318">
        <f>COUNTA($E$3:E35)</f>
        <v>33</v>
      </c>
      <c r="B35" s="318" t="s">
        <v>5897</v>
      </c>
      <c r="C35" s="318" t="s">
        <v>4326</v>
      </c>
      <c r="D35" s="318" t="s">
        <v>36</v>
      </c>
      <c r="E35" s="318" t="s">
        <v>4342</v>
      </c>
      <c r="F35" s="316">
        <v>45127.558807870373</v>
      </c>
      <c r="G35" s="316"/>
      <c r="H35" s="316" t="s">
        <v>55</v>
      </c>
      <c r="I35" s="316" t="s">
        <v>2</v>
      </c>
      <c r="J35" s="318" t="s">
        <v>1485</v>
      </c>
      <c r="K35" s="318" t="s">
        <v>1120</v>
      </c>
      <c r="L35" s="171">
        <v>45145</v>
      </c>
      <c r="M35" s="178" t="s">
        <v>5880</v>
      </c>
      <c r="N35" s="180"/>
      <c r="O35" s="179"/>
      <c r="Q35" t="s">
        <v>129</v>
      </c>
      <c r="S35" s="185">
        <v>45127.695902777778</v>
      </c>
      <c r="T35" s="196">
        <v>45127.695902777778</v>
      </c>
      <c r="U35" s="196">
        <v>45127.695902777778</v>
      </c>
      <c r="V35" s="324">
        <v>1</v>
      </c>
      <c r="W35" s="201">
        <v>45138.758032407408</v>
      </c>
      <c r="X35" s="201">
        <v>45138.758032407408</v>
      </c>
      <c r="Y35" s="200">
        <v>1</v>
      </c>
      <c r="Z35" s="207">
        <v>45138</v>
      </c>
      <c r="AA35" s="206">
        <v>1</v>
      </c>
      <c r="AB35" s="207">
        <v>45149</v>
      </c>
      <c r="AC35" s="188">
        <v>1</v>
      </c>
      <c r="AD35" s="187"/>
    </row>
    <row r="36" spans="1:30">
      <c r="A36" s="318">
        <f>COUNTA($E$3:E36)</f>
        <v>34</v>
      </c>
      <c r="B36" s="318" t="s">
        <v>5907</v>
      </c>
      <c r="C36" s="318" t="s">
        <v>4430</v>
      </c>
      <c r="D36" s="318" t="s">
        <v>104</v>
      </c>
      <c r="E36" s="318" t="s">
        <v>4431</v>
      </c>
      <c r="F36" s="316">
        <v>45131.649918981479</v>
      </c>
      <c r="G36" s="316"/>
      <c r="H36" s="316">
        <v>45135</v>
      </c>
      <c r="I36" s="316" t="s">
        <v>3</v>
      </c>
      <c r="J36" s="318" t="s">
        <v>514</v>
      </c>
      <c r="K36" s="318" t="s">
        <v>1296</v>
      </c>
      <c r="L36" s="171">
        <v>45145</v>
      </c>
      <c r="M36" s="178" t="s">
        <v>6001</v>
      </c>
      <c r="N36" s="180">
        <v>45139</v>
      </c>
      <c r="O36" s="179"/>
      <c r="Q36" t="s">
        <v>129</v>
      </c>
      <c r="S36" s="185">
        <v>45134.517627314817</v>
      </c>
      <c r="T36" s="196">
        <v>45134.517627314817</v>
      </c>
      <c r="U36" s="196">
        <v>45134.517627314817</v>
      </c>
      <c r="V36" s="324">
        <v>1</v>
      </c>
      <c r="W36" s="201">
        <v>45138.709328703706</v>
      </c>
      <c r="X36" s="201">
        <v>45138.709328703706</v>
      </c>
      <c r="Y36" s="200">
        <v>1</v>
      </c>
      <c r="Z36" s="207">
        <v>45138</v>
      </c>
      <c r="AA36" s="206">
        <v>1</v>
      </c>
      <c r="AB36" s="207">
        <v>45149</v>
      </c>
      <c r="AC36" s="188">
        <v>1</v>
      </c>
      <c r="AD36" s="187">
        <v>45139</v>
      </c>
    </row>
    <row r="37" spans="1:30">
      <c r="A37" s="318">
        <f>COUNTA($E$3:E37)</f>
        <v>35</v>
      </c>
      <c r="B37" s="318" t="s">
        <v>5936</v>
      </c>
      <c r="C37" s="318" t="s">
        <v>2458</v>
      </c>
      <c r="D37" s="318" t="s">
        <v>16</v>
      </c>
      <c r="E37" s="318" t="s">
        <v>2459</v>
      </c>
      <c r="F37" s="316">
        <v>45134.495243055557</v>
      </c>
      <c r="G37" s="316"/>
      <c r="H37" s="316"/>
      <c r="I37" s="316"/>
      <c r="J37" s="318" t="s">
        <v>5989</v>
      </c>
      <c r="K37" s="318" t="s">
        <v>1120</v>
      </c>
      <c r="L37" s="171">
        <v>45145</v>
      </c>
      <c r="M37" s="178" t="s">
        <v>2959</v>
      </c>
      <c r="N37" s="180">
        <v>45146</v>
      </c>
      <c r="O37" s="179"/>
      <c r="Q37" t="s">
        <v>129</v>
      </c>
      <c r="S37" s="185">
        <v>45139.73810185185</v>
      </c>
      <c r="T37" s="196">
        <v>45139.73810185185</v>
      </c>
      <c r="U37" s="196">
        <v>45139.73810185185</v>
      </c>
      <c r="V37" s="324">
        <v>1</v>
      </c>
      <c r="W37" s="201">
        <v>45139.738506944443</v>
      </c>
      <c r="X37" s="201">
        <v>45139.738506944443</v>
      </c>
      <c r="Y37" s="200">
        <v>1</v>
      </c>
      <c r="Z37" s="207">
        <v>45139</v>
      </c>
      <c r="AA37" s="206">
        <v>1</v>
      </c>
      <c r="AB37" s="207">
        <v>45149</v>
      </c>
      <c r="AC37" s="188">
        <v>1</v>
      </c>
      <c r="AD37" s="187"/>
    </row>
    <row r="38" spans="1:30">
      <c r="A38" s="318">
        <f>COUNTA($E$3:E38)</f>
        <v>36</v>
      </c>
      <c r="B38" s="318" t="s">
        <v>5987</v>
      </c>
      <c r="C38" s="318" t="s">
        <v>3828</v>
      </c>
      <c r="D38" s="318" t="s">
        <v>19</v>
      </c>
      <c r="E38" s="318" t="s">
        <v>3696</v>
      </c>
      <c r="F38" s="316">
        <v>45139.664351851854</v>
      </c>
      <c r="G38" s="316"/>
      <c r="H38" s="316"/>
      <c r="I38" s="316"/>
      <c r="J38" s="318" t="s">
        <v>4624</v>
      </c>
      <c r="K38" s="318" t="s">
        <v>33</v>
      </c>
      <c r="L38" s="171">
        <v>45145</v>
      </c>
      <c r="M38" s="178" t="s">
        <v>4635</v>
      </c>
      <c r="N38" s="180">
        <v>45156</v>
      </c>
      <c r="O38" s="179"/>
      <c r="Q38" t="s">
        <v>129</v>
      </c>
      <c r="S38" s="185">
        <v>45141.815127314818</v>
      </c>
      <c r="T38" s="196">
        <v>45141.815127314818</v>
      </c>
      <c r="U38" s="196">
        <v>45141.815127314818</v>
      </c>
      <c r="V38" s="324">
        <v>1</v>
      </c>
      <c r="W38" s="201">
        <v>45141.815312500003</v>
      </c>
      <c r="X38" s="201">
        <v>45141.815312500003</v>
      </c>
      <c r="Y38" s="200">
        <v>1</v>
      </c>
      <c r="Z38" s="207">
        <v>45141</v>
      </c>
      <c r="AA38" s="206">
        <v>1</v>
      </c>
      <c r="AB38" s="207">
        <v>45149</v>
      </c>
      <c r="AC38" s="188">
        <v>1</v>
      </c>
      <c r="AD38" s="187"/>
    </row>
    <row r="39" spans="1:30">
      <c r="A39" s="318">
        <f>COUNTA($E$3:E39)</f>
        <v>37</v>
      </c>
      <c r="B39" s="318" t="s">
        <v>5998</v>
      </c>
      <c r="C39" s="318" t="s">
        <v>297</v>
      </c>
      <c r="D39" s="318" t="s">
        <v>1123</v>
      </c>
      <c r="E39" s="318" t="s">
        <v>5246</v>
      </c>
      <c r="F39" s="316">
        <v>45141.653807870367</v>
      </c>
      <c r="G39" s="316"/>
      <c r="H39" s="316"/>
      <c r="I39" s="316" t="s">
        <v>3</v>
      </c>
      <c r="J39" s="318" t="s">
        <v>1649</v>
      </c>
      <c r="K39" s="318"/>
      <c r="L39" s="171">
        <v>45145</v>
      </c>
      <c r="M39" s="178" t="s">
        <v>6014</v>
      </c>
      <c r="N39" s="180">
        <v>45146</v>
      </c>
      <c r="O39" s="179"/>
      <c r="Q39" t="s">
        <v>22</v>
      </c>
      <c r="S39" s="185">
        <v>45141.654768518521</v>
      </c>
      <c r="T39" s="196">
        <v>45141.654768518521</v>
      </c>
      <c r="U39" s="196">
        <v>45141.654768518521</v>
      </c>
      <c r="V39" s="324">
        <v>1</v>
      </c>
      <c r="W39" s="201">
        <v>45141.654826388891</v>
      </c>
      <c r="X39" s="201">
        <v>45141.654826388891</v>
      </c>
      <c r="Y39" s="200">
        <v>1</v>
      </c>
      <c r="Z39" s="207">
        <v>45141</v>
      </c>
      <c r="AA39" s="206">
        <v>2</v>
      </c>
      <c r="AB39" s="207">
        <v>45142</v>
      </c>
      <c r="AC39" s="188">
        <v>2</v>
      </c>
      <c r="AD39" s="187">
        <v>45146</v>
      </c>
    </row>
    <row r="40" spans="1:30">
      <c r="A40" s="318">
        <f>COUNTA($E$3:E40)</f>
        <v>38</v>
      </c>
      <c r="B40" s="318" t="s">
        <v>6025</v>
      </c>
      <c r="C40" s="318" t="s">
        <v>3984</v>
      </c>
      <c r="D40" s="318" t="s">
        <v>27</v>
      </c>
      <c r="E40" s="318" t="s">
        <v>3985</v>
      </c>
      <c r="F40" s="316">
        <v>45141.83929398148</v>
      </c>
      <c r="G40" s="316"/>
      <c r="H40" s="316"/>
      <c r="I40" s="316" t="s">
        <v>4</v>
      </c>
      <c r="J40" s="318" t="s">
        <v>1093</v>
      </c>
      <c r="K40" s="318"/>
      <c r="L40" s="171">
        <v>45145</v>
      </c>
      <c r="M40" s="178" t="s">
        <v>3729</v>
      </c>
      <c r="N40" s="180"/>
      <c r="O40" s="179"/>
      <c r="Q40" t="s">
        <v>129</v>
      </c>
      <c r="S40" s="185">
        <v>44824</v>
      </c>
      <c r="T40" s="196">
        <v>44825</v>
      </c>
      <c r="U40" s="196">
        <v>45012</v>
      </c>
      <c r="V40" s="324">
        <v>134</v>
      </c>
      <c r="W40" s="201">
        <v>45017</v>
      </c>
      <c r="X40" s="201">
        <v>45141</v>
      </c>
      <c r="Y40" s="200">
        <v>89</v>
      </c>
      <c r="Z40" s="207">
        <v>45141</v>
      </c>
      <c r="AA40" s="206">
        <v>3</v>
      </c>
      <c r="AB40" s="207">
        <v>45145</v>
      </c>
      <c r="AC40" s="188">
        <v>230</v>
      </c>
      <c r="AD40" s="187"/>
    </row>
    <row r="41" spans="1:30">
      <c r="A41" s="318">
        <f>COUNTA($E$3:E41)</f>
        <v>39</v>
      </c>
      <c r="B41" s="318" t="s">
        <v>5081</v>
      </c>
      <c r="C41" s="318" t="s">
        <v>41</v>
      </c>
      <c r="D41" s="318" t="s">
        <v>1193</v>
      </c>
      <c r="E41" s="318" t="s">
        <v>5082</v>
      </c>
      <c r="F41" s="316">
        <v>45030</v>
      </c>
      <c r="G41" s="316"/>
      <c r="H41" s="316" t="s">
        <v>66</v>
      </c>
      <c r="I41" s="316" t="s">
        <v>2</v>
      </c>
      <c r="J41" s="318" t="s">
        <v>1485</v>
      </c>
      <c r="K41" s="318" t="s">
        <v>1120</v>
      </c>
      <c r="L41" s="171">
        <v>45139</v>
      </c>
      <c r="M41" s="178" t="s">
        <v>5966</v>
      </c>
      <c r="N41" s="180"/>
      <c r="O41" s="179"/>
      <c r="Q41" t="s">
        <v>129</v>
      </c>
      <c r="S41" s="185">
        <v>45034.795208333337</v>
      </c>
      <c r="T41" s="196">
        <v>45034.795208333337</v>
      </c>
      <c r="U41" s="196">
        <v>45034.795208333337</v>
      </c>
      <c r="V41" s="324">
        <v>1</v>
      </c>
      <c r="W41" s="201">
        <v>45134.841990740744</v>
      </c>
      <c r="X41" s="201">
        <v>45134.841990740744</v>
      </c>
      <c r="Y41" s="200">
        <v>1</v>
      </c>
      <c r="Z41" s="207">
        <v>45134</v>
      </c>
      <c r="AA41" s="206">
        <v>1</v>
      </c>
      <c r="AB41" s="207">
        <v>45149</v>
      </c>
      <c r="AC41" s="188">
        <v>1</v>
      </c>
      <c r="AD41" s="187"/>
    </row>
    <row r="42" spans="1:30">
      <c r="A42" s="318">
        <f>COUNTA($E$3:E42)</f>
        <v>40</v>
      </c>
      <c r="B42" s="318" t="s">
        <v>5312</v>
      </c>
      <c r="C42" s="318" t="s">
        <v>1246</v>
      </c>
      <c r="D42" s="318" t="s">
        <v>58</v>
      </c>
      <c r="E42" s="318" t="s">
        <v>5313</v>
      </c>
      <c r="F42" s="316">
        <v>45068.718842592592</v>
      </c>
      <c r="G42" s="316">
        <v>45128</v>
      </c>
      <c r="H42" s="316">
        <v>45069</v>
      </c>
      <c r="I42" s="316" t="s">
        <v>2</v>
      </c>
      <c r="J42" s="318" t="s">
        <v>5432</v>
      </c>
      <c r="K42" s="318" t="s">
        <v>20</v>
      </c>
      <c r="L42" s="171">
        <v>45139</v>
      </c>
      <c r="M42" s="178" t="s">
        <v>5865</v>
      </c>
      <c r="N42" s="180">
        <v>45138</v>
      </c>
      <c r="O42" s="179"/>
      <c r="Q42" t="s">
        <v>22</v>
      </c>
      <c r="S42" s="185">
        <v>45068.732766203706</v>
      </c>
      <c r="T42" s="196">
        <v>45068.732766203706</v>
      </c>
      <c r="U42" s="196">
        <v>45068.732766203706</v>
      </c>
      <c r="V42" s="324">
        <v>1</v>
      </c>
      <c r="W42" s="201">
        <v>45132.662453703706</v>
      </c>
      <c r="X42" s="201">
        <v>45132.662453703706</v>
      </c>
      <c r="Y42" s="200">
        <v>1</v>
      </c>
      <c r="Z42" s="207">
        <v>45132</v>
      </c>
      <c r="AA42" s="206">
        <v>5</v>
      </c>
      <c r="AB42" s="207">
        <v>45138</v>
      </c>
      <c r="AC42" s="188">
        <v>51</v>
      </c>
      <c r="AD42" s="187">
        <v>45138</v>
      </c>
    </row>
    <row r="43" spans="1:30">
      <c r="A43" s="318">
        <f>COUNTA($E$3:E43)</f>
        <v>41</v>
      </c>
      <c r="B43" s="318" t="s">
        <v>5336</v>
      </c>
      <c r="C43" s="318" t="s">
        <v>41</v>
      </c>
      <c r="D43" s="318" t="s">
        <v>1123</v>
      </c>
      <c r="E43" s="318" t="s">
        <v>5337</v>
      </c>
      <c r="F43" s="316">
        <v>45068.703599537039</v>
      </c>
      <c r="G43" s="316">
        <v>45085</v>
      </c>
      <c r="H43" s="316" t="s">
        <v>66</v>
      </c>
      <c r="I43" s="316" t="s">
        <v>2</v>
      </c>
      <c r="J43" s="318" t="s">
        <v>5338</v>
      </c>
      <c r="K43" s="318" t="s">
        <v>103</v>
      </c>
      <c r="L43" s="171">
        <v>45139</v>
      </c>
      <c r="M43" s="178" t="s">
        <v>5866</v>
      </c>
      <c r="N43" s="180">
        <v>45141</v>
      </c>
      <c r="O43" s="179"/>
      <c r="Q43" t="s">
        <v>22</v>
      </c>
      <c r="S43" s="185">
        <v>45149.65828703704</v>
      </c>
      <c r="T43" s="196">
        <v>45149.65828703704</v>
      </c>
      <c r="U43" s="196">
        <v>45149.65828703704</v>
      </c>
      <c r="V43" s="324">
        <v>1</v>
      </c>
      <c r="W43" s="201">
        <v>45149.65834490741</v>
      </c>
      <c r="X43" s="201">
        <v>45149.65834490741</v>
      </c>
      <c r="Y43" s="200">
        <v>1</v>
      </c>
      <c r="Z43" s="207">
        <v>45149</v>
      </c>
      <c r="AA43" s="206">
        <v>1</v>
      </c>
      <c r="AB43" s="207">
        <v>45149</v>
      </c>
      <c r="AC43" s="188">
        <v>1</v>
      </c>
      <c r="AD43" s="187">
        <v>45141</v>
      </c>
    </row>
    <row r="44" spans="1:30">
      <c r="A44" s="318">
        <f>COUNTA($E$3:E44)</f>
        <v>42</v>
      </c>
      <c r="B44" s="318" t="s">
        <v>5571</v>
      </c>
      <c r="C44" s="318" t="s">
        <v>41</v>
      </c>
      <c r="D44" s="318" t="s">
        <v>34</v>
      </c>
      <c r="E44" s="318" t="s">
        <v>2296</v>
      </c>
      <c r="F44" s="316">
        <v>45096.553101851852</v>
      </c>
      <c r="G44" s="316"/>
      <c r="H44" s="316" t="s">
        <v>66</v>
      </c>
      <c r="I44" s="316" t="s">
        <v>2</v>
      </c>
      <c r="J44" s="318"/>
      <c r="K44" s="318" t="s">
        <v>1296</v>
      </c>
      <c r="L44" s="171">
        <v>45139</v>
      </c>
      <c r="M44" s="178" t="s">
        <v>5867</v>
      </c>
      <c r="N44" s="180">
        <v>45134</v>
      </c>
      <c r="O44" s="179"/>
      <c r="Q44" t="s">
        <v>129</v>
      </c>
      <c r="S44" s="185">
        <v>45097.722002314818</v>
      </c>
      <c r="T44" s="196">
        <v>45097.722002314818</v>
      </c>
      <c r="U44" s="196">
        <v>45097.722002314818</v>
      </c>
      <c r="V44" s="324">
        <v>1</v>
      </c>
      <c r="W44" s="201">
        <v>45131.717569444445</v>
      </c>
      <c r="X44" s="201">
        <v>45131.717569444445</v>
      </c>
      <c r="Y44" s="200">
        <v>1</v>
      </c>
      <c r="Z44" s="207">
        <v>45131</v>
      </c>
      <c r="AA44" s="206">
        <v>4</v>
      </c>
      <c r="AB44" s="207">
        <v>45134</v>
      </c>
      <c r="AC44" s="188">
        <v>28</v>
      </c>
      <c r="AD44" s="187">
        <v>45134</v>
      </c>
    </row>
    <row r="45" spans="1:30">
      <c r="A45" s="318">
        <f>COUNTA($E$3:E45)</f>
        <v>43</v>
      </c>
      <c r="B45" s="318" t="s">
        <v>5773</v>
      </c>
      <c r="C45" s="318" t="s">
        <v>41</v>
      </c>
      <c r="D45" s="318" t="s">
        <v>2129</v>
      </c>
      <c r="E45" s="318" t="s">
        <v>2130</v>
      </c>
      <c r="F45" s="316">
        <v>45124</v>
      </c>
      <c r="G45" s="316"/>
      <c r="H45" s="316" t="s">
        <v>66</v>
      </c>
      <c r="I45" s="316" t="s">
        <v>2</v>
      </c>
      <c r="J45" s="318"/>
      <c r="K45" s="318" t="s">
        <v>1294</v>
      </c>
      <c r="L45" s="171">
        <v>45139</v>
      </c>
      <c r="M45" s="178" t="s">
        <v>5870</v>
      </c>
      <c r="N45" s="180">
        <v>45134</v>
      </c>
      <c r="O45" s="179"/>
      <c r="Q45" t="s">
        <v>22</v>
      </c>
      <c r="S45" s="185">
        <v>45124.610821759263</v>
      </c>
      <c r="T45" s="196">
        <v>45124.610821759263</v>
      </c>
      <c r="U45" s="196">
        <v>45124.610821759263</v>
      </c>
      <c r="V45" s="324">
        <v>1</v>
      </c>
      <c r="W45" s="201">
        <v>45134.429027777776</v>
      </c>
      <c r="X45" s="201">
        <v>45134.429027777776</v>
      </c>
      <c r="Y45" s="200">
        <v>1</v>
      </c>
      <c r="Z45" s="207">
        <v>45134</v>
      </c>
      <c r="AA45" s="206">
        <v>1</v>
      </c>
      <c r="AB45" s="207">
        <v>45134</v>
      </c>
      <c r="AC45" s="188">
        <v>9</v>
      </c>
      <c r="AD45" s="187">
        <v>45134</v>
      </c>
    </row>
    <row r="46" spans="1:30">
      <c r="A46" s="318">
        <f>COUNTA($E$3:E46)</f>
        <v>44</v>
      </c>
      <c r="B46" s="318" t="s">
        <v>5830</v>
      </c>
      <c r="C46" s="318" t="s">
        <v>3041</v>
      </c>
      <c r="D46" s="318" t="s">
        <v>58</v>
      </c>
      <c r="E46" s="318" t="s">
        <v>3176</v>
      </c>
      <c r="F46" s="316">
        <v>45125.714791666665</v>
      </c>
      <c r="G46" s="316"/>
      <c r="H46" s="316"/>
      <c r="I46" s="316"/>
      <c r="J46" s="318" t="s">
        <v>1666</v>
      </c>
      <c r="K46" s="318" t="s">
        <v>125</v>
      </c>
      <c r="L46" s="171">
        <v>45139</v>
      </c>
      <c r="M46" s="178" t="s">
        <v>2955</v>
      </c>
      <c r="N46" s="180">
        <v>45169</v>
      </c>
      <c r="O46" s="179"/>
      <c r="Q46" t="s">
        <v>129</v>
      </c>
      <c r="S46" s="185">
        <v>45128.675162037034</v>
      </c>
      <c r="T46" s="196">
        <v>45128.675162037034</v>
      </c>
      <c r="U46" s="196">
        <v>45128.675162037034</v>
      </c>
      <c r="V46" s="324">
        <v>1</v>
      </c>
      <c r="W46" s="201">
        <v>45128.675717592596</v>
      </c>
      <c r="X46" s="201">
        <v>45128.675717592596</v>
      </c>
      <c r="Y46" s="200">
        <v>1</v>
      </c>
      <c r="Z46" s="207">
        <v>45128</v>
      </c>
      <c r="AA46" s="206">
        <v>5</v>
      </c>
      <c r="AB46" s="207">
        <v>45134</v>
      </c>
      <c r="AC46" s="188">
        <v>5</v>
      </c>
      <c r="AD46" s="187">
        <v>45169</v>
      </c>
    </row>
    <row r="47" spans="1:30">
      <c r="A47" s="318">
        <f>COUNTA($E$3:E47)</f>
        <v>45</v>
      </c>
      <c r="B47" s="318" t="s">
        <v>5849</v>
      </c>
      <c r="C47" s="318" t="s">
        <v>41</v>
      </c>
      <c r="D47" s="318" t="s">
        <v>51</v>
      </c>
      <c r="E47" s="318" t="s">
        <v>3306</v>
      </c>
      <c r="F47" s="316">
        <v>45131</v>
      </c>
      <c r="G47" s="316"/>
      <c r="H47" s="316"/>
      <c r="I47" s="316" t="s">
        <v>3</v>
      </c>
      <c r="J47" s="318" t="s">
        <v>2153</v>
      </c>
      <c r="K47" s="318" t="s">
        <v>1294</v>
      </c>
      <c r="L47" s="171">
        <v>45139</v>
      </c>
      <c r="M47" s="178" t="s">
        <v>5895</v>
      </c>
      <c r="N47" s="180">
        <v>45133</v>
      </c>
      <c r="O47" s="179"/>
      <c r="Q47" t="s">
        <v>22</v>
      </c>
      <c r="S47" s="185">
        <v>45131.501701388886</v>
      </c>
      <c r="T47" s="196">
        <v>45131.501701388886</v>
      </c>
      <c r="U47" s="196">
        <v>45131.501701388886</v>
      </c>
      <c r="V47" s="324">
        <v>1</v>
      </c>
      <c r="W47" s="201">
        <v>45131.501828703702</v>
      </c>
      <c r="X47" s="201">
        <v>45131.501828703702</v>
      </c>
      <c r="Y47" s="200">
        <v>1</v>
      </c>
      <c r="Z47" s="207">
        <v>45131</v>
      </c>
      <c r="AA47" s="206">
        <v>1</v>
      </c>
      <c r="AB47" s="207">
        <v>45131</v>
      </c>
      <c r="AC47" s="188">
        <v>1</v>
      </c>
      <c r="AD47" s="187">
        <v>45133</v>
      </c>
    </row>
    <row r="48" spans="1:30">
      <c r="A48" s="318">
        <f>COUNTA($E$3:E48)</f>
        <v>46</v>
      </c>
      <c r="B48" s="318" t="s">
        <v>5913</v>
      </c>
      <c r="C48" s="318" t="s">
        <v>37</v>
      </c>
      <c r="D48" s="318" t="s">
        <v>30</v>
      </c>
      <c r="E48" s="318" t="s">
        <v>3487</v>
      </c>
      <c r="F48" s="316">
        <v>45133</v>
      </c>
      <c r="G48" s="316"/>
      <c r="H48" s="316"/>
      <c r="I48" s="316" t="s">
        <v>3</v>
      </c>
      <c r="J48" s="318" t="s">
        <v>1720</v>
      </c>
      <c r="K48" s="318" t="s">
        <v>1296</v>
      </c>
      <c r="L48" s="171">
        <v>45139</v>
      </c>
      <c r="M48" s="178" t="s">
        <v>5867</v>
      </c>
      <c r="N48" s="180">
        <v>45135</v>
      </c>
      <c r="O48" s="179"/>
      <c r="Q48" t="s">
        <v>129</v>
      </c>
      <c r="S48" s="185">
        <v>45132.776087962964</v>
      </c>
      <c r="T48" s="196">
        <v>45132.776087962964</v>
      </c>
      <c r="U48" s="196">
        <v>45132.776087962964</v>
      </c>
      <c r="V48" s="324">
        <v>1</v>
      </c>
      <c r="W48" s="201">
        <v>45132.776226851849</v>
      </c>
      <c r="X48" s="201">
        <v>45132.776226851849</v>
      </c>
      <c r="Y48" s="200">
        <v>1</v>
      </c>
      <c r="Z48" s="207">
        <v>45132</v>
      </c>
      <c r="AA48" s="206">
        <v>1</v>
      </c>
      <c r="AB48" s="207">
        <v>45138</v>
      </c>
      <c r="AC48" s="188">
        <v>1</v>
      </c>
      <c r="AD48" s="187">
        <v>45135</v>
      </c>
    </row>
    <row r="49" spans="1:30">
      <c r="A49" s="318">
        <f>COUNTA($E$3:E49)</f>
        <v>47</v>
      </c>
      <c r="B49" s="318" t="s">
        <v>5914</v>
      </c>
      <c r="C49" s="318" t="s">
        <v>37</v>
      </c>
      <c r="D49" s="318" t="s">
        <v>30</v>
      </c>
      <c r="E49" s="318" t="s">
        <v>3368</v>
      </c>
      <c r="F49" s="316">
        <v>45131.653668981482</v>
      </c>
      <c r="G49" s="316"/>
      <c r="H49" s="316"/>
      <c r="I49" s="316" t="s">
        <v>3</v>
      </c>
      <c r="J49" s="318" t="s">
        <v>1212</v>
      </c>
      <c r="K49" s="318" t="s">
        <v>1295</v>
      </c>
      <c r="L49" s="171">
        <v>45139</v>
      </c>
      <c r="M49" s="178" t="s">
        <v>5965</v>
      </c>
      <c r="N49" s="180">
        <v>45115</v>
      </c>
      <c r="O49" s="179"/>
      <c r="Q49" t="s">
        <v>129</v>
      </c>
      <c r="S49" s="185">
        <v>45132.689120370371</v>
      </c>
      <c r="T49" s="196">
        <v>45132.689120370371</v>
      </c>
      <c r="U49" s="196">
        <v>45132.689120370371</v>
      </c>
      <c r="V49" s="324">
        <v>1</v>
      </c>
      <c r="W49" s="201">
        <v>45132.689247685186</v>
      </c>
      <c r="X49" s="201">
        <v>45132.689247685186</v>
      </c>
      <c r="Y49" s="200">
        <v>1</v>
      </c>
      <c r="Z49" s="207">
        <v>45132</v>
      </c>
      <c r="AA49" s="206">
        <v>1</v>
      </c>
      <c r="AB49" s="207">
        <v>45138</v>
      </c>
      <c r="AC49" s="188">
        <v>1</v>
      </c>
      <c r="AD49" s="187">
        <v>45115</v>
      </c>
    </row>
    <row r="50" spans="1:30">
      <c r="A50" s="318">
        <f>COUNTA($E$3:E50)</f>
        <v>48</v>
      </c>
      <c r="B50" s="318" t="s">
        <v>5915</v>
      </c>
      <c r="C50" s="318" t="s">
        <v>4875</v>
      </c>
      <c r="D50" s="318" t="s">
        <v>16</v>
      </c>
      <c r="E50" s="318" t="s">
        <v>2261</v>
      </c>
      <c r="F50" s="316">
        <v>45131.689467592594</v>
      </c>
      <c r="G50" s="316"/>
      <c r="H50" s="316"/>
      <c r="I50" s="316" t="s">
        <v>2</v>
      </c>
      <c r="J50" s="318" t="s">
        <v>5731</v>
      </c>
      <c r="K50" s="318" t="s">
        <v>20</v>
      </c>
      <c r="L50" s="171">
        <v>45139</v>
      </c>
      <c r="M50" s="178" t="s">
        <v>5916</v>
      </c>
      <c r="N50" s="180">
        <v>45135</v>
      </c>
      <c r="O50" s="179"/>
      <c r="Q50" t="s">
        <v>22</v>
      </c>
      <c r="S50" s="185">
        <v>45131.745208333334</v>
      </c>
      <c r="T50" s="196">
        <v>45131.745208333334</v>
      </c>
      <c r="U50" s="196">
        <v>45131.745208333334</v>
      </c>
      <c r="V50" s="324">
        <v>1</v>
      </c>
      <c r="W50" s="201">
        <v>45132.660474537035</v>
      </c>
      <c r="X50" s="201">
        <v>45132.660474537035</v>
      </c>
      <c r="Y50" s="200">
        <v>1</v>
      </c>
      <c r="Z50" s="207">
        <v>45138</v>
      </c>
      <c r="AA50" s="206">
        <v>1</v>
      </c>
      <c r="AB50" s="207">
        <v>45138</v>
      </c>
      <c r="AC50" s="188">
        <v>6</v>
      </c>
      <c r="AD50" s="187">
        <v>45135</v>
      </c>
    </row>
    <row r="51" spans="1:30">
      <c r="A51" s="318">
        <f>COUNTA($E$3:E51)</f>
        <v>49</v>
      </c>
      <c r="B51" s="318" t="s">
        <v>4947</v>
      </c>
      <c r="C51" s="318" t="s">
        <v>41</v>
      </c>
      <c r="D51" s="318" t="s">
        <v>1169</v>
      </c>
      <c r="E51" s="318" t="s">
        <v>2745</v>
      </c>
      <c r="F51" s="316">
        <v>45013.421678240738</v>
      </c>
      <c r="G51" s="316"/>
      <c r="H51" s="316" t="s">
        <v>66</v>
      </c>
      <c r="I51" s="316" t="s">
        <v>2</v>
      </c>
      <c r="J51" s="318" t="s">
        <v>5274</v>
      </c>
      <c r="K51" s="318" t="s">
        <v>1294</v>
      </c>
      <c r="L51" s="171">
        <v>45124</v>
      </c>
      <c r="M51" s="178" t="s">
        <v>5786</v>
      </c>
      <c r="N51" s="180">
        <v>45124</v>
      </c>
      <c r="O51" s="179"/>
      <c r="Q51" t="s">
        <v>22</v>
      </c>
      <c r="R51">
        <v>77</v>
      </c>
      <c r="S51" s="185">
        <v>45013</v>
      </c>
      <c r="T51" s="196">
        <v>45013.437673611108</v>
      </c>
      <c r="U51" s="196">
        <v>45093</v>
      </c>
      <c r="V51" s="324">
        <v>59</v>
      </c>
      <c r="W51" s="201">
        <v>45093</v>
      </c>
      <c r="X51" s="201">
        <v>45110.611111111109</v>
      </c>
      <c r="Y51" s="200">
        <v>12</v>
      </c>
      <c r="Z51" s="207">
        <v>45113</v>
      </c>
      <c r="AA51" s="206">
        <v>4</v>
      </c>
      <c r="AB51" s="207">
        <v>45118</v>
      </c>
      <c r="AC51" s="188">
        <v>76</v>
      </c>
      <c r="AD51" s="187">
        <v>45124</v>
      </c>
    </row>
    <row r="52" spans="1:30">
      <c r="A52" s="318">
        <f>COUNTA($E$3:E52)</f>
        <v>50</v>
      </c>
      <c r="B52" s="318" t="s">
        <v>5220</v>
      </c>
      <c r="C52" s="318" t="s">
        <v>4122</v>
      </c>
      <c r="D52" s="318" t="s">
        <v>16</v>
      </c>
      <c r="E52" s="318" t="s">
        <v>5221</v>
      </c>
      <c r="F52" s="316">
        <v>45055.773506944446</v>
      </c>
      <c r="G52" s="316"/>
      <c r="H52" s="316" t="s">
        <v>55</v>
      </c>
      <c r="I52" s="316" t="s">
        <v>2</v>
      </c>
      <c r="J52" s="318" t="s">
        <v>5222</v>
      </c>
      <c r="K52" s="318" t="s">
        <v>287</v>
      </c>
      <c r="L52" s="171">
        <v>45124</v>
      </c>
      <c r="M52" s="178" t="s">
        <v>5787</v>
      </c>
      <c r="N52" s="180">
        <v>45131</v>
      </c>
      <c r="O52" s="179"/>
      <c r="Q52" t="s">
        <v>22</v>
      </c>
      <c r="R52">
        <v>43</v>
      </c>
      <c r="S52" s="185">
        <v>45055</v>
      </c>
      <c r="T52" s="196">
        <v>45055.791631944441</v>
      </c>
      <c r="U52" s="196">
        <v>45056</v>
      </c>
      <c r="V52" s="324">
        <v>2</v>
      </c>
      <c r="W52" s="201">
        <v>45056</v>
      </c>
      <c r="X52" s="201">
        <v>45107</v>
      </c>
      <c r="Y52" s="200">
        <v>38</v>
      </c>
      <c r="Z52" s="207">
        <v>45113</v>
      </c>
      <c r="AA52" s="206">
        <v>5</v>
      </c>
      <c r="AB52" s="207">
        <v>45119</v>
      </c>
      <c r="AC52" s="188">
        <v>47</v>
      </c>
      <c r="AD52" s="187">
        <v>45131</v>
      </c>
    </row>
    <row r="53" spans="1:30">
      <c r="A53" s="318">
        <f>COUNTA($E$3:E53)</f>
        <v>51</v>
      </c>
      <c r="B53" s="318" t="s">
        <v>5245</v>
      </c>
      <c r="C53" s="318" t="s">
        <v>297</v>
      </c>
      <c r="D53" s="318" t="s">
        <v>1123</v>
      </c>
      <c r="E53" s="318" t="s">
        <v>5246</v>
      </c>
      <c r="F53" s="316">
        <v>45061.429236111115</v>
      </c>
      <c r="G53" s="316">
        <v>45093</v>
      </c>
      <c r="H53" s="316">
        <v>45068</v>
      </c>
      <c r="I53" s="316" t="s">
        <v>3</v>
      </c>
      <c r="J53" s="318"/>
      <c r="K53" s="318"/>
      <c r="L53" s="171">
        <v>45124</v>
      </c>
      <c r="M53" s="178" t="s">
        <v>5729</v>
      </c>
      <c r="N53" s="180">
        <v>45105</v>
      </c>
      <c r="O53" s="179"/>
      <c r="Q53" t="s">
        <v>22</v>
      </c>
      <c r="R53">
        <v>39</v>
      </c>
      <c r="S53" s="185">
        <v>45061</v>
      </c>
      <c r="T53" s="196">
        <v>45068</v>
      </c>
      <c r="U53" s="196">
        <v>45093</v>
      </c>
      <c r="V53" s="324">
        <v>20</v>
      </c>
      <c r="W53" s="201">
        <v>45093</v>
      </c>
      <c r="X53" s="201">
        <v>45098.445949074077</v>
      </c>
      <c r="Y53" s="200">
        <v>4</v>
      </c>
      <c r="Z53" s="207">
        <v>45106</v>
      </c>
      <c r="AA53" s="206">
        <v>3</v>
      </c>
      <c r="AB53" s="207">
        <v>45110</v>
      </c>
      <c r="AC53" s="188">
        <v>36</v>
      </c>
      <c r="AD53" s="187">
        <v>45105</v>
      </c>
    </row>
    <row r="54" spans="1:30">
      <c r="A54" s="318">
        <f>COUNTA($E$3:E54)</f>
        <v>52</v>
      </c>
      <c r="B54" s="318" t="s">
        <v>5415</v>
      </c>
      <c r="C54" s="318" t="s">
        <v>109</v>
      </c>
      <c r="D54" s="318" t="s">
        <v>16</v>
      </c>
      <c r="E54" s="318" t="s">
        <v>5416</v>
      </c>
      <c r="F54" s="316">
        <v>45076</v>
      </c>
      <c r="G54" s="316"/>
      <c r="H54" s="316" t="s">
        <v>55</v>
      </c>
      <c r="I54" s="316" t="s">
        <v>3</v>
      </c>
      <c r="J54" s="318" t="s">
        <v>1212</v>
      </c>
      <c r="K54" s="318" t="s">
        <v>33</v>
      </c>
      <c r="L54" s="171">
        <v>45124</v>
      </c>
      <c r="M54" s="178" t="s">
        <v>5538</v>
      </c>
      <c r="N54" s="180">
        <v>45084</v>
      </c>
      <c r="O54" s="179"/>
      <c r="Q54" t="s">
        <v>129</v>
      </c>
      <c r="R54">
        <v>28</v>
      </c>
      <c r="S54" s="185">
        <v>45076</v>
      </c>
      <c r="T54" s="196">
        <v>45078.787881944445</v>
      </c>
      <c r="U54" s="196">
        <v>45082</v>
      </c>
      <c r="V54" s="324">
        <v>3</v>
      </c>
      <c r="W54" s="201">
        <v>45082</v>
      </c>
      <c r="X54" s="201">
        <v>45082</v>
      </c>
      <c r="Y54" s="200">
        <v>1</v>
      </c>
      <c r="Z54" s="207">
        <v>45119</v>
      </c>
      <c r="AA54" s="206">
        <v>3</v>
      </c>
      <c r="AB54" s="207">
        <v>45121</v>
      </c>
      <c r="AC54" s="188">
        <v>34</v>
      </c>
      <c r="AD54" s="187">
        <v>45084</v>
      </c>
    </row>
    <row r="55" spans="1:30">
      <c r="A55" s="318">
        <f>COUNTA($E$3:E55)</f>
        <v>53</v>
      </c>
      <c r="B55" s="318" t="s">
        <v>5644</v>
      </c>
      <c r="C55" s="318" t="s">
        <v>5645</v>
      </c>
      <c r="D55" s="318" t="s">
        <v>58</v>
      </c>
      <c r="E55" s="318" t="s">
        <v>5646</v>
      </c>
      <c r="F55" s="316">
        <v>45105</v>
      </c>
      <c r="G55" s="316"/>
      <c r="H55" s="316"/>
      <c r="I55" s="316" t="s">
        <v>3</v>
      </c>
      <c r="J55" s="318"/>
      <c r="K55" s="318"/>
      <c r="L55" s="171">
        <v>45124</v>
      </c>
      <c r="M55" s="178" t="s">
        <v>5789</v>
      </c>
      <c r="N55" s="180">
        <v>45121</v>
      </c>
      <c r="O55" s="179"/>
      <c r="Q55" t="s">
        <v>129</v>
      </c>
      <c r="R55">
        <v>7</v>
      </c>
      <c r="S55" s="185">
        <v>45119</v>
      </c>
      <c r="T55" s="196">
        <v>45120.563680555555</v>
      </c>
      <c r="U55" s="196">
        <v>45120.563680555555</v>
      </c>
      <c r="V55" s="324">
        <v>1</v>
      </c>
      <c r="W55" s="201">
        <v>45120.563680555555</v>
      </c>
      <c r="X55" s="201">
        <v>45120.564189814817</v>
      </c>
      <c r="Y55" s="200">
        <v>1</v>
      </c>
      <c r="Z55" s="207">
        <v>45120</v>
      </c>
      <c r="AA55" s="206">
        <v>2</v>
      </c>
      <c r="AB55" s="207">
        <v>45122</v>
      </c>
      <c r="AC55" s="188">
        <v>3</v>
      </c>
      <c r="AD55" s="187">
        <v>45121</v>
      </c>
    </row>
    <row r="56" spans="1:30">
      <c r="A56" s="318">
        <f>COUNTA($E$3:E56)</f>
        <v>54</v>
      </c>
      <c r="B56" s="318" t="s">
        <v>5690</v>
      </c>
      <c r="C56" s="318" t="s">
        <v>2327</v>
      </c>
      <c r="D56" s="318" t="s">
        <v>56</v>
      </c>
      <c r="E56" s="318" t="s">
        <v>2328</v>
      </c>
      <c r="F56" s="316">
        <v>45112.683206018519</v>
      </c>
      <c r="G56" s="316"/>
      <c r="H56" s="316"/>
      <c r="I56" s="316"/>
      <c r="J56" s="318" t="s">
        <v>1249</v>
      </c>
      <c r="K56" s="318" t="s">
        <v>1287</v>
      </c>
      <c r="L56" s="171">
        <v>45124</v>
      </c>
      <c r="M56" s="178" t="s">
        <v>5788</v>
      </c>
      <c r="N56" s="180">
        <v>45120</v>
      </c>
      <c r="O56" s="179"/>
      <c r="Q56" t="s">
        <v>129</v>
      </c>
      <c r="R56">
        <v>14</v>
      </c>
      <c r="S56" s="185">
        <v>45112</v>
      </c>
      <c r="T56" s="196">
        <v>45116.50445601852</v>
      </c>
      <c r="U56" s="196">
        <v>45116.50445601852</v>
      </c>
      <c r="V56" s="324">
        <v>0</v>
      </c>
      <c r="W56" s="201">
        <v>45116.50445601852</v>
      </c>
      <c r="X56" s="201">
        <v>45116.504594907405</v>
      </c>
      <c r="Y56" s="200">
        <v>1</v>
      </c>
      <c r="Z56" s="207">
        <v>45116</v>
      </c>
      <c r="AA56" s="206">
        <v>2</v>
      </c>
      <c r="AB56" s="207">
        <v>45118</v>
      </c>
      <c r="AC56" s="188">
        <v>5</v>
      </c>
      <c r="AD56" s="187">
        <v>45120</v>
      </c>
    </row>
    <row r="57" spans="1:30">
      <c r="A57" s="318">
        <f>COUNTA($E$3:E57)</f>
        <v>55</v>
      </c>
      <c r="B57" s="318" t="s">
        <v>5767</v>
      </c>
      <c r="C57" s="318" t="s">
        <v>40</v>
      </c>
      <c r="D57" s="318" t="s">
        <v>1123</v>
      </c>
      <c r="E57" s="318" t="s">
        <v>5768</v>
      </c>
      <c r="F57" s="316">
        <v>45119.751435185186</v>
      </c>
      <c r="G57" s="316"/>
      <c r="H57" s="316"/>
      <c r="I57" s="316"/>
      <c r="J57" s="318" t="s">
        <v>1485</v>
      </c>
      <c r="K57" s="318" t="s">
        <v>1287</v>
      </c>
      <c r="L57" s="171">
        <v>45124</v>
      </c>
      <c r="M57" s="178" t="s">
        <v>5790</v>
      </c>
      <c r="N57" s="180">
        <v>45140</v>
      </c>
      <c r="O57" s="179"/>
      <c r="Q57" t="s">
        <v>129</v>
      </c>
      <c r="S57" s="185">
        <v>45119</v>
      </c>
      <c r="T57" s="196">
        <v>45120.810844907406</v>
      </c>
      <c r="U57" s="196">
        <v>45120.810844907406</v>
      </c>
      <c r="V57" s="324">
        <v>1</v>
      </c>
      <c r="W57" s="201">
        <v>45120.810844907406</v>
      </c>
      <c r="X57" s="201">
        <v>45120.810925925929</v>
      </c>
      <c r="Y57" s="200">
        <v>1</v>
      </c>
      <c r="Z57" s="207">
        <v>45120</v>
      </c>
      <c r="AA57" s="206">
        <v>3</v>
      </c>
      <c r="AB57" s="207">
        <v>45124</v>
      </c>
      <c r="AC57" s="188">
        <v>4</v>
      </c>
      <c r="AD57" s="187"/>
    </row>
    <row r="58" spans="1:30">
      <c r="A58" s="318">
        <f>COUNTA($E$3:E58)</f>
        <v>56</v>
      </c>
      <c r="B58" s="318" t="s">
        <v>5769</v>
      </c>
      <c r="C58" s="318" t="s">
        <v>40</v>
      </c>
      <c r="D58" s="318" t="s">
        <v>5770</v>
      </c>
      <c r="E58" s="318" t="s">
        <v>5771</v>
      </c>
      <c r="F58" s="316">
        <v>45119.751817129632</v>
      </c>
      <c r="G58" s="316"/>
      <c r="H58" s="316"/>
      <c r="I58" s="316"/>
      <c r="J58" s="318" t="s">
        <v>2153</v>
      </c>
      <c r="K58" s="318" t="s">
        <v>1296</v>
      </c>
      <c r="L58" s="171">
        <v>45124</v>
      </c>
      <c r="M58" s="178" t="s">
        <v>3534</v>
      </c>
      <c r="N58" s="180">
        <v>45140</v>
      </c>
      <c r="O58" s="179"/>
      <c r="Q58" t="s">
        <v>129</v>
      </c>
      <c r="S58" s="185">
        <v>45119</v>
      </c>
      <c r="T58" s="196">
        <v>45120.761967592596</v>
      </c>
      <c r="U58" s="196">
        <v>45120.761967592596</v>
      </c>
      <c r="V58" s="324">
        <f t="shared" ref="V58:V74" si="0">IFERROR(NETWORKDAYS.INTL(T58,U58),1)</f>
        <v>1</v>
      </c>
      <c r="W58" s="201">
        <v>45120.761967592596</v>
      </c>
      <c r="X58" s="201">
        <v>45120.762048611112</v>
      </c>
      <c r="Y58" s="200">
        <v>1</v>
      </c>
      <c r="Z58" s="207">
        <v>45120</v>
      </c>
      <c r="AA58" s="206">
        <v>2</v>
      </c>
      <c r="AB58" s="207">
        <v>45122</v>
      </c>
      <c r="AC58" s="188">
        <v>3</v>
      </c>
      <c r="AD58" s="187"/>
    </row>
    <row r="59" spans="1:30">
      <c r="A59" s="318">
        <f>COUNTA($E$3:E59)</f>
        <v>57</v>
      </c>
      <c r="B59" s="318" t="s">
        <v>4967</v>
      </c>
      <c r="C59" s="318" t="s">
        <v>4165</v>
      </c>
      <c r="D59" s="318" t="s">
        <v>1103</v>
      </c>
      <c r="E59" s="318" t="s">
        <v>4968</v>
      </c>
      <c r="F59" s="316">
        <v>45013.44054398148</v>
      </c>
      <c r="G59" s="316">
        <v>45036</v>
      </c>
      <c r="H59" s="316">
        <v>45014</v>
      </c>
      <c r="I59" s="316" t="s">
        <v>2</v>
      </c>
      <c r="J59" s="318" t="s">
        <v>4969</v>
      </c>
      <c r="K59" s="318" t="s">
        <v>287</v>
      </c>
      <c r="L59" s="171">
        <v>45117</v>
      </c>
      <c r="M59" s="178" t="s">
        <v>5728</v>
      </c>
      <c r="N59" s="180">
        <v>45120</v>
      </c>
      <c r="O59" s="179"/>
      <c r="Q59" t="s">
        <v>22</v>
      </c>
      <c r="R59">
        <v>73</v>
      </c>
      <c r="S59" s="185">
        <v>45013</v>
      </c>
      <c r="T59" s="196">
        <v>45014</v>
      </c>
      <c r="U59" s="196">
        <v>45036</v>
      </c>
      <c r="V59" s="324">
        <f t="shared" si="0"/>
        <v>17</v>
      </c>
      <c r="W59" s="201">
        <v>45069</v>
      </c>
      <c r="X59" s="201">
        <v>45106.690057870372</v>
      </c>
      <c r="Y59" s="200">
        <v>28</v>
      </c>
      <c r="Z59" s="207">
        <v>45107</v>
      </c>
      <c r="AA59" s="206">
        <v>3</v>
      </c>
      <c r="AB59" s="207">
        <v>45111</v>
      </c>
      <c r="AC59" s="188">
        <v>71</v>
      </c>
      <c r="AD59" s="187">
        <v>45120</v>
      </c>
    </row>
    <row r="60" spans="1:30">
      <c r="A60" s="318">
        <f>COUNTA($E$3:E60)</f>
        <v>58</v>
      </c>
      <c r="B60" s="318" t="s">
        <v>4946</v>
      </c>
      <c r="C60" s="318" t="s">
        <v>41</v>
      </c>
      <c r="D60" s="318" t="s">
        <v>16</v>
      </c>
      <c r="E60" s="318" t="s">
        <v>1203</v>
      </c>
      <c r="F60" s="316">
        <v>45012</v>
      </c>
      <c r="G60" s="316"/>
      <c r="H60" s="316" t="s">
        <v>66</v>
      </c>
      <c r="I60" s="316" t="s">
        <v>2</v>
      </c>
      <c r="J60" s="318" t="s">
        <v>5273</v>
      </c>
      <c r="K60" s="318" t="s">
        <v>18</v>
      </c>
      <c r="L60" s="171">
        <v>45117</v>
      </c>
      <c r="M60" s="178" t="s">
        <v>5560</v>
      </c>
      <c r="N60" s="180">
        <v>45124</v>
      </c>
      <c r="O60" s="179"/>
      <c r="Q60" t="s">
        <v>22</v>
      </c>
      <c r="R60">
        <v>78</v>
      </c>
      <c r="S60" s="185">
        <v>45012</v>
      </c>
      <c r="T60" s="196">
        <v>45013.456134259257</v>
      </c>
      <c r="U60" s="196">
        <v>45013.456134259257</v>
      </c>
      <c r="V60" s="324">
        <f t="shared" si="0"/>
        <v>1</v>
      </c>
      <c r="W60" s="201">
        <v>45013.456134259257</v>
      </c>
      <c r="X60" s="201">
        <v>45093.791597222225</v>
      </c>
      <c r="Y60" s="200">
        <v>59</v>
      </c>
      <c r="Z60" s="207">
        <v>45113</v>
      </c>
      <c r="AA60" s="206">
        <v>3</v>
      </c>
      <c r="AB60" s="207">
        <v>45117</v>
      </c>
      <c r="AC60" s="188">
        <v>76</v>
      </c>
      <c r="AD60" s="187">
        <v>45124</v>
      </c>
    </row>
    <row r="61" spans="1:30">
      <c r="A61" s="318">
        <f>COUNTA($E$3:E61)</f>
        <v>59</v>
      </c>
      <c r="B61" s="318" t="s">
        <v>5046</v>
      </c>
      <c r="C61" s="318" t="s">
        <v>1119</v>
      </c>
      <c r="D61" s="318" t="s">
        <v>58</v>
      </c>
      <c r="E61" s="318" t="s">
        <v>5047</v>
      </c>
      <c r="F61" s="316">
        <v>45023</v>
      </c>
      <c r="G61" s="316"/>
      <c r="H61" s="316" t="s">
        <v>55</v>
      </c>
      <c r="I61" s="316" t="s">
        <v>2</v>
      </c>
      <c r="J61" s="318" t="s">
        <v>5281</v>
      </c>
      <c r="K61" s="318" t="s">
        <v>33</v>
      </c>
      <c r="L61" s="171">
        <v>45117</v>
      </c>
      <c r="M61" s="178" t="s">
        <v>5714</v>
      </c>
      <c r="N61" s="180"/>
      <c r="O61" s="179"/>
      <c r="Q61" t="s">
        <v>129</v>
      </c>
      <c r="R61">
        <v>65</v>
      </c>
      <c r="S61" s="185">
        <v>45023</v>
      </c>
      <c r="T61" s="196">
        <v>45033.80269675926</v>
      </c>
      <c r="U61" s="196">
        <v>45033.80269675926</v>
      </c>
      <c r="V61" s="324">
        <f t="shared" si="0"/>
        <v>1</v>
      </c>
      <c r="W61" s="201">
        <v>45033.80269675926</v>
      </c>
      <c r="X61" s="201">
        <v>45111.657557870371</v>
      </c>
      <c r="Y61" s="200">
        <v>57</v>
      </c>
      <c r="Z61" s="207">
        <v>45111</v>
      </c>
      <c r="AA61" s="206">
        <v>6</v>
      </c>
      <c r="AB61" s="207">
        <v>45118</v>
      </c>
      <c r="AC61" s="188">
        <v>68</v>
      </c>
      <c r="AD61" s="187"/>
    </row>
    <row r="62" spans="1:30">
      <c r="A62" s="318">
        <f>COUNTA($E$3:E62)</f>
        <v>60</v>
      </c>
      <c r="B62" s="318" t="s">
        <v>5193</v>
      </c>
      <c r="C62" s="318" t="s">
        <v>1119</v>
      </c>
      <c r="D62" s="318" t="s">
        <v>16</v>
      </c>
      <c r="E62" s="318" t="s">
        <v>5194</v>
      </c>
      <c r="F62" s="316">
        <v>45050</v>
      </c>
      <c r="G62" s="316"/>
      <c r="H62" s="316" t="s">
        <v>55</v>
      </c>
      <c r="I62" s="316" t="s">
        <v>2</v>
      </c>
      <c r="J62" s="318" t="s">
        <v>5300</v>
      </c>
      <c r="K62" s="318" t="s">
        <v>33</v>
      </c>
      <c r="L62" s="171">
        <v>45117</v>
      </c>
      <c r="M62" s="178" t="s">
        <v>5638</v>
      </c>
      <c r="N62" s="180">
        <v>45112</v>
      </c>
      <c r="O62" s="179"/>
      <c r="Q62" t="s">
        <v>129</v>
      </c>
      <c r="R62">
        <v>46</v>
      </c>
      <c r="S62" s="185">
        <v>45050</v>
      </c>
      <c r="T62" s="196">
        <v>45050.71638888889</v>
      </c>
      <c r="U62" s="196">
        <v>45050.71638888889</v>
      </c>
      <c r="V62" s="324">
        <f t="shared" si="0"/>
        <v>1</v>
      </c>
      <c r="W62" s="201">
        <v>45050.71638888889</v>
      </c>
      <c r="X62" s="201">
        <v>45075.542719907404</v>
      </c>
      <c r="Y62" s="200">
        <v>18</v>
      </c>
      <c r="Z62" s="207">
        <v>45112</v>
      </c>
      <c r="AA62" s="206">
        <v>6</v>
      </c>
      <c r="AB62" s="207">
        <v>45119</v>
      </c>
      <c r="AC62" s="188">
        <v>50</v>
      </c>
      <c r="AD62" s="187">
        <v>45112</v>
      </c>
    </row>
    <row r="63" spans="1:30">
      <c r="A63" s="318">
        <f>COUNTA($E$3:E63)</f>
        <v>61</v>
      </c>
      <c r="B63" s="318" t="s">
        <v>5665</v>
      </c>
      <c r="C63" s="318" t="s">
        <v>2370</v>
      </c>
      <c r="D63" s="318" t="s">
        <v>1145</v>
      </c>
      <c r="E63" s="318" t="s">
        <v>1163</v>
      </c>
      <c r="F63" s="316">
        <v>45107.650462962964</v>
      </c>
      <c r="G63" s="316"/>
      <c r="H63" s="316"/>
      <c r="I63" s="316" t="s">
        <v>3</v>
      </c>
      <c r="J63" s="318" t="s">
        <v>5672</v>
      </c>
      <c r="K63" s="318" t="s">
        <v>1294</v>
      </c>
      <c r="L63" s="171">
        <v>45117</v>
      </c>
      <c r="M63" s="178" t="s">
        <v>5698</v>
      </c>
      <c r="N63" s="180">
        <v>45111</v>
      </c>
      <c r="O63" s="179"/>
      <c r="Q63" t="s">
        <v>22</v>
      </c>
      <c r="R63">
        <v>5</v>
      </c>
      <c r="S63" s="185">
        <v>45107</v>
      </c>
      <c r="T63" s="196">
        <v>45110.497256944444</v>
      </c>
      <c r="U63" s="196">
        <v>45110.497256944444</v>
      </c>
      <c r="V63" s="324">
        <f t="shared" si="0"/>
        <v>1</v>
      </c>
      <c r="W63" s="201">
        <v>45110.497256944444</v>
      </c>
      <c r="X63" s="201">
        <v>45110.497986111113</v>
      </c>
      <c r="Y63" s="200">
        <v>1</v>
      </c>
      <c r="Z63" s="207">
        <v>45110</v>
      </c>
      <c r="AA63" s="206">
        <v>9</v>
      </c>
      <c r="AB63" s="207">
        <v>45120</v>
      </c>
      <c r="AC63" s="188">
        <v>10</v>
      </c>
      <c r="AD63" s="187">
        <v>45111</v>
      </c>
    </row>
    <row r="64" spans="1:30">
      <c r="A64" s="318">
        <f>COUNTA($E$3:E64)</f>
        <v>62</v>
      </c>
      <c r="B64" s="318" t="s">
        <v>5675</v>
      </c>
      <c r="C64" s="318" t="s">
        <v>37</v>
      </c>
      <c r="D64" s="318" t="s">
        <v>34</v>
      </c>
      <c r="E64" s="318" t="s">
        <v>3286</v>
      </c>
      <c r="F64" s="316">
        <v>45111</v>
      </c>
      <c r="G64" s="316"/>
      <c r="H64" s="316"/>
      <c r="I64" s="316" t="s">
        <v>3</v>
      </c>
      <c r="J64" s="318" t="s">
        <v>2153</v>
      </c>
      <c r="K64" s="318" t="s">
        <v>1120</v>
      </c>
      <c r="L64" s="171">
        <v>45117</v>
      </c>
      <c r="M64" s="178" t="s">
        <v>5697</v>
      </c>
      <c r="N64" s="180"/>
      <c r="O64" s="179"/>
      <c r="Q64" t="s">
        <v>129</v>
      </c>
      <c r="S64" s="185">
        <v>45111</v>
      </c>
      <c r="T64" s="196">
        <v>45113.582916666666</v>
      </c>
      <c r="U64" s="196">
        <v>45113.582916666666</v>
      </c>
      <c r="V64" s="324">
        <f t="shared" si="0"/>
        <v>1</v>
      </c>
      <c r="W64" s="201">
        <v>45113.582916666666</v>
      </c>
      <c r="X64" s="201">
        <v>45113.583009259259</v>
      </c>
      <c r="Y64" s="200">
        <v>1</v>
      </c>
      <c r="Z64" s="207">
        <v>45113</v>
      </c>
      <c r="AA64" s="206">
        <v>7</v>
      </c>
      <c r="AB64" s="207">
        <v>45121</v>
      </c>
      <c r="AC64" s="188">
        <v>9</v>
      </c>
      <c r="AD64" s="187"/>
    </row>
    <row r="65" spans="1:30">
      <c r="A65" s="318">
        <f>COUNTA($E$3:E65)</f>
        <v>63</v>
      </c>
      <c r="B65" s="318" t="s">
        <v>5683</v>
      </c>
      <c r="C65" s="318" t="s">
        <v>37</v>
      </c>
      <c r="D65" s="318" t="s">
        <v>30</v>
      </c>
      <c r="E65" s="318" t="s">
        <v>1209</v>
      </c>
      <c r="F65" s="316">
        <v>45111</v>
      </c>
      <c r="G65" s="316"/>
      <c r="H65" s="316"/>
      <c r="I65" s="316" t="s">
        <v>3</v>
      </c>
      <c r="J65" s="318" t="s">
        <v>4769</v>
      </c>
      <c r="K65" s="318" t="s">
        <v>33</v>
      </c>
      <c r="L65" s="171">
        <v>45117</v>
      </c>
      <c r="M65" s="178" t="s">
        <v>6298</v>
      </c>
      <c r="N65" s="180">
        <v>45128</v>
      </c>
      <c r="O65" s="179"/>
      <c r="Q65" t="s">
        <v>129</v>
      </c>
      <c r="S65" s="185">
        <v>45111</v>
      </c>
      <c r="T65" s="196">
        <v>45113.763182870367</v>
      </c>
      <c r="U65" s="196">
        <v>45113.763182870367</v>
      </c>
      <c r="V65" s="324">
        <f t="shared" si="0"/>
        <v>1</v>
      </c>
      <c r="W65" s="201">
        <v>45113.763182870367</v>
      </c>
      <c r="X65" s="201">
        <v>45113.763356481482</v>
      </c>
      <c r="Y65" s="200">
        <v>1</v>
      </c>
      <c r="Z65" s="207">
        <v>45113</v>
      </c>
      <c r="AA65" s="206">
        <v>7</v>
      </c>
      <c r="AB65" s="207">
        <v>45122</v>
      </c>
      <c r="AC65" s="188">
        <v>9</v>
      </c>
      <c r="AD65" s="187"/>
    </row>
    <row r="66" spans="1:30">
      <c r="A66" s="318">
        <f>COUNTA($E$3:E66)</f>
        <v>64</v>
      </c>
      <c r="B66" s="318" t="s">
        <v>5684</v>
      </c>
      <c r="C66" s="318" t="s">
        <v>3828</v>
      </c>
      <c r="D66" s="318" t="s">
        <v>19</v>
      </c>
      <c r="E66" s="318" t="s">
        <v>3696</v>
      </c>
      <c r="F66" s="316">
        <v>45111</v>
      </c>
      <c r="G66" s="316"/>
      <c r="H66" s="316"/>
      <c r="I66" s="316" t="s">
        <v>3</v>
      </c>
      <c r="J66" s="318" t="s">
        <v>4624</v>
      </c>
      <c r="K66" s="318" t="s">
        <v>1295</v>
      </c>
      <c r="L66" s="171">
        <v>45117</v>
      </c>
      <c r="M66" s="178" t="s">
        <v>3500</v>
      </c>
      <c r="N66" s="180"/>
      <c r="O66" s="179"/>
      <c r="Q66" t="s">
        <v>129</v>
      </c>
      <c r="S66" s="185">
        <v>45111</v>
      </c>
      <c r="T66" s="196">
        <v>45112.563622685186</v>
      </c>
      <c r="U66" s="196">
        <v>45112.563622685186</v>
      </c>
      <c r="V66" s="324">
        <f t="shared" si="0"/>
        <v>1</v>
      </c>
      <c r="W66" s="201">
        <v>45112.563622685186</v>
      </c>
      <c r="X66" s="201">
        <v>45112.563923611109</v>
      </c>
      <c r="Y66" s="200">
        <v>1</v>
      </c>
      <c r="Z66" s="207">
        <v>45113</v>
      </c>
      <c r="AA66" s="206">
        <v>7</v>
      </c>
      <c r="AB66" s="207">
        <v>45123</v>
      </c>
      <c r="AC66" s="188">
        <v>9</v>
      </c>
      <c r="AD66" s="187"/>
    </row>
    <row r="67" spans="1:30">
      <c r="A67" s="318">
        <f>COUNTA($E$3:E67)</f>
        <v>65</v>
      </c>
      <c r="B67" s="318" t="s">
        <v>4990</v>
      </c>
      <c r="C67" s="318" t="s">
        <v>21</v>
      </c>
      <c r="D67" s="318" t="s">
        <v>34</v>
      </c>
      <c r="E67" s="318" t="s">
        <v>4991</v>
      </c>
      <c r="F67" s="316">
        <v>45015.548657407409</v>
      </c>
      <c r="G67" s="316"/>
      <c r="H67" s="316">
        <v>45022</v>
      </c>
      <c r="I67" s="316" t="s">
        <v>3</v>
      </c>
      <c r="J67" s="318" t="s">
        <v>4695</v>
      </c>
      <c r="K67" s="318" t="s">
        <v>1295</v>
      </c>
      <c r="L67" s="171">
        <v>45110</v>
      </c>
      <c r="M67" s="178" t="s">
        <v>5666</v>
      </c>
      <c r="N67" s="180"/>
      <c r="O67" s="179"/>
      <c r="Q67" t="s">
        <v>129</v>
      </c>
      <c r="R67">
        <v>68</v>
      </c>
      <c r="S67" s="185">
        <v>45015</v>
      </c>
      <c r="T67" s="196">
        <v>45022</v>
      </c>
      <c r="U67" s="196">
        <v>45022</v>
      </c>
      <c r="V67" s="324">
        <f t="shared" si="0"/>
        <v>1</v>
      </c>
      <c r="W67" s="201" t="s">
        <v>1761</v>
      </c>
      <c r="X67" s="201">
        <v>45106.674351851849</v>
      </c>
      <c r="Y67" s="200">
        <v>1</v>
      </c>
      <c r="Z67" s="207">
        <v>45106</v>
      </c>
      <c r="AA67" s="206">
        <v>2</v>
      </c>
      <c r="AB67" s="207">
        <v>45107</v>
      </c>
      <c r="AC67" s="188">
        <v>67</v>
      </c>
      <c r="AD67" s="187"/>
    </row>
    <row r="68" spans="1:30">
      <c r="A68" s="318">
        <f>COUNTA($E$3:E68)</f>
        <v>66</v>
      </c>
      <c r="B68" s="318" t="s">
        <v>5069</v>
      </c>
      <c r="C68" s="318" t="s">
        <v>41</v>
      </c>
      <c r="D68" s="318" t="s">
        <v>30</v>
      </c>
      <c r="E68" s="318" t="s">
        <v>4360</v>
      </c>
      <c r="F68" s="316">
        <v>45029.440752314818</v>
      </c>
      <c r="G68" s="316"/>
      <c r="H68" s="316" t="s">
        <v>66</v>
      </c>
      <c r="I68" s="316" t="s">
        <v>3</v>
      </c>
      <c r="J68" s="318" t="s">
        <v>5285</v>
      </c>
      <c r="K68" s="318" t="s">
        <v>1295</v>
      </c>
      <c r="L68" s="171">
        <v>45110</v>
      </c>
      <c r="M68" s="178" t="s">
        <v>5667</v>
      </c>
      <c r="N68" s="180">
        <v>45147</v>
      </c>
      <c r="O68" s="179"/>
      <c r="Q68" t="s">
        <v>129</v>
      </c>
      <c r="R68">
        <v>58</v>
      </c>
      <c r="S68" s="185">
        <v>45031</v>
      </c>
      <c r="T68" s="196">
        <v>45040.528738425928</v>
      </c>
      <c r="U68" s="196">
        <v>45040.528738425928</v>
      </c>
      <c r="V68" s="324">
        <f t="shared" si="0"/>
        <v>1</v>
      </c>
      <c r="W68" s="201">
        <v>45040.528738425928</v>
      </c>
      <c r="X68" s="201">
        <v>45075.526087962964</v>
      </c>
      <c r="Y68" s="200">
        <v>26</v>
      </c>
      <c r="Z68" s="207">
        <v>45106</v>
      </c>
      <c r="AA68" s="206">
        <v>2</v>
      </c>
      <c r="AB68" s="207">
        <v>45107</v>
      </c>
      <c r="AC68" s="188">
        <v>55</v>
      </c>
      <c r="AD68" s="187">
        <v>45147</v>
      </c>
    </row>
    <row r="69" spans="1:30">
      <c r="A69" s="318">
        <f>COUNTA($E$3:E69)</f>
        <v>67</v>
      </c>
      <c r="B69" s="318" t="s">
        <v>5085</v>
      </c>
      <c r="C69" s="318" t="s">
        <v>3324</v>
      </c>
      <c r="D69" s="318" t="s">
        <v>45</v>
      </c>
      <c r="E69" s="318" t="s">
        <v>3330</v>
      </c>
      <c r="F69" s="316">
        <v>45030.624814814815</v>
      </c>
      <c r="G69" s="316">
        <v>45076</v>
      </c>
      <c r="H69" s="316">
        <v>45030</v>
      </c>
      <c r="I69" s="316" t="s">
        <v>4</v>
      </c>
      <c r="J69" s="318" t="s">
        <v>5086</v>
      </c>
      <c r="K69" s="318" t="s">
        <v>287</v>
      </c>
      <c r="L69" s="171">
        <v>45110</v>
      </c>
      <c r="M69" s="178" t="s">
        <v>5647</v>
      </c>
      <c r="N69" s="180">
        <v>45106</v>
      </c>
      <c r="O69" s="179"/>
      <c r="Q69" t="s">
        <v>22</v>
      </c>
      <c r="R69">
        <v>57</v>
      </c>
      <c r="S69" s="185">
        <v>45030</v>
      </c>
      <c r="T69" s="196">
        <v>45030</v>
      </c>
      <c r="U69" s="196">
        <v>45030</v>
      </c>
      <c r="V69" s="324">
        <f t="shared" si="0"/>
        <v>1</v>
      </c>
      <c r="W69" s="201">
        <v>45030</v>
      </c>
      <c r="X69" s="201">
        <v>45106.447245370371</v>
      </c>
      <c r="Y69" s="200">
        <v>55</v>
      </c>
      <c r="Z69" s="207">
        <v>45106</v>
      </c>
      <c r="AA69" s="206">
        <v>1</v>
      </c>
      <c r="AB69" s="207">
        <v>45106</v>
      </c>
      <c r="AC69" s="188">
        <v>55</v>
      </c>
      <c r="AD69" s="187">
        <v>45106</v>
      </c>
    </row>
    <row r="70" spans="1:30">
      <c r="A70" s="318">
        <f>COUNTA($E$3:E70)</f>
        <v>68</v>
      </c>
      <c r="B70" s="318" t="s">
        <v>5150</v>
      </c>
      <c r="C70" s="318" t="s">
        <v>41</v>
      </c>
      <c r="D70" s="318" t="s">
        <v>1103</v>
      </c>
      <c r="E70" s="318" t="s">
        <v>4255</v>
      </c>
      <c r="F70" s="316">
        <v>45041.566770833335</v>
      </c>
      <c r="G70" s="316"/>
      <c r="H70" s="316" t="s">
        <v>66</v>
      </c>
      <c r="I70" s="316" t="s">
        <v>3</v>
      </c>
      <c r="J70" s="318" t="s">
        <v>1666</v>
      </c>
      <c r="K70" s="318" t="s">
        <v>1287</v>
      </c>
      <c r="L70" s="171">
        <v>45110</v>
      </c>
      <c r="M70" s="178" t="s">
        <v>5648</v>
      </c>
      <c r="N70" s="180">
        <v>45147</v>
      </c>
      <c r="O70" s="179"/>
      <c r="Q70" t="s">
        <v>129</v>
      </c>
      <c r="R70">
        <v>50</v>
      </c>
      <c r="S70" s="185">
        <v>45041</v>
      </c>
      <c r="T70" s="196">
        <v>45042.561747685184</v>
      </c>
      <c r="U70" s="196">
        <v>45042.561747685184</v>
      </c>
      <c r="V70" s="324">
        <f t="shared" si="0"/>
        <v>1</v>
      </c>
      <c r="W70" s="201">
        <v>45042.561747685184</v>
      </c>
      <c r="X70" s="201">
        <v>45104.455347222225</v>
      </c>
      <c r="Y70" s="200">
        <v>45</v>
      </c>
      <c r="Z70" s="207">
        <v>45104</v>
      </c>
      <c r="AA70" s="206">
        <v>3</v>
      </c>
      <c r="AB70" s="207">
        <v>45106</v>
      </c>
      <c r="AC70" s="188">
        <v>48</v>
      </c>
      <c r="AD70" s="187">
        <v>45147</v>
      </c>
    </row>
    <row r="71" spans="1:30">
      <c r="A71" s="318">
        <f>COUNTA($E$3:E71)</f>
        <v>69</v>
      </c>
      <c r="B71" s="318" t="s">
        <v>5242</v>
      </c>
      <c r="C71" s="318" t="s">
        <v>5243</v>
      </c>
      <c r="D71" s="318" t="s">
        <v>64</v>
      </c>
      <c r="E71" s="318" t="s">
        <v>5244</v>
      </c>
      <c r="F71" s="316">
        <v>45058.552673611113</v>
      </c>
      <c r="G71" s="316">
        <v>45092</v>
      </c>
      <c r="H71" s="316">
        <v>45058</v>
      </c>
      <c r="I71" s="316" t="s">
        <v>2</v>
      </c>
      <c r="J71" s="318" t="s">
        <v>5306</v>
      </c>
      <c r="K71" s="318" t="s">
        <v>287</v>
      </c>
      <c r="L71" s="171">
        <v>45110</v>
      </c>
      <c r="M71" s="178" t="s">
        <v>5649</v>
      </c>
      <c r="N71" s="180">
        <v>45106</v>
      </c>
      <c r="O71" s="179"/>
      <c r="Q71" t="s">
        <v>22</v>
      </c>
      <c r="R71">
        <v>37</v>
      </c>
      <c r="S71" s="185">
        <v>45057</v>
      </c>
      <c r="T71" s="196">
        <v>45058</v>
      </c>
      <c r="U71" s="196">
        <v>45058</v>
      </c>
      <c r="V71" s="324">
        <f t="shared" si="0"/>
        <v>1</v>
      </c>
      <c r="W71" s="201">
        <v>45058</v>
      </c>
      <c r="X71" s="201">
        <v>45098.6953587963</v>
      </c>
      <c r="Y71" s="200">
        <v>29</v>
      </c>
      <c r="Z71" s="207">
        <v>45098</v>
      </c>
      <c r="AA71" s="206">
        <v>9</v>
      </c>
      <c r="AB71" s="207">
        <v>45110</v>
      </c>
      <c r="AC71" s="188">
        <v>38</v>
      </c>
      <c r="AD71" s="187">
        <v>45106</v>
      </c>
    </row>
    <row r="72" spans="1:30">
      <c r="A72" s="318">
        <f>COUNTA($E$3:E72)</f>
        <v>70</v>
      </c>
      <c r="B72" s="318" t="s">
        <v>5311</v>
      </c>
      <c r="C72" s="318" t="s">
        <v>41</v>
      </c>
      <c r="D72" s="318" t="s">
        <v>16</v>
      </c>
      <c r="E72" s="318" t="s">
        <v>3962</v>
      </c>
      <c r="F72" s="316">
        <v>45092.77884259259</v>
      </c>
      <c r="G72" s="316"/>
      <c r="H72" s="316"/>
      <c r="I72" s="316" t="s">
        <v>3</v>
      </c>
      <c r="J72" s="318" t="s">
        <v>17</v>
      </c>
      <c r="K72" s="318" t="s">
        <v>287</v>
      </c>
      <c r="L72" s="171">
        <v>45110</v>
      </c>
      <c r="M72" s="178" t="s">
        <v>5668</v>
      </c>
      <c r="N72" s="180">
        <v>45124</v>
      </c>
      <c r="O72" s="179"/>
      <c r="Q72" t="s">
        <v>22</v>
      </c>
      <c r="R72">
        <v>13</v>
      </c>
      <c r="S72" s="185">
        <v>45054</v>
      </c>
      <c r="T72" s="196">
        <v>45099.798379629632</v>
      </c>
      <c r="U72" s="196">
        <v>45099.798379629632</v>
      </c>
      <c r="V72" s="324">
        <f t="shared" si="0"/>
        <v>1</v>
      </c>
      <c r="W72" s="201">
        <v>45099.798379629632</v>
      </c>
      <c r="X72" s="201">
        <v>45099.798437500001</v>
      </c>
      <c r="Y72" s="200">
        <v>1</v>
      </c>
      <c r="Z72" s="207">
        <v>45107</v>
      </c>
      <c r="AA72" s="206">
        <v>2</v>
      </c>
      <c r="AB72" s="207">
        <v>45110</v>
      </c>
      <c r="AC72" s="188">
        <v>41</v>
      </c>
      <c r="AD72" s="187">
        <v>45124</v>
      </c>
    </row>
    <row r="73" spans="1:30">
      <c r="A73" s="318">
        <f>COUNTA($E$3:E73)</f>
        <v>71</v>
      </c>
      <c r="B73" s="318" t="s">
        <v>5482</v>
      </c>
      <c r="C73" s="318" t="s">
        <v>5424</v>
      </c>
      <c r="D73" s="318" t="s">
        <v>1201</v>
      </c>
      <c r="E73" s="318" t="s">
        <v>5483</v>
      </c>
      <c r="F73" s="316">
        <v>45083.438020833331</v>
      </c>
      <c r="G73" s="316"/>
      <c r="H73" s="316"/>
      <c r="I73" s="316" t="s">
        <v>2</v>
      </c>
      <c r="J73" s="318" t="s">
        <v>5599</v>
      </c>
      <c r="K73" s="318" t="s">
        <v>287</v>
      </c>
      <c r="L73" s="171">
        <v>45110</v>
      </c>
      <c r="M73" s="178" t="s">
        <v>5653</v>
      </c>
      <c r="N73" s="180">
        <v>45124</v>
      </c>
      <c r="O73" s="179"/>
      <c r="Q73" t="s">
        <v>22</v>
      </c>
      <c r="R73">
        <v>20</v>
      </c>
      <c r="S73" s="185">
        <v>45086</v>
      </c>
      <c r="T73" s="196">
        <v>45098.658333333333</v>
      </c>
      <c r="U73" s="196">
        <v>45098.658333333333</v>
      </c>
      <c r="V73" s="324">
        <f t="shared" si="0"/>
        <v>1</v>
      </c>
      <c r="W73" s="201">
        <v>45098.658333333333</v>
      </c>
      <c r="X73" s="201">
        <v>45098.661168981482</v>
      </c>
      <c r="Y73" s="200">
        <v>1</v>
      </c>
      <c r="Z73" s="207">
        <v>45100</v>
      </c>
      <c r="AA73" s="206">
        <v>7</v>
      </c>
      <c r="AB73" s="207">
        <v>45110</v>
      </c>
      <c r="AC73" s="188">
        <v>17</v>
      </c>
      <c r="AD73" s="187">
        <v>45124</v>
      </c>
    </row>
    <row r="74" spans="1:30">
      <c r="A74" s="318">
        <f>COUNTA($E$3:E74)</f>
        <v>72</v>
      </c>
      <c r="B74" s="318" t="s">
        <v>5486</v>
      </c>
      <c r="C74" s="318" t="s">
        <v>41</v>
      </c>
      <c r="D74" s="318" t="s">
        <v>1115</v>
      </c>
      <c r="E74" s="318" t="s">
        <v>4316</v>
      </c>
      <c r="F74" s="316">
        <v>45083.439155092594</v>
      </c>
      <c r="G74" s="316"/>
      <c r="H74" s="316"/>
      <c r="I74" s="316" t="s">
        <v>3</v>
      </c>
      <c r="J74" s="318" t="s">
        <v>4624</v>
      </c>
      <c r="K74" s="318"/>
      <c r="L74" s="171">
        <v>45110</v>
      </c>
      <c r="M74" s="178" t="s">
        <v>5653</v>
      </c>
      <c r="N74" s="180">
        <v>45124</v>
      </c>
      <c r="O74" s="179"/>
      <c r="Q74" t="s">
        <v>22</v>
      </c>
      <c r="R74">
        <v>20</v>
      </c>
      <c r="S74" s="185">
        <v>45086</v>
      </c>
      <c r="T74" s="196">
        <v>45104.676481481481</v>
      </c>
      <c r="U74" s="196">
        <v>45104.676481481481</v>
      </c>
      <c r="V74" s="324">
        <f t="shared" si="0"/>
        <v>1</v>
      </c>
      <c r="W74" s="201">
        <v>45104.676481481481</v>
      </c>
      <c r="X74" s="201">
        <v>45104.67664351852</v>
      </c>
      <c r="Y74" s="200">
        <v>1</v>
      </c>
      <c r="Z74" s="207">
        <v>45104</v>
      </c>
      <c r="AA74" s="206">
        <v>3</v>
      </c>
      <c r="AB74" s="207">
        <v>45106</v>
      </c>
      <c r="AC74" s="188">
        <v>15</v>
      </c>
      <c r="AD74" s="187">
        <v>45124</v>
      </c>
    </row>
    <row r="75" spans="1:30">
      <c r="A75" s="318">
        <f>COUNTA($E$3:E75)</f>
        <v>73</v>
      </c>
      <c r="B75" s="318" t="s">
        <v>5527</v>
      </c>
      <c r="C75" s="318" t="s">
        <v>5097</v>
      </c>
      <c r="D75" s="318" t="s">
        <v>56</v>
      </c>
      <c r="E75" s="318" t="s">
        <v>5098</v>
      </c>
      <c r="F75" s="316">
        <v>45089.755914351852</v>
      </c>
      <c r="G75" s="316"/>
      <c r="H75" s="316" t="s">
        <v>55</v>
      </c>
      <c r="I75" s="316" t="s">
        <v>3</v>
      </c>
      <c r="J75" s="318" t="s">
        <v>1720</v>
      </c>
      <c r="K75" s="318" t="s">
        <v>1295</v>
      </c>
      <c r="L75" s="171">
        <v>45110</v>
      </c>
      <c r="M75" s="178" t="s">
        <v>5669</v>
      </c>
      <c r="N75" s="180">
        <v>45098</v>
      </c>
      <c r="O75" s="179"/>
      <c r="Q75" t="s">
        <v>129</v>
      </c>
      <c r="R75">
        <v>16</v>
      </c>
      <c r="S75" s="185">
        <v>45089</v>
      </c>
      <c r="T75" s="196">
        <v>45096.518599537034</v>
      </c>
      <c r="U75" s="196">
        <v>45096.518599537034</v>
      </c>
      <c r="V75" s="324">
        <f t="shared" ref="V75:V138" si="1">IFERROR(NETWORKDAYS.INTL(T75,U75),1)</f>
        <v>1</v>
      </c>
      <c r="W75" s="201">
        <v>45096.518599537034</v>
      </c>
      <c r="X75" s="201">
        <v>45106.698020833333</v>
      </c>
      <c r="Y75" s="200">
        <v>9</v>
      </c>
      <c r="Z75" s="207">
        <v>45106</v>
      </c>
      <c r="AA75" s="206">
        <v>2</v>
      </c>
      <c r="AB75" s="207">
        <v>45107</v>
      </c>
      <c r="AC75" s="188">
        <v>15</v>
      </c>
      <c r="AD75" s="187">
        <v>45098</v>
      </c>
    </row>
    <row r="76" spans="1:30">
      <c r="A76" s="318">
        <f>COUNTA($E$3:E76)</f>
        <v>74</v>
      </c>
      <c r="B76" s="318" t="s">
        <v>5586</v>
      </c>
      <c r="C76" s="318" t="s">
        <v>37</v>
      </c>
      <c r="D76" s="318" t="s">
        <v>30</v>
      </c>
      <c r="E76" s="318" t="s">
        <v>2558</v>
      </c>
      <c r="F76" s="316">
        <v>45097.495266203703</v>
      </c>
      <c r="G76" s="316"/>
      <c r="H76" s="316"/>
      <c r="I76" s="316" t="s">
        <v>3</v>
      </c>
      <c r="J76" s="318" t="s">
        <v>1212</v>
      </c>
      <c r="K76" s="318" t="s">
        <v>1296</v>
      </c>
      <c r="L76" s="171">
        <v>45110</v>
      </c>
      <c r="M76" s="178" t="s">
        <v>5670</v>
      </c>
      <c r="N76" s="180">
        <v>45110</v>
      </c>
      <c r="O76" s="179"/>
      <c r="Q76" t="s">
        <v>129</v>
      </c>
      <c r="R76">
        <v>10</v>
      </c>
      <c r="S76" s="185">
        <v>45097</v>
      </c>
      <c r="T76" s="196">
        <v>45100.78334490741</v>
      </c>
      <c r="U76" s="196">
        <v>45100.78334490741</v>
      </c>
      <c r="V76" s="324">
        <f t="shared" si="1"/>
        <v>1</v>
      </c>
      <c r="W76" s="201">
        <v>45100.78334490741</v>
      </c>
      <c r="X76" s="201">
        <v>45100.783414351848</v>
      </c>
      <c r="Y76" s="200">
        <v>1</v>
      </c>
      <c r="Z76" s="207">
        <v>45100</v>
      </c>
      <c r="AA76" s="206">
        <v>6</v>
      </c>
      <c r="AB76" s="207">
        <v>45107</v>
      </c>
      <c r="AC76" s="188">
        <v>9</v>
      </c>
      <c r="AD76" s="187">
        <v>45110</v>
      </c>
    </row>
    <row r="77" spans="1:30">
      <c r="A77" s="318">
        <f>COUNTA($E$3:E77)</f>
        <v>75</v>
      </c>
      <c r="B77" s="318" t="s">
        <v>5593</v>
      </c>
      <c r="C77" s="318" t="s">
        <v>40</v>
      </c>
      <c r="D77" s="318" t="s">
        <v>3179</v>
      </c>
      <c r="E77" s="318" t="s">
        <v>5594</v>
      </c>
      <c r="F77" s="316">
        <v>45097.773773148147</v>
      </c>
      <c r="G77" s="316"/>
      <c r="H77" s="316"/>
      <c r="I77" s="316" t="s">
        <v>3</v>
      </c>
      <c r="J77" s="318" t="s">
        <v>1485</v>
      </c>
      <c r="K77" s="318" t="s">
        <v>1287</v>
      </c>
      <c r="L77" s="171">
        <v>45110</v>
      </c>
      <c r="M77" s="178" t="s">
        <v>5651</v>
      </c>
      <c r="N77" s="180">
        <v>45102</v>
      </c>
      <c r="O77" s="179"/>
      <c r="Q77" t="s">
        <v>129</v>
      </c>
      <c r="R77">
        <v>10</v>
      </c>
      <c r="S77" s="185">
        <v>45097</v>
      </c>
      <c r="T77" s="196">
        <v>45099.659282407411</v>
      </c>
      <c r="U77" s="196">
        <v>45099.659282407411</v>
      </c>
      <c r="V77" s="324">
        <f t="shared" si="1"/>
        <v>1</v>
      </c>
      <c r="W77" s="201">
        <v>45099.659282407411</v>
      </c>
      <c r="X77" s="201">
        <v>45099.659363425926</v>
      </c>
      <c r="Y77" s="200">
        <v>1</v>
      </c>
      <c r="Z77" s="207">
        <v>45099</v>
      </c>
      <c r="AA77" s="206">
        <v>6</v>
      </c>
      <c r="AB77" s="207">
        <v>45106</v>
      </c>
      <c r="AC77" s="188">
        <v>8</v>
      </c>
      <c r="AD77" s="187">
        <v>45102</v>
      </c>
    </row>
    <row r="78" spans="1:30">
      <c r="A78" s="318">
        <f>COUNTA($E$3:E78)</f>
        <v>76</v>
      </c>
      <c r="B78" s="318" t="s">
        <v>5603</v>
      </c>
      <c r="C78" s="318" t="s">
        <v>41</v>
      </c>
      <c r="D78" s="318" t="s">
        <v>51</v>
      </c>
      <c r="E78" s="318" t="s">
        <v>3740</v>
      </c>
      <c r="F78" s="316">
        <v>45107.462789351855</v>
      </c>
      <c r="G78" s="316"/>
      <c r="H78" s="316"/>
      <c r="I78" s="316" t="s">
        <v>3</v>
      </c>
      <c r="J78" s="318" t="s">
        <v>514</v>
      </c>
      <c r="K78" s="318"/>
      <c r="L78" s="171">
        <v>45110</v>
      </c>
      <c r="M78" s="178" t="s">
        <v>3436</v>
      </c>
      <c r="N78" s="180"/>
      <c r="O78" s="179"/>
      <c r="Q78" t="s">
        <v>22</v>
      </c>
      <c r="S78" s="185">
        <v>45107</v>
      </c>
      <c r="T78" s="196">
        <v>45107.474305555559</v>
      </c>
      <c r="U78" s="196">
        <v>45107.474305555559</v>
      </c>
      <c r="V78" s="324">
        <f t="shared" si="1"/>
        <v>1</v>
      </c>
      <c r="W78" s="201">
        <v>45107.474305555559</v>
      </c>
      <c r="X78" s="201">
        <v>45107.474456018521</v>
      </c>
      <c r="Y78" s="200">
        <v>1</v>
      </c>
      <c r="Z78" s="207">
        <v>45107</v>
      </c>
      <c r="AA78" s="206">
        <v>2</v>
      </c>
      <c r="AB78" s="207">
        <v>45110</v>
      </c>
      <c r="AC78" s="188">
        <v>2</v>
      </c>
      <c r="AD78" s="187"/>
    </row>
    <row r="79" spans="1:30">
      <c r="A79" s="318">
        <f>COUNTA($E$3:E79)</f>
        <v>77</v>
      </c>
      <c r="B79" s="318" t="s">
        <v>5606</v>
      </c>
      <c r="C79" s="318" t="s">
        <v>40</v>
      </c>
      <c r="D79" s="318" t="s">
        <v>51</v>
      </c>
      <c r="E79" s="318" t="s">
        <v>3906</v>
      </c>
      <c r="F79" s="316">
        <v>45100.755995370368</v>
      </c>
      <c r="G79" s="316"/>
      <c r="H79" s="316"/>
      <c r="I79" s="316" t="s">
        <v>3</v>
      </c>
      <c r="J79" s="318" t="s">
        <v>5440</v>
      </c>
      <c r="K79" s="318" t="s">
        <v>1287</v>
      </c>
      <c r="L79" s="171">
        <v>45110</v>
      </c>
      <c r="M79" s="178" t="s">
        <v>5648</v>
      </c>
      <c r="N79" s="180">
        <v>45117</v>
      </c>
      <c r="O79" s="179"/>
      <c r="Q79" t="s">
        <v>129</v>
      </c>
      <c r="S79" s="185">
        <v>45100</v>
      </c>
      <c r="T79" s="196">
        <v>45105.648680555554</v>
      </c>
      <c r="U79" s="196">
        <v>45105.648680555554</v>
      </c>
      <c r="V79" s="324">
        <f t="shared" si="1"/>
        <v>1</v>
      </c>
      <c r="W79" s="201">
        <v>45105.648680555554</v>
      </c>
      <c r="X79" s="201">
        <v>45105.648842592593</v>
      </c>
      <c r="Y79" s="200">
        <v>1</v>
      </c>
      <c r="Z79" s="207">
        <v>45105</v>
      </c>
      <c r="AA79" s="206">
        <v>2</v>
      </c>
      <c r="AB79" s="207">
        <v>45106</v>
      </c>
      <c r="AC79" s="188">
        <v>5</v>
      </c>
      <c r="AD79" s="187">
        <v>45117</v>
      </c>
    </row>
    <row r="80" spans="1:30">
      <c r="A80" s="318">
        <f>COUNTA($E$3:E80)</f>
        <v>78</v>
      </c>
      <c r="B80" s="318" t="s">
        <v>5621</v>
      </c>
      <c r="C80" s="318" t="s">
        <v>37</v>
      </c>
      <c r="D80" s="318" t="s">
        <v>34</v>
      </c>
      <c r="E80" s="318" t="s">
        <v>4600</v>
      </c>
      <c r="F80" s="316">
        <v>45100.761446759258</v>
      </c>
      <c r="G80" s="316"/>
      <c r="H80" s="316"/>
      <c r="I80" s="316" t="s">
        <v>3</v>
      </c>
      <c r="J80" s="318" t="s">
        <v>2560</v>
      </c>
      <c r="K80" s="318" t="s">
        <v>1296</v>
      </c>
      <c r="L80" s="171">
        <v>45110</v>
      </c>
      <c r="M80" s="178" t="s">
        <v>5652</v>
      </c>
      <c r="N80" s="180">
        <v>45110</v>
      </c>
      <c r="O80" s="179"/>
      <c r="Q80" t="s">
        <v>129</v>
      </c>
      <c r="S80" s="185">
        <v>45100</v>
      </c>
      <c r="T80" s="196">
        <v>45104.591851851852</v>
      </c>
      <c r="U80" s="196">
        <v>45104.591851851852</v>
      </c>
      <c r="V80" s="324">
        <f t="shared" si="1"/>
        <v>1</v>
      </c>
      <c r="W80" s="201">
        <v>45104.591851851852</v>
      </c>
      <c r="X80" s="201">
        <v>45104.591921296298</v>
      </c>
      <c r="Y80" s="200">
        <v>1</v>
      </c>
      <c r="Z80" s="207">
        <v>45104</v>
      </c>
      <c r="AA80" s="206">
        <v>3</v>
      </c>
      <c r="AB80" s="207">
        <v>45106</v>
      </c>
      <c r="AC80" s="188">
        <v>5</v>
      </c>
      <c r="AD80" s="187">
        <v>45110</v>
      </c>
    </row>
    <row r="81" spans="1:30">
      <c r="A81" s="318">
        <f>COUNTA($E$3:E81)</f>
        <v>79</v>
      </c>
      <c r="B81" s="318" t="s">
        <v>5622</v>
      </c>
      <c r="C81" s="318" t="s">
        <v>5424</v>
      </c>
      <c r="D81" s="318" t="s">
        <v>1201</v>
      </c>
      <c r="E81" s="318" t="s">
        <v>2987</v>
      </c>
      <c r="F81" s="316">
        <v>45100.769467592596</v>
      </c>
      <c r="G81" s="316"/>
      <c r="H81" s="316"/>
      <c r="I81" s="316" t="s">
        <v>3</v>
      </c>
      <c r="J81" s="318" t="s">
        <v>2153</v>
      </c>
      <c r="K81" s="318" t="s">
        <v>1295</v>
      </c>
      <c r="L81" s="171">
        <v>45110</v>
      </c>
      <c r="M81" s="178" t="s">
        <v>5653</v>
      </c>
      <c r="N81" s="180">
        <v>45147</v>
      </c>
      <c r="O81" s="179"/>
      <c r="Q81" t="s">
        <v>129</v>
      </c>
      <c r="S81" s="185">
        <v>45100</v>
      </c>
      <c r="T81" s="196">
        <v>45100.788645833331</v>
      </c>
      <c r="U81" s="196">
        <v>45100.788645833331</v>
      </c>
      <c r="V81" s="324">
        <f t="shared" si="1"/>
        <v>1</v>
      </c>
      <c r="W81" s="201">
        <v>45100.788645833331</v>
      </c>
      <c r="X81" s="201">
        <v>45100.78875</v>
      </c>
      <c r="Y81" s="200">
        <v>1</v>
      </c>
      <c r="Z81" s="207">
        <v>45103</v>
      </c>
      <c r="AA81" s="206">
        <v>4</v>
      </c>
      <c r="AB81" s="207">
        <v>45106</v>
      </c>
      <c r="AC81" s="188">
        <v>5</v>
      </c>
      <c r="AD81" s="187">
        <v>45147</v>
      </c>
    </row>
    <row r="82" spans="1:30">
      <c r="A82" s="318">
        <f>COUNTA($E$3:E82)</f>
        <v>80</v>
      </c>
      <c r="B82" s="318" t="s">
        <v>5623</v>
      </c>
      <c r="C82" s="318" t="s">
        <v>3828</v>
      </c>
      <c r="D82" s="318" t="s">
        <v>19</v>
      </c>
      <c r="E82" s="318" t="s">
        <v>3696</v>
      </c>
      <c r="F82" s="316">
        <v>45100.771249999998</v>
      </c>
      <c r="G82" s="316"/>
      <c r="H82" s="316"/>
      <c r="I82" s="316" t="s">
        <v>3</v>
      </c>
      <c r="J82" s="318" t="s">
        <v>2153</v>
      </c>
      <c r="K82" s="318" t="s">
        <v>1296</v>
      </c>
      <c r="L82" s="171">
        <v>45110</v>
      </c>
      <c r="M82" s="178" t="s">
        <v>5652</v>
      </c>
      <c r="N82" s="180">
        <v>45106</v>
      </c>
      <c r="O82" s="179"/>
      <c r="Q82" t="s">
        <v>129</v>
      </c>
      <c r="S82" s="185">
        <v>45100</v>
      </c>
      <c r="T82" s="196">
        <v>45104.485069444447</v>
      </c>
      <c r="U82" s="196">
        <v>45104.485069444447</v>
      </c>
      <c r="V82" s="324">
        <f t="shared" si="1"/>
        <v>1</v>
      </c>
      <c r="W82" s="201">
        <v>45104.485069444447</v>
      </c>
      <c r="X82" s="201">
        <v>45104.485127314816</v>
      </c>
      <c r="Y82" s="200">
        <v>1</v>
      </c>
      <c r="Z82" s="207">
        <v>45104</v>
      </c>
      <c r="AA82" s="206">
        <v>3</v>
      </c>
      <c r="AB82" s="207">
        <v>45106</v>
      </c>
      <c r="AC82" s="188">
        <v>5</v>
      </c>
      <c r="AD82" s="187">
        <v>45106</v>
      </c>
    </row>
    <row r="83" spans="1:30">
      <c r="A83" s="318">
        <f>COUNTA($E$3:E83)</f>
        <v>81</v>
      </c>
      <c r="B83" s="318" t="s">
        <v>5663</v>
      </c>
      <c r="C83" s="318" t="s">
        <v>1171</v>
      </c>
      <c r="D83" s="318" t="s">
        <v>30</v>
      </c>
      <c r="E83" s="318" t="s">
        <v>5664</v>
      </c>
      <c r="F83" s="316">
        <v>45106.756342592591</v>
      </c>
      <c r="G83" s="316"/>
      <c r="H83" s="316"/>
      <c r="I83" s="316" t="s">
        <v>3</v>
      </c>
      <c r="J83" s="318" t="s">
        <v>514</v>
      </c>
      <c r="K83" s="318" t="s">
        <v>103</v>
      </c>
      <c r="L83" s="171">
        <v>45110</v>
      </c>
      <c r="M83" s="178" t="s">
        <v>3436</v>
      </c>
      <c r="N83" s="180"/>
      <c r="O83" s="179"/>
      <c r="Q83" t="s">
        <v>22</v>
      </c>
      <c r="S83" s="185">
        <v>45106</v>
      </c>
      <c r="T83" s="196">
        <v>45107.477650462963</v>
      </c>
      <c r="U83" s="196">
        <v>45107.477650462963</v>
      </c>
      <c r="V83" s="324">
        <f t="shared" si="1"/>
        <v>1</v>
      </c>
      <c r="W83" s="201">
        <v>45107.477650462963</v>
      </c>
      <c r="X83" s="201">
        <v>45107.477951388886</v>
      </c>
      <c r="Y83" s="200">
        <v>1</v>
      </c>
      <c r="Z83" s="207">
        <v>45107</v>
      </c>
      <c r="AA83" s="206">
        <v>2</v>
      </c>
      <c r="AB83" s="207">
        <v>45110</v>
      </c>
      <c r="AC83" s="188">
        <v>3</v>
      </c>
      <c r="AD83" s="187"/>
    </row>
    <row r="84" spans="1:30">
      <c r="A84" s="318">
        <f>COUNTA($E$3:E84)</f>
        <v>82</v>
      </c>
      <c r="B84" s="318" t="s">
        <v>5364</v>
      </c>
      <c r="C84" s="318" t="s">
        <v>1149</v>
      </c>
      <c r="D84" s="318" t="s">
        <v>16</v>
      </c>
      <c r="E84" s="318" t="s">
        <v>5365</v>
      </c>
      <c r="F84" s="316">
        <v>45077.503807870373</v>
      </c>
      <c r="G84" s="316">
        <v>45085</v>
      </c>
      <c r="H84" s="316">
        <v>45077</v>
      </c>
      <c r="I84" s="316" t="s">
        <v>2</v>
      </c>
      <c r="J84" s="318"/>
      <c r="K84" s="318"/>
      <c r="L84" s="171">
        <v>45103</v>
      </c>
      <c r="M84" s="178" t="s">
        <v>5568</v>
      </c>
      <c r="N84" s="180">
        <v>45093</v>
      </c>
      <c r="O84" s="179"/>
      <c r="Q84" t="s">
        <v>22</v>
      </c>
      <c r="R84">
        <v>19</v>
      </c>
      <c r="S84" s="185">
        <v>45077</v>
      </c>
      <c r="T84" s="196">
        <v>45077</v>
      </c>
      <c r="U84" s="196">
        <v>45077</v>
      </c>
      <c r="V84" s="324">
        <f t="shared" si="1"/>
        <v>1</v>
      </c>
      <c r="W84" s="201">
        <v>45077</v>
      </c>
      <c r="X84" s="201">
        <v>45092.793275462966</v>
      </c>
      <c r="Y84" s="200">
        <v>12</v>
      </c>
      <c r="Z84" s="207">
        <v>45092</v>
      </c>
      <c r="AA84" s="206">
        <v>5</v>
      </c>
      <c r="AB84" s="207">
        <v>45098</v>
      </c>
      <c r="AC84" s="188">
        <v>16</v>
      </c>
      <c r="AD84" s="187">
        <v>45093</v>
      </c>
    </row>
    <row r="85" spans="1:30">
      <c r="A85" s="318">
        <f>COUNTA($E$3:E85)</f>
        <v>83</v>
      </c>
      <c r="B85" s="318" t="s">
        <v>5366</v>
      </c>
      <c r="C85" s="318" t="s">
        <v>41</v>
      </c>
      <c r="D85" s="318" t="s">
        <v>34</v>
      </c>
      <c r="E85" s="318" t="s">
        <v>1045</v>
      </c>
      <c r="F85" s="316">
        <v>45093.642870370371</v>
      </c>
      <c r="G85" s="316"/>
      <c r="H85" s="316"/>
      <c r="I85" s="316" t="s">
        <v>3</v>
      </c>
      <c r="J85" s="318" t="s">
        <v>3477</v>
      </c>
      <c r="K85" s="318" t="s">
        <v>1294</v>
      </c>
      <c r="L85" s="171">
        <v>45103</v>
      </c>
      <c r="M85" s="178" t="s">
        <v>3341</v>
      </c>
      <c r="N85" s="180">
        <v>45103</v>
      </c>
      <c r="O85" s="179"/>
      <c r="Q85" t="s">
        <v>22</v>
      </c>
      <c r="R85">
        <v>7</v>
      </c>
      <c r="S85" s="185">
        <v>45061</v>
      </c>
      <c r="T85" s="196">
        <v>45100.759062500001</v>
      </c>
      <c r="U85" s="196">
        <v>45100.759062500001</v>
      </c>
      <c r="V85" s="324">
        <f t="shared" si="1"/>
        <v>1</v>
      </c>
      <c r="W85" s="201">
        <v>45100.759062500001</v>
      </c>
      <c r="X85" s="201">
        <v>45100.759282407409</v>
      </c>
      <c r="Y85" s="200">
        <v>1</v>
      </c>
      <c r="Z85" s="207">
        <v>45100</v>
      </c>
      <c r="AA85" s="206">
        <v>1</v>
      </c>
      <c r="AB85" s="207">
        <v>45100</v>
      </c>
      <c r="AC85" s="188">
        <v>30</v>
      </c>
      <c r="AD85" s="187">
        <v>45103</v>
      </c>
    </row>
    <row r="86" spans="1:30">
      <c r="A86" s="318">
        <f>COUNTA($E$3:E86)</f>
        <v>84</v>
      </c>
      <c r="B86" s="318" t="s">
        <v>5529</v>
      </c>
      <c r="C86" s="318" t="s">
        <v>2484</v>
      </c>
      <c r="D86" s="318" t="s">
        <v>52</v>
      </c>
      <c r="E86" s="318" t="s">
        <v>5530</v>
      </c>
      <c r="F86" s="316">
        <v>45092</v>
      </c>
      <c r="G86" s="316"/>
      <c r="H86" s="316" t="s">
        <v>55</v>
      </c>
      <c r="I86" s="316" t="s">
        <v>4</v>
      </c>
      <c r="J86" s="318"/>
      <c r="K86" s="318" t="s">
        <v>24</v>
      </c>
      <c r="L86" s="171">
        <v>45103</v>
      </c>
      <c r="M86" s="178" t="s">
        <v>5597</v>
      </c>
      <c r="N86" s="180">
        <v>45099</v>
      </c>
      <c r="O86" s="179"/>
      <c r="Q86" t="s">
        <v>22</v>
      </c>
      <c r="R86">
        <v>8</v>
      </c>
      <c r="S86" s="185">
        <v>45092</v>
      </c>
      <c r="T86" s="196">
        <v>45092.666504629633</v>
      </c>
      <c r="U86" s="196">
        <v>45092.666504629633</v>
      </c>
      <c r="V86" s="324">
        <f t="shared" si="1"/>
        <v>1</v>
      </c>
      <c r="W86" s="201">
        <v>45092.666504629633</v>
      </c>
      <c r="X86" s="201">
        <v>45098.694548611114</v>
      </c>
      <c r="Y86" s="200">
        <v>5</v>
      </c>
      <c r="Z86" s="207">
        <v>45098</v>
      </c>
      <c r="AA86" s="206">
        <v>2</v>
      </c>
      <c r="AB86" s="207">
        <v>45099</v>
      </c>
      <c r="AC86" s="188">
        <v>6</v>
      </c>
      <c r="AD86" s="187">
        <v>45099</v>
      </c>
    </row>
    <row r="87" spans="1:30">
      <c r="A87" s="318">
        <f>COUNTA($E$3:E87)</f>
        <v>85</v>
      </c>
      <c r="B87" s="318" t="s">
        <v>5532</v>
      </c>
      <c r="C87" s="318" t="s">
        <v>2370</v>
      </c>
      <c r="D87" s="318" t="s">
        <v>1123</v>
      </c>
      <c r="E87" s="318" t="s">
        <v>5533</v>
      </c>
      <c r="F87" s="316">
        <v>45092.47384259259</v>
      </c>
      <c r="G87" s="316">
        <v>45125</v>
      </c>
      <c r="H87" s="316"/>
      <c r="I87" s="316" t="s">
        <v>3</v>
      </c>
      <c r="J87" s="318" t="s">
        <v>5600</v>
      </c>
      <c r="K87" s="318" t="s">
        <v>2032</v>
      </c>
      <c r="L87" s="171">
        <v>45103</v>
      </c>
      <c r="M87" s="178" t="s">
        <v>5624</v>
      </c>
      <c r="N87" s="180">
        <v>45103</v>
      </c>
      <c r="O87" s="179"/>
      <c r="Q87" t="s">
        <v>22</v>
      </c>
      <c r="R87">
        <v>8</v>
      </c>
      <c r="S87" s="185">
        <v>45092</v>
      </c>
      <c r="T87" s="196">
        <v>45099.786087962966</v>
      </c>
      <c r="U87" s="196">
        <v>45099.786087962966</v>
      </c>
      <c r="V87" s="324">
        <f t="shared" si="1"/>
        <v>1</v>
      </c>
      <c r="W87" s="201">
        <v>45099.786087962966</v>
      </c>
      <c r="X87" s="201">
        <v>45099.786157407405</v>
      </c>
      <c r="Y87" s="200">
        <v>1</v>
      </c>
      <c r="Z87" s="207">
        <v>45099</v>
      </c>
      <c r="AA87" s="206">
        <v>2</v>
      </c>
      <c r="AB87" s="207">
        <v>45101</v>
      </c>
      <c r="AC87" s="188">
        <v>7</v>
      </c>
      <c r="AD87" s="187">
        <v>45103</v>
      </c>
    </row>
    <row r="88" spans="1:30">
      <c r="A88" s="318">
        <f>COUNTA($E$3:E88)</f>
        <v>86</v>
      </c>
      <c r="B88" s="318" t="s">
        <v>5534</v>
      </c>
      <c r="C88" s="318" t="s">
        <v>1752</v>
      </c>
      <c r="D88" s="318" t="s">
        <v>49</v>
      </c>
      <c r="E88" s="318" t="s">
        <v>1753</v>
      </c>
      <c r="F88" s="316">
        <v>45092</v>
      </c>
      <c r="G88" s="316"/>
      <c r="H88" s="316"/>
      <c r="I88" s="316" t="s">
        <v>3</v>
      </c>
      <c r="J88" s="318"/>
      <c r="K88" s="318"/>
      <c r="L88" s="171">
        <v>45103</v>
      </c>
      <c r="M88" s="178" t="s">
        <v>5567</v>
      </c>
      <c r="N88" s="180">
        <v>45092</v>
      </c>
      <c r="O88" s="179"/>
      <c r="Q88" t="s">
        <v>22</v>
      </c>
      <c r="R88">
        <v>8</v>
      </c>
      <c r="S88" s="185">
        <v>45092</v>
      </c>
      <c r="T88" s="196">
        <v>45099.773900462962</v>
      </c>
      <c r="U88" s="196">
        <v>45099.773900462962</v>
      </c>
      <c r="V88" s="324">
        <f t="shared" si="1"/>
        <v>1</v>
      </c>
      <c r="W88" s="201">
        <v>45099.773900462962</v>
      </c>
      <c r="X88" s="201">
        <v>45099.773969907408</v>
      </c>
      <c r="Y88" s="200">
        <v>1</v>
      </c>
      <c r="Z88" s="207">
        <v>45099</v>
      </c>
      <c r="AA88" s="206">
        <v>1</v>
      </c>
      <c r="AB88" s="207">
        <v>45099</v>
      </c>
      <c r="AC88" s="188">
        <v>6</v>
      </c>
      <c r="AD88" s="187">
        <v>45092</v>
      </c>
    </row>
    <row r="89" spans="1:30">
      <c r="A89" s="318">
        <f>COUNTA($E$3:E89)</f>
        <v>87</v>
      </c>
      <c r="B89" s="318" t="s">
        <v>5543</v>
      </c>
      <c r="C89" s="318" t="s">
        <v>41</v>
      </c>
      <c r="D89" s="318" t="s">
        <v>1126</v>
      </c>
      <c r="E89" s="318" t="s">
        <v>5544</v>
      </c>
      <c r="F89" s="316">
        <v>45093</v>
      </c>
      <c r="G89" s="316"/>
      <c r="H89" s="316"/>
      <c r="I89" s="316" t="s">
        <v>4</v>
      </c>
      <c r="J89" s="318"/>
      <c r="K89" s="318" t="s">
        <v>1287</v>
      </c>
      <c r="L89" s="171">
        <v>45103</v>
      </c>
      <c r="M89" s="178" t="s">
        <v>5595</v>
      </c>
      <c r="N89" s="180">
        <v>45103</v>
      </c>
      <c r="O89" s="179"/>
      <c r="Q89" t="s">
        <v>129</v>
      </c>
      <c r="R89">
        <v>7</v>
      </c>
      <c r="S89" s="185">
        <v>45093</v>
      </c>
      <c r="T89" s="196">
        <v>45096.449444444443</v>
      </c>
      <c r="U89" s="196">
        <v>45096.449444444443</v>
      </c>
      <c r="V89" s="324">
        <f t="shared" si="1"/>
        <v>1</v>
      </c>
      <c r="W89" s="201">
        <v>45096.449444444443</v>
      </c>
      <c r="X89" s="201">
        <v>45096.449513888889</v>
      </c>
      <c r="Y89" s="200">
        <v>1</v>
      </c>
      <c r="Z89" s="207">
        <v>45096</v>
      </c>
      <c r="AA89" s="206">
        <v>2</v>
      </c>
      <c r="AB89" s="207">
        <v>45097</v>
      </c>
      <c r="AC89" s="188">
        <v>3</v>
      </c>
      <c r="AD89" s="187">
        <v>45103</v>
      </c>
    </row>
    <row r="90" spans="1:30">
      <c r="A90" s="318">
        <f>COUNTA($E$3:E90)</f>
        <v>88</v>
      </c>
      <c r="B90" s="318" t="s">
        <v>5546</v>
      </c>
      <c r="C90" s="318" t="s">
        <v>41</v>
      </c>
      <c r="D90" s="318" t="s">
        <v>1264</v>
      </c>
      <c r="E90" s="318" t="s">
        <v>5547</v>
      </c>
      <c r="F90" s="316">
        <v>45093</v>
      </c>
      <c r="G90" s="316"/>
      <c r="H90" s="316"/>
      <c r="I90" s="316" t="s">
        <v>4</v>
      </c>
      <c r="J90" s="318" t="s">
        <v>4624</v>
      </c>
      <c r="K90" s="318" t="s">
        <v>1287</v>
      </c>
      <c r="L90" s="171">
        <v>45103</v>
      </c>
      <c r="M90" s="178" t="s">
        <v>5595</v>
      </c>
      <c r="N90" s="180">
        <v>45103</v>
      </c>
      <c r="O90" s="179"/>
      <c r="Q90" t="s">
        <v>129</v>
      </c>
      <c r="R90">
        <v>7</v>
      </c>
      <c r="S90" s="185">
        <v>45093</v>
      </c>
      <c r="T90" s="196">
        <v>45096.446643518517</v>
      </c>
      <c r="U90" s="196">
        <v>45096.446643518517</v>
      </c>
      <c r="V90" s="324">
        <f t="shared" si="1"/>
        <v>1</v>
      </c>
      <c r="W90" s="201">
        <v>45096.446643518517</v>
      </c>
      <c r="X90" s="201">
        <v>45096.44672453704</v>
      </c>
      <c r="Y90" s="200">
        <v>1</v>
      </c>
      <c r="Z90" s="207">
        <v>45096</v>
      </c>
      <c r="AA90" s="206">
        <v>2</v>
      </c>
      <c r="AB90" s="207">
        <v>45097</v>
      </c>
      <c r="AC90" s="188">
        <v>3</v>
      </c>
      <c r="AD90" s="187">
        <v>45103</v>
      </c>
    </row>
    <row r="91" spans="1:30">
      <c r="A91" s="318">
        <f>COUNTA($E$3:E91)</f>
        <v>89</v>
      </c>
      <c r="B91" s="318" t="s">
        <v>5548</v>
      </c>
      <c r="C91" s="318" t="s">
        <v>41</v>
      </c>
      <c r="D91" s="318" t="s">
        <v>2751</v>
      </c>
      <c r="E91" s="318" t="s">
        <v>5549</v>
      </c>
      <c r="F91" s="316">
        <v>45093</v>
      </c>
      <c r="G91" s="316"/>
      <c r="H91" s="316"/>
      <c r="I91" s="316" t="s">
        <v>4</v>
      </c>
      <c r="J91" s="318" t="s">
        <v>4624</v>
      </c>
      <c r="K91" s="318" t="s">
        <v>1287</v>
      </c>
      <c r="L91" s="171">
        <v>45103</v>
      </c>
      <c r="M91" s="178" t="s">
        <v>5595</v>
      </c>
      <c r="N91" s="180">
        <v>45103</v>
      </c>
      <c r="O91" s="179"/>
      <c r="Q91" t="s">
        <v>129</v>
      </c>
      <c r="R91">
        <v>7</v>
      </c>
      <c r="S91" s="185">
        <v>45093</v>
      </c>
      <c r="T91" s="196">
        <v>45096.442037037035</v>
      </c>
      <c r="U91" s="196">
        <v>45096.442037037035</v>
      </c>
      <c r="V91" s="324">
        <f t="shared" si="1"/>
        <v>1</v>
      </c>
      <c r="W91" s="201">
        <v>45096.442037037035</v>
      </c>
      <c r="X91" s="201">
        <v>45096.442187499997</v>
      </c>
      <c r="Y91" s="200">
        <v>1</v>
      </c>
      <c r="Z91" s="207">
        <v>45096</v>
      </c>
      <c r="AA91" s="206">
        <v>2</v>
      </c>
      <c r="AB91" s="207">
        <v>45097</v>
      </c>
      <c r="AC91" s="188">
        <v>3</v>
      </c>
      <c r="AD91" s="187">
        <v>45103</v>
      </c>
    </row>
    <row r="92" spans="1:30">
      <c r="A92" s="318">
        <f>COUNTA($E$3:E92)</f>
        <v>90</v>
      </c>
      <c r="B92" s="318" t="s">
        <v>5550</v>
      </c>
      <c r="C92" s="318" t="s">
        <v>41</v>
      </c>
      <c r="D92" s="318" t="s">
        <v>49</v>
      </c>
      <c r="E92" s="318" t="s">
        <v>5551</v>
      </c>
      <c r="F92" s="316">
        <v>45093</v>
      </c>
      <c r="G92" s="316"/>
      <c r="H92" s="316"/>
      <c r="I92" s="316" t="s">
        <v>3</v>
      </c>
      <c r="J92" s="318"/>
      <c r="K92" s="318" t="s">
        <v>1287</v>
      </c>
      <c r="L92" s="171">
        <v>45103</v>
      </c>
      <c r="M92" s="178" t="s">
        <v>5595</v>
      </c>
      <c r="N92" s="180">
        <v>45103</v>
      </c>
      <c r="O92" s="179"/>
      <c r="Q92" t="s">
        <v>129</v>
      </c>
      <c r="R92">
        <v>7</v>
      </c>
      <c r="S92" s="185">
        <v>45093</v>
      </c>
      <c r="T92" s="196">
        <v>45096.454768518517</v>
      </c>
      <c r="U92" s="196">
        <v>45096.454768518517</v>
      </c>
      <c r="V92" s="324">
        <f t="shared" si="1"/>
        <v>1</v>
      </c>
      <c r="W92" s="201">
        <v>45096.454768518517</v>
      </c>
      <c r="X92" s="201">
        <v>45096.45484953704</v>
      </c>
      <c r="Y92" s="200">
        <v>1</v>
      </c>
      <c r="Z92" s="207">
        <v>45096</v>
      </c>
      <c r="AA92" s="206">
        <v>2</v>
      </c>
      <c r="AB92" s="207">
        <v>45097</v>
      </c>
      <c r="AC92" s="188">
        <v>3</v>
      </c>
      <c r="AD92" s="187">
        <v>45103</v>
      </c>
    </row>
    <row r="93" spans="1:30">
      <c r="A93" s="318">
        <f>COUNTA($E$3:E93)</f>
        <v>91</v>
      </c>
      <c r="B93" s="318" t="s">
        <v>5552</v>
      </c>
      <c r="C93" s="318" t="s">
        <v>41</v>
      </c>
      <c r="D93" s="318" t="s">
        <v>56</v>
      </c>
      <c r="E93" s="318" t="s">
        <v>5553</v>
      </c>
      <c r="F93" s="316">
        <v>45093</v>
      </c>
      <c r="G93" s="316"/>
      <c r="H93" s="316"/>
      <c r="I93" s="316" t="s">
        <v>1110</v>
      </c>
      <c r="J93" s="318"/>
      <c r="K93" s="318" t="s">
        <v>1296</v>
      </c>
      <c r="L93" s="171">
        <v>45103</v>
      </c>
      <c r="M93" s="178" t="s">
        <v>5596</v>
      </c>
      <c r="N93" s="180">
        <v>45103</v>
      </c>
      <c r="O93" s="179"/>
      <c r="Q93" t="s">
        <v>129</v>
      </c>
      <c r="R93">
        <v>7</v>
      </c>
      <c r="S93" s="185">
        <v>45093</v>
      </c>
      <c r="T93" s="196">
        <v>45096.477199074077</v>
      </c>
      <c r="U93" s="196">
        <v>45096.477199074077</v>
      </c>
      <c r="V93" s="324">
        <f t="shared" si="1"/>
        <v>1</v>
      </c>
      <c r="W93" s="201">
        <v>45096.477199074077</v>
      </c>
      <c r="X93" s="201">
        <v>45096.477268518516</v>
      </c>
      <c r="Y93" s="200">
        <v>1</v>
      </c>
      <c r="Z93" s="207">
        <v>45096</v>
      </c>
      <c r="AA93" s="206">
        <v>2</v>
      </c>
      <c r="AB93" s="207">
        <v>45097</v>
      </c>
      <c r="AC93" s="188">
        <v>3</v>
      </c>
      <c r="AD93" s="187">
        <v>45103</v>
      </c>
    </row>
    <row r="94" spans="1:30">
      <c r="A94" s="318">
        <f>COUNTA($E$3:E94)</f>
        <v>92</v>
      </c>
      <c r="B94" s="318" t="s">
        <v>5554</v>
      </c>
      <c r="C94" s="318" t="s">
        <v>41</v>
      </c>
      <c r="D94" s="318" t="s">
        <v>1124</v>
      </c>
      <c r="E94" s="318" t="s">
        <v>1184</v>
      </c>
      <c r="F94" s="316">
        <v>45093</v>
      </c>
      <c r="G94" s="316"/>
      <c r="H94" s="316"/>
      <c r="I94" s="316" t="s">
        <v>3</v>
      </c>
      <c r="J94" s="318"/>
      <c r="K94" s="318" t="s">
        <v>1296</v>
      </c>
      <c r="L94" s="171">
        <v>45103</v>
      </c>
      <c r="M94" s="178" t="s">
        <v>5596</v>
      </c>
      <c r="N94" s="180">
        <v>45103</v>
      </c>
      <c r="O94" s="179"/>
      <c r="Q94" t="s">
        <v>129</v>
      </c>
      <c r="R94">
        <v>7</v>
      </c>
      <c r="S94" s="185">
        <v>45093</v>
      </c>
      <c r="T94" s="196">
        <v>45097.436574074076</v>
      </c>
      <c r="U94" s="196">
        <v>45097.436574074076</v>
      </c>
      <c r="V94" s="324">
        <f t="shared" si="1"/>
        <v>1</v>
      </c>
      <c r="W94" s="201">
        <v>45097.436574074076</v>
      </c>
      <c r="X94" s="201">
        <v>45097.436643518522</v>
      </c>
      <c r="Y94" s="200">
        <v>1</v>
      </c>
      <c r="Z94" s="207">
        <v>45097</v>
      </c>
      <c r="AA94" s="206">
        <v>1</v>
      </c>
      <c r="AB94" s="207">
        <v>45097</v>
      </c>
      <c r="AC94" s="188">
        <v>3</v>
      </c>
      <c r="AD94" s="187">
        <v>45103</v>
      </c>
    </row>
    <row r="95" spans="1:30">
      <c r="A95" s="318">
        <f>COUNTA($E$3:E95)</f>
        <v>93</v>
      </c>
      <c r="B95" s="318" t="s">
        <v>5585</v>
      </c>
      <c r="C95" s="318" t="s">
        <v>37</v>
      </c>
      <c r="D95" s="318" t="s">
        <v>30</v>
      </c>
      <c r="E95" s="318" t="s">
        <v>4792</v>
      </c>
      <c r="F95" s="316">
        <v>45097.494780092595</v>
      </c>
      <c r="G95" s="316"/>
      <c r="H95" s="316"/>
      <c r="I95" s="316" t="s">
        <v>3</v>
      </c>
      <c r="J95" s="318" t="s">
        <v>5602</v>
      </c>
      <c r="K95" s="318" t="s">
        <v>1296</v>
      </c>
      <c r="L95" s="171">
        <v>45103</v>
      </c>
      <c r="M95" s="178" t="s">
        <v>3341</v>
      </c>
      <c r="N95" s="180">
        <v>45112</v>
      </c>
      <c r="O95" s="179"/>
      <c r="Q95" t="s">
        <v>129</v>
      </c>
      <c r="R95">
        <v>5</v>
      </c>
      <c r="S95" s="185">
        <v>45097</v>
      </c>
      <c r="T95" s="196">
        <v>45100.71665509259</v>
      </c>
      <c r="U95" s="196">
        <v>45100.71665509259</v>
      </c>
      <c r="V95" s="324">
        <f t="shared" si="1"/>
        <v>1</v>
      </c>
      <c r="W95" s="201">
        <v>45100.71665509259</v>
      </c>
      <c r="X95" s="201">
        <v>45100.716782407406</v>
      </c>
      <c r="Y95" s="200">
        <v>1</v>
      </c>
      <c r="Z95" s="207">
        <v>45100</v>
      </c>
      <c r="AA95" s="206">
        <v>1</v>
      </c>
      <c r="AB95" s="207">
        <v>45100</v>
      </c>
      <c r="AC95" s="188">
        <v>4</v>
      </c>
      <c r="AD95" s="187"/>
    </row>
    <row r="96" spans="1:30">
      <c r="A96" s="318">
        <f>COUNTA($E$3:E96)</f>
        <v>94</v>
      </c>
      <c r="B96" s="318" t="s">
        <v>5587</v>
      </c>
      <c r="C96" s="318" t="s">
        <v>37</v>
      </c>
      <c r="D96" s="318" t="s">
        <v>30</v>
      </c>
      <c r="E96" s="318" t="s">
        <v>4979</v>
      </c>
      <c r="F96" s="316">
        <v>45097</v>
      </c>
      <c r="G96" s="316"/>
      <c r="H96" s="316"/>
      <c r="I96" s="316" t="s">
        <v>3</v>
      </c>
      <c r="J96" s="318"/>
      <c r="K96" s="318" t="s">
        <v>1277</v>
      </c>
      <c r="L96" s="171">
        <v>45103</v>
      </c>
      <c r="M96" s="178"/>
      <c r="N96" s="180">
        <v>45110</v>
      </c>
      <c r="O96" s="179"/>
      <c r="Q96" t="s">
        <v>129</v>
      </c>
      <c r="R96">
        <v>5</v>
      </c>
      <c r="S96" s="185">
        <v>45097</v>
      </c>
      <c r="T96" s="196">
        <v>45099.489062499997</v>
      </c>
      <c r="U96" s="196">
        <v>45099.489062499997</v>
      </c>
      <c r="V96" s="324">
        <f t="shared" si="1"/>
        <v>1</v>
      </c>
      <c r="W96" s="201">
        <v>45099.489062499997</v>
      </c>
      <c r="X96" s="201">
        <v>45099.489131944443</v>
      </c>
      <c r="Y96" s="200">
        <v>1</v>
      </c>
      <c r="Z96" s="207">
        <v>45099</v>
      </c>
      <c r="AA96" s="206">
        <v>1</v>
      </c>
      <c r="AB96" s="207">
        <v>45099</v>
      </c>
      <c r="AC96" s="188">
        <v>3</v>
      </c>
      <c r="AD96" s="187"/>
    </row>
    <row r="97" spans="1:30">
      <c r="A97" s="318">
        <f>COUNTA($E$3:E97)</f>
        <v>95</v>
      </c>
      <c r="B97" s="318" t="s">
        <v>5588</v>
      </c>
      <c r="C97" s="318" t="s">
        <v>37</v>
      </c>
      <c r="D97" s="318" t="s">
        <v>30</v>
      </c>
      <c r="E97" s="318" t="s">
        <v>5589</v>
      </c>
      <c r="F97" s="316">
        <v>45097</v>
      </c>
      <c r="G97" s="316"/>
      <c r="H97" s="316"/>
      <c r="I97" s="316" t="s">
        <v>3</v>
      </c>
      <c r="J97" s="318"/>
      <c r="K97" s="318" t="s">
        <v>1277</v>
      </c>
      <c r="L97" s="171">
        <v>45103</v>
      </c>
      <c r="M97" s="178"/>
      <c r="N97" s="180">
        <v>45110</v>
      </c>
      <c r="O97" s="179"/>
      <c r="Q97" t="s">
        <v>129</v>
      </c>
      <c r="R97">
        <v>5</v>
      </c>
      <c r="S97" s="185">
        <v>45097</v>
      </c>
      <c r="T97" s="196">
        <v>45098.707291666666</v>
      </c>
      <c r="U97" s="196">
        <v>45098.707291666666</v>
      </c>
      <c r="V97" s="324">
        <f t="shared" si="1"/>
        <v>1</v>
      </c>
      <c r="W97" s="201">
        <v>45098.707291666666</v>
      </c>
      <c r="X97" s="201">
        <v>45098.708240740743</v>
      </c>
      <c r="Y97" s="200">
        <v>1</v>
      </c>
      <c r="Z97" s="207">
        <v>45098</v>
      </c>
      <c r="AA97" s="206">
        <v>2</v>
      </c>
      <c r="AB97" s="207">
        <v>45099</v>
      </c>
      <c r="AC97" s="188">
        <v>3</v>
      </c>
      <c r="AD97" s="187"/>
    </row>
    <row r="98" spans="1:30">
      <c r="A98" s="318">
        <f>COUNTA($E$3:E98)</f>
        <v>96</v>
      </c>
      <c r="B98" s="318" t="s">
        <v>5631</v>
      </c>
      <c r="C98" s="318" t="s">
        <v>21</v>
      </c>
      <c r="D98" s="318" t="s">
        <v>34</v>
      </c>
      <c r="E98" s="318" t="s">
        <v>5632</v>
      </c>
      <c r="F98" s="316">
        <v>45007</v>
      </c>
      <c r="G98" s="316"/>
      <c r="H98" s="316" t="s">
        <v>66</v>
      </c>
      <c r="I98" s="316" t="s">
        <v>3</v>
      </c>
      <c r="J98" s="318" t="s">
        <v>5633</v>
      </c>
      <c r="K98" s="318"/>
      <c r="L98" s="171">
        <v>45096</v>
      </c>
      <c r="M98" s="178" t="s">
        <v>5634</v>
      </c>
      <c r="N98" s="180">
        <v>45086</v>
      </c>
      <c r="O98" s="179"/>
      <c r="Q98" t="s">
        <v>129</v>
      </c>
      <c r="R98">
        <v>64</v>
      </c>
      <c r="S98" s="185">
        <v>45007</v>
      </c>
      <c r="T98" s="196">
        <v>45014.673368055555</v>
      </c>
      <c r="U98" s="196">
        <v>45014.673368055555</v>
      </c>
      <c r="V98" s="324">
        <f t="shared" si="1"/>
        <v>1</v>
      </c>
      <c r="W98" s="201">
        <v>45014.673368055555</v>
      </c>
      <c r="X98" s="201">
        <v>45078.805821759262</v>
      </c>
      <c r="Y98" s="200">
        <v>47</v>
      </c>
      <c r="Z98" s="207">
        <v>45096</v>
      </c>
      <c r="AA98" s="206">
        <v>1</v>
      </c>
      <c r="AB98" s="207">
        <v>45096</v>
      </c>
      <c r="AC98" s="188">
        <v>64</v>
      </c>
      <c r="AD98" s="187">
        <v>45086</v>
      </c>
    </row>
    <row r="99" spans="1:30">
      <c r="A99" s="318">
        <f>COUNTA($E$3:E99)</f>
        <v>97</v>
      </c>
      <c r="B99" s="318" t="s">
        <v>5018</v>
      </c>
      <c r="C99" s="318" t="s">
        <v>4122</v>
      </c>
      <c r="D99" s="318" t="s">
        <v>16</v>
      </c>
      <c r="E99" s="318" t="s">
        <v>5019</v>
      </c>
      <c r="F99" s="316">
        <v>45022.631180555552</v>
      </c>
      <c r="G99" s="316"/>
      <c r="H99" s="316"/>
      <c r="I99" s="316" t="s">
        <v>2</v>
      </c>
      <c r="J99" s="318" t="s">
        <v>5635</v>
      </c>
      <c r="K99" s="318"/>
      <c r="L99" s="171">
        <v>45096</v>
      </c>
      <c r="M99" s="178" t="s">
        <v>2411</v>
      </c>
      <c r="N99" s="180">
        <v>45092</v>
      </c>
      <c r="O99" s="179"/>
      <c r="Q99" t="s">
        <v>22</v>
      </c>
      <c r="R99">
        <v>53</v>
      </c>
      <c r="S99" s="185">
        <v>45022</v>
      </c>
      <c r="T99" s="196">
        <v>45081</v>
      </c>
      <c r="U99" s="196">
        <v>45081</v>
      </c>
      <c r="V99" s="324">
        <f t="shared" si="1"/>
        <v>0</v>
      </c>
      <c r="W99" s="201">
        <v>45071</v>
      </c>
      <c r="X99" s="201">
        <v>45078.736516203702</v>
      </c>
      <c r="Y99" s="200">
        <v>6</v>
      </c>
      <c r="Z99" s="207">
        <v>45071</v>
      </c>
      <c r="AA99" s="206">
        <v>17</v>
      </c>
      <c r="AB99" s="207">
        <v>45093</v>
      </c>
      <c r="AC99" s="188">
        <v>52</v>
      </c>
      <c r="AD99" s="187">
        <v>45092</v>
      </c>
    </row>
    <row r="100" spans="1:30">
      <c r="A100" s="318">
        <f>COUNTA($E$3:E100)</f>
        <v>98</v>
      </c>
      <c r="B100" s="318" t="s">
        <v>5636</v>
      </c>
      <c r="C100" s="318" t="s">
        <v>2431</v>
      </c>
      <c r="D100" s="318" t="s">
        <v>1103</v>
      </c>
      <c r="E100" s="318" t="s">
        <v>5637</v>
      </c>
      <c r="F100" s="316">
        <v>45055</v>
      </c>
      <c r="G100" s="316"/>
      <c r="H100" s="316"/>
      <c r="I100" s="316" t="s">
        <v>3</v>
      </c>
      <c r="J100" s="318" t="s">
        <v>514</v>
      </c>
      <c r="K100" s="318" t="s">
        <v>1287</v>
      </c>
      <c r="L100" s="171">
        <v>45096</v>
      </c>
      <c r="M100" s="178" t="s">
        <v>5537</v>
      </c>
      <c r="N100" s="180">
        <v>45069</v>
      </c>
      <c r="O100" s="179"/>
      <c r="Q100" t="s">
        <v>129</v>
      </c>
      <c r="R100">
        <v>30</v>
      </c>
      <c r="S100" s="185">
        <v>45055</v>
      </c>
      <c r="T100" s="196">
        <v>45055.489039351851</v>
      </c>
      <c r="U100" s="196">
        <v>45055.489039351851</v>
      </c>
      <c r="V100" s="324">
        <f t="shared" si="1"/>
        <v>1</v>
      </c>
      <c r="W100" s="201">
        <v>45055.489039351851</v>
      </c>
      <c r="X100" s="201">
        <v>45086.693854166668</v>
      </c>
      <c r="Y100" s="200">
        <v>24</v>
      </c>
      <c r="Z100" s="207">
        <v>45086</v>
      </c>
      <c r="AA100" s="206">
        <v>4</v>
      </c>
      <c r="AB100" s="207">
        <v>45091</v>
      </c>
      <c r="AC100" s="188">
        <v>27</v>
      </c>
      <c r="AD100" s="187">
        <v>45069</v>
      </c>
    </row>
    <row r="101" spans="1:30">
      <c r="A101" s="318">
        <f>COUNTA($E$3:E101)</f>
        <v>99</v>
      </c>
      <c r="B101" s="318" t="s">
        <v>5247</v>
      </c>
      <c r="C101" s="318" t="s">
        <v>5248</v>
      </c>
      <c r="D101" s="318" t="s">
        <v>16</v>
      </c>
      <c r="E101" s="318" t="s">
        <v>5249</v>
      </c>
      <c r="F101" s="316">
        <v>45057</v>
      </c>
      <c r="G101" s="316">
        <v>45089</v>
      </c>
      <c r="H101" s="316">
        <v>45058</v>
      </c>
      <c r="I101" s="316" t="s">
        <v>2</v>
      </c>
      <c r="J101" s="318" t="s">
        <v>5250</v>
      </c>
      <c r="K101" s="318"/>
      <c r="L101" s="171">
        <v>45096</v>
      </c>
      <c r="M101" s="178" t="s">
        <v>3271</v>
      </c>
      <c r="N101" s="180">
        <v>45093</v>
      </c>
      <c r="O101" s="179"/>
      <c r="Q101" t="s">
        <v>22</v>
      </c>
      <c r="R101">
        <v>28</v>
      </c>
      <c r="S101" s="185">
        <v>45057</v>
      </c>
      <c r="T101" s="196">
        <v>45058</v>
      </c>
      <c r="U101" s="196">
        <v>45058</v>
      </c>
      <c r="V101" s="324">
        <f t="shared" si="1"/>
        <v>1</v>
      </c>
      <c r="W101" s="201">
        <v>45089</v>
      </c>
      <c r="X101" s="201">
        <v>45092.793761574074</v>
      </c>
      <c r="Y101" s="200">
        <v>4</v>
      </c>
      <c r="Z101" s="207">
        <v>45092</v>
      </c>
      <c r="AA101" s="206">
        <v>1</v>
      </c>
      <c r="AB101" s="207">
        <v>45092</v>
      </c>
      <c r="AC101" s="188">
        <v>26</v>
      </c>
      <c r="AD101" s="187">
        <v>45093</v>
      </c>
    </row>
    <row r="102" spans="1:30">
      <c r="A102" s="318">
        <f>COUNTA($E$3:E102)</f>
        <v>100</v>
      </c>
      <c r="B102" s="318" t="s">
        <v>5352</v>
      </c>
      <c r="C102" s="318" t="s">
        <v>1100</v>
      </c>
      <c r="D102" s="318" t="s">
        <v>30</v>
      </c>
      <c r="E102" s="318" t="s">
        <v>1648</v>
      </c>
      <c r="F102" s="316">
        <v>45061.429236111115</v>
      </c>
      <c r="G102" s="316"/>
      <c r="H102" s="316"/>
      <c r="I102" s="316" t="s">
        <v>3</v>
      </c>
      <c r="J102" s="318"/>
      <c r="K102" s="318" t="s">
        <v>1277</v>
      </c>
      <c r="L102" s="171">
        <v>45096</v>
      </c>
      <c r="M102" s="178" t="s">
        <v>5494</v>
      </c>
      <c r="N102" s="180">
        <v>45047</v>
      </c>
      <c r="O102" s="179"/>
      <c r="Q102" t="s">
        <v>129</v>
      </c>
      <c r="R102">
        <v>26</v>
      </c>
      <c r="S102" s="185">
        <v>45061</v>
      </c>
      <c r="T102" s="196">
        <v>45072.777256944442</v>
      </c>
      <c r="U102" s="196">
        <v>45072.777256944442</v>
      </c>
      <c r="V102" s="324">
        <f t="shared" si="1"/>
        <v>1</v>
      </c>
      <c r="W102" s="201">
        <v>45072.777256944442</v>
      </c>
      <c r="X102" s="201">
        <v>45072.777384259258</v>
      </c>
      <c r="Y102" s="200">
        <v>1</v>
      </c>
      <c r="Z102" s="207">
        <v>45072</v>
      </c>
      <c r="AA102" s="206">
        <v>4</v>
      </c>
      <c r="AB102" s="207">
        <v>45077</v>
      </c>
      <c r="AC102" s="188">
        <v>13</v>
      </c>
      <c r="AD102" s="187">
        <v>45047</v>
      </c>
    </row>
    <row r="103" spans="1:30">
      <c r="A103" s="318">
        <f>COUNTA($E$3:E103)</f>
        <v>101</v>
      </c>
      <c r="B103" s="318" t="s">
        <v>5384</v>
      </c>
      <c r="C103" s="318" t="s">
        <v>41</v>
      </c>
      <c r="D103" s="318" t="s">
        <v>34</v>
      </c>
      <c r="E103" s="318" t="s">
        <v>2461</v>
      </c>
      <c r="F103" s="316">
        <v>45069.586261574077</v>
      </c>
      <c r="G103" s="316"/>
      <c r="H103" s="316"/>
      <c r="I103" s="316" t="s">
        <v>3</v>
      </c>
      <c r="J103" s="318" t="s">
        <v>1212</v>
      </c>
      <c r="K103" s="318" t="s">
        <v>1287</v>
      </c>
      <c r="L103" s="171">
        <v>45096</v>
      </c>
      <c r="M103" s="178" t="s">
        <v>5537</v>
      </c>
      <c r="N103" s="180">
        <v>45096</v>
      </c>
      <c r="O103" s="179"/>
      <c r="Q103" t="s">
        <v>129</v>
      </c>
      <c r="R103">
        <v>20</v>
      </c>
      <c r="S103" s="185">
        <v>45069</v>
      </c>
      <c r="T103" s="196">
        <v>45075.500983796293</v>
      </c>
      <c r="U103" s="196">
        <v>45075.500983796293</v>
      </c>
      <c r="V103" s="324">
        <f t="shared" si="1"/>
        <v>1</v>
      </c>
      <c r="W103" s="201">
        <v>45075.500983796293</v>
      </c>
      <c r="X103" s="201">
        <v>45075.501435185186</v>
      </c>
      <c r="Y103" s="200">
        <v>1</v>
      </c>
      <c r="Z103" s="207">
        <v>45075</v>
      </c>
      <c r="AA103" s="206">
        <v>13</v>
      </c>
      <c r="AB103" s="207">
        <v>45091</v>
      </c>
      <c r="AC103" s="188">
        <v>17</v>
      </c>
      <c r="AD103" s="187">
        <v>45096</v>
      </c>
    </row>
    <row r="104" spans="1:30">
      <c r="A104" s="318">
        <f>COUNTA($E$3:E104)</f>
        <v>102</v>
      </c>
      <c r="B104" s="318" t="s">
        <v>5444</v>
      </c>
      <c r="C104" s="318" t="s">
        <v>4326</v>
      </c>
      <c r="D104" s="318" t="s">
        <v>36</v>
      </c>
      <c r="E104" s="318" t="s">
        <v>4342</v>
      </c>
      <c r="F104" s="316">
        <v>45078</v>
      </c>
      <c r="G104" s="316"/>
      <c r="H104" s="316"/>
      <c r="I104" s="316" t="s">
        <v>3</v>
      </c>
      <c r="J104" s="318" t="s">
        <v>4892</v>
      </c>
      <c r="K104" s="318" t="s">
        <v>1296</v>
      </c>
      <c r="L104" s="171">
        <v>45096</v>
      </c>
      <c r="M104" s="178" t="s">
        <v>2955</v>
      </c>
      <c r="N104" s="180">
        <v>45090</v>
      </c>
      <c r="O104" s="179"/>
      <c r="Q104" t="s">
        <v>129</v>
      </c>
      <c r="R104">
        <v>13</v>
      </c>
      <c r="S104" s="185">
        <v>45078</v>
      </c>
      <c r="T104" s="196">
        <v>45084.780324074076</v>
      </c>
      <c r="U104" s="196">
        <v>45084.780324074076</v>
      </c>
      <c r="V104" s="324">
        <f t="shared" si="1"/>
        <v>1</v>
      </c>
      <c r="W104" s="201">
        <v>45084.780324074076</v>
      </c>
      <c r="X104" s="201">
        <v>45084.780405092592</v>
      </c>
      <c r="Y104" s="200">
        <v>1</v>
      </c>
      <c r="Z104" s="207">
        <v>45084</v>
      </c>
      <c r="AA104" s="206">
        <v>6</v>
      </c>
      <c r="AB104" s="207">
        <v>45091</v>
      </c>
      <c r="AC104" s="188">
        <v>10</v>
      </c>
      <c r="AD104" s="187">
        <v>45090</v>
      </c>
    </row>
    <row r="105" spans="1:30">
      <c r="A105" s="318">
        <f>COUNTA($E$3:E105)</f>
        <v>103</v>
      </c>
      <c r="B105" s="318" t="s">
        <v>5484</v>
      </c>
      <c r="C105" s="318" t="s">
        <v>1752</v>
      </c>
      <c r="D105" s="318" t="s">
        <v>51</v>
      </c>
      <c r="E105" s="318" t="s">
        <v>3153</v>
      </c>
      <c r="F105" s="316">
        <v>45086</v>
      </c>
      <c r="G105" s="316"/>
      <c r="H105" s="316"/>
      <c r="I105" s="316" t="s">
        <v>3</v>
      </c>
      <c r="J105" s="318"/>
      <c r="K105" s="318" t="s">
        <v>2032</v>
      </c>
      <c r="L105" s="171">
        <v>45096</v>
      </c>
      <c r="M105" s="178" t="s">
        <v>5531</v>
      </c>
      <c r="N105" s="180">
        <v>45090</v>
      </c>
      <c r="O105" s="179"/>
      <c r="Q105" t="s">
        <v>22</v>
      </c>
      <c r="R105">
        <v>7</v>
      </c>
      <c r="S105" s="185">
        <v>45086</v>
      </c>
      <c r="T105" s="196">
        <v>45090.701296296298</v>
      </c>
      <c r="U105" s="196">
        <v>45090.701296296298</v>
      </c>
      <c r="V105" s="324">
        <f t="shared" si="1"/>
        <v>1</v>
      </c>
      <c r="W105" s="201">
        <v>45090.701296296298</v>
      </c>
      <c r="X105" s="201">
        <v>45090.701423611114</v>
      </c>
      <c r="Y105" s="200">
        <v>1</v>
      </c>
      <c r="Z105" s="207">
        <v>45090</v>
      </c>
      <c r="AA105" s="206">
        <v>1</v>
      </c>
      <c r="AB105" s="207">
        <v>45090</v>
      </c>
      <c r="AC105" s="188">
        <v>3</v>
      </c>
      <c r="AD105" s="187">
        <v>45090</v>
      </c>
    </row>
    <row r="106" spans="1:30">
      <c r="A106" s="318">
        <f>COUNTA($E$3:E106)</f>
        <v>104</v>
      </c>
      <c r="B106" s="318" t="s">
        <v>5485</v>
      </c>
      <c r="C106" s="318" t="s">
        <v>1196</v>
      </c>
      <c r="D106" s="318" t="s">
        <v>36</v>
      </c>
      <c r="E106" s="318" t="s">
        <v>2579</v>
      </c>
      <c r="F106" s="316">
        <v>45086</v>
      </c>
      <c r="G106" s="316"/>
      <c r="H106" s="316"/>
      <c r="I106" s="316" t="s">
        <v>3</v>
      </c>
      <c r="J106" s="318" t="s">
        <v>17</v>
      </c>
      <c r="K106" s="318"/>
      <c r="L106" s="171">
        <v>45096</v>
      </c>
      <c r="M106" s="178" t="s">
        <v>5539</v>
      </c>
      <c r="N106" s="180">
        <v>45090</v>
      </c>
      <c r="O106" s="179"/>
      <c r="Q106" t="s">
        <v>22</v>
      </c>
      <c r="R106">
        <v>7</v>
      </c>
      <c r="S106" s="185">
        <v>45086</v>
      </c>
      <c r="T106" s="196">
        <v>45089.672627314816</v>
      </c>
      <c r="U106" s="196">
        <v>45089.672627314816</v>
      </c>
      <c r="V106" s="324">
        <f t="shared" si="1"/>
        <v>1</v>
      </c>
      <c r="W106" s="201">
        <v>45089.672627314816</v>
      </c>
      <c r="X106" s="201">
        <v>45089.672719907408</v>
      </c>
      <c r="Y106" s="200">
        <v>1</v>
      </c>
      <c r="Z106" s="207">
        <v>45089</v>
      </c>
      <c r="AA106" s="206">
        <v>4</v>
      </c>
      <c r="AB106" s="207">
        <v>45092</v>
      </c>
      <c r="AC106" s="188">
        <v>5</v>
      </c>
      <c r="AD106" s="187">
        <v>45090</v>
      </c>
    </row>
    <row r="107" spans="1:30">
      <c r="A107" s="318">
        <f>COUNTA($E$3:E107)</f>
        <v>105</v>
      </c>
      <c r="B107" s="318" t="s">
        <v>5491</v>
      </c>
      <c r="C107" s="318" t="s">
        <v>41</v>
      </c>
      <c r="D107" s="318" t="s">
        <v>34</v>
      </c>
      <c r="E107" s="318" t="s">
        <v>1923</v>
      </c>
      <c r="F107" s="316">
        <v>45086</v>
      </c>
      <c r="G107" s="316"/>
      <c r="H107" s="316"/>
      <c r="I107" s="316" t="s">
        <v>3</v>
      </c>
      <c r="J107" s="318" t="s">
        <v>5540</v>
      </c>
      <c r="K107" s="318" t="s">
        <v>1287</v>
      </c>
      <c r="L107" s="171">
        <v>45096</v>
      </c>
      <c r="M107" s="178" t="s">
        <v>5537</v>
      </c>
      <c r="N107" s="180"/>
      <c r="O107" s="179"/>
      <c r="Q107" t="s">
        <v>129</v>
      </c>
      <c r="R107">
        <v>7</v>
      </c>
      <c r="S107" s="185">
        <v>45086</v>
      </c>
      <c r="T107" s="196">
        <v>45089.704861111109</v>
      </c>
      <c r="U107" s="196">
        <v>45089.704861111109</v>
      </c>
      <c r="V107" s="324">
        <f t="shared" si="1"/>
        <v>1</v>
      </c>
      <c r="W107" s="201">
        <v>45089.704861111109</v>
      </c>
      <c r="X107" s="201">
        <v>45089.705127314817</v>
      </c>
      <c r="Y107" s="200">
        <v>1</v>
      </c>
      <c r="Z107" s="207">
        <v>45089</v>
      </c>
      <c r="AA107" s="206">
        <v>3</v>
      </c>
      <c r="AB107" s="207">
        <v>45091</v>
      </c>
      <c r="AC107" s="188">
        <v>4</v>
      </c>
      <c r="AD107" s="187"/>
    </row>
    <row r="108" spans="1:30">
      <c r="A108" s="318">
        <f>COUNTA($E$3:E108)</f>
        <v>106</v>
      </c>
      <c r="B108" s="318" t="s">
        <v>5492</v>
      </c>
      <c r="C108" s="318" t="s">
        <v>2315</v>
      </c>
      <c r="D108" s="318" t="s">
        <v>58</v>
      </c>
      <c r="E108" s="318" t="s">
        <v>2316</v>
      </c>
      <c r="F108" s="316">
        <v>45086</v>
      </c>
      <c r="G108" s="316"/>
      <c r="H108" s="316"/>
      <c r="I108" s="316" t="s">
        <v>3</v>
      </c>
      <c r="J108" s="318" t="s">
        <v>5541</v>
      </c>
      <c r="K108" s="318" t="s">
        <v>1296</v>
      </c>
      <c r="L108" s="171">
        <v>45096</v>
      </c>
      <c r="M108" s="178" t="s">
        <v>5531</v>
      </c>
      <c r="N108" s="180">
        <v>45093</v>
      </c>
      <c r="O108" s="179"/>
      <c r="Q108" t="s">
        <v>129</v>
      </c>
      <c r="R108">
        <v>7</v>
      </c>
      <c r="S108" s="185">
        <v>45086</v>
      </c>
      <c r="T108" s="196">
        <v>45089.704282407409</v>
      </c>
      <c r="U108" s="196">
        <v>45089.704282407409</v>
      </c>
      <c r="V108" s="324">
        <f t="shared" si="1"/>
        <v>1</v>
      </c>
      <c r="W108" s="201">
        <v>45089.704282407409</v>
      </c>
      <c r="X108" s="201">
        <v>45089.704375000001</v>
      </c>
      <c r="Y108" s="200">
        <v>1</v>
      </c>
      <c r="Z108" s="207">
        <v>45089</v>
      </c>
      <c r="AA108" s="206">
        <v>3</v>
      </c>
      <c r="AB108" s="207">
        <v>45091</v>
      </c>
      <c r="AC108" s="188">
        <v>4</v>
      </c>
      <c r="AD108" s="187">
        <v>45093</v>
      </c>
    </row>
    <row r="109" spans="1:30">
      <c r="A109" s="318">
        <f>COUNTA($E$3:E109)</f>
        <v>107</v>
      </c>
      <c r="B109" s="318" t="s">
        <v>5506</v>
      </c>
      <c r="C109" s="318" t="s">
        <v>297</v>
      </c>
      <c r="D109" s="318" t="s">
        <v>49</v>
      </c>
      <c r="E109" s="318" t="s">
        <v>5507</v>
      </c>
      <c r="F109" s="316">
        <v>45086</v>
      </c>
      <c r="G109" s="316"/>
      <c r="H109" s="316">
        <v>45086</v>
      </c>
      <c r="I109" s="316" t="s">
        <v>3</v>
      </c>
      <c r="J109" s="318" t="s">
        <v>4624</v>
      </c>
      <c r="K109" s="318"/>
      <c r="L109" s="171">
        <v>45096</v>
      </c>
      <c r="M109" s="178" t="s">
        <v>5569</v>
      </c>
      <c r="N109" s="180">
        <v>45093</v>
      </c>
      <c r="O109" s="179"/>
      <c r="Q109" t="s">
        <v>22</v>
      </c>
      <c r="R109">
        <v>7</v>
      </c>
      <c r="S109" s="185">
        <v>45086</v>
      </c>
      <c r="T109" s="196">
        <v>45086</v>
      </c>
      <c r="U109" s="196">
        <v>45086</v>
      </c>
      <c r="V109" s="324">
        <f t="shared" si="1"/>
        <v>1</v>
      </c>
      <c r="W109" s="201">
        <v>45086</v>
      </c>
      <c r="X109" s="201">
        <v>45092.790717592594</v>
      </c>
      <c r="Y109" s="200">
        <v>5</v>
      </c>
      <c r="Z109" s="207">
        <v>45092</v>
      </c>
      <c r="AA109" s="206">
        <v>2</v>
      </c>
      <c r="AB109" s="207">
        <v>45093</v>
      </c>
      <c r="AC109" s="188">
        <v>6</v>
      </c>
      <c r="AD109" s="187">
        <v>45093</v>
      </c>
    </row>
    <row r="110" spans="1:30">
      <c r="A110" s="318">
        <f>COUNTA($E$3:E110)</f>
        <v>108</v>
      </c>
      <c r="B110" s="318" t="s">
        <v>5526</v>
      </c>
      <c r="C110" s="318" t="s">
        <v>41</v>
      </c>
      <c r="D110" s="318" t="s">
        <v>51</v>
      </c>
      <c r="E110" s="318" t="s">
        <v>4607</v>
      </c>
      <c r="F110" s="316">
        <v>45089.753877314812</v>
      </c>
      <c r="G110" s="316"/>
      <c r="H110" s="316"/>
      <c r="I110" s="316" t="s">
        <v>3</v>
      </c>
      <c r="J110" s="318" t="s">
        <v>4769</v>
      </c>
      <c r="K110" s="318" t="s">
        <v>1296</v>
      </c>
      <c r="L110" s="171">
        <v>45096</v>
      </c>
      <c r="M110" s="178" t="s">
        <v>5537</v>
      </c>
      <c r="N110" s="180">
        <v>45147</v>
      </c>
      <c r="O110" s="179"/>
      <c r="Q110" t="s">
        <v>129</v>
      </c>
      <c r="R110">
        <v>6</v>
      </c>
      <c r="S110" s="185">
        <v>45089</v>
      </c>
      <c r="T110" s="196">
        <v>45090.744791666664</v>
      </c>
      <c r="U110" s="196">
        <v>45090.744791666664</v>
      </c>
      <c r="V110" s="324">
        <f t="shared" si="1"/>
        <v>1</v>
      </c>
      <c r="W110" s="201">
        <v>45090.744791666664</v>
      </c>
      <c r="X110" s="201">
        <v>45090.74486111111</v>
      </c>
      <c r="Y110" s="200">
        <v>1</v>
      </c>
      <c r="Z110" s="207">
        <v>45090</v>
      </c>
      <c r="AA110" s="206">
        <v>2</v>
      </c>
      <c r="AB110" s="207">
        <v>45091</v>
      </c>
      <c r="AC110" s="188">
        <v>3</v>
      </c>
      <c r="AD110" s="187"/>
    </row>
    <row r="111" spans="1:30">
      <c r="A111" s="318">
        <f>COUNTA($E$3:E111)</f>
        <v>109</v>
      </c>
      <c r="B111" s="318" t="s">
        <v>5563</v>
      </c>
      <c r="C111" s="318" t="s">
        <v>41</v>
      </c>
      <c r="D111" s="318" t="s">
        <v>49</v>
      </c>
      <c r="E111" s="318" t="s">
        <v>4922</v>
      </c>
      <c r="F111" s="316">
        <v>45093.706689814811</v>
      </c>
      <c r="G111" s="316"/>
      <c r="H111" s="316"/>
      <c r="I111" s="316" t="s">
        <v>3</v>
      </c>
      <c r="J111" s="318" t="s">
        <v>4769</v>
      </c>
      <c r="K111" s="318"/>
      <c r="L111" s="171">
        <v>45096</v>
      </c>
      <c r="M111" s="178" t="s">
        <v>2411</v>
      </c>
      <c r="N111" s="180">
        <v>45096</v>
      </c>
      <c r="O111" s="179"/>
      <c r="Q111" t="s">
        <v>129</v>
      </c>
      <c r="R111">
        <v>2</v>
      </c>
      <c r="S111" s="185">
        <v>45093</v>
      </c>
      <c r="T111" s="196">
        <v>45093.710810185185</v>
      </c>
      <c r="U111" s="196">
        <v>45093.710810185185</v>
      </c>
      <c r="V111" s="324">
        <f t="shared" si="1"/>
        <v>1</v>
      </c>
      <c r="W111" s="201">
        <v>45093.710810185185</v>
      </c>
      <c r="X111" s="201">
        <v>45093.710879629631</v>
      </c>
      <c r="Y111" s="200">
        <v>1</v>
      </c>
      <c r="Z111" s="207">
        <v>45093</v>
      </c>
      <c r="AA111" s="206">
        <v>1</v>
      </c>
      <c r="AB111" s="207">
        <v>45093</v>
      </c>
      <c r="AC111" s="188">
        <v>1</v>
      </c>
      <c r="AD111" s="187"/>
    </row>
    <row r="112" spans="1:30">
      <c r="A112" s="318">
        <f>COUNTA($E$3:E112)</f>
        <v>110</v>
      </c>
      <c r="B112" s="318" t="s">
        <v>4872</v>
      </c>
      <c r="C112" s="318" t="s">
        <v>4165</v>
      </c>
      <c r="D112" s="318" t="s">
        <v>58</v>
      </c>
      <c r="E112" s="318" t="s">
        <v>4873</v>
      </c>
      <c r="F112" s="316">
        <v>45000</v>
      </c>
      <c r="G112" s="316">
        <v>45015</v>
      </c>
      <c r="H112" s="316">
        <v>45001</v>
      </c>
      <c r="I112" s="316" t="s">
        <v>2</v>
      </c>
      <c r="J112" s="318"/>
      <c r="K112" s="318" t="s">
        <v>1294</v>
      </c>
      <c r="L112" s="171">
        <v>45089</v>
      </c>
      <c r="M112" s="178" t="s">
        <v>5524</v>
      </c>
      <c r="N112" s="180">
        <v>45082</v>
      </c>
      <c r="O112" s="179"/>
      <c r="Q112" t="s">
        <v>22</v>
      </c>
      <c r="R112">
        <v>64</v>
      </c>
      <c r="S112" s="185">
        <v>45000</v>
      </c>
      <c r="T112" s="196">
        <v>45001</v>
      </c>
      <c r="U112" s="196">
        <v>45015</v>
      </c>
      <c r="V112" s="324">
        <f t="shared" si="1"/>
        <v>11</v>
      </c>
      <c r="W112" s="201">
        <v>45015</v>
      </c>
      <c r="X112" s="201">
        <v>45076.514120370368</v>
      </c>
      <c r="Y112" s="200">
        <v>44</v>
      </c>
      <c r="Z112" s="207">
        <v>45076</v>
      </c>
      <c r="AA112" s="206">
        <v>8</v>
      </c>
      <c r="AB112" s="207">
        <v>45085</v>
      </c>
      <c r="AC112" s="188">
        <v>62</v>
      </c>
      <c r="AD112" s="187">
        <v>45082</v>
      </c>
    </row>
    <row r="113" spans="1:30">
      <c r="A113" s="318">
        <f>COUNTA($E$3:E113)</f>
        <v>111</v>
      </c>
      <c r="B113" s="318" t="s">
        <v>4913</v>
      </c>
      <c r="C113" s="318" t="s">
        <v>2726</v>
      </c>
      <c r="D113" s="318" t="s">
        <v>1080</v>
      </c>
      <c r="E113" s="318" t="s">
        <v>4914</v>
      </c>
      <c r="F113" s="316">
        <v>45007</v>
      </c>
      <c r="G113" s="316">
        <v>45043</v>
      </c>
      <c r="H113" s="316">
        <v>45022</v>
      </c>
      <c r="I113" s="316" t="s">
        <v>2</v>
      </c>
      <c r="J113" s="318"/>
      <c r="K113" s="318" t="s">
        <v>287</v>
      </c>
      <c r="L113" s="171">
        <v>45089</v>
      </c>
      <c r="M113" s="178" t="s">
        <v>5524</v>
      </c>
      <c r="N113" s="180">
        <v>45082</v>
      </c>
      <c r="O113" s="179"/>
      <c r="Q113" t="s">
        <v>22</v>
      </c>
      <c r="R113">
        <v>59</v>
      </c>
      <c r="S113" s="185">
        <v>45007</v>
      </c>
      <c r="T113" s="196">
        <v>45022</v>
      </c>
      <c r="U113" s="196">
        <v>45043</v>
      </c>
      <c r="V113" s="324">
        <f t="shared" si="1"/>
        <v>16</v>
      </c>
      <c r="W113" s="201">
        <v>45043</v>
      </c>
      <c r="X113" s="201">
        <v>45079.422256944446</v>
      </c>
      <c r="Y113" s="200">
        <v>27</v>
      </c>
      <c r="Z113" s="207">
        <v>45079</v>
      </c>
      <c r="AA113" s="206">
        <v>5</v>
      </c>
      <c r="AB113" s="207">
        <v>45085</v>
      </c>
      <c r="AC113" s="188">
        <v>57</v>
      </c>
      <c r="AD113" s="187">
        <v>45082</v>
      </c>
    </row>
    <row r="114" spans="1:30">
      <c r="A114" s="318">
        <f>COUNTA($E$3:E114)</f>
        <v>112</v>
      </c>
      <c r="B114" s="318" t="s">
        <v>5096</v>
      </c>
      <c r="C114" s="318" t="s">
        <v>5097</v>
      </c>
      <c r="D114" s="318" t="s">
        <v>56</v>
      </c>
      <c r="E114" s="318" t="s">
        <v>5098</v>
      </c>
      <c r="F114" s="316">
        <v>45033.827233796299</v>
      </c>
      <c r="G114" s="316"/>
      <c r="H114" s="316" t="s">
        <v>66</v>
      </c>
      <c r="I114" s="316" t="s">
        <v>3</v>
      </c>
      <c r="J114" s="318" t="s">
        <v>514</v>
      </c>
      <c r="K114" s="318" t="s">
        <v>1296</v>
      </c>
      <c r="L114" s="171">
        <v>45089</v>
      </c>
      <c r="M114" s="178" t="s">
        <v>5513</v>
      </c>
      <c r="N114" s="180">
        <v>45082</v>
      </c>
      <c r="O114" s="179"/>
      <c r="Q114" t="s">
        <v>129</v>
      </c>
      <c r="R114">
        <v>41</v>
      </c>
      <c r="S114">
        <v>45033</v>
      </c>
      <c r="T114" s="196">
        <v>45034.563252314816</v>
      </c>
      <c r="U114" s="196">
        <v>45034.563252314816</v>
      </c>
      <c r="V114" s="324">
        <f t="shared" si="1"/>
        <v>1</v>
      </c>
      <c r="W114" s="201">
        <v>45034.563252314816</v>
      </c>
      <c r="X114" s="201">
        <v>45075.531342592592</v>
      </c>
      <c r="Y114" s="200">
        <v>30</v>
      </c>
      <c r="Z114" s="207">
        <v>45083</v>
      </c>
      <c r="AA114" s="206">
        <v>4</v>
      </c>
      <c r="AB114" s="207">
        <v>45086</v>
      </c>
      <c r="AC114" s="188">
        <v>40</v>
      </c>
      <c r="AD114" s="187">
        <v>45082</v>
      </c>
    </row>
    <row r="115" spans="1:30">
      <c r="A115" s="318">
        <f>COUNTA($E$3:E115)</f>
        <v>113</v>
      </c>
      <c r="B115" s="318" t="s">
        <v>5367</v>
      </c>
      <c r="C115" s="318" t="s">
        <v>2933</v>
      </c>
      <c r="D115" s="318" t="s">
        <v>1123</v>
      </c>
      <c r="E115" s="318" t="s">
        <v>5368</v>
      </c>
      <c r="F115" s="316">
        <v>45071.480358796296</v>
      </c>
      <c r="G115" s="316"/>
      <c r="H115" s="316"/>
      <c r="I115" s="316" t="s">
        <v>3</v>
      </c>
      <c r="J115" s="318"/>
      <c r="K115" s="318" t="s">
        <v>1296</v>
      </c>
      <c r="L115" s="171">
        <v>45089</v>
      </c>
      <c r="M115" s="178" t="s">
        <v>5495</v>
      </c>
      <c r="N115" s="180">
        <v>45084</v>
      </c>
      <c r="O115" s="179"/>
      <c r="Q115" t="s">
        <v>129</v>
      </c>
      <c r="R115">
        <v>13</v>
      </c>
      <c r="S115">
        <v>45071</v>
      </c>
      <c r="T115" s="196">
        <v>45072.568703703706</v>
      </c>
      <c r="U115" s="196">
        <v>45072.568703703706</v>
      </c>
      <c r="V115" s="324">
        <f t="shared" si="1"/>
        <v>1</v>
      </c>
      <c r="W115" s="201">
        <v>45072.568703703706</v>
      </c>
      <c r="X115" s="201">
        <v>45072.568807870368</v>
      </c>
      <c r="Y115" s="200">
        <v>1</v>
      </c>
      <c r="Z115" s="207">
        <v>45072</v>
      </c>
      <c r="AA115" s="206">
        <v>4</v>
      </c>
      <c r="AB115" s="207">
        <v>45077</v>
      </c>
      <c r="AC115" s="188">
        <v>5</v>
      </c>
      <c r="AD115" s="187">
        <v>45084</v>
      </c>
    </row>
    <row r="116" spans="1:30">
      <c r="A116" s="318">
        <f>COUNTA($E$3:E116)</f>
        <v>114</v>
      </c>
      <c r="B116" s="318" t="s">
        <v>5377</v>
      </c>
      <c r="C116" s="318" t="s">
        <v>37</v>
      </c>
      <c r="D116" s="318" t="s">
        <v>34</v>
      </c>
      <c r="E116" s="318" t="s">
        <v>1676</v>
      </c>
      <c r="F116" s="316">
        <v>45070.713761574072</v>
      </c>
      <c r="G116" s="316"/>
      <c r="H116" s="316"/>
      <c r="I116" s="316" t="s">
        <v>3</v>
      </c>
      <c r="J116" s="318"/>
      <c r="K116" s="318" t="s">
        <v>1287</v>
      </c>
      <c r="L116" s="171">
        <v>45089</v>
      </c>
      <c r="M116" s="178" t="s">
        <v>5496</v>
      </c>
      <c r="N116" s="180">
        <v>45096</v>
      </c>
      <c r="O116" s="179"/>
      <c r="Q116" t="s">
        <v>129</v>
      </c>
      <c r="R116">
        <v>14</v>
      </c>
      <c r="S116">
        <v>45070</v>
      </c>
      <c r="T116" s="196">
        <v>45079.748923611114</v>
      </c>
      <c r="U116" s="196">
        <v>45079.748923611114</v>
      </c>
      <c r="V116" s="324">
        <f t="shared" si="1"/>
        <v>1</v>
      </c>
      <c r="W116" s="201">
        <v>45079.748923611114</v>
      </c>
      <c r="X116" s="201">
        <v>45079.749016203707</v>
      </c>
      <c r="Y116" s="200">
        <v>1</v>
      </c>
      <c r="Z116" s="207">
        <v>45079</v>
      </c>
      <c r="AA116" s="206">
        <v>4</v>
      </c>
      <c r="AB116" s="207">
        <v>45084</v>
      </c>
      <c r="AC116" s="188">
        <v>11</v>
      </c>
      <c r="AD116" s="187">
        <v>45096</v>
      </c>
    </row>
    <row r="117" spans="1:30">
      <c r="A117" s="318">
        <f>COUNTA($E$3:E117)</f>
        <v>115</v>
      </c>
      <c r="B117" s="318" t="s">
        <v>5388</v>
      </c>
      <c r="C117" s="318" t="s">
        <v>3548</v>
      </c>
      <c r="D117" s="318" t="s">
        <v>16</v>
      </c>
      <c r="E117" s="318" t="s">
        <v>5389</v>
      </c>
      <c r="F117" s="316">
        <v>45069.599606481483</v>
      </c>
      <c r="G117" s="316"/>
      <c r="H117" s="316"/>
      <c r="I117" s="316" t="s">
        <v>3</v>
      </c>
      <c r="J117" s="318"/>
      <c r="K117" s="318"/>
      <c r="L117" s="171">
        <v>45089</v>
      </c>
      <c r="M117" s="178" t="s">
        <v>5497</v>
      </c>
      <c r="N117" s="180">
        <v>45076</v>
      </c>
      <c r="O117" s="179"/>
      <c r="Q117" t="s">
        <v>22</v>
      </c>
      <c r="R117">
        <v>15</v>
      </c>
      <c r="S117">
        <v>45069</v>
      </c>
      <c r="T117" s="196">
        <v>45078.487291666665</v>
      </c>
      <c r="U117" s="196">
        <v>45078.487291666665</v>
      </c>
      <c r="V117" s="324">
        <f t="shared" si="1"/>
        <v>1</v>
      </c>
      <c r="W117" s="201">
        <v>45078.487291666665</v>
      </c>
      <c r="X117" s="201">
        <v>45078.487442129626</v>
      </c>
      <c r="Y117" s="200">
        <v>1</v>
      </c>
      <c r="Z117" s="207">
        <v>45078</v>
      </c>
      <c r="AA117" s="206">
        <v>7</v>
      </c>
      <c r="AB117" s="207">
        <v>45086</v>
      </c>
      <c r="AC117" s="188">
        <v>14</v>
      </c>
      <c r="AD117" s="187">
        <v>45076</v>
      </c>
    </row>
    <row r="118" spans="1:30">
      <c r="A118" s="318">
        <f>COUNTA($E$3:E118)</f>
        <v>116</v>
      </c>
      <c r="B118" s="318" t="s">
        <v>5421</v>
      </c>
      <c r="C118" s="318" t="s">
        <v>44</v>
      </c>
      <c r="D118" s="318" t="s">
        <v>1129</v>
      </c>
      <c r="E118" s="318" t="s">
        <v>5422</v>
      </c>
      <c r="F118" s="316">
        <v>45077</v>
      </c>
      <c r="G118" s="316"/>
      <c r="H118" s="316" t="s">
        <v>66</v>
      </c>
      <c r="I118" s="316" t="s">
        <v>2</v>
      </c>
      <c r="J118" s="318"/>
      <c r="K118" s="318" t="s">
        <v>2032</v>
      </c>
      <c r="L118" s="171">
        <v>45089</v>
      </c>
      <c r="M118" s="178" t="s">
        <v>5498</v>
      </c>
      <c r="N118" s="180">
        <v>45089</v>
      </c>
      <c r="O118" s="179"/>
      <c r="Q118" t="s">
        <v>22</v>
      </c>
      <c r="R118">
        <v>9</v>
      </c>
      <c r="S118">
        <v>45077</v>
      </c>
      <c r="T118" s="196">
        <v>45077.453194444446</v>
      </c>
      <c r="U118" s="196">
        <v>45077.453194444446</v>
      </c>
      <c r="V118" s="324">
        <f t="shared" si="1"/>
        <v>1</v>
      </c>
      <c r="W118" s="201">
        <v>45077.453194444446</v>
      </c>
      <c r="X118" s="201">
        <v>45083.653599537036</v>
      </c>
      <c r="Y118" s="200">
        <v>5</v>
      </c>
      <c r="Z118" s="207">
        <v>45083</v>
      </c>
      <c r="AA118" s="206">
        <v>2</v>
      </c>
      <c r="AB118" s="207">
        <v>45084</v>
      </c>
      <c r="AC118" s="188">
        <v>6</v>
      </c>
      <c r="AD118" s="187">
        <v>45089</v>
      </c>
    </row>
    <row r="119" spans="1:30">
      <c r="A119" s="318">
        <f>COUNTA($E$3:E119)</f>
        <v>117</v>
      </c>
      <c r="B119" s="318" t="s">
        <v>5427</v>
      </c>
      <c r="C119" s="318" t="s">
        <v>4795</v>
      </c>
      <c r="D119" s="318" t="s">
        <v>1123</v>
      </c>
      <c r="E119" s="318" t="s">
        <v>5428</v>
      </c>
      <c r="F119" s="316">
        <v>45078</v>
      </c>
      <c r="G119" s="316"/>
      <c r="H119" s="316"/>
      <c r="I119" s="316" t="s">
        <v>3</v>
      </c>
      <c r="J119" s="318" t="s">
        <v>5479</v>
      </c>
      <c r="K119" s="318" t="s">
        <v>33</v>
      </c>
      <c r="L119" s="171">
        <v>45089</v>
      </c>
      <c r="M119" s="178" t="s">
        <v>2269</v>
      </c>
      <c r="N119" s="180">
        <v>45147</v>
      </c>
      <c r="O119" s="179"/>
      <c r="Q119" t="s">
        <v>129</v>
      </c>
      <c r="R119">
        <v>8</v>
      </c>
      <c r="S119">
        <v>45078</v>
      </c>
      <c r="T119" s="196">
        <v>45084.558622685188</v>
      </c>
      <c r="U119" s="196">
        <v>45084.558622685188</v>
      </c>
      <c r="V119" s="324">
        <f t="shared" si="1"/>
        <v>1</v>
      </c>
      <c r="W119" s="201">
        <v>45084.558622685188</v>
      </c>
      <c r="X119" s="201">
        <v>45084.55972222222</v>
      </c>
      <c r="Y119" s="200">
        <v>1</v>
      </c>
      <c r="Z119" s="207">
        <v>45089</v>
      </c>
      <c r="AA119" s="206">
        <v>1</v>
      </c>
      <c r="AB119" s="207">
        <v>45089</v>
      </c>
      <c r="AC119" s="188">
        <v>8</v>
      </c>
      <c r="AD119" s="187"/>
    </row>
    <row r="120" spans="1:30">
      <c r="A120" s="318">
        <f>COUNTA($E$3:E120)</f>
        <v>118</v>
      </c>
      <c r="B120" s="318" t="s">
        <v>5445</v>
      </c>
      <c r="C120" s="318" t="s">
        <v>37</v>
      </c>
      <c r="D120" s="318" t="s">
        <v>30</v>
      </c>
      <c r="E120" s="318" t="s">
        <v>5115</v>
      </c>
      <c r="F120" s="316">
        <v>45079</v>
      </c>
      <c r="G120" s="316"/>
      <c r="H120" s="316"/>
      <c r="I120" s="316" t="s">
        <v>3</v>
      </c>
      <c r="J120" s="318"/>
      <c r="K120" s="318" t="s">
        <v>1296</v>
      </c>
      <c r="L120" s="171">
        <v>45089</v>
      </c>
      <c r="M120" s="178" t="s">
        <v>5499</v>
      </c>
      <c r="N120" s="180">
        <v>45090</v>
      </c>
      <c r="O120" s="179"/>
      <c r="Q120" t="s">
        <v>129</v>
      </c>
      <c r="R120">
        <v>7</v>
      </c>
      <c r="S120">
        <v>45079</v>
      </c>
      <c r="T120" s="196">
        <v>45083.534699074073</v>
      </c>
      <c r="U120" s="196">
        <v>45083.534699074073</v>
      </c>
      <c r="V120" s="324">
        <f t="shared" si="1"/>
        <v>1</v>
      </c>
      <c r="W120" s="201">
        <v>45083.534699074073</v>
      </c>
      <c r="X120" s="201">
        <v>45083.534780092596</v>
      </c>
      <c r="Y120" s="200">
        <v>1</v>
      </c>
      <c r="Z120" s="207">
        <v>45083</v>
      </c>
      <c r="AA120" s="206">
        <v>2</v>
      </c>
      <c r="AB120" s="207">
        <v>45084</v>
      </c>
      <c r="AC120" s="188">
        <v>4</v>
      </c>
      <c r="AD120" s="187">
        <v>45090</v>
      </c>
    </row>
    <row r="121" spans="1:30">
      <c r="A121" s="318">
        <f>COUNTA($E$3:E121)</f>
        <v>119</v>
      </c>
      <c r="B121" s="318" t="s">
        <v>5446</v>
      </c>
      <c r="C121" s="318" t="s">
        <v>37</v>
      </c>
      <c r="D121" s="318" t="s">
        <v>30</v>
      </c>
      <c r="E121" s="318" t="s">
        <v>4780</v>
      </c>
      <c r="F121" s="316">
        <v>45083</v>
      </c>
      <c r="G121" s="316"/>
      <c r="H121" s="316"/>
      <c r="I121" s="316" t="s">
        <v>3</v>
      </c>
      <c r="J121" s="318" t="s">
        <v>4624</v>
      </c>
      <c r="K121" s="318" t="s">
        <v>1295</v>
      </c>
      <c r="L121" s="171">
        <v>45089</v>
      </c>
      <c r="M121" s="178" t="s">
        <v>5499</v>
      </c>
      <c r="N121" s="180">
        <v>45089</v>
      </c>
      <c r="O121" s="179"/>
      <c r="Q121" t="s">
        <v>129</v>
      </c>
      <c r="R121">
        <v>5</v>
      </c>
      <c r="S121">
        <v>45083</v>
      </c>
      <c r="T121" s="196">
        <v>45084.533819444441</v>
      </c>
      <c r="U121" s="196">
        <v>45084.533819444441</v>
      </c>
      <c r="V121" s="324">
        <f t="shared" si="1"/>
        <v>1</v>
      </c>
      <c r="W121" s="201">
        <v>45084.533819444441</v>
      </c>
      <c r="X121" s="201">
        <v>45084.533888888887</v>
      </c>
      <c r="Y121" s="200">
        <v>1</v>
      </c>
      <c r="Z121" s="207">
        <v>45084</v>
      </c>
      <c r="AA121" s="206">
        <v>3</v>
      </c>
      <c r="AB121" s="207">
        <v>45086</v>
      </c>
      <c r="AC121" s="188">
        <v>4</v>
      </c>
      <c r="AD121" s="187">
        <v>45089</v>
      </c>
    </row>
    <row r="122" spans="1:30">
      <c r="A122" s="318">
        <f>COUNTA($E$3:E122)</f>
        <v>120</v>
      </c>
      <c r="B122" s="318" t="s">
        <v>5447</v>
      </c>
      <c r="C122" s="318" t="s">
        <v>37</v>
      </c>
      <c r="D122" s="318" t="s">
        <v>30</v>
      </c>
      <c r="E122" s="318" t="s">
        <v>5448</v>
      </c>
      <c r="F122" s="316">
        <v>45083</v>
      </c>
      <c r="G122" s="316"/>
      <c r="H122" s="316"/>
      <c r="I122" s="316" t="s">
        <v>3</v>
      </c>
      <c r="J122" s="318"/>
      <c r="K122" s="318" t="s">
        <v>1296</v>
      </c>
      <c r="L122" s="171">
        <v>45089</v>
      </c>
      <c r="M122" s="178" t="s">
        <v>5499</v>
      </c>
      <c r="N122" s="180">
        <v>45089</v>
      </c>
      <c r="O122" s="179"/>
      <c r="Q122" t="s">
        <v>129</v>
      </c>
      <c r="R122">
        <v>5</v>
      </c>
      <c r="S122">
        <v>45083</v>
      </c>
      <c r="T122" s="196">
        <v>45084.565601851849</v>
      </c>
      <c r="U122" s="196">
        <v>45084.565601851849</v>
      </c>
      <c r="V122" s="324">
        <f t="shared" si="1"/>
        <v>1</v>
      </c>
      <c r="W122" s="201">
        <v>45084.565601851849</v>
      </c>
      <c r="X122" s="201">
        <v>45084.565682870372</v>
      </c>
      <c r="Y122" s="200">
        <v>1</v>
      </c>
      <c r="Z122" s="207">
        <v>45084</v>
      </c>
      <c r="AA122" s="206">
        <v>3</v>
      </c>
      <c r="AB122" s="207">
        <v>45086</v>
      </c>
      <c r="AC122" s="188">
        <v>4</v>
      </c>
      <c r="AD122" s="187">
        <v>45089</v>
      </c>
    </row>
    <row r="123" spans="1:30">
      <c r="A123" s="318">
        <f>COUNTA($E$3:E123)</f>
        <v>121</v>
      </c>
      <c r="B123" s="318" t="s">
        <v>5449</v>
      </c>
      <c r="C123" s="318" t="s">
        <v>37</v>
      </c>
      <c r="D123" s="318" t="s">
        <v>30</v>
      </c>
      <c r="E123" s="318" t="s">
        <v>5450</v>
      </c>
      <c r="F123" s="316">
        <v>45083</v>
      </c>
      <c r="G123" s="316"/>
      <c r="H123" s="316"/>
      <c r="I123" s="316" t="s">
        <v>3</v>
      </c>
      <c r="J123" s="318"/>
      <c r="K123" s="318" t="s">
        <v>1287</v>
      </c>
      <c r="L123" s="171">
        <v>45089</v>
      </c>
      <c r="M123" s="178" t="s">
        <v>5500</v>
      </c>
      <c r="N123" s="180">
        <v>45089</v>
      </c>
      <c r="O123" s="179"/>
      <c r="Q123" t="s">
        <v>129</v>
      </c>
      <c r="R123">
        <v>5</v>
      </c>
      <c r="S123">
        <v>45083</v>
      </c>
      <c r="T123" s="196">
        <v>45083.814826388887</v>
      </c>
      <c r="U123" s="196">
        <v>45083.814826388887</v>
      </c>
      <c r="V123" s="324">
        <f t="shared" si="1"/>
        <v>1</v>
      </c>
      <c r="W123" s="201">
        <v>45083.814826388887</v>
      </c>
      <c r="X123" s="201">
        <v>45083.814988425926</v>
      </c>
      <c r="Y123" s="200">
        <v>1</v>
      </c>
      <c r="Z123" s="207">
        <v>45083</v>
      </c>
      <c r="AA123" s="206">
        <v>4</v>
      </c>
      <c r="AB123" s="207">
        <v>45086</v>
      </c>
      <c r="AC123" s="188">
        <v>4</v>
      </c>
      <c r="AD123" s="187">
        <v>45089</v>
      </c>
    </row>
    <row r="124" spans="1:30">
      <c r="A124" s="318">
        <f>COUNTA($E$3:E124)</f>
        <v>122</v>
      </c>
      <c r="B124" s="318" t="s">
        <v>5451</v>
      </c>
      <c r="C124" s="318" t="s">
        <v>37</v>
      </c>
      <c r="D124" s="318" t="s">
        <v>30</v>
      </c>
      <c r="E124" s="318" t="s">
        <v>3378</v>
      </c>
      <c r="F124" s="316">
        <v>45083</v>
      </c>
      <c r="G124" s="316"/>
      <c r="H124" s="316"/>
      <c r="I124" s="316" t="s">
        <v>3</v>
      </c>
      <c r="J124" s="318" t="s">
        <v>459</v>
      </c>
      <c r="K124" s="318" t="s">
        <v>1102</v>
      </c>
      <c r="L124" s="171">
        <v>45089</v>
      </c>
      <c r="M124" s="178"/>
      <c r="N124" s="180">
        <v>45089</v>
      </c>
      <c r="O124" s="179"/>
      <c r="Q124" t="s">
        <v>129</v>
      </c>
      <c r="R124">
        <v>5</v>
      </c>
      <c r="S124">
        <v>45083</v>
      </c>
      <c r="T124" s="196">
        <v>45085.535439814812</v>
      </c>
      <c r="U124" s="196">
        <v>45085.535439814812</v>
      </c>
      <c r="V124" s="324">
        <f t="shared" si="1"/>
        <v>1</v>
      </c>
      <c r="W124" s="201">
        <v>45085.535439814812</v>
      </c>
      <c r="X124" s="201">
        <v>45085.653217592589</v>
      </c>
      <c r="Y124" s="200">
        <v>1</v>
      </c>
      <c r="Z124" s="207">
        <v>45085</v>
      </c>
      <c r="AA124" s="206">
        <v>3</v>
      </c>
      <c r="AB124" s="207">
        <v>45089</v>
      </c>
      <c r="AC124" s="188">
        <v>5</v>
      </c>
      <c r="AD124" s="187">
        <v>45089</v>
      </c>
    </row>
    <row r="125" spans="1:30">
      <c r="A125" s="318">
        <f>COUNTA($E$3:E125)</f>
        <v>123</v>
      </c>
      <c r="B125" s="318" t="s">
        <v>5452</v>
      </c>
      <c r="C125" s="318" t="s">
        <v>37</v>
      </c>
      <c r="D125" s="318" t="s">
        <v>30</v>
      </c>
      <c r="E125" s="318" t="s">
        <v>3370</v>
      </c>
      <c r="F125" s="316">
        <v>45085</v>
      </c>
      <c r="G125" s="316"/>
      <c r="H125" s="316"/>
      <c r="I125" s="316" t="s">
        <v>3</v>
      </c>
      <c r="J125" s="318"/>
      <c r="K125" s="318" t="s">
        <v>1296</v>
      </c>
      <c r="L125" s="171">
        <v>45089</v>
      </c>
      <c r="M125" s="178" t="s">
        <v>5499</v>
      </c>
      <c r="N125" s="180">
        <v>45089</v>
      </c>
      <c r="O125" s="179"/>
      <c r="Q125" t="s">
        <v>129</v>
      </c>
      <c r="R125">
        <v>3</v>
      </c>
      <c r="S125">
        <v>45085</v>
      </c>
      <c r="T125" s="196">
        <v>45083.71471064815</v>
      </c>
      <c r="U125" s="196">
        <v>45083.71471064815</v>
      </c>
      <c r="V125" s="324">
        <f t="shared" si="1"/>
        <v>1</v>
      </c>
      <c r="W125" s="201">
        <v>45083.71471064815</v>
      </c>
      <c r="X125" s="201">
        <v>45083.714791666665</v>
      </c>
      <c r="Y125" s="200">
        <v>1</v>
      </c>
      <c r="Z125" s="207">
        <v>45089</v>
      </c>
      <c r="AA125" s="206">
        <v>1</v>
      </c>
      <c r="AB125" s="207">
        <v>45089</v>
      </c>
      <c r="AC125" s="188">
        <v>3</v>
      </c>
      <c r="AD125" s="187">
        <v>45089</v>
      </c>
    </row>
    <row r="126" spans="1:30">
      <c r="A126" s="318">
        <f>COUNTA($E$3:E126)</f>
        <v>124</v>
      </c>
      <c r="B126" s="318" t="s">
        <v>5453</v>
      </c>
      <c r="C126" s="318" t="s">
        <v>37</v>
      </c>
      <c r="D126" s="318" t="s">
        <v>30</v>
      </c>
      <c r="E126" s="318" t="s">
        <v>3288</v>
      </c>
      <c r="F126" s="316">
        <v>45085</v>
      </c>
      <c r="G126" s="316"/>
      <c r="H126" s="316"/>
      <c r="I126" s="316" t="s">
        <v>3</v>
      </c>
      <c r="J126" s="318"/>
      <c r="K126" s="318" t="s">
        <v>1287</v>
      </c>
      <c r="L126" s="171">
        <v>45089</v>
      </c>
      <c r="M126" s="178" t="s">
        <v>5500</v>
      </c>
      <c r="N126" s="180">
        <v>45096</v>
      </c>
      <c r="O126" s="179"/>
      <c r="Q126" t="s">
        <v>129</v>
      </c>
      <c r="R126">
        <v>3</v>
      </c>
      <c r="S126">
        <v>45085</v>
      </c>
      <c r="T126" s="196">
        <v>45083.677430555559</v>
      </c>
      <c r="U126" s="196">
        <v>45083.677430555559</v>
      </c>
      <c r="V126" s="324">
        <f t="shared" si="1"/>
        <v>1</v>
      </c>
      <c r="W126" s="201">
        <v>45083.677430555559</v>
      </c>
      <c r="X126" s="201">
        <v>45083.677511574075</v>
      </c>
      <c r="Y126" s="200">
        <v>1</v>
      </c>
      <c r="Z126" s="207">
        <v>45083</v>
      </c>
      <c r="AA126" s="206">
        <v>4</v>
      </c>
      <c r="AB126" s="207">
        <v>45086</v>
      </c>
      <c r="AC126" s="188">
        <v>2</v>
      </c>
      <c r="AD126" s="187">
        <v>45096</v>
      </c>
    </row>
    <row r="127" spans="1:30">
      <c r="A127" s="318">
        <f>COUNTA($E$3:E127)</f>
        <v>125</v>
      </c>
      <c r="B127" s="318" t="s">
        <v>5488</v>
      </c>
      <c r="C127" s="318" t="s">
        <v>5424</v>
      </c>
      <c r="D127" s="318" t="s">
        <v>1201</v>
      </c>
      <c r="E127" s="318" t="s">
        <v>2987</v>
      </c>
      <c r="F127" s="316">
        <v>45083.658946759257</v>
      </c>
      <c r="G127" s="316"/>
      <c r="H127" s="316"/>
      <c r="I127" s="316" t="s">
        <v>3</v>
      </c>
      <c r="J127" s="318" t="s">
        <v>2153</v>
      </c>
      <c r="K127" s="318" t="s">
        <v>1295</v>
      </c>
      <c r="L127" s="171">
        <v>45089</v>
      </c>
      <c r="M127" s="178" t="s">
        <v>5519</v>
      </c>
      <c r="N127" s="180">
        <v>45147</v>
      </c>
      <c r="O127" s="179"/>
      <c r="Q127" t="s">
        <v>129</v>
      </c>
      <c r="S127">
        <v>45083</v>
      </c>
      <c r="T127" s="196">
        <v>45085.450821759259</v>
      </c>
      <c r="U127" s="196">
        <v>45085.450821759259</v>
      </c>
      <c r="V127" s="324">
        <f t="shared" si="1"/>
        <v>1</v>
      </c>
      <c r="W127" s="201">
        <v>45085.450821759259</v>
      </c>
      <c r="X127" s="201">
        <v>45085.451296296298</v>
      </c>
      <c r="Y127" s="200">
        <v>1</v>
      </c>
      <c r="Z127" s="207">
        <v>45085</v>
      </c>
      <c r="AA127" s="206">
        <v>2</v>
      </c>
      <c r="AB127" s="207">
        <v>45086</v>
      </c>
      <c r="AC127" s="188">
        <v>4</v>
      </c>
      <c r="AD127" s="187"/>
    </row>
    <row r="128" spans="1:30">
      <c r="A128" s="318">
        <f>COUNTA($E$3:E128)</f>
        <v>126</v>
      </c>
      <c r="B128" s="318" t="s">
        <v>4963</v>
      </c>
      <c r="C128" s="318" t="s">
        <v>1246</v>
      </c>
      <c r="D128" s="318" t="s">
        <v>1124</v>
      </c>
      <c r="E128" s="318" t="s">
        <v>4964</v>
      </c>
      <c r="F128" s="316">
        <v>45012</v>
      </c>
      <c r="G128" s="316"/>
      <c r="H128" s="316" t="s">
        <v>55</v>
      </c>
      <c r="I128" s="316" t="s">
        <v>2</v>
      </c>
      <c r="J128" s="318" t="s">
        <v>1485</v>
      </c>
      <c r="K128" s="318" t="s">
        <v>2032</v>
      </c>
      <c r="L128" s="171">
        <v>45082</v>
      </c>
      <c r="M128" s="178" t="s">
        <v>5455</v>
      </c>
      <c r="N128" s="180">
        <v>45082</v>
      </c>
      <c r="O128" s="179"/>
      <c r="Q128" t="s">
        <v>22</v>
      </c>
      <c r="R128">
        <v>51</v>
      </c>
      <c r="S128">
        <v>45012</v>
      </c>
      <c r="T128" s="196">
        <v>45012.626689814817</v>
      </c>
      <c r="U128" s="196">
        <v>45012.626689814817</v>
      </c>
      <c r="V128" s="324">
        <f t="shared" si="1"/>
        <v>1</v>
      </c>
      <c r="W128" s="201">
        <v>45012.626689814817</v>
      </c>
      <c r="X128" s="201">
        <v>45075.514467592591</v>
      </c>
      <c r="Y128" s="200">
        <v>46</v>
      </c>
      <c r="Z128" s="207">
        <v>45075</v>
      </c>
      <c r="AA128" s="206">
        <v>6</v>
      </c>
      <c r="AB128" s="207">
        <v>45082</v>
      </c>
      <c r="AC128" s="188">
        <v>51</v>
      </c>
      <c r="AD128" s="187">
        <v>45082</v>
      </c>
    </row>
    <row r="129" spans="1:30">
      <c r="A129" s="318">
        <f>COUNTA($E$3:E129)</f>
        <v>127</v>
      </c>
      <c r="B129" s="318" t="s">
        <v>4965</v>
      </c>
      <c r="C129" s="318" t="s">
        <v>2484</v>
      </c>
      <c r="D129" s="318" t="s">
        <v>16</v>
      </c>
      <c r="E129" s="318" t="s">
        <v>4966</v>
      </c>
      <c r="F129" s="316">
        <v>45012</v>
      </c>
      <c r="G129" s="316"/>
      <c r="H129" s="316" t="s">
        <v>55</v>
      </c>
      <c r="I129" s="316" t="s">
        <v>2</v>
      </c>
      <c r="J129" s="318" t="s">
        <v>3253</v>
      </c>
      <c r="K129" s="318" t="s">
        <v>1294</v>
      </c>
      <c r="L129" s="171">
        <v>45082</v>
      </c>
      <c r="M129" s="178" t="s">
        <v>5456</v>
      </c>
      <c r="N129" s="180">
        <v>45070</v>
      </c>
      <c r="O129" s="179"/>
      <c r="Q129" t="s">
        <v>22</v>
      </c>
      <c r="R129">
        <v>51</v>
      </c>
      <c r="S129">
        <v>45012</v>
      </c>
      <c r="T129" s="196">
        <v>45012.69740740741</v>
      </c>
      <c r="U129" s="196">
        <v>45012.69740740741</v>
      </c>
      <c r="V129" s="324">
        <f t="shared" si="1"/>
        <v>1</v>
      </c>
      <c r="W129" s="201">
        <v>45012.69740740741</v>
      </c>
      <c r="X129" s="201">
        <v>45068.53266203704</v>
      </c>
      <c r="Y129" s="200">
        <v>41</v>
      </c>
      <c r="Z129" s="207">
        <v>45075</v>
      </c>
      <c r="AA129" s="206">
        <v>4</v>
      </c>
      <c r="AB129" s="207">
        <v>45078</v>
      </c>
      <c r="AC129" s="188">
        <v>49</v>
      </c>
      <c r="AD129" s="187">
        <v>45070</v>
      </c>
    </row>
    <row r="130" spans="1:30">
      <c r="A130" s="318">
        <f>COUNTA($E$3:E130)</f>
        <v>128</v>
      </c>
      <c r="B130" s="318" t="s">
        <v>5310</v>
      </c>
      <c r="C130" s="318" t="s">
        <v>2431</v>
      </c>
      <c r="D130" s="318" t="s">
        <v>36</v>
      </c>
      <c r="E130" s="318" t="s">
        <v>3123</v>
      </c>
      <c r="F130" s="316">
        <v>45054.678379629629</v>
      </c>
      <c r="G130" s="316"/>
      <c r="H130" s="316"/>
      <c r="I130" s="316" t="s">
        <v>3</v>
      </c>
      <c r="J130" s="318" t="s">
        <v>4624</v>
      </c>
      <c r="K130" s="318" t="s">
        <v>1295</v>
      </c>
      <c r="L130" s="171">
        <v>45082</v>
      </c>
      <c r="M130" s="178" t="s">
        <v>5457</v>
      </c>
      <c r="N130" s="180">
        <v>45069</v>
      </c>
      <c r="O130" s="179"/>
      <c r="Q130" t="s">
        <v>129</v>
      </c>
      <c r="R130">
        <v>21</v>
      </c>
      <c r="S130">
        <v>45061</v>
      </c>
      <c r="T130" s="196">
        <v>45069.46130787037</v>
      </c>
      <c r="U130" s="196">
        <v>45069.46130787037</v>
      </c>
      <c r="V130" s="324">
        <f t="shared" si="1"/>
        <v>1</v>
      </c>
      <c r="W130" s="201">
        <v>45069.46130787037</v>
      </c>
      <c r="X130" s="201">
        <v>45069.461423611108</v>
      </c>
      <c r="Y130" s="200">
        <v>1</v>
      </c>
      <c r="Z130" s="207">
        <v>45075</v>
      </c>
      <c r="AA130" s="206">
        <v>3</v>
      </c>
      <c r="AB130" s="207">
        <v>45077</v>
      </c>
      <c r="AC130" s="188">
        <v>13</v>
      </c>
      <c r="AD130" s="187">
        <v>45069</v>
      </c>
    </row>
    <row r="131" spans="1:30">
      <c r="A131" s="318">
        <f>COUNTA($E$3:E131)</f>
        <v>129</v>
      </c>
      <c r="B131" s="318" t="s">
        <v>5355</v>
      </c>
      <c r="C131" s="318" t="s">
        <v>5356</v>
      </c>
      <c r="D131" s="318" t="s">
        <v>1103</v>
      </c>
      <c r="E131" s="318" t="s">
        <v>1104</v>
      </c>
      <c r="F131" s="316">
        <v>45061.769814814812</v>
      </c>
      <c r="G131" s="316">
        <v>45075</v>
      </c>
      <c r="H131" s="316">
        <v>45075</v>
      </c>
      <c r="I131" s="316" t="s">
        <v>3</v>
      </c>
      <c r="J131" s="318" t="s">
        <v>1666</v>
      </c>
      <c r="K131" s="318" t="s">
        <v>2032</v>
      </c>
      <c r="L131" s="171">
        <v>45082</v>
      </c>
      <c r="M131" s="178" t="s">
        <v>5458</v>
      </c>
      <c r="N131" s="180">
        <v>45076</v>
      </c>
      <c r="O131" s="179"/>
      <c r="Q131" t="s">
        <v>22</v>
      </c>
      <c r="R131">
        <v>16</v>
      </c>
      <c r="S131">
        <v>45075</v>
      </c>
      <c r="T131" s="196">
        <v>45075.540254629632</v>
      </c>
      <c r="U131" s="196">
        <v>45075</v>
      </c>
      <c r="V131" s="324">
        <f t="shared" si="1"/>
        <v>1</v>
      </c>
      <c r="W131" s="201">
        <v>45075</v>
      </c>
      <c r="X131" s="201">
        <v>45075.540856481479</v>
      </c>
      <c r="Y131" s="200">
        <v>1</v>
      </c>
      <c r="Z131" s="207">
        <v>45076</v>
      </c>
      <c r="AA131" s="206">
        <v>3</v>
      </c>
      <c r="AB131" s="207">
        <v>45078</v>
      </c>
      <c r="AC131" s="188">
        <v>4</v>
      </c>
      <c r="AD131" s="187">
        <v>45076</v>
      </c>
    </row>
    <row r="132" spans="1:30">
      <c r="A132" s="318">
        <f>COUNTA($E$3:E132)</f>
        <v>130</v>
      </c>
      <c r="B132" s="318" t="s">
        <v>5369</v>
      </c>
      <c r="C132" s="318" t="s">
        <v>2933</v>
      </c>
      <c r="D132" s="318" t="s">
        <v>1145</v>
      </c>
      <c r="E132" s="318" t="s">
        <v>5370</v>
      </c>
      <c r="F132" s="316">
        <v>45068.718842592592</v>
      </c>
      <c r="G132" s="316"/>
      <c r="H132" s="316"/>
      <c r="I132" s="316" t="s">
        <v>3</v>
      </c>
      <c r="J132" s="318" t="s">
        <v>5438</v>
      </c>
      <c r="K132" s="318" t="s">
        <v>1296</v>
      </c>
      <c r="L132" s="171">
        <v>45082</v>
      </c>
      <c r="M132" s="178" t="s">
        <v>5459</v>
      </c>
      <c r="N132" s="180">
        <v>45084</v>
      </c>
      <c r="O132" s="179"/>
      <c r="Q132" t="s">
        <v>129</v>
      </c>
      <c r="R132">
        <v>11</v>
      </c>
      <c r="S132">
        <v>45071</v>
      </c>
      <c r="T132" s="196">
        <v>45077.516192129631</v>
      </c>
      <c r="U132" s="196">
        <v>45077.516192129631</v>
      </c>
      <c r="V132" s="324">
        <f t="shared" si="1"/>
        <v>1</v>
      </c>
      <c r="W132" s="201">
        <v>45077.516192129631</v>
      </c>
      <c r="X132" s="201">
        <v>45077.516469907408</v>
      </c>
      <c r="Y132" s="200">
        <v>1</v>
      </c>
      <c r="Z132" s="207">
        <v>45077</v>
      </c>
      <c r="AA132" s="206">
        <v>1</v>
      </c>
      <c r="AB132" s="207">
        <v>45077</v>
      </c>
      <c r="AC132" s="188">
        <v>5</v>
      </c>
      <c r="AD132" s="187">
        <v>45084</v>
      </c>
    </row>
    <row r="133" spans="1:30">
      <c r="A133" s="318">
        <f>COUNTA($E$3:E133)</f>
        <v>131</v>
      </c>
      <c r="B133" s="318" t="s">
        <v>5371</v>
      </c>
      <c r="C133" s="318" t="s">
        <v>37</v>
      </c>
      <c r="D133" s="318" t="s">
        <v>30</v>
      </c>
      <c r="E133" s="318" t="s">
        <v>3487</v>
      </c>
      <c r="F133" s="316">
        <v>45062.757774259262</v>
      </c>
      <c r="G133" s="316"/>
      <c r="H133" s="316"/>
      <c r="I133" s="316" t="s">
        <v>3</v>
      </c>
      <c r="J133" s="318" t="s">
        <v>1212</v>
      </c>
      <c r="K133" s="318" t="s">
        <v>1295</v>
      </c>
      <c r="L133" s="171">
        <v>45082</v>
      </c>
      <c r="M133" s="178" t="s">
        <v>5459</v>
      </c>
      <c r="N133" s="180">
        <v>45079</v>
      </c>
      <c r="O133" s="179"/>
      <c r="Q133" t="s">
        <v>129</v>
      </c>
      <c r="R133">
        <v>15</v>
      </c>
      <c r="S133">
        <v>45071</v>
      </c>
      <c r="T133" s="196">
        <v>45075.76390046296</v>
      </c>
      <c r="U133" s="196">
        <v>45075.76390046296</v>
      </c>
      <c r="V133" s="324">
        <f t="shared" si="1"/>
        <v>1</v>
      </c>
      <c r="W133" s="201">
        <v>45075.76390046296</v>
      </c>
      <c r="X133" s="201">
        <v>45075.764004629629</v>
      </c>
      <c r="Y133" s="200">
        <v>1</v>
      </c>
      <c r="Z133" s="207">
        <v>45075</v>
      </c>
      <c r="AA133" s="206">
        <v>3</v>
      </c>
      <c r="AB133" s="207">
        <v>45077</v>
      </c>
      <c r="AC133" s="188">
        <v>5</v>
      </c>
      <c r="AD133" s="187">
        <v>45079</v>
      </c>
    </row>
    <row r="134" spans="1:30">
      <c r="A134" s="318">
        <f>COUNTA($E$3:E134)</f>
        <v>132</v>
      </c>
      <c r="B134" s="318" t="s">
        <v>5372</v>
      </c>
      <c r="C134" s="318" t="s">
        <v>37</v>
      </c>
      <c r="D134" s="318" t="s">
        <v>30</v>
      </c>
      <c r="E134" s="318" t="s">
        <v>5373</v>
      </c>
      <c r="F134" s="316">
        <v>45063.705578703702</v>
      </c>
      <c r="G134" s="316"/>
      <c r="H134" s="316"/>
      <c r="I134" s="316" t="s">
        <v>3</v>
      </c>
      <c r="J134" s="318"/>
      <c r="K134" s="318"/>
      <c r="L134" s="171">
        <v>45082</v>
      </c>
      <c r="M134" s="178" t="s">
        <v>3133</v>
      </c>
      <c r="N134" s="180">
        <v>45079</v>
      </c>
      <c r="O134" s="179"/>
      <c r="Q134" t="s">
        <v>129</v>
      </c>
      <c r="R134">
        <v>14</v>
      </c>
      <c r="S134">
        <v>45071</v>
      </c>
      <c r="T134" s="196">
        <v>45075.741006944445</v>
      </c>
      <c r="U134" s="196">
        <v>45075.741006944445</v>
      </c>
      <c r="V134" s="324">
        <f t="shared" si="1"/>
        <v>1</v>
      </c>
      <c r="W134" s="201">
        <v>45075.741006944445</v>
      </c>
      <c r="X134" s="201">
        <v>45075.741087962961</v>
      </c>
      <c r="Y134" s="200">
        <v>1</v>
      </c>
      <c r="Z134" s="207">
        <v>45075</v>
      </c>
      <c r="AA134" s="206">
        <v>3</v>
      </c>
      <c r="AB134" s="207">
        <v>45077</v>
      </c>
      <c r="AC134" s="188">
        <v>5</v>
      </c>
      <c r="AD134" s="187">
        <v>45079</v>
      </c>
    </row>
    <row r="135" spans="1:30">
      <c r="A135" s="318">
        <f>COUNTA($E$3:E135)</f>
        <v>133</v>
      </c>
      <c r="B135" s="318" t="s">
        <v>5374</v>
      </c>
      <c r="C135" s="318" t="s">
        <v>37</v>
      </c>
      <c r="D135" s="318" t="s">
        <v>30</v>
      </c>
      <c r="E135" s="318" t="s">
        <v>2558</v>
      </c>
      <c r="F135" s="316">
        <v>45068.703599537039</v>
      </c>
      <c r="G135" s="316"/>
      <c r="H135" s="316"/>
      <c r="I135" s="316" t="s">
        <v>3</v>
      </c>
      <c r="J135" s="318" t="s">
        <v>5439</v>
      </c>
      <c r="K135" s="318" t="s">
        <v>1287</v>
      </c>
      <c r="L135" s="171">
        <v>45082</v>
      </c>
      <c r="M135" s="178" t="s">
        <v>5459</v>
      </c>
      <c r="N135" s="180">
        <v>45079</v>
      </c>
      <c r="O135" s="179"/>
      <c r="Q135" t="s">
        <v>129</v>
      </c>
      <c r="R135">
        <v>11</v>
      </c>
      <c r="S135">
        <v>45071</v>
      </c>
      <c r="T135" s="196">
        <v>45075.863287037035</v>
      </c>
      <c r="U135" s="196">
        <v>45075.863287037035</v>
      </c>
      <c r="V135" s="324">
        <f t="shared" si="1"/>
        <v>1</v>
      </c>
      <c r="W135" s="201">
        <v>45075.863287037035</v>
      </c>
      <c r="X135" s="201">
        <v>45075.863368055558</v>
      </c>
      <c r="Y135" s="200">
        <v>1</v>
      </c>
      <c r="Z135" s="207">
        <v>45075</v>
      </c>
      <c r="AA135" s="206">
        <v>5</v>
      </c>
      <c r="AB135" s="207">
        <v>45079</v>
      </c>
      <c r="AC135" s="188">
        <v>7</v>
      </c>
      <c r="AD135" s="187">
        <v>45079</v>
      </c>
    </row>
    <row r="136" spans="1:30">
      <c r="A136" s="318">
        <f>COUNTA($E$3:E136)</f>
        <v>134</v>
      </c>
      <c r="B136" s="318" t="s">
        <v>5380</v>
      </c>
      <c r="C136" s="318" t="s">
        <v>40</v>
      </c>
      <c r="D136" s="318" t="s">
        <v>49</v>
      </c>
      <c r="E136" s="318" t="s">
        <v>5381</v>
      </c>
      <c r="F136" s="316">
        <v>45072</v>
      </c>
      <c r="G136" s="316"/>
      <c r="H136" s="316"/>
      <c r="I136" s="316" t="s">
        <v>3</v>
      </c>
      <c r="J136" s="318" t="s">
        <v>1485</v>
      </c>
      <c r="K136" s="318" t="s">
        <v>1287</v>
      </c>
      <c r="L136" s="171">
        <v>45082</v>
      </c>
      <c r="M136" s="178" t="s">
        <v>5468</v>
      </c>
      <c r="N136" s="180">
        <v>45082</v>
      </c>
      <c r="O136" s="179"/>
      <c r="Q136" t="s">
        <v>129</v>
      </c>
      <c r="R136">
        <v>32201</v>
      </c>
      <c r="S136">
        <v>45072</v>
      </c>
      <c r="T136" s="196">
        <v>45075.864918981482</v>
      </c>
      <c r="U136" s="196">
        <v>45075.864918981482</v>
      </c>
      <c r="V136" s="324">
        <f t="shared" si="1"/>
        <v>1</v>
      </c>
      <c r="W136" s="201">
        <v>45075.864918981482</v>
      </c>
      <c r="X136" s="201">
        <v>45075.864988425928</v>
      </c>
      <c r="Y136" s="200">
        <v>1</v>
      </c>
      <c r="Z136" s="207">
        <v>45075</v>
      </c>
      <c r="AA136" s="206">
        <v>5</v>
      </c>
      <c r="AB136" s="207">
        <v>45079</v>
      </c>
      <c r="AC136" s="188">
        <v>6</v>
      </c>
      <c r="AD136" s="187">
        <v>45082</v>
      </c>
    </row>
    <row r="137" spans="1:30">
      <c r="A137" s="318">
        <f>COUNTA($E$3:E137)</f>
        <v>135</v>
      </c>
      <c r="B137" s="318" t="s">
        <v>5382</v>
      </c>
      <c r="C137" s="318" t="s">
        <v>40</v>
      </c>
      <c r="D137" s="318" t="s">
        <v>49</v>
      </c>
      <c r="E137" s="318" t="s">
        <v>5383</v>
      </c>
      <c r="F137" s="316">
        <v>45069.585625</v>
      </c>
      <c r="G137" s="316"/>
      <c r="H137" s="316"/>
      <c r="I137" s="316" t="s">
        <v>3</v>
      </c>
      <c r="J137" s="318" t="s">
        <v>5440</v>
      </c>
      <c r="K137" s="318" t="s">
        <v>1287</v>
      </c>
      <c r="L137" s="171">
        <v>45082</v>
      </c>
      <c r="M137" s="178" t="s">
        <v>5459</v>
      </c>
      <c r="N137" s="180">
        <v>45082</v>
      </c>
      <c r="O137" s="179"/>
      <c r="Q137" t="s">
        <v>129</v>
      </c>
      <c r="R137">
        <v>10</v>
      </c>
      <c r="S137">
        <v>45072</v>
      </c>
      <c r="T137" s="196">
        <v>45076.412141203706</v>
      </c>
      <c r="U137" s="196">
        <v>45076.412141203706</v>
      </c>
      <c r="V137" s="324">
        <f t="shared" si="1"/>
        <v>1</v>
      </c>
      <c r="W137" s="201">
        <v>45076.412141203706</v>
      </c>
      <c r="X137" s="201">
        <v>45076.730555555558</v>
      </c>
      <c r="Y137" s="200">
        <v>1</v>
      </c>
      <c r="Z137" s="207">
        <v>45076</v>
      </c>
      <c r="AA137" s="206">
        <v>4</v>
      </c>
      <c r="AB137" s="207">
        <v>45079</v>
      </c>
      <c r="AC137" s="188">
        <v>6</v>
      </c>
      <c r="AD137" s="187">
        <v>45082</v>
      </c>
    </row>
    <row r="138" spans="1:30">
      <c r="A138" s="318">
        <f>COUNTA($E$3:E138)</f>
        <v>136</v>
      </c>
      <c r="B138" s="318" t="s">
        <v>5385</v>
      </c>
      <c r="C138" s="318" t="s">
        <v>2602</v>
      </c>
      <c r="D138" s="318" t="s">
        <v>49</v>
      </c>
      <c r="E138" s="318" t="s">
        <v>4393</v>
      </c>
      <c r="F138" s="316">
        <v>45259</v>
      </c>
      <c r="G138" s="316">
        <v>45075</v>
      </c>
      <c r="H138" s="316">
        <v>44914</v>
      </c>
      <c r="I138" s="316" t="s">
        <v>2</v>
      </c>
      <c r="J138" s="318" t="s">
        <v>3387</v>
      </c>
      <c r="K138" s="318"/>
      <c r="L138" s="171">
        <v>45082</v>
      </c>
      <c r="M138" s="178" t="s">
        <v>5467</v>
      </c>
      <c r="N138" s="180">
        <v>45072</v>
      </c>
      <c r="O138" s="179"/>
      <c r="Q138" t="s">
        <v>22</v>
      </c>
      <c r="R138">
        <v>-128</v>
      </c>
      <c r="S138">
        <v>44895</v>
      </c>
      <c r="T138" s="196">
        <v>44895.705277777779</v>
      </c>
      <c r="U138" s="196">
        <v>45075</v>
      </c>
      <c r="V138" s="324">
        <f t="shared" si="1"/>
        <v>129</v>
      </c>
      <c r="W138" s="201">
        <v>45075</v>
      </c>
      <c r="X138" s="201">
        <v>45075</v>
      </c>
      <c r="Y138" s="200">
        <v>1</v>
      </c>
      <c r="Z138" s="207">
        <v>45075</v>
      </c>
      <c r="AA138" s="206">
        <v>1</v>
      </c>
      <c r="AB138" s="207">
        <v>45075</v>
      </c>
      <c r="AC138" s="188">
        <v>129</v>
      </c>
      <c r="AD138" s="187">
        <v>45072</v>
      </c>
    </row>
    <row r="139" spans="1:30">
      <c r="A139" s="318">
        <f>COUNTA($E$3:E139)</f>
        <v>137</v>
      </c>
      <c r="B139" s="318" t="s">
        <v>5386</v>
      </c>
      <c r="C139" s="318" t="s">
        <v>2602</v>
      </c>
      <c r="D139" s="318" t="s">
        <v>1145</v>
      </c>
      <c r="E139" s="318" t="s">
        <v>2603</v>
      </c>
      <c r="F139" s="316">
        <v>44905</v>
      </c>
      <c r="G139" s="316">
        <v>45075</v>
      </c>
      <c r="H139" s="316">
        <v>44911</v>
      </c>
      <c r="I139" s="316" t="s">
        <v>2</v>
      </c>
      <c r="J139" s="318" t="s">
        <v>5387</v>
      </c>
      <c r="K139" s="318" t="s">
        <v>287</v>
      </c>
      <c r="L139" s="171">
        <v>45082</v>
      </c>
      <c r="M139" s="178" t="s">
        <v>5460</v>
      </c>
      <c r="N139" s="180">
        <v>45072</v>
      </c>
      <c r="O139" s="179"/>
      <c r="Q139" t="s">
        <v>22</v>
      </c>
      <c r="R139">
        <v>126</v>
      </c>
      <c r="S139">
        <v>44909</v>
      </c>
      <c r="T139" s="196">
        <v>44909.725555555553</v>
      </c>
      <c r="U139" s="196">
        <v>45075</v>
      </c>
      <c r="V139" s="324">
        <f t="shared" ref="V139:V153" si="2">IFERROR(NETWORKDAYS.INTL(T139,U139),1)</f>
        <v>119</v>
      </c>
      <c r="W139" s="201">
        <v>45075</v>
      </c>
      <c r="X139" s="201">
        <v>45075</v>
      </c>
      <c r="Y139" s="200">
        <v>1</v>
      </c>
      <c r="Z139" s="207">
        <v>45076</v>
      </c>
      <c r="AA139" s="206">
        <v>5</v>
      </c>
      <c r="AB139" s="207">
        <v>45082</v>
      </c>
      <c r="AC139" s="188">
        <v>124</v>
      </c>
      <c r="AD139" s="187">
        <v>45072</v>
      </c>
    </row>
    <row r="140" spans="1:30">
      <c r="A140" s="318">
        <f>COUNTA($E$3:E140)</f>
        <v>138</v>
      </c>
      <c r="B140" s="318" t="s">
        <v>5410</v>
      </c>
      <c r="C140" s="318" t="s">
        <v>21</v>
      </c>
      <c r="D140" s="318" t="s">
        <v>58</v>
      </c>
      <c r="E140" s="318" t="s">
        <v>1258</v>
      </c>
      <c r="F140" s="316">
        <v>45075.793946759259</v>
      </c>
      <c r="G140" s="316"/>
      <c r="H140" s="316"/>
      <c r="I140" s="316" t="s">
        <v>3</v>
      </c>
      <c r="J140" s="318" t="s">
        <v>5411</v>
      </c>
      <c r="K140" s="318" t="s">
        <v>1295</v>
      </c>
      <c r="L140" s="171">
        <v>45082</v>
      </c>
      <c r="M140" s="178" t="s">
        <v>5454</v>
      </c>
      <c r="N140" s="180">
        <v>45086</v>
      </c>
      <c r="O140" s="179"/>
      <c r="Q140" t="s">
        <v>129</v>
      </c>
      <c r="S140" s="187">
        <v>45075</v>
      </c>
      <c r="T140" s="196">
        <v>45077.693969907406</v>
      </c>
      <c r="U140" s="196">
        <v>45077</v>
      </c>
      <c r="V140" s="324">
        <f t="shared" si="2"/>
        <v>1</v>
      </c>
      <c r="W140" s="201">
        <v>45077</v>
      </c>
      <c r="X140" s="201">
        <v>45077.694502314815</v>
      </c>
      <c r="Y140" s="200">
        <v>1</v>
      </c>
      <c r="Z140" s="207">
        <v>45077</v>
      </c>
      <c r="AA140" s="206">
        <v>1</v>
      </c>
      <c r="AB140" s="207">
        <v>45077</v>
      </c>
      <c r="AC140" s="188">
        <v>3</v>
      </c>
      <c r="AD140" s="187"/>
    </row>
    <row r="141" spans="1:30">
      <c r="A141" s="318">
        <f>COUNTA($E$3:E141)</f>
        <v>139</v>
      </c>
      <c r="B141" s="318" t="s">
        <v>4869</v>
      </c>
      <c r="C141" s="318" t="s">
        <v>2431</v>
      </c>
      <c r="D141" s="318" t="s">
        <v>30</v>
      </c>
      <c r="E141" s="318" t="s">
        <v>4298</v>
      </c>
      <c r="F141" s="316">
        <v>44999</v>
      </c>
      <c r="G141" s="316"/>
      <c r="H141" s="316"/>
      <c r="I141" s="316" t="s">
        <v>2</v>
      </c>
      <c r="J141" s="318"/>
      <c r="K141" s="318"/>
      <c r="L141" s="171">
        <v>45075</v>
      </c>
      <c r="M141" s="178" t="s">
        <v>5331</v>
      </c>
      <c r="N141" s="180"/>
      <c r="O141" s="179"/>
      <c r="Q141" t="s">
        <v>129</v>
      </c>
      <c r="R141">
        <v>55</v>
      </c>
      <c r="S141">
        <v>44999</v>
      </c>
      <c r="T141" s="196">
        <v>44999.47619212963</v>
      </c>
      <c r="U141" s="196">
        <v>44999.47619212963</v>
      </c>
      <c r="V141" s="324">
        <f t="shared" si="2"/>
        <v>1</v>
      </c>
      <c r="W141" s="201">
        <v>44999.47619212963</v>
      </c>
      <c r="X141" s="201">
        <v>44999.47619212963</v>
      </c>
      <c r="Y141" s="200">
        <v>1</v>
      </c>
      <c r="Z141" s="207">
        <v>45035</v>
      </c>
      <c r="AA141" s="206">
        <v>5</v>
      </c>
      <c r="AB141" s="207">
        <v>45041</v>
      </c>
      <c r="AC141" s="188">
        <v>31</v>
      </c>
      <c r="AD141" s="187"/>
    </row>
    <row r="142" spans="1:30">
      <c r="A142" s="318">
        <f>COUNTA($E$3:E142)</f>
        <v>140</v>
      </c>
      <c r="B142" s="318" t="s">
        <v>4927</v>
      </c>
      <c r="C142" s="318" t="s">
        <v>1197</v>
      </c>
      <c r="D142" s="318" t="s">
        <v>64</v>
      </c>
      <c r="E142" s="318" t="s">
        <v>2486</v>
      </c>
      <c r="F142" s="316">
        <v>45008</v>
      </c>
      <c r="G142" s="316">
        <v>45033</v>
      </c>
      <c r="H142" s="316">
        <v>45014</v>
      </c>
      <c r="I142" s="316" t="s">
        <v>2</v>
      </c>
      <c r="J142" s="318"/>
      <c r="K142" s="318"/>
      <c r="L142" s="171">
        <v>45075</v>
      </c>
      <c r="M142" s="178" t="s">
        <v>5357</v>
      </c>
      <c r="N142" s="180">
        <v>45055</v>
      </c>
      <c r="O142" s="179"/>
      <c r="Q142" t="s">
        <v>22</v>
      </c>
      <c r="R142">
        <v>48</v>
      </c>
      <c r="S142">
        <v>45008</v>
      </c>
      <c r="T142" s="196">
        <v>45014</v>
      </c>
      <c r="U142" s="196">
        <v>45014</v>
      </c>
      <c r="V142" s="324">
        <f t="shared" si="2"/>
        <v>1</v>
      </c>
      <c r="W142" s="201">
        <v>45014</v>
      </c>
      <c r="X142" s="201">
        <v>45014</v>
      </c>
      <c r="Y142" s="200">
        <v>1</v>
      </c>
      <c r="Z142" s="207">
        <v>45044</v>
      </c>
      <c r="AA142" s="206">
        <v>10</v>
      </c>
      <c r="AB142" s="207">
        <v>45057</v>
      </c>
      <c r="AC142" s="188">
        <v>36</v>
      </c>
      <c r="AD142" s="187">
        <v>45055</v>
      </c>
    </row>
    <row r="143" spans="1:30">
      <c r="A143" s="318">
        <f>COUNTA($E$3:E143)</f>
        <v>141</v>
      </c>
      <c r="B143" s="318" t="s">
        <v>5024</v>
      </c>
      <c r="C143" s="318" t="s">
        <v>41</v>
      </c>
      <c r="D143" s="318" t="s">
        <v>1125</v>
      </c>
      <c r="E143" s="318" t="s">
        <v>2648</v>
      </c>
      <c r="F143" s="316">
        <v>45019</v>
      </c>
      <c r="G143" s="316"/>
      <c r="H143" s="316"/>
      <c r="I143" s="316" t="s">
        <v>4</v>
      </c>
      <c r="J143" s="318" t="s">
        <v>4769</v>
      </c>
      <c r="K143" s="318" t="s">
        <v>1295</v>
      </c>
      <c r="L143" s="171">
        <v>45075</v>
      </c>
      <c r="M143" s="178" t="s">
        <v>5358</v>
      </c>
      <c r="N143" s="180">
        <v>45147</v>
      </c>
      <c r="O143" s="179"/>
      <c r="Q143" t="s">
        <v>129</v>
      </c>
      <c r="R143">
        <v>41</v>
      </c>
      <c r="S143">
        <v>45019</v>
      </c>
      <c r="T143" s="196">
        <v>45027.703599537039</v>
      </c>
      <c r="U143" s="196">
        <v>45027.703599537039</v>
      </c>
      <c r="V143" s="324">
        <f t="shared" si="2"/>
        <v>1</v>
      </c>
      <c r="W143" s="201">
        <v>45027.703599537039</v>
      </c>
      <c r="X143" s="201">
        <v>45027.703599537039</v>
      </c>
      <c r="Y143" s="200">
        <v>1</v>
      </c>
      <c r="Z143" s="207">
        <v>45069</v>
      </c>
      <c r="AA143" s="206">
        <v>1</v>
      </c>
      <c r="AB143" s="207">
        <v>45069</v>
      </c>
      <c r="AC143" s="188">
        <v>37</v>
      </c>
      <c r="AD143" s="187"/>
    </row>
    <row r="144" spans="1:30">
      <c r="A144" s="318">
        <f>COUNTA($E$3:E144)</f>
        <v>142</v>
      </c>
      <c r="B144" s="318" t="s">
        <v>5175</v>
      </c>
      <c r="C144" s="318" t="s">
        <v>41</v>
      </c>
      <c r="D144" s="318" t="s">
        <v>34</v>
      </c>
      <c r="E144" s="318" t="s">
        <v>1923</v>
      </c>
      <c r="F144" s="316">
        <v>45043</v>
      </c>
      <c r="G144" s="316"/>
      <c r="H144" s="316"/>
      <c r="I144" s="316" t="s">
        <v>3</v>
      </c>
      <c r="J144" s="318" t="s">
        <v>4624</v>
      </c>
      <c r="K144" s="318" t="s">
        <v>1295</v>
      </c>
      <c r="L144" s="171">
        <v>45075</v>
      </c>
      <c r="M144" s="178" t="s">
        <v>5360</v>
      </c>
      <c r="N144" s="180">
        <v>45147</v>
      </c>
      <c r="O144" s="179"/>
      <c r="Q144" t="s">
        <v>129</v>
      </c>
      <c r="R144">
        <v>23</v>
      </c>
      <c r="S144">
        <v>45043</v>
      </c>
      <c r="T144" s="196">
        <v>45050.584710648145</v>
      </c>
      <c r="U144" s="196">
        <v>45050.584710648145</v>
      </c>
      <c r="V144" s="324">
        <f t="shared" si="2"/>
        <v>1</v>
      </c>
      <c r="W144" s="201">
        <v>45050.584710648145</v>
      </c>
      <c r="X144" s="201">
        <v>45050.584710648145</v>
      </c>
      <c r="Y144" s="200">
        <v>1</v>
      </c>
      <c r="Z144" s="207">
        <v>45068</v>
      </c>
      <c r="AA144" s="206">
        <v>2</v>
      </c>
      <c r="AB144" s="207">
        <v>45069</v>
      </c>
      <c r="AC144" s="188">
        <v>19</v>
      </c>
      <c r="AD144" s="187"/>
    </row>
    <row r="145" spans="1:30">
      <c r="A145" s="318">
        <f>COUNTA($E$3:E145)</f>
        <v>143</v>
      </c>
      <c r="B145" s="318" t="s">
        <v>5188</v>
      </c>
      <c r="C145" s="318" t="s">
        <v>21</v>
      </c>
      <c r="D145" s="318" t="s">
        <v>30</v>
      </c>
      <c r="E145" s="318" t="s">
        <v>2565</v>
      </c>
      <c r="F145" s="316">
        <v>45043</v>
      </c>
      <c r="G145" s="316"/>
      <c r="H145" s="316"/>
      <c r="I145" s="316" t="s">
        <v>3</v>
      </c>
      <c r="J145" s="318" t="s">
        <v>5296</v>
      </c>
      <c r="K145" s="318" t="s">
        <v>1287</v>
      </c>
      <c r="L145" s="171">
        <v>45075</v>
      </c>
      <c r="M145" s="178" t="s">
        <v>5390</v>
      </c>
      <c r="N145" s="180">
        <v>45082</v>
      </c>
      <c r="O145" s="179"/>
      <c r="Q145" t="s">
        <v>129</v>
      </c>
      <c r="R145">
        <v>23</v>
      </c>
      <c r="S145">
        <v>45043</v>
      </c>
      <c r="T145" s="196">
        <v>45058.751747685186</v>
      </c>
      <c r="U145" s="196">
        <v>45058.751747685186</v>
      </c>
      <c r="V145" s="324">
        <f t="shared" si="2"/>
        <v>1</v>
      </c>
      <c r="W145" s="201">
        <v>45058.751747685186</v>
      </c>
      <c r="X145" s="201">
        <v>45058.751747685186</v>
      </c>
      <c r="Y145" s="200">
        <v>1</v>
      </c>
      <c r="Z145" s="207">
        <v>45070</v>
      </c>
      <c r="AA145" s="206">
        <v>3</v>
      </c>
      <c r="AB145" s="207">
        <v>45072</v>
      </c>
      <c r="AC145" s="188">
        <v>22</v>
      </c>
      <c r="AD145" s="187"/>
    </row>
    <row r="146" spans="1:30">
      <c r="A146" s="318">
        <f>COUNTA($E$3:E146)</f>
        <v>144</v>
      </c>
      <c r="B146" s="318" t="s">
        <v>5202</v>
      </c>
      <c r="C146" s="318" t="s">
        <v>37</v>
      </c>
      <c r="D146" s="318" t="s">
        <v>30</v>
      </c>
      <c r="E146" s="318" t="s">
        <v>2994</v>
      </c>
      <c r="F146" s="316">
        <v>45051</v>
      </c>
      <c r="G146" s="316"/>
      <c r="H146" s="316"/>
      <c r="I146" s="316" t="s">
        <v>3</v>
      </c>
      <c r="J146" s="318" t="s">
        <v>4624</v>
      </c>
      <c r="K146" s="318" t="s">
        <v>1295</v>
      </c>
      <c r="L146" s="171">
        <v>45075</v>
      </c>
      <c r="M146" s="178" t="s">
        <v>5361</v>
      </c>
      <c r="N146" s="180">
        <v>45108</v>
      </c>
      <c r="O146" s="179"/>
      <c r="Q146" t="s">
        <v>129</v>
      </c>
      <c r="R146">
        <v>17</v>
      </c>
      <c r="S146">
        <v>45051</v>
      </c>
      <c r="T146" s="196">
        <v>45058.579675925925</v>
      </c>
      <c r="U146" s="196">
        <v>45058.579675925925</v>
      </c>
      <c r="V146" s="324">
        <f t="shared" si="2"/>
        <v>1</v>
      </c>
      <c r="W146" s="201">
        <v>45058.579675925925</v>
      </c>
      <c r="X146" s="201">
        <v>45058.579675925925</v>
      </c>
      <c r="Y146" s="200">
        <v>1</v>
      </c>
      <c r="Z146" s="207">
        <v>45058</v>
      </c>
      <c r="AA146" s="206">
        <v>8</v>
      </c>
      <c r="AB146" s="207">
        <v>45069</v>
      </c>
      <c r="AC146" s="188">
        <v>13</v>
      </c>
      <c r="AD146" s="187"/>
    </row>
    <row r="147" spans="1:30">
      <c r="A147" s="318">
        <f>COUNTA($E$3:E147)</f>
        <v>145</v>
      </c>
      <c r="B147" s="318" t="s">
        <v>5203</v>
      </c>
      <c r="C147" s="318" t="s">
        <v>1106</v>
      </c>
      <c r="D147" s="318" t="s">
        <v>58</v>
      </c>
      <c r="E147" s="318" t="s">
        <v>2621</v>
      </c>
      <c r="F147" s="316">
        <v>45051.633308819444</v>
      </c>
      <c r="G147" s="316"/>
      <c r="H147" s="316"/>
      <c r="I147" s="316" t="s">
        <v>3</v>
      </c>
      <c r="J147" s="318" t="s">
        <v>1649</v>
      </c>
      <c r="K147" s="318" t="s">
        <v>1295</v>
      </c>
      <c r="L147" s="171">
        <v>45075</v>
      </c>
      <c r="M147" s="178" t="s">
        <v>5361</v>
      </c>
      <c r="N147" s="180"/>
      <c r="O147" s="179"/>
      <c r="Q147" t="s">
        <v>129</v>
      </c>
      <c r="R147">
        <v>17</v>
      </c>
      <c r="S147">
        <v>45051</v>
      </c>
      <c r="T147" s="196">
        <v>45057.862997685188</v>
      </c>
      <c r="U147" s="196">
        <v>45057.862997685188</v>
      </c>
      <c r="V147" s="324">
        <f t="shared" si="2"/>
        <v>1</v>
      </c>
      <c r="W147" s="201">
        <v>45057.862997685188</v>
      </c>
      <c r="X147" s="201">
        <v>45057.862997685188</v>
      </c>
      <c r="Y147" s="200">
        <v>1</v>
      </c>
      <c r="Z147" s="207">
        <v>45068</v>
      </c>
      <c r="AA147" s="206">
        <v>2</v>
      </c>
      <c r="AB147" s="207">
        <v>45069</v>
      </c>
      <c r="AC147" s="188">
        <v>13</v>
      </c>
      <c r="AD147" s="187"/>
    </row>
    <row r="148" spans="1:30">
      <c r="A148" s="318">
        <f>COUNTA($E$3:E148)</f>
        <v>146</v>
      </c>
      <c r="B148" s="318" t="s">
        <v>5206</v>
      </c>
      <c r="C148" s="318" t="s">
        <v>1233</v>
      </c>
      <c r="D148" s="318" t="s">
        <v>58</v>
      </c>
      <c r="E148" s="318" t="s">
        <v>5207</v>
      </c>
      <c r="F148" s="316">
        <v>45054</v>
      </c>
      <c r="G148" s="316"/>
      <c r="H148" s="316" t="s">
        <v>55</v>
      </c>
      <c r="I148" s="316" t="s">
        <v>3</v>
      </c>
      <c r="J148" s="318" t="s">
        <v>5301</v>
      </c>
      <c r="K148" s="318" t="s">
        <v>2032</v>
      </c>
      <c r="L148" s="171">
        <v>45075</v>
      </c>
      <c r="M148" s="178" t="s">
        <v>3138</v>
      </c>
      <c r="N148" s="180">
        <v>45070</v>
      </c>
      <c r="O148" s="179"/>
      <c r="Q148" t="s">
        <v>22</v>
      </c>
      <c r="R148">
        <v>16</v>
      </c>
      <c r="S148">
        <v>45054</v>
      </c>
      <c r="T148" s="196">
        <v>45056</v>
      </c>
      <c r="U148" s="196">
        <v>45056</v>
      </c>
      <c r="V148" s="324">
        <f t="shared" si="2"/>
        <v>1</v>
      </c>
      <c r="W148" s="201">
        <v>45056</v>
      </c>
      <c r="X148" s="201">
        <v>45069</v>
      </c>
      <c r="Y148" s="200">
        <v>10</v>
      </c>
      <c r="Z148" s="207">
        <v>45069</v>
      </c>
      <c r="AA148" s="206">
        <v>2</v>
      </c>
      <c r="AB148" s="207">
        <v>45070</v>
      </c>
      <c r="AC148" s="188">
        <v>13</v>
      </c>
      <c r="AD148" s="187">
        <v>45070</v>
      </c>
    </row>
    <row r="149" spans="1:30">
      <c r="A149" s="318">
        <f>COUNTA($E$3:E149)</f>
        <v>147</v>
      </c>
      <c r="B149" s="318" t="s">
        <v>5211</v>
      </c>
      <c r="C149" s="318" t="s">
        <v>1092</v>
      </c>
      <c r="D149" s="318" t="s">
        <v>1145</v>
      </c>
      <c r="E149" s="318" t="s">
        <v>4664</v>
      </c>
      <c r="F149" s="316">
        <v>45054.676720682874</v>
      </c>
      <c r="G149" s="316"/>
      <c r="H149" s="316"/>
      <c r="I149" s="316" t="s">
        <v>3</v>
      </c>
      <c r="J149" s="318" t="s">
        <v>4769</v>
      </c>
      <c r="K149" s="318" t="s">
        <v>1287</v>
      </c>
      <c r="L149" s="171">
        <v>45075</v>
      </c>
      <c r="M149" s="178" t="s">
        <v>5391</v>
      </c>
      <c r="N149" s="180">
        <v>45052</v>
      </c>
      <c r="O149" s="179"/>
      <c r="Q149" t="s">
        <v>129</v>
      </c>
      <c r="R149">
        <v>16</v>
      </c>
      <c r="S149">
        <v>45054</v>
      </c>
      <c r="T149" s="196">
        <v>45064.724733796298</v>
      </c>
      <c r="U149" s="196">
        <v>45064.724733796298</v>
      </c>
      <c r="V149" s="324">
        <f t="shared" si="2"/>
        <v>1</v>
      </c>
      <c r="W149" s="201">
        <v>45064.724733796298</v>
      </c>
      <c r="X149" s="201">
        <v>45064.724733796298</v>
      </c>
      <c r="Y149" s="200">
        <v>1</v>
      </c>
      <c r="Z149" s="207">
        <v>45064</v>
      </c>
      <c r="AA149" s="206">
        <v>7</v>
      </c>
      <c r="AB149" s="207">
        <v>45072</v>
      </c>
      <c r="AC149" s="188">
        <v>15</v>
      </c>
      <c r="AD149" s="187"/>
    </row>
    <row r="150" spans="1:30">
      <c r="A150" s="318">
        <f>COUNTA($E$3:E150)</f>
        <v>148</v>
      </c>
      <c r="B150" s="318" t="s">
        <v>5212</v>
      </c>
      <c r="C150" s="318" t="s">
        <v>1092</v>
      </c>
      <c r="D150" s="318" t="s">
        <v>49</v>
      </c>
      <c r="E150" s="318" t="s">
        <v>5213</v>
      </c>
      <c r="F150" s="316">
        <v>45054.678382638886</v>
      </c>
      <c r="G150" s="316"/>
      <c r="H150" s="316"/>
      <c r="I150" s="316" t="s">
        <v>3</v>
      </c>
      <c r="J150" s="318" t="s">
        <v>4769</v>
      </c>
      <c r="K150" s="318" t="s">
        <v>1287</v>
      </c>
      <c r="L150" s="171">
        <v>45075</v>
      </c>
      <c r="M150" s="178" t="s">
        <v>5391</v>
      </c>
      <c r="N150" s="180">
        <v>45052</v>
      </c>
      <c r="O150" s="179"/>
      <c r="Q150" t="s">
        <v>129</v>
      </c>
      <c r="R150">
        <v>16</v>
      </c>
      <c r="S150">
        <v>45054</v>
      </c>
      <c r="T150" s="196">
        <v>45064.72246527778</v>
      </c>
      <c r="U150" s="196">
        <v>45064.72246527778</v>
      </c>
      <c r="V150" s="324">
        <f t="shared" si="2"/>
        <v>1</v>
      </c>
      <c r="W150" s="201">
        <v>45064.72246527778</v>
      </c>
      <c r="X150" s="201">
        <v>45064.72246527778</v>
      </c>
      <c r="Y150" s="200">
        <v>1</v>
      </c>
      <c r="Z150" s="207">
        <v>45064</v>
      </c>
      <c r="AA150" s="206">
        <v>7</v>
      </c>
      <c r="AB150" s="207">
        <v>45072</v>
      </c>
      <c r="AC150" s="188">
        <v>15</v>
      </c>
      <c r="AD150" s="187"/>
    </row>
    <row r="151" spans="1:30">
      <c r="A151" s="318">
        <f>COUNTA($E$3:E151)</f>
        <v>149</v>
      </c>
      <c r="B151" s="318" t="s">
        <v>5217</v>
      </c>
      <c r="C151" s="318" t="s">
        <v>1092</v>
      </c>
      <c r="D151" s="318" t="s">
        <v>51</v>
      </c>
      <c r="E151" s="318" t="s">
        <v>3169</v>
      </c>
      <c r="F151" s="316">
        <v>45054</v>
      </c>
      <c r="G151" s="316"/>
      <c r="H151" s="316"/>
      <c r="I151" s="316" t="s">
        <v>2</v>
      </c>
      <c r="J151" s="318" t="s">
        <v>5303</v>
      </c>
      <c r="K151" s="318" t="s">
        <v>1295</v>
      </c>
      <c r="L151" s="171">
        <v>45075</v>
      </c>
      <c r="M151" s="178" t="s">
        <v>5362</v>
      </c>
      <c r="N151" s="180">
        <v>45075</v>
      </c>
      <c r="O151" s="179"/>
      <c r="Q151" t="s">
        <v>129</v>
      </c>
      <c r="R151">
        <v>16</v>
      </c>
      <c r="S151">
        <v>44713</v>
      </c>
      <c r="T151" s="196">
        <v>44720</v>
      </c>
      <c r="U151" s="196">
        <v>45047</v>
      </c>
      <c r="V151" s="324">
        <f t="shared" si="2"/>
        <v>234</v>
      </c>
      <c r="W151" s="201">
        <v>45047</v>
      </c>
      <c r="X151" s="201">
        <v>45047</v>
      </c>
      <c r="Y151" s="200">
        <v>1</v>
      </c>
      <c r="Z151" s="207">
        <v>45061</v>
      </c>
      <c r="AA151" s="206">
        <v>7</v>
      </c>
      <c r="AB151" s="207">
        <v>45069</v>
      </c>
      <c r="AC151" s="188">
        <v>255</v>
      </c>
      <c r="AD151" s="187"/>
    </row>
    <row r="152" spans="1:30">
      <c r="A152" s="318">
        <f>COUNTA($E$3:E152)</f>
        <v>150</v>
      </c>
      <c r="B152" s="318" t="s">
        <v>5238</v>
      </c>
      <c r="C152" s="318" t="s">
        <v>5239</v>
      </c>
      <c r="D152" s="318" t="s">
        <v>4310</v>
      </c>
      <c r="E152" s="318" t="s">
        <v>5240</v>
      </c>
      <c r="F152" s="316">
        <v>45056</v>
      </c>
      <c r="G152" s="316"/>
      <c r="H152" s="316"/>
      <c r="I152" s="316" t="s">
        <v>4</v>
      </c>
      <c r="J152" s="318"/>
      <c r="K152" s="318" t="s">
        <v>24</v>
      </c>
      <c r="L152" s="171">
        <v>45075</v>
      </c>
      <c r="M152" s="178" t="s">
        <v>5363</v>
      </c>
      <c r="N152" s="180">
        <v>45076</v>
      </c>
      <c r="O152" s="179"/>
      <c r="Q152" t="s">
        <v>22</v>
      </c>
      <c r="R152">
        <v>14</v>
      </c>
      <c r="S152">
        <v>45056</v>
      </c>
      <c r="T152" s="196">
        <v>45068.501006944447</v>
      </c>
      <c r="U152" s="196">
        <v>45068.501006944447</v>
      </c>
      <c r="V152" s="324">
        <f t="shared" si="2"/>
        <v>1</v>
      </c>
      <c r="W152" s="201">
        <v>45068.501006944447</v>
      </c>
      <c r="X152" s="201">
        <v>45068.501006944447</v>
      </c>
      <c r="Y152" s="200">
        <v>1</v>
      </c>
      <c r="Z152" s="207">
        <v>45068</v>
      </c>
      <c r="AA152" s="206">
        <v>6</v>
      </c>
      <c r="AB152" s="207">
        <v>45075</v>
      </c>
      <c r="AC152" s="188">
        <v>14</v>
      </c>
      <c r="AD152" s="187">
        <v>45076</v>
      </c>
    </row>
    <row r="153" spans="1:30">
      <c r="A153" s="318">
        <f>COUNTA($E$3:E153)</f>
        <v>151</v>
      </c>
      <c r="B153" s="318" t="s">
        <v>5241</v>
      </c>
      <c r="C153" s="318" t="s">
        <v>3296</v>
      </c>
      <c r="D153" s="318" t="s">
        <v>36</v>
      </c>
      <c r="E153" s="318" t="s">
        <v>3525</v>
      </c>
      <c r="F153" s="316">
        <v>45057</v>
      </c>
      <c r="G153" s="316"/>
      <c r="H153" s="316"/>
      <c r="I153" s="316" t="s">
        <v>3</v>
      </c>
      <c r="J153" s="318"/>
      <c r="K153" s="318" t="s">
        <v>1296</v>
      </c>
      <c r="L153" s="171">
        <v>45075</v>
      </c>
      <c r="M153" s="178" t="s">
        <v>5390</v>
      </c>
      <c r="N153" s="180">
        <v>45072</v>
      </c>
      <c r="O153" s="179"/>
      <c r="Q153" t="s">
        <v>129</v>
      </c>
      <c r="R153">
        <v>13</v>
      </c>
      <c r="S153">
        <v>45057</v>
      </c>
      <c r="T153" s="196">
        <v>45071.501574074071</v>
      </c>
      <c r="U153" s="196">
        <v>45071.501574074071</v>
      </c>
      <c r="V153" s="324">
        <f t="shared" si="2"/>
        <v>1</v>
      </c>
      <c r="W153" s="201">
        <v>45071.501574074071</v>
      </c>
      <c r="X153" s="201">
        <v>45071.501574074071</v>
      </c>
      <c r="Y153" s="200">
        <v>1</v>
      </c>
      <c r="Z153" s="207">
        <v>45071</v>
      </c>
      <c r="AA153" s="206">
        <v>2</v>
      </c>
      <c r="AB153" s="207">
        <v>45072</v>
      </c>
      <c r="AC153" s="188">
        <v>12</v>
      </c>
      <c r="AD153" s="187"/>
    </row>
    <row r="154" spans="1:30">
      <c r="A154" s="318">
        <f>COUNTA($E$3:E154)</f>
        <v>152</v>
      </c>
      <c r="B154" s="318" t="s">
        <v>5320</v>
      </c>
      <c r="C154" s="318" t="s">
        <v>40</v>
      </c>
      <c r="D154" s="318" t="s">
        <v>3179</v>
      </c>
      <c r="E154" s="318" t="s">
        <v>5321</v>
      </c>
      <c r="F154" s="316">
        <v>45055.773506944446</v>
      </c>
      <c r="G154" s="316"/>
      <c r="H154" s="316"/>
      <c r="I154" s="316" t="s">
        <v>3</v>
      </c>
      <c r="J154" s="318"/>
      <c r="K154" s="318" t="s">
        <v>1287</v>
      </c>
      <c r="L154" s="171">
        <v>45075</v>
      </c>
      <c r="M154" s="178" t="s">
        <v>5390</v>
      </c>
      <c r="N154" s="180">
        <v>45072</v>
      </c>
      <c r="O154" s="179"/>
      <c r="Q154" t="s">
        <v>129</v>
      </c>
      <c r="R154">
        <v>15</v>
      </c>
      <c r="T154" s="196"/>
      <c r="U154" s="196"/>
      <c r="V154" s="300"/>
      <c r="W154" s="201"/>
      <c r="X154" s="201"/>
      <c r="Y154" s="200"/>
      <c r="Z154" s="207"/>
      <c r="AA154" s="206"/>
      <c r="AB154" s="207"/>
      <c r="AC154" s="188"/>
      <c r="AD154" s="187"/>
    </row>
    <row r="155" spans="1:30">
      <c r="A155" s="318">
        <f>COUNTA($E$3:E155)</f>
        <v>153</v>
      </c>
      <c r="B155" s="318" t="s">
        <v>5353</v>
      </c>
      <c r="C155" s="318" t="s">
        <v>65</v>
      </c>
      <c r="D155" s="318" t="s">
        <v>1103</v>
      </c>
      <c r="E155" s="318" t="s">
        <v>3642</v>
      </c>
      <c r="F155" s="316">
        <v>45057.596990740742</v>
      </c>
      <c r="G155" s="316"/>
      <c r="H155" s="316"/>
      <c r="I155" s="316" t="s">
        <v>3</v>
      </c>
      <c r="J155" s="318"/>
      <c r="K155" s="318" t="s">
        <v>1294</v>
      </c>
      <c r="L155" s="171">
        <v>45075</v>
      </c>
      <c r="M155" s="178" t="s">
        <v>3140</v>
      </c>
      <c r="N155" s="180">
        <v>45083</v>
      </c>
      <c r="O155" s="179"/>
      <c r="Q155" t="s">
        <v>22</v>
      </c>
      <c r="R155">
        <v>13</v>
      </c>
      <c r="T155" s="196"/>
      <c r="U155" s="196"/>
      <c r="V155" s="300"/>
      <c r="W155" s="201"/>
      <c r="X155" s="201"/>
      <c r="Y155" s="200"/>
      <c r="Z155" s="207"/>
      <c r="AA155" s="206"/>
      <c r="AB155" s="207"/>
      <c r="AC155" s="188"/>
      <c r="AD155" s="187">
        <v>45083</v>
      </c>
    </row>
    <row r="156" spans="1:30">
      <c r="A156" s="318">
        <f>COUNTA($E$3:E156)</f>
        <v>154</v>
      </c>
      <c r="B156" s="318" t="s">
        <v>4857</v>
      </c>
      <c r="C156" s="318" t="s">
        <v>1752</v>
      </c>
      <c r="D156" s="318" t="s">
        <v>1123</v>
      </c>
      <c r="E156" s="318" t="s">
        <v>4858</v>
      </c>
      <c r="F156" s="316">
        <v>44994</v>
      </c>
      <c r="G156" s="316">
        <v>45061</v>
      </c>
      <c r="H156" s="316">
        <v>45005</v>
      </c>
      <c r="I156" s="316" t="s">
        <v>2</v>
      </c>
      <c r="J156" s="318" t="s">
        <v>4859</v>
      </c>
      <c r="K156" s="318"/>
      <c r="L156" s="171">
        <v>45068</v>
      </c>
      <c r="M156" s="178" t="s">
        <v>5328</v>
      </c>
      <c r="N156" s="180">
        <v>45076</v>
      </c>
      <c r="O156" s="179"/>
      <c r="Q156" t="s">
        <v>22</v>
      </c>
      <c r="R156">
        <v>53</v>
      </c>
      <c r="T156" s="196"/>
      <c r="U156" s="196"/>
      <c r="V156" s="300"/>
      <c r="W156" s="201"/>
      <c r="X156" s="201"/>
      <c r="Y156" s="200"/>
      <c r="Z156" s="207"/>
      <c r="AA156" s="206"/>
      <c r="AB156" s="207"/>
      <c r="AC156" s="188"/>
      <c r="AD156" s="187">
        <v>45076</v>
      </c>
    </row>
    <row r="157" spans="1:30">
      <c r="A157" s="318">
        <f>COUNTA($E$3:E157)</f>
        <v>155</v>
      </c>
      <c r="B157" s="318" t="s">
        <v>5161</v>
      </c>
      <c r="C157" s="318" t="s">
        <v>41</v>
      </c>
      <c r="D157" s="318" t="s">
        <v>49</v>
      </c>
      <c r="E157" s="318" t="s">
        <v>2719</v>
      </c>
      <c r="F157" s="316">
        <v>45042.543129432874</v>
      </c>
      <c r="G157" s="316"/>
      <c r="H157" s="316"/>
      <c r="I157" s="316" t="s">
        <v>2</v>
      </c>
      <c r="J157" s="318" t="s">
        <v>5294</v>
      </c>
      <c r="K157" s="318"/>
      <c r="L157" s="171">
        <v>45068</v>
      </c>
      <c r="M157" s="178" t="s">
        <v>5329</v>
      </c>
      <c r="N157" s="180">
        <v>45083</v>
      </c>
      <c r="O157" s="179"/>
      <c r="Q157" t="s">
        <v>22</v>
      </c>
      <c r="R157">
        <v>19</v>
      </c>
      <c r="T157" s="196"/>
      <c r="U157" s="196"/>
      <c r="V157" s="300"/>
      <c r="W157" s="201"/>
      <c r="X157" s="201"/>
      <c r="Y157" s="200"/>
      <c r="Z157" s="207"/>
      <c r="AA157" s="206"/>
      <c r="AB157" s="207"/>
      <c r="AC157" s="188"/>
      <c r="AD157" s="187">
        <v>45083</v>
      </c>
    </row>
    <row r="158" spans="1:30">
      <c r="A158" s="318">
        <f>COUNTA($E$3:E158)</f>
        <v>156</v>
      </c>
      <c r="B158" s="318" t="s">
        <v>5216</v>
      </c>
      <c r="C158" s="318" t="s">
        <v>1092</v>
      </c>
      <c r="D158" s="318" t="s">
        <v>51</v>
      </c>
      <c r="E158" s="318" t="s">
        <v>4522</v>
      </c>
      <c r="F158" s="316">
        <v>45054.683086666664</v>
      </c>
      <c r="G158" s="316"/>
      <c r="H158" s="316"/>
      <c r="I158" s="316" t="s">
        <v>3</v>
      </c>
      <c r="J158" s="318" t="s">
        <v>2153</v>
      </c>
      <c r="K158" s="318" t="s">
        <v>1062</v>
      </c>
      <c r="L158" s="171">
        <v>45068</v>
      </c>
      <c r="M158" s="178" t="s">
        <v>5316</v>
      </c>
      <c r="N158" s="180">
        <v>45075</v>
      </c>
      <c r="O158" s="179"/>
      <c r="Q158" t="s">
        <v>129</v>
      </c>
      <c r="R158">
        <v>11</v>
      </c>
      <c r="T158" s="196"/>
      <c r="U158" s="196"/>
      <c r="V158" s="300"/>
      <c r="W158" s="201"/>
      <c r="X158" s="201"/>
      <c r="Y158" s="200"/>
      <c r="Z158" s="207"/>
      <c r="AA158" s="206"/>
      <c r="AB158" s="207"/>
      <c r="AC158" s="188"/>
      <c r="AD158" s="187"/>
    </row>
    <row r="159" spans="1:30">
      <c r="A159" s="318">
        <f>COUNTA($E$3:E159)</f>
        <v>157</v>
      </c>
      <c r="B159" s="318" t="s">
        <v>5231</v>
      </c>
      <c r="C159" s="318" t="s">
        <v>41</v>
      </c>
      <c r="D159" s="318" t="s">
        <v>30</v>
      </c>
      <c r="E159" s="318" t="s">
        <v>1640</v>
      </c>
      <c r="F159" s="316">
        <v>45055.547175925924</v>
      </c>
      <c r="G159" s="316"/>
      <c r="H159" s="316"/>
      <c r="I159" s="316" t="s">
        <v>3</v>
      </c>
      <c r="J159" s="318" t="s">
        <v>1212</v>
      </c>
      <c r="K159" s="318" t="s">
        <v>1296</v>
      </c>
      <c r="L159" s="171">
        <v>45068</v>
      </c>
      <c r="M159" s="178" t="s">
        <v>5324</v>
      </c>
      <c r="N159" s="180">
        <v>45147</v>
      </c>
      <c r="O159" s="179"/>
      <c r="Q159" t="s">
        <v>129</v>
      </c>
      <c r="R159">
        <v>10</v>
      </c>
      <c r="T159" s="196"/>
      <c r="U159" s="196"/>
      <c r="V159" s="300"/>
      <c r="W159" s="201"/>
      <c r="X159" s="201"/>
      <c r="Y159" s="200"/>
      <c r="Z159" s="207"/>
      <c r="AA159" s="206"/>
      <c r="AB159" s="207"/>
      <c r="AC159" s="188"/>
      <c r="AD159" s="187"/>
    </row>
    <row r="160" spans="1:30">
      <c r="A160" s="318">
        <f>COUNTA($E$3:E160)</f>
        <v>158</v>
      </c>
      <c r="B160" s="318" t="s">
        <v>5259</v>
      </c>
      <c r="C160" s="318" t="s">
        <v>3299</v>
      </c>
      <c r="D160" s="318" t="s">
        <v>58</v>
      </c>
      <c r="E160" s="318" t="s">
        <v>5260</v>
      </c>
      <c r="F160" s="316">
        <v>45057</v>
      </c>
      <c r="G160" s="316"/>
      <c r="H160" s="316"/>
      <c r="I160" s="316" t="s">
        <v>3</v>
      </c>
      <c r="J160" s="318" t="s">
        <v>4769</v>
      </c>
      <c r="K160" s="318" t="s">
        <v>1296</v>
      </c>
      <c r="L160" s="171">
        <v>45068</v>
      </c>
      <c r="M160" s="178" t="s">
        <v>5322</v>
      </c>
      <c r="N160" s="180">
        <v>45068</v>
      </c>
      <c r="O160" s="179"/>
      <c r="Q160" t="s">
        <v>129</v>
      </c>
      <c r="R160">
        <v>8</v>
      </c>
      <c r="T160" s="196"/>
      <c r="U160" s="196"/>
      <c r="V160" s="300"/>
      <c r="W160" s="201"/>
      <c r="X160" s="201"/>
      <c r="Y160" s="200"/>
      <c r="Z160" s="207"/>
      <c r="AA160" s="206"/>
      <c r="AB160" s="207"/>
      <c r="AC160" s="188"/>
      <c r="AD160" s="187"/>
    </row>
    <row r="161" spans="1:30">
      <c r="A161" s="318">
        <f>COUNTA($E$3:E161)</f>
        <v>159</v>
      </c>
      <c r="B161" s="318" t="s">
        <v>5261</v>
      </c>
      <c r="C161" s="318" t="s">
        <v>3299</v>
      </c>
      <c r="D161" s="318" t="s">
        <v>16</v>
      </c>
      <c r="E161" s="318" t="s">
        <v>5262</v>
      </c>
      <c r="F161" s="316">
        <v>45058</v>
      </c>
      <c r="G161" s="316"/>
      <c r="H161" s="316"/>
      <c r="I161" s="316" t="s">
        <v>3</v>
      </c>
      <c r="J161" s="318" t="s">
        <v>4769</v>
      </c>
      <c r="K161" s="318" t="s">
        <v>1296</v>
      </c>
      <c r="L161" s="171">
        <v>45068</v>
      </c>
      <c r="M161" s="178" t="s">
        <v>5323</v>
      </c>
      <c r="N161" s="180">
        <v>45068</v>
      </c>
      <c r="O161" s="179"/>
      <c r="Q161" t="s">
        <v>129</v>
      </c>
      <c r="R161">
        <v>7</v>
      </c>
      <c r="T161" s="196"/>
      <c r="U161" s="196"/>
      <c r="V161" s="300"/>
      <c r="W161" s="201"/>
      <c r="X161" s="201"/>
      <c r="Y161" s="200"/>
      <c r="Z161" s="207"/>
      <c r="AA161" s="206"/>
      <c r="AB161" s="207"/>
      <c r="AC161" s="188"/>
      <c r="AD161" s="187"/>
    </row>
    <row r="162" spans="1:30">
      <c r="A162" s="318">
        <f>COUNTA($E$3:E162)</f>
        <v>160</v>
      </c>
      <c r="B162" s="318" t="s">
        <v>4918</v>
      </c>
      <c r="C162" s="318" t="s">
        <v>41</v>
      </c>
      <c r="D162" s="318" t="s">
        <v>49</v>
      </c>
      <c r="E162" s="318" t="s">
        <v>4919</v>
      </c>
      <c r="F162" s="316">
        <v>45008</v>
      </c>
      <c r="G162" s="316"/>
      <c r="H162" s="316" t="s">
        <v>66</v>
      </c>
      <c r="I162" s="316" t="s">
        <v>2</v>
      </c>
      <c r="J162" s="318" t="s">
        <v>4920</v>
      </c>
      <c r="K162" s="318" t="s">
        <v>20</v>
      </c>
      <c r="L162" s="171">
        <v>45061</v>
      </c>
      <c r="M162" s="178" t="s">
        <v>5264</v>
      </c>
      <c r="N162" s="180">
        <v>45057</v>
      </c>
      <c r="O162" s="179"/>
      <c r="Q162" t="s">
        <v>22</v>
      </c>
      <c r="R162">
        <v>38</v>
      </c>
      <c r="T162" s="196"/>
      <c r="U162" s="196"/>
      <c r="V162" s="300"/>
      <c r="W162" s="201"/>
      <c r="X162" s="201"/>
      <c r="Y162" s="200"/>
      <c r="Z162" s="207"/>
      <c r="AA162" s="206"/>
      <c r="AB162" s="207"/>
      <c r="AC162" s="188"/>
      <c r="AD162" s="187">
        <v>45057</v>
      </c>
    </row>
    <row r="163" spans="1:30">
      <c r="A163" s="318">
        <f>COUNTA($E$3:E163)</f>
        <v>161</v>
      </c>
      <c r="B163" s="318" t="s">
        <v>5159</v>
      </c>
      <c r="C163" s="318" t="s">
        <v>4637</v>
      </c>
      <c r="D163" s="318" t="s">
        <v>1124</v>
      </c>
      <c r="E163" s="318" t="s">
        <v>5160</v>
      </c>
      <c r="F163" s="316">
        <v>45042</v>
      </c>
      <c r="G163" s="316">
        <v>45058</v>
      </c>
      <c r="H163" s="316">
        <v>45050</v>
      </c>
      <c r="I163" s="316" t="s">
        <v>3</v>
      </c>
      <c r="J163" s="318"/>
      <c r="K163" s="318" t="s">
        <v>103</v>
      </c>
      <c r="L163" s="171">
        <v>45061</v>
      </c>
      <c r="M163" s="178" t="s">
        <v>5265</v>
      </c>
      <c r="N163" s="180">
        <v>45061</v>
      </c>
      <c r="O163" s="179"/>
      <c r="Q163" t="s">
        <v>22</v>
      </c>
      <c r="R163">
        <v>14</v>
      </c>
      <c r="T163" s="196"/>
      <c r="U163" s="196"/>
      <c r="V163" s="300"/>
      <c r="W163" s="201"/>
      <c r="X163" s="201"/>
      <c r="Y163" s="200"/>
      <c r="Z163" s="207"/>
      <c r="AA163" s="206"/>
      <c r="AB163" s="207"/>
      <c r="AC163" s="188"/>
      <c r="AD163" s="187">
        <v>45061</v>
      </c>
    </row>
    <row r="164" spans="1:30">
      <c r="A164" s="318">
        <f>COUNTA($E$3:E164)</f>
        <v>162</v>
      </c>
      <c r="B164" s="318" t="s">
        <v>5166</v>
      </c>
      <c r="C164" s="318" t="s">
        <v>37</v>
      </c>
      <c r="D164" s="318" t="s">
        <v>30</v>
      </c>
      <c r="E164" s="318" t="s">
        <v>4932</v>
      </c>
      <c r="F164" s="316">
        <v>45043.453528298611</v>
      </c>
      <c r="G164" s="316"/>
      <c r="H164" s="316"/>
      <c r="I164" s="316" t="s">
        <v>3</v>
      </c>
      <c r="J164" s="318"/>
      <c r="K164" s="318"/>
      <c r="L164" s="171">
        <v>45061</v>
      </c>
      <c r="M164" s="178" t="s">
        <v>5255</v>
      </c>
      <c r="N164" s="180">
        <v>45068</v>
      </c>
      <c r="O164" s="179"/>
      <c r="Q164" t="s">
        <v>129</v>
      </c>
      <c r="R164">
        <v>13</v>
      </c>
      <c r="T164" s="196"/>
      <c r="U164" s="196"/>
      <c r="V164" s="300"/>
      <c r="W164" s="201"/>
      <c r="X164" s="201"/>
      <c r="Y164" s="200"/>
      <c r="Z164" s="207"/>
      <c r="AA164" s="206"/>
      <c r="AB164" s="207"/>
      <c r="AC164" s="188"/>
      <c r="AD164" s="187"/>
    </row>
    <row r="165" spans="1:30">
      <c r="A165" s="318">
        <f>COUNTA($E$3:E165)</f>
        <v>163</v>
      </c>
      <c r="B165" s="318" t="s">
        <v>5197</v>
      </c>
      <c r="C165" s="318" t="s">
        <v>2315</v>
      </c>
      <c r="D165" s="318" t="s">
        <v>58</v>
      </c>
      <c r="E165" s="318" t="s">
        <v>2316</v>
      </c>
      <c r="F165" s="316">
        <v>45055</v>
      </c>
      <c r="G165" s="316"/>
      <c r="H165" s="316"/>
      <c r="I165" s="316" t="s">
        <v>3</v>
      </c>
      <c r="J165" s="318"/>
      <c r="K165" s="318" t="s">
        <v>54</v>
      </c>
      <c r="L165" s="171">
        <v>45061</v>
      </c>
      <c r="M165" s="178" t="s">
        <v>5266</v>
      </c>
      <c r="N165" s="180">
        <v>45054</v>
      </c>
      <c r="O165" s="179"/>
      <c r="Q165" t="s">
        <v>129</v>
      </c>
      <c r="R165">
        <v>5</v>
      </c>
      <c r="T165" s="195"/>
      <c r="U165" s="195"/>
      <c r="V165" s="300"/>
      <c r="W165" s="201"/>
      <c r="X165" s="201"/>
      <c r="Y165" s="200"/>
      <c r="Z165" s="207"/>
      <c r="AA165" s="206"/>
      <c r="AB165" s="207"/>
      <c r="AC165" s="188"/>
      <c r="AD165" s="187"/>
    </row>
    <row r="166" spans="1:30">
      <c r="A166" s="318">
        <f>COUNTA($E$3:E166)</f>
        <v>164</v>
      </c>
      <c r="B166" s="318" t="s">
        <v>5227</v>
      </c>
      <c r="C166" s="318" t="s">
        <v>105</v>
      </c>
      <c r="D166" s="318" t="s">
        <v>45</v>
      </c>
      <c r="E166" s="318" t="s">
        <v>5228</v>
      </c>
      <c r="F166" s="316">
        <v>45057.493819444448</v>
      </c>
      <c r="G166" s="316"/>
      <c r="H166" s="316"/>
      <c r="I166" s="316" t="s">
        <v>4</v>
      </c>
      <c r="J166" s="318" t="s">
        <v>4624</v>
      </c>
      <c r="K166" s="318" t="s">
        <v>287</v>
      </c>
      <c r="L166" s="171">
        <v>45061</v>
      </c>
      <c r="M166" s="178" t="s">
        <v>3046</v>
      </c>
      <c r="N166" s="180">
        <v>45083</v>
      </c>
      <c r="O166" s="179"/>
      <c r="Q166" t="s">
        <v>22</v>
      </c>
      <c r="R166">
        <v>3</v>
      </c>
      <c r="T166" s="195"/>
      <c r="U166" s="195"/>
      <c r="V166" s="300"/>
      <c r="W166" s="201"/>
      <c r="X166" s="201"/>
      <c r="Y166" s="200"/>
      <c r="Z166" s="207"/>
      <c r="AA166" s="206"/>
      <c r="AB166" s="207"/>
      <c r="AC166" s="188"/>
      <c r="AD166" s="187">
        <v>45083</v>
      </c>
    </row>
    <row r="167" spans="1:30">
      <c r="A167" s="318">
        <f>COUNTA($E$3:E167)</f>
        <v>165</v>
      </c>
      <c r="B167" s="318" t="s">
        <v>5118</v>
      </c>
      <c r="C167" s="318" t="s">
        <v>2431</v>
      </c>
      <c r="D167" s="318" t="s">
        <v>19</v>
      </c>
      <c r="E167" s="318" t="s">
        <v>3523</v>
      </c>
      <c r="F167" s="316">
        <v>45035</v>
      </c>
      <c r="G167" s="316"/>
      <c r="H167" s="316"/>
      <c r="I167" s="316" t="s">
        <v>2</v>
      </c>
      <c r="J167" s="318"/>
      <c r="K167" s="318" t="s">
        <v>1287</v>
      </c>
      <c r="L167" s="171">
        <v>45054</v>
      </c>
      <c r="M167" s="178" t="s">
        <v>2953</v>
      </c>
      <c r="N167" s="180">
        <v>45050</v>
      </c>
      <c r="O167" s="179"/>
      <c r="Q167" t="s">
        <v>129</v>
      </c>
      <c r="R167">
        <v>19</v>
      </c>
      <c r="T167" s="195"/>
      <c r="U167" s="195"/>
      <c r="V167" s="300"/>
      <c r="W167" s="201"/>
      <c r="X167" s="201"/>
      <c r="Y167" s="200"/>
      <c r="Z167" s="207"/>
      <c r="AA167" s="206"/>
      <c r="AB167" s="207"/>
      <c r="AC167" s="188"/>
      <c r="AD167" s="187"/>
    </row>
    <row r="168" spans="1:30">
      <c r="A168" s="318">
        <f>COUNTA($E$3:E168)</f>
        <v>166</v>
      </c>
      <c r="B168" s="318" t="s">
        <v>5162</v>
      </c>
      <c r="C168" s="318" t="s">
        <v>2431</v>
      </c>
      <c r="D168" s="318" t="s">
        <v>36</v>
      </c>
      <c r="E168" s="318" t="s">
        <v>3123</v>
      </c>
      <c r="F168" s="316">
        <v>44704</v>
      </c>
      <c r="G168" s="316">
        <v>45012</v>
      </c>
      <c r="H168" s="316">
        <v>44714</v>
      </c>
      <c r="I168" s="316" t="s">
        <v>2</v>
      </c>
      <c r="J168" s="318" t="s">
        <v>5163</v>
      </c>
      <c r="K168" s="318" t="s">
        <v>24</v>
      </c>
      <c r="L168" s="171">
        <v>45054</v>
      </c>
      <c r="M168" s="178" t="s">
        <v>5209</v>
      </c>
      <c r="N168" s="180">
        <v>45055</v>
      </c>
      <c r="O168" s="179"/>
      <c r="Q168" t="s">
        <v>22</v>
      </c>
      <c r="R168">
        <v>350</v>
      </c>
      <c r="T168" s="195"/>
      <c r="U168" s="195"/>
      <c r="V168" s="300"/>
      <c r="W168" s="201"/>
      <c r="X168" s="201"/>
      <c r="Y168" s="200"/>
      <c r="Z168" s="207"/>
      <c r="AA168" s="206"/>
      <c r="AB168" s="207"/>
      <c r="AC168" s="188"/>
      <c r="AD168" s="187">
        <v>45055</v>
      </c>
    </row>
    <row r="169" spans="1:30">
      <c r="A169" s="318">
        <f>COUNTA($E$3:E169)</f>
        <v>167</v>
      </c>
      <c r="B169" s="318" t="s">
        <v>5164</v>
      </c>
      <c r="C169" s="318" t="s">
        <v>37</v>
      </c>
      <c r="D169" s="318" t="s">
        <v>27</v>
      </c>
      <c r="E169" s="318" t="s">
        <v>4721</v>
      </c>
      <c r="F169" s="316">
        <v>45043.449482129632</v>
      </c>
      <c r="G169" s="316"/>
      <c r="H169" s="316"/>
      <c r="I169" s="316" t="s">
        <v>4</v>
      </c>
      <c r="J169" s="318"/>
      <c r="K169" s="318" t="s">
        <v>1287</v>
      </c>
      <c r="L169" s="171">
        <v>45054</v>
      </c>
      <c r="M169" s="178" t="s">
        <v>5208</v>
      </c>
      <c r="N169" s="180">
        <v>45054</v>
      </c>
      <c r="O169" s="179"/>
      <c r="Q169" t="s">
        <v>129</v>
      </c>
      <c r="R169">
        <v>11</v>
      </c>
      <c r="T169" s="195"/>
      <c r="U169" s="195"/>
      <c r="V169" s="300"/>
      <c r="W169" s="201"/>
      <c r="X169" s="201"/>
      <c r="Y169" s="200"/>
      <c r="Z169" s="207"/>
      <c r="AA169" s="206"/>
      <c r="AB169" s="207"/>
      <c r="AC169" s="188"/>
      <c r="AD169" s="187"/>
    </row>
    <row r="170" spans="1:30">
      <c r="A170" s="318">
        <f>COUNTA($E$3:E170)</f>
        <v>168</v>
      </c>
      <c r="B170" s="318" t="s">
        <v>5165</v>
      </c>
      <c r="C170" s="318" t="s">
        <v>37</v>
      </c>
      <c r="D170" s="318" t="s">
        <v>34</v>
      </c>
      <c r="E170" s="318" t="s">
        <v>1807</v>
      </c>
      <c r="F170" s="316">
        <v>45043.451997083335</v>
      </c>
      <c r="G170" s="316"/>
      <c r="H170" s="316"/>
      <c r="I170" s="316" t="s">
        <v>3</v>
      </c>
      <c r="J170" s="318"/>
      <c r="K170" s="318" t="s">
        <v>1287</v>
      </c>
      <c r="L170" s="171">
        <v>45054</v>
      </c>
      <c r="M170" s="178" t="s">
        <v>3005</v>
      </c>
      <c r="N170" s="180">
        <v>45068</v>
      </c>
      <c r="O170" s="179"/>
      <c r="Q170" t="s">
        <v>129</v>
      </c>
      <c r="R170">
        <v>11</v>
      </c>
      <c r="T170" s="195"/>
      <c r="U170" s="195"/>
      <c r="V170" s="300"/>
      <c r="W170" s="201"/>
      <c r="X170" s="201"/>
      <c r="Y170" s="200"/>
      <c r="Z170" s="207"/>
      <c r="AA170" s="206"/>
      <c r="AB170" s="207"/>
      <c r="AC170" s="188"/>
      <c r="AD170" s="187"/>
    </row>
    <row r="171" spans="1:30">
      <c r="A171" s="318">
        <f>COUNTA($E$3:E171)</f>
        <v>169</v>
      </c>
      <c r="B171" s="318" t="s">
        <v>5178</v>
      </c>
      <c r="C171" s="318" t="s">
        <v>41</v>
      </c>
      <c r="D171" s="318" t="s">
        <v>32</v>
      </c>
      <c r="E171" s="318" t="s">
        <v>1282</v>
      </c>
      <c r="F171" s="316">
        <v>45045</v>
      </c>
      <c r="G171" s="316"/>
      <c r="H171" s="316"/>
      <c r="I171" s="316" t="s">
        <v>1110</v>
      </c>
      <c r="J171" s="318"/>
      <c r="K171" s="318" t="s">
        <v>1296</v>
      </c>
      <c r="L171" s="171">
        <v>45054</v>
      </c>
      <c r="M171" s="178" t="s">
        <v>5208</v>
      </c>
      <c r="N171" s="180">
        <v>45147</v>
      </c>
      <c r="O171" s="179"/>
      <c r="Q171" t="s">
        <v>129</v>
      </c>
      <c r="R171">
        <v>9</v>
      </c>
      <c r="T171" s="195"/>
      <c r="U171" s="195"/>
      <c r="V171" s="300"/>
      <c r="W171" s="201"/>
      <c r="X171" s="201"/>
      <c r="Y171" s="200"/>
      <c r="Z171" s="207"/>
      <c r="AA171" s="206"/>
      <c r="AB171" s="207"/>
      <c r="AC171" s="188"/>
      <c r="AD171" s="187"/>
    </row>
    <row r="172" spans="1:30">
      <c r="A172" s="318">
        <f>COUNTA($E$3:E172)</f>
        <v>170</v>
      </c>
      <c r="B172" s="318" t="s">
        <v>5179</v>
      </c>
      <c r="C172" s="318" t="s">
        <v>41</v>
      </c>
      <c r="D172" s="318" t="s">
        <v>32</v>
      </c>
      <c r="E172" s="318" t="s">
        <v>2695</v>
      </c>
      <c r="F172" s="316">
        <v>45045</v>
      </c>
      <c r="G172" s="316"/>
      <c r="H172" s="316"/>
      <c r="I172" s="316" t="s">
        <v>1110</v>
      </c>
      <c r="J172" s="318"/>
      <c r="K172" s="318" t="s">
        <v>1296</v>
      </c>
      <c r="L172" s="171">
        <v>45054</v>
      </c>
      <c r="M172" s="178" t="s">
        <v>5208</v>
      </c>
      <c r="N172" s="180">
        <v>45147</v>
      </c>
      <c r="O172" s="179"/>
      <c r="Q172" t="s">
        <v>129</v>
      </c>
      <c r="R172">
        <v>9</v>
      </c>
      <c r="T172" s="195"/>
      <c r="U172" s="195"/>
      <c r="V172" s="300"/>
      <c r="W172" s="201"/>
      <c r="X172" s="201"/>
      <c r="Y172" s="200"/>
      <c r="Z172" s="207"/>
      <c r="AA172" s="206"/>
      <c r="AB172" s="207"/>
      <c r="AC172" s="188"/>
      <c r="AD172" s="187"/>
    </row>
    <row r="173" spans="1:30">
      <c r="A173" s="318">
        <f>COUNTA($E$3:E173)</f>
        <v>171</v>
      </c>
      <c r="B173" s="318" t="s">
        <v>5180</v>
      </c>
      <c r="C173" s="318" t="s">
        <v>41</v>
      </c>
      <c r="D173" s="318" t="s">
        <v>51</v>
      </c>
      <c r="E173" s="318" t="s">
        <v>4516</v>
      </c>
      <c r="F173" s="316">
        <v>45045</v>
      </c>
      <c r="G173" s="316"/>
      <c r="H173" s="316"/>
      <c r="I173" s="316" t="s">
        <v>1110</v>
      </c>
      <c r="J173" s="318"/>
      <c r="K173" s="318" t="s">
        <v>1296</v>
      </c>
      <c r="L173" s="171">
        <v>45054</v>
      </c>
      <c r="M173" s="178" t="s">
        <v>5208</v>
      </c>
      <c r="N173" s="180">
        <v>45147</v>
      </c>
      <c r="O173" s="179"/>
      <c r="Q173" t="s">
        <v>129</v>
      </c>
      <c r="R173">
        <v>9</v>
      </c>
      <c r="T173" s="195"/>
      <c r="U173" s="195"/>
      <c r="V173" s="300"/>
      <c r="W173" s="201"/>
      <c r="X173" s="201"/>
      <c r="Y173" s="200"/>
      <c r="Z173" s="207"/>
      <c r="AA173" s="206"/>
      <c r="AB173" s="207"/>
      <c r="AC173" s="188"/>
      <c r="AD173" s="187"/>
    </row>
    <row r="174" spans="1:30">
      <c r="A174" s="318">
        <f>COUNTA($E$3:E174)</f>
        <v>172</v>
      </c>
      <c r="B174" s="318" t="s">
        <v>5181</v>
      </c>
      <c r="C174" s="318" t="s">
        <v>41</v>
      </c>
      <c r="D174" s="318" t="s">
        <v>56</v>
      </c>
      <c r="E174" s="318" t="s">
        <v>3068</v>
      </c>
      <c r="F174" s="316">
        <v>45045</v>
      </c>
      <c r="G174" s="316"/>
      <c r="H174" s="316"/>
      <c r="I174" s="316" t="s">
        <v>1110</v>
      </c>
      <c r="J174" s="318"/>
      <c r="K174" s="318" t="s">
        <v>1296</v>
      </c>
      <c r="L174" s="171">
        <v>45054</v>
      </c>
      <c r="M174" s="178" t="s">
        <v>5208</v>
      </c>
      <c r="N174" s="180">
        <v>45147</v>
      </c>
      <c r="O174" s="179"/>
      <c r="Q174" t="s">
        <v>129</v>
      </c>
      <c r="R174">
        <v>9</v>
      </c>
      <c r="T174" s="195"/>
      <c r="U174" s="195"/>
      <c r="V174" s="300"/>
      <c r="W174" s="201"/>
      <c r="X174" s="201"/>
      <c r="Y174" s="200"/>
      <c r="Z174" s="207"/>
      <c r="AA174" s="206"/>
      <c r="AB174" s="207"/>
      <c r="AC174" s="188"/>
      <c r="AD174" s="187"/>
    </row>
    <row r="175" spans="1:30">
      <c r="A175" s="318">
        <f>COUNTA($E$3:E175)</f>
        <v>173</v>
      </c>
      <c r="B175" s="318" t="s">
        <v>5182</v>
      </c>
      <c r="C175" s="318" t="s">
        <v>41</v>
      </c>
      <c r="D175" s="318" t="s">
        <v>1125</v>
      </c>
      <c r="E175" s="318" t="s">
        <v>2879</v>
      </c>
      <c r="F175" s="316">
        <v>45045</v>
      </c>
      <c r="G175" s="316"/>
      <c r="H175" s="316"/>
      <c r="I175" s="316" t="s">
        <v>1110</v>
      </c>
      <c r="J175" s="318"/>
      <c r="K175" s="318" t="s">
        <v>1296</v>
      </c>
      <c r="L175" s="171">
        <v>45054</v>
      </c>
      <c r="M175" s="178" t="s">
        <v>5208</v>
      </c>
      <c r="N175" s="180">
        <v>45147</v>
      </c>
      <c r="O175" s="179"/>
      <c r="Q175" t="s">
        <v>129</v>
      </c>
      <c r="R175">
        <v>9</v>
      </c>
      <c r="T175" s="195"/>
      <c r="U175" s="195"/>
      <c r="V175" s="300"/>
      <c r="W175" s="201"/>
      <c r="X175" s="201"/>
      <c r="Y175" s="200"/>
      <c r="Z175" s="207"/>
      <c r="AA175" s="206"/>
      <c r="AB175" s="207"/>
      <c r="AC175" s="188"/>
      <c r="AD175" s="187"/>
    </row>
    <row r="176" spans="1:30">
      <c r="A176" s="318">
        <f>COUNTA($E$3:E176)</f>
        <v>174</v>
      </c>
      <c r="B176" s="318" t="s">
        <v>5183</v>
      </c>
      <c r="C176" s="318" t="s">
        <v>40</v>
      </c>
      <c r="D176" s="318" t="s">
        <v>1123</v>
      </c>
      <c r="E176" s="318" t="s">
        <v>5184</v>
      </c>
      <c r="F176" s="316">
        <v>45045</v>
      </c>
      <c r="G176" s="316"/>
      <c r="H176" s="316"/>
      <c r="I176" s="316" t="s">
        <v>1110</v>
      </c>
      <c r="J176" s="318"/>
      <c r="K176" s="318" t="s">
        <v>1296</v>
      </c>
      <c r="L176" s="171">
        <v>45054</v>
      </c>
      <c r="M176" s="178" t="s">
        <v>5208</v>
      </c>
      <c r="N176" s="180">
        <v>45064</v>
      </c>
      <c r="O176" s="179"/>
      <c r="Q176" t="s">
        <v>129</v>
      </c>
      <c r="R176">
        <v>9</v>
      </c>
      <c r="T176" s="195"/>
      <c r="U176" s="195"/>
      <c r="V176" s="300"/>
      <c r="W176" s="201"/>
      <c r="X176" s="201"/>
      <c r="Y176" s="200"/>
      <c r="Z176" s="207"/>
      <c r="AA176" s="206"/>
      <c r="AB176" s="207"/>
      <c r="AC176" s="188"/>
      <c r="AD176" s="187"/>
    </row>
    <row r="177" spans="1:30">
      <c r="A177" s="318">
        <f>COUNTA($E$3:E177)</f>
        <v>175</v>
      </c>
      <c r="B177" s="318" t="s">
        <v>5185</v>
      </c>
      <c r="C177" s="318" t="s">
        <v>41</v>
      </c>
      <c r="D177" s="318" t="s">
        <v>32</v>
      </c>
      <c r="E177" s="318" t="s">
        <v>1159</v>
      </c>
      <c r="F177" s="316">
        <v>45045</v>
      </c>
      <c r="G177" s="316"/>
      <c r="H177" s="316"/>
      <c r="I177" s="316" t="s">
        <v>1110</v>
      </c>
      <c r="J177" s="318"/>
      <c r="K177" s="318" t="s">
        <v>1296</v>
      </c>
      <c r="L177" s="171">
        <v>45054</v>
      </c>
      <c r="M177" s="178" t="s">
        <v>5208</v>
      </c>
      <c r="N177" s="180">
        <v>45147</v>
      </c>
      <c r="O177" s="179"/>
      <c r="Q177" t="s">
        <v>129</v>
      </c>
      <c r="R177">
        <v>9</v>
      </c>
      <c r="T177" s="195"/>
      <c r="U177" s="195"/>
      <c r="V177" s="300"/>
      <c r="W177" s="201"/>
      <c r="X177" s="201"/>
      <c r="Y177" s="200"/>
      <c r="Z177" s="207"/>
      <c r="AA177" s="206"/>
      <c r="AB177" s="207"/>
      <c r="AC177" s="188"/>
      <c r="AD177" s="187"/>
    </row>
    <row r="178" spans="1:30">
      <c r="A178" s="318">
        <f>COUNTA($E$3:E178)</f>
        <v>176</v>
      </c>
      <c r="B178" s="318" t="s">
        <v>5186</v>
      </c>
      <c r="C178" s="318" t="s">
        <v>41</v>
      </c>
      <c r="D178" s="318" t="s">
        <v>51</v>
      </c>
      <c r="E178" s="318" t="s">
        <v>4607</v>
      </c>
      <c r="F178" s="316">
        <v>45045</v>
      </c>
      <c r="G178" s="316"/>
      <c r="H178" s="316"/>
      <c r="I178" s="316" t="s">
        <v>1110</v>
      </c>
      <c r="J178" s="318"/>
      <c r="K178" s="318" t="s">
        <v>1296</v>
      </c>
      <c r="L178" s="171">
        <v>45054</v>
      </c>
      <c r="M178" s="178" t="s">
        <v>5208</v>
      </c>
      <c r="N178" s="180">
        <v>45147</v>
      </c>
      <c r="O178" s="179"/>
      <c r="Q178" t="s">
        <v>129</v>
      </c>
      <c r="R178">
        <v>9</v>
      </c>
      <c r="T178" s="195"/>
      <c r="U178" s="195"/>
      <c r="V178" s="300"/>
      <c r="W178" s="201"/>
      <c r="X178" s="201"/>
      <c r="Y178" s="200"/>
      <c r="Z178" s="207"/>
      <c r="AA178" s="206"/>
      <c r="AB178" s="207"/>
      <c r="AC178" s="188"/>
      <c r="AD178" s="187"/>
    </row>
    <row r="179" spans="1:30">
      <c r="A179" s="318">
        <f>COUNTA($E$3:E179)</f>
        <v>177</v>
      </c>
      <c r="B179" s="318" t="s">
        <v>5187</v>
      </c>
      <c r="C179" s="318" t="s">
        <v>41</v>
      </c>
      <c r="D179" s="318" t="s">
        <v>1193</v>
      </c>
      <c r="E179" s="318" t="s">
        <v>4257</v>
      </c>
      <c r="F179" s="316">
        <v>45045</v>
      </c>
      <c r="G179" s="316"/>
      <c r="H179" s="316"/>
      <c r="I179" s="316" t="s">
        <v>1110</v>
      </c>
      <c r="J179" s="318"/>
      <c r="K179" s="318" t="s">
        <v>1296</v>
      </c>
      <c r="L179" s="171">
        <v>45054</v>
      </c>
      <c r="M179" s="178" t="s">
        <v>5208</v>
      </c>
      <c r="N179" s="180">
        <v>45147</v>
      </c>
      <c r="O179" s="179"/>
      <c r="Q179" t="s">
        <v>129</v>
      </c>
      <c r="R179">
        <v>9</v>
      </c>
      <c r="T179" s="195"/>
      <c r="U179" s="195"/>
      <c r="V179" s="300"/>
      <c r="W179" s="201"/>
      <c r="X179" s="201"/>
      <c r="Y179" s="200"/>
      <c r="Z179" s="207"/>
      <c r="AA179" s="206"/>
      <c r="AB179" s="207"/>
      <c r="AC179" s="188"/>
      <c r="AD179" s="187"/>
    </row>
    <row r="180" spans="1:30">
      <c r="A180" s="318">
        <f>COUNTA($E$3:E180)</f>
        <v>178</v>
      </c>
      <c r="B180" s="318" t="s">
        <v>5201</v>
      </c>
      <c r="C180" s="318" t="s">
        <v>41</v>
      </c>
      <c r="D180" s="318" t="s">
        <v>25</v>
      </c>
      <c r="E180" s="318" t="s">
        <v>1199</v>
      </c>
      <c r="F180" s="316">
        <v>45051.629629629628</v>
      </c>
      <c r="G180" s="316"/>
      <c r="H180" s="316"/>
      <c r="I180" s="316" t="s">
        <v>3</v>
      </c>
      <c r="J180" s="318" t="s">
        <v>1485</v>
      </c>
      <c r="K180" s="318" t="s">
        <v>1287</v>
      </c>
      <c r="L180" s="171">
        <v>45054</v>
      </c>
      <c r="M180" s="178" t="s">
        <v>5208</v>
      </c>
      <c r="N180" s="180">
        <v>45147</v>
      </c>
      <c r="O180" s="179"/>
      <c r="Q180" t="s">
        <v>129</v>
      </c>
      <c r="R180">
        <v>2</v>
      </c>
      <c r="T180" s="195"/>
      <c r="U180" s="195"/>
      <c r="V180" s="300"/>
      <c r="W180" s="201"/>
      <c r="X180" s="201"/>
      <c r="Y180" s="200"/>
      <c r="Z180" s="207"/>
      <c r="AA180" s="206"/>
      <c r="AB180" s="207"/>
      <c r="AC180" s="188"/>
      <c r="AD180" s="187"/>
    </row>
    <row r="181" spans="1:30">
      <c r="A181" s="318">
        <f>COUNTA($E$3:E181)</f>
        <v>179</v>
      </c>
      <c r="B181" s="318" t="s">
        <v>5205</v>
      </c>
      <c r="C181" s="318" t="s">
        <v>299</v>
      </c>
      <c r="D181" s="318" t="s">
        <v>16</v>
      </c>
      <c r="E181" s="318" t="s">
        <v>1049</v>
      </c>
      <c r="F181" s="316">
        <v>45051.633308819444</v>
      </c>
      <c r="G181" s="316"/>
      <c r="H181" s="316"/>
      <c r="I181" s="316"/>
      <c r="J181" s="318"/>
      <c r="K181" s="318" t="s">
        <v>18</v>
      </c>
      <c r="L181" s="171">
        <v>45054</v>
      </c>
      <c r="M181" s="178" t="s">
        <v>5210</v>
      </c>
      <c r="N181" s="180">
        <v>45056</v>
      </c>
      <c r="O181" s="179"/>
      <c r="Q181" t="s">
        <v>22</v>
      </c>
      <c r="R181">
        <v>2</v>
      </c>
      <c r="T181" s="195"/>
      <c r="U181" s="195"/>
      <c r="V181" s="300"/>
      <c r="W181" s="201"/>
      <c r="X181" s="201"/>
      <c r="Y181" s="200"/>
      <c r="Z181" s="207"/>
      <c r="AA181" s="206"/>
      <c r="AB181" s="207"/>
      <c r="AC181" s="188"/>
      <c r="AD181" s="187">
        <v>45056</v>
      </c>
    </row>
    <row r="182" spans="1:30">
      <c r="A182" s="318">
        <f>COUNTA($E$3:E182)</f>
        <v>180</v>
      </c>
      <c r="B182" s="318" t="s">
        <v>5079</v>
      </c>
      <c r="C182" s="318" t="s">
        <v>1246</v>
      </c>
      <c r="D182" s="318" t="s">
        <v>16</v>
      </c>
      <c r="E182" s="318" t="s">
        <v>4193</v>
      </c>
      <c r="F182" s="316">
        <v>44859</v>
      </c>
      <c r="G182" s="316"/>
      <c r="H182" s="316"/>
      <c r="I182" s="316" t="s">
        <v>2</v>
      </c>
      <c r="J182" s="318" t="s">
        <v>5080</v>
      </c>
      <c r="K182" s="318"/>
      <c r="L182" s="171">
        <v>45047</v>
      </c>
      <c r="M182" s="178" t="s">
        <v>5176</v>
      </c>
      <c r="N182" s="180">
        <v>45056</v>
      </c>
      <c r="O182" s="179"/>
      <c r="Q182" t="s">
        <v>22</v>
      </c>
      <c r="R182">
        <v>188</v>
      </c>
      <c r="T182" s="195"/>
      <c r="U182" s="195"/>
      <c r="V182" s="300"/>
      <c r="W182" s="201"/>
      <c r="X182" s="201"/>
      <c r="Y182" s="200"/>
      <c r="Z182" s="207"/>
      <c r="AA182" s="206"/>
      <c r="AB182" s="207"/>
      <c r="AC182" s="188"/>
      <c r="AD182" s="187">
        <v>45056</v>
      </c>
    </row>
    <row r="183" spans="1:30">
      <c r="A183" s="318">
        <f>COUNTA($E$3:E183)</f>
        <v>181</v>
      </c>
      <c r="B183" s="318" t="s">
        <v>5066</v>
      </c>
      <c r="C183" s="318" t="s">
        <v>37</v>
      </c>
      <c r="D183" s="318" t="s">
        <v>34</v>
      </c>
      <c r="E183" s="318" t="s">
        <v>1963</v>
      </c>
      <c r="F183" s="316">
        <v>45027.820123993057</v>
      </c>
      <c r="G183" s="316"/>
      <c r="H183" s="316"/>
      <c r="I183" s="316" t="s">
        <v>2</v>
      </c>
      <c r="J183" s="318"/>
      <c r="K183" s="318" t="s">
        <v>1287</v>
      </c>
      <c r="L183" s="171">
        <v>45047</v>
      </c>
      <c r="M183" s="178" t="s">
        <v>5154</v>
      </c>
      <c r="N183" s="180">
        <v>45041</v>
      </c>
      <c r="O183" s="179"/>
      <c r="Q183" t="s">
        <v>129</v>
      </c>
      <c r="R183">
        <v>19</v>
      </c>
      <c r="T183" s="195"/>
      <c r="U183" s="195"/>
      <c r="V183" s="300"/>
      <c r="W183" s="201"/>
      <c r="X183" s="201"/>
      <c r="Y183" s="200"/>
      <c r="Z183" s="207"/>
      <c r="AA183" s="206"/>
      <c r="AB183" s="207"/>
      <c r="AC183" s="188"/>
      <c r="AD183" s="187"/>
    </row>
    <row r="184" spans="1:30">
      <c r="A184" s="318">
        <f>COUNTA($E$3:E184)</f>
        <v>182</v>
      </c>
      <c r="B184" s="318" t="s">
        <v>5014</v>
      </c>
      <c r="C184" s="318" t="s">
        <v>4253</v>
      </c>
      <c r="D184" s="318" t="s">
        <v>38</v>
      </c>
      <c r="E184" s="318" t="s">
        <v>3750</v>
      </c>
      <c r="F184" s="316">
        <v>45019</v>
      </c>
      <c r="G184" s="316"/>
      <c r="H184" s="316">
        <v>45026</v>
      </c>
      <c r="I184" s="316" t="s">
        <v>2</v>
      </c>
      <c r="J184" s="318" t="s">
        <v>1485</v>
      </c>
      <c r="K184" s="318" t="s">
        <v>287</v>
      </c>
      <c r="L184" s="171">
        <v>45047</v>
      </c>
      <c r="M184" s="178" t="s">
        <v>5151</v>
      </c>
      <c r="N184" s="180"/>
      <c r="O184" s="179"/>
      <c r="Q184" t="s">
        <v>129</v>
      </c>
      <c r="R184">
        <v>28</v>
      </c>
      <c r="T184" s="195"/>
      <c r="U184" s="195"/>
      <c r="V184" s="300"/>
      <c r="W184" s="201"/>
      <c r="X184" s="201"/>
      <c r="Y184" s="200"/>
      <c r="Z184" s="207"/>
      <c r="AA184" s="206"/>
      <c r="AB184" s="207"/>
      <c r="AC184" s="188"/>
      <c r="AD184" s="187"/>
    </row>
    <row r="185" spans="1:30">
      <c r="A185" s="318">
        <f>COUNTA($E$3:E185)</f>
        <v>183</v>
      </c>
      <c r="B185" s="318" t="s">
        <v>4754</v>
      </c>
      <c r="C185" s="318" t="s">
        <v>2726</v>
      </c>
      <c r="D185" s="318" t="s">
        <v>1080</v>
      </c>
      <c r="E185" s="318" t="s">
        <v>4755</v>
      </c>
      <c r="F185" s="316">
        <v>44972</v>
      </c>
      <c r="G185" s="316"/>
      <c r="H185" s="316" t="s">
        <v>55</v>
      </c>
      <c r="I185" s="316" t="s">
        <v>2</v>
      </c>
      <c r="J185" s="318" t="s">
        <v>3253</v>
      </c>
      <c r="K185" s="318"/>
      <c r="L185" s="171">
        <v>45047</v>
      </c>
      <c r="M185" s="178" t="s">
        <v>5474</v>
      </c>
      <c r="N185" s="180">
        <v>45070</v>
      </c>
      <c r="O185" s="179"/>
      <c r="Q185" t="s">
        <v>22</v>
      </c>
      <c r="R185">
        <v>75</v>
      </c>
      <c r="T185" s="195"/>
      <c r="U185" s="195"/>
      <c r="V185" s="300"/>
      <c r="W185" s="201"/>
      <c r="X185" s="201"/>
      <c r="Y185" s="200"/>
      <c r="Z185" s="207"/>
      <c r="AA185" s="206"/>
      <c r="AB185" s="207"/>
      <c r="AC185" s="188"/>
      <c r="AD185" s="187">
        <v>45070</v>
      </c>
    </row>
    <row r="186" spans="1:30">
      <c r="A186" s="318">
        <f>COUNTA($E$3:E186)</f>
        <v>184</v>
      </c>
      <c r="B186" s="318" t="s">
        <v>5144</v>
      </c>
      <c r="C186" s="318" t="s">
        <v>1119</v>
      </c>
      <c r="D186" s="318" t="s">
        <v>64</v>
      </c>
      <c r="E186" s="318" t="s">
        <v>4839</v>
      </c>
      <c r="F186" s="316">
        <v>45040.466239189816</v>
      </c>
      <c r="G186" s="316"/>
      <c r="H186" s="316"/>
      <c r="I186" s="316" t="s">
        <v>3</v>
      </c>
      <c r="J186" s="318"/>
      <c r="K186" s="318" t="s">
        <v>1295</v>
      </c>
      <c r="L186" s="171">
        <v>45047</v>
      </c>
      <c r="M186" s="178" t="s">
        <v>5169</v>
      </c>
      <c r="N186" s="180">
        <v>45040</v>
      </c>
      <c r="O186" s="179"/>
      <c r="Q186" t="s">
        <v>129</v>
      </c>
      <c r="R186">
        <v>7</v>
      </c>
      <c r="T186" s="195"/>
      <c r="U186" s="195"/>
      <c r="V186" s="300"/>
      <c r="W186" s="201"/>
      <c r="X186" s="201"/>
      <c r="Y186" s="200"/>
      <c r="Z186" s="207"/>
      <c r="AA186" s="206"/>
      <c r="AB186" s="207"/>
      <c r="AC186" s="188"/>
      <c r="AD186" s="187"/>
    </row>
    <row r="187" spans="1:30">
      <c r="A187" s="318">
        <f>COUNTA($E$3:E187)</f>
        <v>185</v>
      </c>
      <c r="B187" s="318" t="s">
        <v>5130</v>
      </c>
      <c r="C187" s="318" t="s">
        <v>109</v>
      </c>
      <c r="D187" s="318" t="s">
        <v>16</v>
      </c>
      <c r="E187" s="318" t="s">
        <v>5131</v>
      </c>
      <c r="F187" s="316">
        <v>45037.719680243055</v>
      </c>
      <c r="G187" s="316"/>
      <c r="H187" s="316"/>
      <c r="I187" s="316" t="s">
        <v>3</v>
      </c>
      <c r="J187" s="318"/>
      <c r="K187" s="318" t="s">
        <v>1295</v>
      </c>
      <c r="L187" s="171">
        <v>45047</v>
      </c>
      <c r="M187" s="178" t="s">
        <v>5171</v>
      </c>
      <c r="N187" s="180">
        <v>45040</v>
      </c>
      <c r="O187" s="179"/>
      <c r="Q187" t="s">
        <v>129</v>
      </c>
      <c r="R187">
        <v>9</v>
      </c>
      <c r="T187" s="195"/>
      <c r="U187" s="195"/>
      <c r="V187" s="300"/>
      <c r="W187" s="201"/>
      <c r="X187" s="201"/>
      <c r="Y187" s="200"/>
      <c r="Z187" s="207"/>
      <c r="AA187" s="206"/>
      <c r="AB187" s="207"/>
      <c r="AC187" s="188"/>
      <c r="AD187" s="187"/>
    </row>
    <row r="188" spans="1:30">
      <c r="A188" s="318">
        <f>COUNTA($E$3:E188)</f>
        <v>186</v>
      </c>
      <c r="B188" s="318" t="s">
        <v>5114</v>
      </c>
      <c r="C188" s="318" t="s">
        <v>37</v>
      </c>
      <c r="D188" s="318" t="s">
        <v>30</v>
      </c>
      <c r="E188" s="318" t="s">
        <v>5115</v>
      </c>
      <c r="F188" s="316">
        <v>45034.762278483795</v>
      </c>
      <c r="G188" s="316"/>
      <c r="H188" s="316"/>
      <c r="I188" s="316" t="s">
        <v>3</v>
      </c>
      <c r="J188" s="318"/>
      <c r="K188" s="318" t="s">
        <v>1287</v>
      </c>
      <c r="L188" s="171">
        <v>45047</v>
      </c>
      <c r="M188" s="178" t="s">
        <v>5170</v>
      </c>
      <c r="N188" s="180">
        <v>45041</v>
      </c>
      <c r="O188" s="179"/>
      <c r="Q188" t="s">
        <v>129</v>
      </c>
      <c r="R188">
        <v>12</v>
      </c>
      <c r="T188" s="195"/>
      <c r="U188" s="195"/>
      <c r="V188" s="300"/>
      <c r="W188" s="201"/>
      <c r="X188" s="201"/>
      <c r="Y188" s="200"/>
      <c r="Z188" s="207"/>
      <c r="AA188" s="206"/>
      <c r="AB188" s="207"/>
      <c r="AC188" s="188"/>
      <c r="AD188" s="187"/>
    </row>
    <row r="189" spans="1:30">
      <c r="A189" s="318">
        <f>COUNTA($E$3:E189)</f>
        <v>187</v>
      </c>
      <c r="B189" s="318" t="s">
        <v>5113</v>
      </c>
      <c r="C189" s="318" t="s">
        <v>37</v>
      </c>
      <c r="D189" s="318" t="s">
        <v>30</v>
      </c>
      <c r="E189" s="318" t="s">
        <v>3371</v>
      </c>
      <c r="F189" s="316">
        <v>45034.761691412037</v>
      </c>
      <c r="G189" s="316"/>
      <c r="H189" s="316"/>
      <c r="I189" s="316" t="s">
        <v>3</v>
      </c>
      <c r="J189" s="318"/>
      <c r="K189" s="318" t="s">
        <v>1295</v>
      </c>
      <c r="L189" s="171">
        <v>45047</v>
      </c>
      <c r="M189" s="178" t="s">
        <v>5169</v>
      </c>
      <c r="N189" s="180">
        <v>45041</v>
      </c>
      <c r="O189" s="179"/>
      <c r="Q189" t="s">
        <v>129</v>
      </c>
      <c r="R189">
        <v>12</v>
      </c>
      <c r="T189" s="195"/>
      <c r="U189" s="195"/>
      <c r="V189" s="300"/>
      <c r="W189" s="201"/>
      <c r="X189" s="201"/>
      <c r="Y189" s="200"/>
      <c r="Z189" s="207"/>
      <c r="AA189" s="206"/>
      <c r="AB189" s="207"/>
      <c r="AC189" s="188"/>
      <c r="AD189" s="187"/>
    </row>
    <row r="190" spans="1:30">
      <c r="A190" s="318">
        <f>COUNTA($E$3:E190)</f>
        <v>188</v>
      </c>
      <c r="B190" s="318" t="s">
        <v>5106</v>
      </c>
      <c r="C190" s="318" t="s">
        <v>21</v>
      </c>
      <c r="D190" s="318" t="s">
        <v>34</v>
      </c>
      <c r="E190" s="318" t="s">
        <v>5107</v>
      </c>
      <c r="F190" s="316">
        <v>45034.534218182867</v>
      </c>
      <c r="G190" s="316"/>
      <c r="H190" s="316"/>
      <c r="I190" s="316" t="s">
        <v>3</v>
      </c>
      <c r="J190" s="318"/>
      <c r="K190" s="318" t="s">
        <v>1296</v>
      </c>
      <c r="L190" s="171">
        <v>45047</v>
      </c>
      <c r="M190" s="178" t="s">
        <v>5152</v>
      </c>
      <c r="N190" s="180">
        <v>45064</v>
      </c>
      <c r="O190" s="179"/>
      <c r="Q190" t="s">
        <v>129</v>
      </c>
      <c r="R190">
        <v>12</v>
      </c>
      <c r="T190" s="195"/>
      <c r="U190" s="195"/>
      <c r="V190" s="300"/>
      <c r="W190" s="201"/>
      <c r="X190" s="201"/>
      <c r="Y190" s="200"/>
      <c r="Z190" s="207"/>
      <c r="AA190" s="206"/>
      <c r="AB190" s="207"/>
      <c r="AC190" s="188"/>
      <c r="AD190" s="187"/>
    </row>
    <row r="191" spans="1:30">
      <c r="A191" s="318">
        <f>COUNTA($E$3:E191)</f>
        <v>189</v>
      </c>
      <c r="B191" s="318" t="s">
        <v>5064</v>
      </c>
      <c r="C191" s="318" t="s">
        <v>2315</v>
      </c>
      <c r="D191" s="318" t="s">
        <v>30</v>
      </c>
      <c r="E191" s="318" t="s">
        <v>2317</v>
      </c>
      <c r="F191" s="316">
        <v>45027.815383217596</v>
      </c>
      <c r="G191" s="316"/>
      <c r="H191" s="316"/>
      <c r="I191" s="316" t="s">
        <v>3</v>
      </c>
      <c r="J191" s="318"/>
      <c r="K191" s="318" t="s">
        <v>1296</v>
      </c>
      <c r="L191" s="171">
        <v>45047</v>
      </c>
      <c r="M191" s="178" t="s">
        <v>5153</v>
      </c>
      <c r="N191" s="180">
        <v>45050</v>
      </c>
      <c r="O191" s="179"/>
      <c r="Q191" t="s">
        <v>129</v>
      </c>
      <c r="R191">
        <v>19</v>
      </c>
      <c r="T191" s="195"/>
      <c r="U191" s="195"/>
      <c r="V191" s="300"/>
      <c r="W191" s="201"/>
      <c r="X191" s="201"/>
      <c r="Y191" s="200"/>
      <c r="Z191" s="207"/>
      <c r="AA191" s="206"/>
      <c r="AB191" s="207"/>
      <c r="AC191" s="188"/>
      <c r="AD191" s="187"/>
    </row>
    <row r="192" spans="1:30">
      <c r="A192" s="318">
        <f>COUNTA($E$3:E192)</f>
        <v>190</v>
      </c>
      <c r="B192" s="318" t="s">
        <v>5020</v>
      </c>
      <c r="C192" s="318" t="s">
        <v>21</v>
      </c>
      <c r="D192" s="318" t="s">
        <v>30</v>
      </c>
      <c r="E192" s="318" t="s">
        <v>5021</v>
      </c>
      <c r="F192" s="316">
        <v>45019.717126597221</v>
      </c>
      <c r="G192" s="316"/>
      <c r="H192" s="316"/>
      <c r="I192" s="316" t="s">
        <v>3</v>
      </c>
      <c r="J192" s="318"/>
      <c r="K192" s="318" t="s">
        <v>1295</v>
      </c>
      <c r="L192" s="171">
        <v>45047</v>
      </c>
      <c r="M192" s="178" t="s">
        <v>5152</v>
      </c>
      <c r="N192" s="180">
        <v>45043</v>
      </c>
      <c r="O192" s="179"/>
      <c r="Q192" t="s">
        <v>129</v>
      </c>
      <c r="R192">
        <v>27</v>
      </c>
      <c r="T192" s="195"/>
      <c r="U192" s="195"/>
      <c r="V192" s="300"/>
      <c r="W192" s="201"/>
      <c r="X192" s="201"/>
      <c r="Y192" s="200"/>
      <c r="Z192" s="207"/>
      <c r="AA192" s="206"/>
      <c r="AB192" s="207"/>
      <c r="AC192" s="188"/>
      <c r="AD192" s="187"/>
    </row>
    <row r="193" spans="1:30">
      <c r="A193" s="318">
        <f>COUNTA($E$3:E193)</f>
        <v>191</v>
      </c>
      <c r="B193" s="318" t="s">
        <v>5111</v>
      </c>
      <c r="C193" s="318" t="s">
        <v>37</v>
      </c>
      <c r="D193" s="318" t="s">
        <v>27</v>
      </c>
      <c r="E193" s="318" t="s">
        <v>2702</v>
      </c>
      <c r="F193" s="316">
        <v>45034.760385914349</v>
      </c>
      <c r="G193" s="316"/>
      <c r="H193" s="316"/>
      <c r="I193" s="316" t="s">
        <v>4</v>
      </c>
      <c r="J193" s="318"/>
      <c r="K193" s="318" t="s">
        <v>1287</v>
      </c>
      <c r="L193" s="171">
        <v>45047</v>
      </c>
      <c r="M193" s="178" t="s">
        <v>5168</v>
      </c>
      <c r="N193" s="180">
        <v>45041</v>
      </c>
      <c r="O193" s="179"/>
      <c r="Q193" t="s">
        <v>129</v>
      </c>
      <c r="R193">
        <v>12</v>
      </c>
      <c r="T193" s="195"/>
      <c r="U193" s="195"/>
      <c r="V193" s="300"/>
      <c r="W193" s="201"/>
      <c r="X193" s="201"/>
      <c r="Y193" s="200"/>
      <c r="Z193" s="207"/>
      <c r="AA193" s="206"/>
      <c r="AB193" s="207"/>
      <c r="AC193" s="188"/>
      <c r="AD193" s="187"/>
    </row>
    <row r="194" spans="1:30">
      <c r="A194" s="318">
        <f>COUNTA($E$3:E194)</f>
        <v>192</v>
      </c>
      <c r="B194" s="318" t="s">
        <v>5109</v>
      </c>
      <c r="C194" s="318" t="s">
        <v>37</v>
      </c>
      <c r="D194" s="318" t="s">
        <v>27</v>
      </c>
      <c r="E194" s="318" t="s">
        <v>5110</v>
      </c>
      <c r="F194" s="316">
        <v>45034.759824351851</v>
      </c>
      <c r="G194" s="316"/>
      <c r="H194" s="316"/>
      <c r="I194" s="316" t="s">
        <v>4</v>
      </c>
      <c r="J194" s="318"/>
      <c r="K194" s="318" t="s">
        <v>1287</v>
      </c>
      <c r="L194" s="171">
        <v>45047</v>
      </c>
      <c r="M194" s="178" t="s">
        <v>5168</v>
      </c>
      <c r="N194" s="180">
        <v>45041</v>
      </c>
      <c r="O194" s="179"/>
      <c r="Q194" t="s">
        <v>129</v>
      </c>
      <c r="R194">
        <v>12</v>
      </c>
      <c r="T194" s="195"/>
      <c r="U194" s="195"/>
      <c r="V194" s="300"/>
      <c r="W194" s="201"/>
      <c r="X194" s="201"/>
      <c r="Y194" s="200"/>
      <c r="Z194" s="207"/>
      <c r="AA194" s="206"/>
      <c r="AB194" s="207"/>
      <c r="AC194" s="188"/>
      <c r="AD194" s="187"/>
    </row>
    <row r="195" spans="1:30">
      <c r="A195" s="318">
        <f>COUNTA($E$3:E195)</f>
        <v>193</v>
      </c>
      <c r="B195" s="318" t="s">
        <v>5072</v>
      </c>
      <c r="C195" s="318" t="s">
        <v>41</v>
      </c>
      <c r="D195" s="318" t="s">
        <v>16</v>
      </c>
      <c r="E195" s="318" t="s">
        <v>1188</v>
      </c>
      <c r="F195" s="316">
        <v>45029.637663518515</v>
      </c>
      <c r="G195" s="316"/>
      <c r="H195" s="316"/>
      <c r="I195" s="316" t="s">
        <v>1110</v>
      </c>
      <c r="J195" s="318"/>
      <c r="K195" s="318" t="s">
        <v>1296</v>
      </c>
      <c r="L195" s="171">
        <v>45040</v>
      </c>
      <c r="M195" s="178" t="s">
        <v>5124</v>
      </c>
      <c r="N195" s="180">
        <v>45147</v>
      </c>
      <c r="O195" s="179"/>
      <c r="Q195" t="s">
        <v>129</v>
      </c>
      <c r="R195">
        <v>10</v>
      </c>
      <c r="T195" s="195"/>
      <c r="U195" s="195"/>
      <c r="V195" s="300"/>
      <c r="W195" s="201"/>
      <c r="X195" s="201"/>
      <c r="Y195" s="200"/>
      <c r="Z195" s="207"/>
      <c r="AA195" s="206"/>
      <c r="AB195" s="207"/>
      <c r="AC195" s="188"/>
      <c r="AD195" s="187"/>
    </row>
    <row r="196" spans="1:30">
      <c r="A196" s="318">
        <f>COUNTA($E$3:E196)</f>
        <v>194</v>
      </c>
      <c r="B196" s="318" t="s">
        <v>5070</v>
      </c>
      <c r="C196" s="318" t="s">
        <v>41</v>
      </c>
      <c r="D196" s="318" t="s">
        <v>34</v>
      </c>
      <c r="E196" s="318" t="s">
        <v>5071</v>
      </c>
      <c r="F196" s="316">
        <v>45029.628496770834</v>
      </c>
      <c r="G196" s="316"/>
      <c r="H196" s="316"/>
      <c r="I196" s="316" t="s">
        <v>1110</v>
      </c>
      <c r="J196" s="318"/>
      <c r="K196" s="318" t="s">
        <v>1296</v>
      </c>
      <c r="L196" s="171">
        <v>45040</v>
      </c>
      <c r="M196" s="178" t="s">
        <v>5124</v>
      </c>
      <c r="N196" s="180">
        <v>45147</v>
      </c>
      <c r="O196" s="179"/>
      <c r="Q196" t="s">
        <v>129</v>
      </c>
      <c r="R196">
        <v>10</v>
      </c>
      <c r="T196" s="195"/>
      <c r="U196" s="195"/>
      <c r="V196" s="300"/>
      <c r="W196" s="201"/>
      <c r="X196" s="201"/>
      <c r="Y196" s="200"/>
      <c r="Z196" s="207"/>
      <c r="AA196" s="206"/>
      <c r="AB196" s="207"/>
      <c r="AC196" s="188"/>
      <c r="AD196" s="187"/>
    </row>
    <row r="197" spans="1:30">
      <c r="A197" s="318">
        <f>COUNTA($E$3:E197)</f>
        <v>195</v>
      </c>
      <c r="B197" s="318" t="s">
        <v>5048</v>
      </c>
      <c r="C197" s="318" t="s">
        <v>1197</v>
      </c>
      <c r="D197" s="318" t="s">
        <v>38</v>
      </c>
      <c r="E197" s="318" t="s">
        <v>3526</v>
      </c>
      <c r="F197" s="316">
        <v>45023.722749988425</v>
      </c>
      <c r="G197" s="316"/>
      <c r="H197" s="316"/>
      <c r="I197" s="316" t="s">
        <v>2</v>
      </c>
      <c r="J197" s="318"/>
      <c r="K197" s="318" t="s">
        <v>1294</v>
      </c>
      <c r="L197" s="171">
        <v>45040</v>
      </c>
      <c r="M197" s="178" t="s">
        <v>5125</v>
      </c>
      <c r="N197" s="180">
        <v>45037</v>
      </c>
      <c r="O197" s="179"/>
      <c r="Q197" t="s">
        <v>22</v>
      </c>
      <c r="R197">
        <v>16</v>
      </c>
      <c r="T197" s="195"/>
      <c r="U197" s="195"/>
      <c r="V197" s="300"/>
      <c r="W197" s="201"/>
      <c r="X197" s="201"/>
      <c r="Y197" s="200"/>
      <c r="Z197" s="207"/>
      <c r="AA197" s="206"/>
      <c r="AB197" s="207"/>
      <c r="AC197" s="188"/>
      <c r="AD197" s="187">
        <v>45037</v>
      </c>
    </row>
    <row r="198" spans="1:30">
      <c r="A198" s="318">
        <f>COUNTA($E$3:E198)</f>
        <v>196</v>
      </c>
      <c r="B198" s="318" t="s">
        <v>4823</v>
      </c>
      <c r="C198" s="318" t="s">
        <v>1119</v>
      </c>
      <c r="D198" s="318" t="s">
        <v>38</v>
      </c>
      <c r="E198" s="318" t="s">
        <v>2007</v>
      </c>
      <c r="F198" s="316">
        <v>44984</v>
      </c>
      <c r="G198" s="316">
        <v>45022</v>
      </c>
      <c r="H198" s="316">
        <v>44986</v>
      </c>
      <c r="I198" s="316" t="s">
        <v>2</v>
      </c>
      <c r="J198" s="318" t="s">
        <v>1724</v>
      </c>
      <c r="K198" s="318" t="s">
        <v>1296</v>
      </c>
      <c r="L198" s="171">
        <v>45040</v>
      </c>
      <c r="M198" s="178" t="s">
        <v>5099</v>
      </c>
      <c r="N198" s="180">
        <v>45036</v>
      </c>
      <c r="O198" s="179"/>
      <c r="Q198" t="s">
        <v>129</v>
      </c>
      <c r="R198">
        <v>56</v>
      </c>
      <c r="T198" s="195"/>
      <c r="U198" s="195"/>
      <c r="V198" s="300"/>
      <c r="W198" s="201"/>
      <c r="X198" s="201"/>
      <c r="Y198" s="200"/>
      <c r="Z198" s="207"/>
      <c r="AA198" s="206"/>
      <c r="AB198" s="207"/>
      <c r="AC198" s="188"/>
      <c r="AD198" s="187"/>
    </row>
    <row r="199" spans="1:30">
      <c r="A199" s="318">
        <f>COUNTA($E$3:E199)</f>
        <v>197</v>
      </c>
      <c r="B199" s="318" t="s">
        <v>4938</v>
      </c>
      <c r="C199" s="318" t="s">
        <v>21</v>
      </c>
      <c r="D199" s="318" t="s">
        <v>23</v>
      </c>
      <c r="E199" s="318" t="s">
        <v>1925</v>
      </c>
      <c r="F199" s="316">
        <v>45007</v>
      </c>
      <c r="G199" s="316"/>
      <c r="H199" s="316"/>
      <c r="I199" s="316" t="s">
        <v>2</v>
      </c>
      <c r="J199" s="318"/>
      <c r="K199" s="318" t="s">
        <v>1287</v>
      </c>
      <c r="L199" s="171">
        <v>45040</v>
      </c>
      <c r="M199" s="178" t="s">
        <v>5100</v>
      </c>
      <c r="N199" s="180">
        <v>45034</v>
      </c>
      <c r="O199" s="179"/>
      <c r="Q199" t="s">
        <v>129</v>
      </c>
      <c r="R199">
        <v>33</v>
      </c>
      <c r="T199" s="195"/>
      <c r="U199" s="195"/>
      <c r="V199" s="300"/>
      <c r="W199" s="201"/>
      <c r="X199" s="201"/>
      <c r="Y199" s="200"/>
      <c r="Z199" s="207"/>
      <c r="AA199" s="206"/>
      <c r="AB199" s="207"/>
      <c r="AC199" s="188"/>
      <c r="AD199" s="187"/>
    </row>
    <row r="200" spans="1:30">
      <c r="A200" s="318">
        <f>COUNTA($E$3:E200)</f>
        <v>198</v>
      </c>
      <c r="B200" s="318" t="s">
        <v>4972</v>
      </c>
      <c r="C200" s="318" t="s">
        <v>41</v>
      </c>
      <c r="D200" s="318" t="s">
        <v>30</v>
      </c>
      <c r="E200" s="318" t="s">
        <v>2970</v>
      </c>
      <c r="F200" s="316">
        <v>45014</v>
      </c>
      <c r="G200" s="316"/>
      <c r="H200" s="316" t="s">
        <v>66</v>
      </c>
      <c r="I200" s="316" t="s">
        <v>2</v>
      </c>
      <c r="J200" s="318" t="s">
        <v>4973</v>
      </c>
      <c r="K200" s="318" t="s">
        <v>1294</v>
      </c>
      <c r="L200" s="171">
        <v>45040</v>
      </c>
      <c r="M200" s="178" t="s">
        <v>5132</v>
      </c>
      <c r="N200" s="180">
        <v>45083</v>
      </c>
      <c r="O200" s="179"/>
      <c r="Q200" t="s">
        <v>22</v>
      </c>
      <c r="R200">
        <v>26</v>
      </c>
      <c r="T200" s="195"/>
      <c r="U200" s="195"/>
      <c r="V200" s="300"/>
      <c r="W200" s="201"/>
      <c r="X200" s="201"/>
      <c r="Y200" s="200"/>
      <c r="Z200" s="207"/>
      <c r="AA200" s="206"/>
      <c r="AB200" s="207"/>
      <c r="AC200" s="188"/>
      <c r="AD200" s="187">
        <v>45083</v>
      </c>
    </row>
    <row r="201" spans="1:30">
      <c r="A201" s="318">
        <f>COUNTA($E$3:E201)</f>
        <v>199</v>
      </c>
      <c r="B201" s="318" t="s">
        <v>4758</v>
      </c>
      <c r="C201" s="318" t="s">
        <v>41</v>
      </c>
      <c r="D201" s="318" t="s">
        <v>1103</v>
      </c>
      <c r="E201" s="318" t="s">
        <v>4255</v>
      </c>
      <c r="F201" s="316">
        <v>44970</v>
      </c>
      <c r="G201" s="316"/>
      <c r="H201" s="316"/>
      <c r="I201" s="316" t="s">
        <v>2</v>
      </c>
      <c r="J201" s="318" t="s">
        <v>4833</v>
      </c>
      <c r="K201" s="318" t="s">
        <v>1295</v>
      </c>
      <c r="L201" s="171">
        <v>45040</v>
      </c>
      <c r="M201" s="178" t="s">
        <v>5126</v>
      </c>
      <c r="N201" s="180">
        <v>45020</v>
      </c>
      <c r="O201" s="179"/>
      <c r="Q201" t="s">
        <v>129</v>
      </c>
      <c r="R201">
        <v>70</v>
      </c>
      <c r="T201" s="195"/>
      <c r="U201" s="195"/>
      <c r="V201" s="300"/>
      <c r="W201" s="201"/>
      <c r="X201" s="201"/>
      <c r="Y201" s="200"/>
      <c r="Z201" s="207"/>
      <c r="AA201" s="206"/>
      <c r="AB201" s="207"/>
      <c r="AC201" s="188"/>
      <c r="AD201" s="187">
        <v>45020</v>
      </c>
    </row>
    <row r="202" spans="1:30">
      <c r="A202" s="318">
        <f>COUNTA($E$3:E202)</f>
        <v>200</v>
      </c>
      <c r="B202" s="318" t="s">
        <v>4976</v>
      </c>
      <c r="C202" s="318" t="s">
        <v>37</v>
      </c>
      <c r="D202" s="318" t="s">
        <v>30</v>
      </c>
      <c r="E202" s="318" t="s">
        <v>1209</v>
      </c>
      <c r="F202" s="316">
        <v>45009</v>
      </c>
      <c r="G202" s="316"/>
      <c r="H202" s="316"/>
      <c r="I202" s="316" t="s">
        <v>3</v>
      </c>
      <c r="J202" s="318" t="s">
        <v>4977</v>
      </c>
      <c r="K202" s="318" t="s">
        <v>1295</v>
      </c>
      <c r="L202" s="171">
        <v>45040</v>
      </c>
      <c r="M202" s="178" t="s">
        <v>5123</v>
      </c>
      <c r="N202" s="180"/>
      <c r="O202" s="179"/>
      <c r="Q202" t="s">
        <v>129</v>
      </c>
      <c r="R202">
        <v>31</v>
      </c>
      <c r="T202" s="195"/>
      <c r="U202" s="195"/>
      <c r="V202" s="300"/>
      <c r="W202" s="201"/>
      <c r="X202" s="201"/>
      <c r="Y202" s="200"/>
      <c r="Z202" s="207"/>
      <c r="AA202" s="206"/>
      <c r="AB202" s="207"/>
      <c r="AC202" s="188"/>
      <c r="AD202" s="187"/>
    </row>
    <row r="203" spans="1:30">
      <c r="A203" s="318">
        <f>COUNTA($E$3:E203)</f>
        <v>201</v>
      </c>
      <c r="B203" s="318" t="s">
        <v>5028</v>
      </c>
      <c r="C203" s="318" t="s">
        <v>37</v>
      </c>
      <c r="D203" s="318" t="s">
        <v>30</v>
      </c>
      <c r="E203" s="318" t="s">
        <v>3487</v>
      </c>
      <c r="F203" s="316">
        <v>45020.713293692126</v>
      </c>
      <c r="G203" s="316"/>
      <c r="H203" s="316"/>
      <c r="I203" s="316" t="s">
        <v>3</v>
      </c>
      <c r="J203" s="318"/>
      <c r="K203" s="318" t="s">
        <v>1295</v>
      </c>
      <c r="L203" s="171">
        <v>45040</v>
      </c>
      <c r="M203" s="178" t="s">
        <v>5133</v>
      </c>
      <c r="N203" s="180"/>
      <c r="O203" s="179"/>
      <c r="Q203" t="s">
        <v>129</v>
      </c>
      <c r="R203">
        <v>19</v>
      </c>
      <c r="T203" s="195"/>
      <c r="U203" s="195"/>
      <c r="V203" s="300"/>
      <c r="W203" s="201"/>
      <c r="X203" s="201"/>
      <c r="Y203" s="200"/>
      <c r="Z203" s="207"/>
      <c r="AA203" s="206"/>
      <c r="AB203" s="207"/>
      <c r="AC203" s="188"/>
      <c r="AD203" s="187"/>
    </row>
    <row r="204" spans="1:30">
      <c r="A204" s="318">
        <f>COUNTA($E$3:E204)</f>
        <v>202</v>
      </c>
      <c r="B204" s="318" t="s">
        <v>5029</v>
      </c>
      <c r="C204" s="318" t="s">
        <v>37</v>
      </c>
      <c r="D204" s="318" t="s">
        <v>30</v>
      </c>
      <c r="E204" s="318" t="s">
        <v>3380</v>
      </c>
      <c r="F204" s="316">
        <v>45020.713823761573</v>
      </c>
      <c r="G204" s="316"/>
      <c r="H204" s="316"/>
      <c r="I204" s="316" t="s">
        <v>3</v>
      </c>
      <c r="J204" s="318"/>
      <c r="K204" s="318" t="s">
        <v>1295</v>
      </c>
      <c r="L204" s="171">
        <v>45040</v>
      </c>
      <c r="M204" s="178" t="s">
        <v>5134</v>
      </c>
      <c r="N204" s="180">
        <v>45092</v>
      </c>
      <c r="O204" s="179"/>
      <c r="Q204" t="s">
        <v>129</v>
      </c>
      <c r="R204">
        <v>19</v>
      </c>
      <c r="T204" s="195"/>
      <c r="U204" s="195"/>
      <c r="V204" s="300"/>
      <c r="W204" s="201"/>
      <c r="X204" s="201"/>
      <c r="Y204" s="200"/>
      <c r="Z204" s="207"/>
      <c r="AA204" s="206"/>
      <c r="AB204" s="207"/>
      <c r="AC204" s="188"/>
      <c r="AD204" s="187"/>
    </row>
    <row r="205" spans="1:30">
      <c r="A205" s="318">
        <f>COUNTA($E$3:E205)</f>
        <v>203</v>
      </c>
      <c r="B205" s="318" t="s">
        <v>5063</v>
      </c>
      <c r="C205" s="318" t="s">
        <v>41</v>
      </c>
      <c r="D205" s="318" t="s">
        <v>49</v>
      </c>
      <c r="E205" s="318" t="s">
        <v>1088</v>
      </c>
      <c r="F205" s="316">
        <v>45027.656533379632</v>
      </c>
      <c r="G205" s="316"/>
      <c r="H205" s="316"/>
      <c r="I205" s="316" t="s">
        <v>3</v>
      </c>
      <c r="J205" s="318"/>
      <c r="K205" s="318" t="s">
        <v>1295</v>
      </c>
      <c r="L205" s="171">
        <v>45040</v>
      </c>
      <c r="M205" s="178" t="s">
        <v>5135</v>
      </c>
      <c r="N205" s="180">
        <v>45029</v>
      </c>
      <c r="O205" s="179"/>
      <c r="Q205" t="s">
        <v>129</v>
      </c>
      <c r="R205">
        <v>12</v>
      </c>
      <c r="T205" s="195"/>
      <c r="U205" s="195"/>
      <c r="V205" s="300"/>
      <c r="W205" s="201"/>
      <c r="X205" s="201"/>
      <c r="Y205" s="200"/>
      <c r="Z205" s="207"/>
      <c r="AA205" s="206"/>
      <c r="AB205" s="207"/>
      <c r="AC205" s="188"/>
      <c r="AD205" s="187"/>
    </row>
    <row r="206" spans="1:30">
      <c r="A206" s="318">
        <f>COUNTA($E$3:E206)</f>
        <v>204</v>
      </c>
      <c r="B206" s="318" t="s">
        <v>5112</v>
      </c>
      <c r="C206" s="318" t="s">
        <v>37</v>
      </c>
      <c r="D206" s="318" t="s">
        <v>34</v>
      </c>
      <c r="E206" s="318" t="s">
        <v>3366</v>
      </c>
      <c r="F206" s="316">
        <v>45034.761204444447</v>
      </c>
      <c r="G206" s="316"/>
      <c r="H206" s="316"/>
      <c r="I206" s="316" t="s">
        <v>3</v>
      </c>
      <c r="J206" s="318"/>
      <c r="K206" s="318" t="s">
        <v>1296</v>
      </c>
      <c r="L206" s="171">
        <v>45040</v>
      </c>
      <c r="M206" s="178" t="s">
        <v>5128</v>
      </c>
      <c r="N206" s="180">
        <v>45042</v>
      </c>
      <c r="O206" s="179"/>
      <c r="Q206" t="s">
        <v>129</v>
      </c>
      <c r="R206">
        <v>5</v>
      </c>
      <c r="T206" s="195"/>
      <c r="U206" s="195"/>
      <c r="V206" s="300"/>
      <c r="W206" s="201"/>
      <c r="X206" s="201"/>
      <c r="Y206" s="200"/>
      <c r="Z206" s="207"/>
      <c r="AA206" s="206"/>
      <c r="AB206" s="207"/>
      <c r="AC206" s="188"/>
      <c r="AD206" s="187"/>
    </row>
    <row r="207" spans="1:30">
      <c r="A207" s="318">
        <f>COUNTA($E$3:E207)</f>
        <v>205</v>
      </c>
      <c r="B207" s="318" t="s">
        <v>5065</v>
      </c>
      <c r="C207" s="318" t="s">
        <v>37</v>
      </c>
      <c r="D207" s="318" t="s">
        <v>30</v>
      </c>
      <c r="E207" s="318" t="s">
        <v>3368</v>
      </c>
      <c r="F207" s="316">
        <v>45028.768826631946</v>
      </c>
      <c r="G207" s="316"/>
      <c r="H207" s="316"/>
      <c r="I207" s="316" t="s">
        <v>3</v>
      </c>
      <c r="J207" s="318" t="s">
        <v>1212</v>
      </c>
      <c r="K207" s="318" t="s">
        <v>1287</v>
      </c>
      <c r="L207" s="171">
        <v>45040</v>
      </c>
      <c r="M207" s="178" t="s">
        <v>5103</v>
      </c>
      <c r="N207" s="180">
        <v>45030</v>
      </c>
      <c r="O207" s="179"/>
      <c r="Q207" t="s">
        <v>129</v>
      </c>
      <c r="R207">
        <v>11</v>
      </c>
      <c r="T207" s="195"/>
      <c r="U207" s="195"/>
      <c r="V207" s="300"/>
      <c r="W207" s="201"/>
      <c r="X207" s="201"/>
      <c r="Y207" s="200"/>
      <c r="Z207" s="207"/>
      <c r="AA207" s="206"/>
      <c r="AB207" s="207"/>
      <c r="AC207" s="188"/>
      <c r="AD207" s="187"/>
    </row>
    <row r="208" spans="1:30">
      <c r="A208" s="318">
        <f>COUNTA($E$3:E208)</f>
        <v>206</v>
      </c>
      <c r="B208" s="318" t="s">
        <v>5084</v>
      </c>
      <c r="C208" s="318" t="s">
        <v>21</v>
      </c>
      <c r="D208" s="318" t="s">
        <v>34</v>
      </c>
      <c r="E208" s="318" t="s">
        <v>1682</v>
      </c>
      <c r="F208" s="316">
        <v>45030.560689479164</v>
      </c>
      <c r="G208" s="316"/>
      <c r="H208" s="316"/>
      <c r="I208" s="316" t="s">
        <v>3</v>
      </c>
      <c r="J208" s="318"/>
      <c r="K208" s="318" t="s">
        <v>1296</v>
      </c>
      <c r="L208" s="171">
        <v>45040</v>
      </c>
      <c r="M208" s="178" t="s">
        <v>5128</v>
      </c>
      <c r="N208" s="180">
        <v>45162</v>
      </c>
      <c r="O208" s="179"/>
      <c r="Q208" t="s">
        <v>129</v>
      </c>
      <c r="R208">
        <v>9</v>
      </c>
      <c r="T208" s="195"/>
      <c r="U208" s="195"/>
      <c r="V208" s="300"/>
      <c r="W208" s="201"/>
      <c r="X208" s="201"/>
      <c r="Y208" s="200"/>
      <c r="Z208" s="207"/>
      <c r="AA208" s="206"/>
      <c r="AB208" s="207"/>
      <c r="AC208" s="188"/>
      <c r="AD208" s="187"/>
    </row>
    <row r="209" spans="1:30">
      <c r="A209" s="318">
        <f>COUNTA($E$3:E209)</f>
        <v>207</v>
      </c>
      <c r="B209" s="318" t="s">
        <v>5087</v>
      </c>
      <c r="C209" s="318" t="s">
        <v>41</v>
      </c>
      <c r="D209" s="318" t="s">
        <v>31</v>
      </c>
      <c r="E209" s="318" t="s">
        <v>3111</v>
      </c>
      <c r="F209" s="316">
        <v>45030.643825196756</v>
      </c>
      <c r="G209" s="316"/>
      <c r="H209" s="316"/>
      <c r="I209" s="316" t="s">
        <v>3</v>
      </c>
      <c r="J209" s="318"/>
      <c r="K209" s="318" t="s">
        <v>1295</v>
      </c>
      <c r="L209" s="171">
        <v>45040</v>
      </c>
      <c r="M209" s="178" t="s">
        <v>5123</v>
      </c>
      <c r="N209" s="180">
        <v>45147</v>
      </c>
      <c r="O209" s="179"/>
      <c r="Q209" t="s">
        <v>129</v>
      </c>
      <c r="R209">
        <v>9</v>
      </c>
      <c r="T209" s="195"/>
      <c r="U209" s="195"/>
      <c r="V209" s="300"/>
      <c r="W209" s="201"/>
      <c r="X209" s="201"/>
      <c r="Y209" s="200"/>
      <c r="Z209" s="207"/>
      <c r="AA209" s="206"/>
      <c r="AB209" s="207"/>
      <c r="AC209" s="188"/>
      <c r="AD209" s="187"/>
    </row>
    <row r="210" spans="1:30">
      <c r="A210" s="318">
        <f>COUNTA($E$3:E210)</f>
        <v>208</v>
      </c>
      <c r="B210" s="318" t="s">
        <v>5108</v>
      </c>
      <c r="C210" s="318" t="s">
        <v>2675</v>
      </c>
      <c r="D210" s="318" t="s">
        <v>2683</v>
      </c>
      <c r="E210" s="318" t="s">
        <v>2684</v>
      </c>
      <c r="F210" s="316">
        <v>45034.758705300927</v>
      </c>
      <c r="G210" s="316"/>
      <c r="H210" s="316"/>
      <c r="I210" s="316" t="s">
        <v>3</v>
      </c>
      <c r="J210" s="318"/>
      <c r="K210" s="318" t="s">
        <v>1295</v>
      </c>
      <c r="L210" s="171">
        <v>45040</v>
      </c>
      <c r="M210" s="178" t="s">
        <v>5136</v>
      </c>
      <c r="N210" s="180">
        <v>45147</v>
      </c>
      <c r="O210" s="179"/>
      <c r="Q210" t="s">
        <v>129</v>
      </c>
      <c r="R210">
        <v>5</v>
      </c>
      <c r="T210" s="195"/>
      <c r="U210" s="195"/>
      <c r="V210" s="300"/>
      <c r="W210" s="201"/>
      <c r="X210" s="201"/>
      <c r="Y210" s="200"/>
      <c r="Z210" s="207"/>
      <c r="AA210" s="206"/>
      <c r="AB210" s="207"/>
      <c r="AC210" s="188"/>
      <c r="AD210" s="187"/>
    </row>
    <row r="211" spans="1:30">
      <c r="A211" s="318">
        <f>COUNTA($E$3:E211)</f>
        <v>209</v>
      </c>
      <c r="B211" s="318" t="s">
        <v>5059</v>
      </c>
      <c r="C211" s="318" t="s">
        <v>71</v>
      </c>
      <c r="D211" s="318" t="s">
        <v>49</v>
      </c>
      <c r="E211" s="318" t="s">
        <v>5060</v>
      </c>
      <c r="F211" s="316">
        <v>45027.699392650466</v>
      </c>
      <c r="G211" s="316"/>
      <c r="H211" s="316"/>
      <c r="I211" s="316" t="s">
        <v>3</v>
      </c>
      <c r="J211" s="318"/>
      <c r="K211" s="318" t="s">
        <v>1295</v>
      </c>
      <c r="L211" s="171">
        <v>45040</v>
      </c>
      <c r="M211" s="178" t="s">
        <v>5123</v>
      </c>
      <c r="N211" s="180">
        <v>45034</v>
      </c>
      <c r="O211" s="179"/>
      <c r="Q211" t="s">
        <v>129</v>
      </c>
      <c r="R211">
        <v>12</v>
      </c>
      <c r="T211" s="195"/>
      <c r="U211" s="195"/>
      <c r="V211" s="300"/>
      <c r="W211" s="201"/>
      <c r="X211" s="201"/>
      <c r="Y211" s="200"/>
      <c r="Z211" s="207"/>
      <c r="AA211" s="206"/>
      <c r="AB211" s="207"/>
      <c r="AC211" s="188"/>
      <c r="AD211" s="187"/>
    </row>
    <row r="212" spans="1:30">
      <c r="A212" s="318">
        <f>COUNTA($E$3:E212)</f>
        <v>210</v>
      </c>
      <c r="B212" s="318" t="s">
        <v>5027</v>
      </c>
      <c r="C212" s="318" t="s">
        <v>37</v>
      </c>
      <c r="D212" s="318" t="s">
        <v>30</v>
      </c>
      <c r="E212" s="318" t="s">
        <v>2994</v>
      </c>
      <c r="F212" s="316">
        <v>45020.712262187502</v>
      </c>
      <c r="G212" s="316"/>
      <c r="H212" s="316"/>
      <c r="I212" s="316" t="s">
        <v>2</v>
      </c>
      <c r="J212" s="318"/>
      <c r="K212" s="318" t="s">
        <v>1296</v>
      </c>
      <c r="L212" s="171">
        <v>45033</v>
      </c>
      <c r="M212" s="178" t="s">
        <v>5091</v>
      </c>
      <c r="N212" s="180">
        <v>45051</v>
      </c>
      <c r="O212" s="179"/>
      <c r="Q212" t="s">
        <v>129</v>
      </c>
      <c r="R212">
        <v>12</v>
      </c>
      <c r="T212" s="195"/>
      <c r="U212" s="195"/>
      <c r="V212" s="300"/>
      <c r="W212" s="201"/>
      <c r="X212" s="201"/>
      <c r="Y212" s="200"/>
      <c r="Z212" s="207"/>
      <c r="AA212" s="206"/>
      <c r="AB212" s="207"/>
      <c r="AC212" s="188"/>
      <c r="AD212" s="187">
        <v>45051</v>
      </c>
    </row>
    <row r="213" spans="1:30">
      <c r="A213" s="318">
        <f>COUNTA($E$3:E213)</f>
        <v>211</v>
      </c>
      <c r="B213" s="318" t="s">
        <v>4939</v>
      </c>
      <c r="C213" s="318" t="s">
        <v>21</v>
      </c>
      <c r="D213" s="318" t="s">
        <v>34</v>
      </c>
      <c r="E213" s="318" t="s">
        <v>4940</v>
      </c>
      <c r="F213" s="316">
        <v>45007</v>
      </c>
      <c r="G213" s="316"/>
      <c r="H213" s="316"/>
      <c r="I213" s="316" t="s">
        <v>2</v>
      </c>
      <c r="J213" s="318"/>
      <c r="K213" s="318" t="s">
        <v>1287</v>
      </c>
      <c r="L213" s="171">
        <v>45033</v>
      </c>
      <c r="M213" s="178" t="s">
        <v>2811</v>
      </c>
      <c r="N213" s="180">
        <v>45034</v>
      </c>
      <c r="O213" s="179"/>
      <c r="Q213" t="s">
        <v>129</v>
      </c>
      <c r="R213">
        <v>26</v>
      </c>
      <c r="T213" s="195"/>
      <c r="U213" s="195"/>
      <c r="V213" s="300"/>
      <c r="W213" s="201"/>
      <c r="X213" s="201"/>
      <c r="Y213" s="200"/>
      <c r="Z213" s="207"/>
      <c r="AA213" s="206"/>
      <c r="AB213" s="207"/>
      <c r="AC213" s="188"/>
      <c r="AD213" s="187"/>
    </row>
    <row r="214" spans="1:30">
      <c r="A214" s="318">
        <f>COUNTA($E$3:E214)</f>
        <v>212</v>
      </c>
      <c r="B214" s="318" t="s">
        <v>4855</v>
      </c>
      <c r="C214" s="318" t="s">
        <v>41</v>
      </c>
      <c r="D214" s="318" t="s">
        <v>56</v>
      </c>
      <c r="E214" s="318" t="s">
        <v>1238</v>
      </c>
      <c r="F214" s="316">
        <v>44774</v>
      </c>
      <c r="G214" s="316"/>
      <c r="H214" s="316" t="s">
        <v>66</v>
      </c>
      <c r="I214" s="316" t="s">
        <v>2</v>
      </c>
      <c r="J214" s="318" t="s">
        <v>4856</v>
      </c>
      <c r="K214" s="318" t="s">
        <v>24</v>
      </c>
      <c r="L214" s="171">
        <v>45033</v>
      </c>
      <c r="M214" s="178" t="s">
        <v>5090</v>
      </c>
      <c r="N214" s="180">
        <v>45131</v>
      </c>
      <c r="O214" s="179"/>
      <c r="Q214" t="s">
        <v>22</v>
      </c>
      <c r="R214">
        <v>259</v>
      </c>
      <c r="T214" s="195"/>
      <c r="U214" s="195"/>
      <c r="V214" s="300"/>
      <c r="W214" s="201"/>
      <c r="X214" s="201"/>
      <c r="Y214" s="200"/>
      <c r="Z214" s="207"/>
      <c r="AA214" s="206"/>
      <c r="AB214" s="207"/>
      <c r="AC214" s="188"/>
      <c r="AD214" s="187"/>
    </row>
    <row r="215" spans="1:30">
      <c r="A215" s="318">
        <f>COUNTA($E$3:E215)</f>
        <v>213</v>
      </c>
      <c r="B215" s="318" t="s">
        <v>5056</v>
      </c>
      <c r="C215" s="318" t="s">
        <v>37</v>
      </c>
      <c r="D215" s="318" t="s">
        <v>34</v>
      </c>
      <c r="E215" s="318" t="s">
        <v>4574</v>
      </c>
      <c r="F215" s="316">
        <v>45027.818645833337</v>
      </c>
      <c r="G215" s="316"/>
      <c r="H215" s="316"/>
      <c r="I215" s="316" t="s">
        <v>3</v>
      </c>
      <c r="J215" s="318" t="s">
        <v>1249</v>
      </c>
      <c r="K215" s="318" t="s">
        <v>1287</v>
      </c>
      <c r="L215" s="171">
        <v>45033</v>
      </c>
      <c r="M215" s="178" t="s">
        <v>5091</v>
      </c>
      <c r="N215" s="180">
        <v>45030</v>
      </c>
      <c r="O215" s="179"/>
      <c r="Q215" t="s">
        <v>129</v>
      </c>
      <c r="R215">
        <v>5</v>
      </c>
      <c r="T215" s="195"/>
      <c r="U215" s="195"/>
      <c r="V215" s="300"/>
      <c r="W215" s="201"/>
      <c r="X215" s="201"/>
      <c r="Y215" s="200"/>
      <c r="Z215" s="207"/>
      <c r="AA215" s="206"/>
      <c r="AB215" s="207"/>
      <c r="AC215" s="188"/>
      <c r="AD215" s="187"/>
    </row>
    <row r="216" spans="1:30">
      <c r="A216" s="318">
        <f>COUNTA($E$3:E216)</f>
        <v>214</v>
      </c>
      <c r="B216" s="318" t="s">
        <v>5037</v>
      </c>
      <c r="C216" s="318" t="s">
        <v>41</v>
      </c>
      <c r="D216" s="318" t="s">
        <v>32</v>
      </c>
      <c r="E216" s="318" t="s">
        <v>1159</v>
      </c>
      <c r="F216" s="316">
        <v>45021.452931932872</v>
      </c>
      <c r="G216" s="316"/>
      <c r="H216" s="316"/>
      <c r="I216" s="316" t="s">
        <v>3</v>
      </c>
      <c r="J216" s="318"/>
      <c r="K216" s="318" t="s">
        <v>2032</v>
      </c>
      <c r="L216" s="171">
        <v>45033</v>
      </c>
      <c r="M216" s="178" t="s">
        <v>5068</v>
      </c>
      <c r="N216" s="180">
        <v>45051</v>
      </c>
      <c r="O216" s="179"/>
      <c r="Q216" t="s">
        <v>22</v>
      </c>
      <c r="R216">
        <v>12</v>
      </c>
      <c r="T216" s="195"/>
      <c r="U216" s="195"/>
      <c r="V216" s="300"/>
      <c r="W216" s="201"/>
      <c r="X216" s="201"/>
      <c r="Y216" s="200"/>
      <c r="Z216" s="207"/>
      <c r="AA216" s="206"/>
      <c r="AB216" s="207"/>
      <c r="AC216" s="188"/>
      <c r="AD216" s="187">
        <v>45051</v>
      </c>
    </row>
    <row r="217" spans="1:30">
      <c r="A217" s="318">
        <f>COUNTA($E$3:E217)</f>
        <v>215</v>
      </c>
      <c r="B217" s="318" t="s">
        <v>5034</v>
      </c>
      <c r="C217" s="318" t="s">
        <v>41</v>
      </c>
      <c r="D217" s="318" t="s">
        <v>16</v>
      </c>
      <c r="E217" s="318" t="s">
        <v>3449</v>
      </c>
      <c r="F217" s="316">
        <v>45021.451466874998</v>
      </c>
      <c r="G217" s="316"/>
      <c r="H217" s="316"/>
      <c r="I217" s="316" t="s">
        <v>3</v>
      </c>
      <c r="J217" s="318"/>
      <c r="K217" s="318" t="s">
        <v>2032</v>
      </c>
      <c r="L217" s="171">
        <v>45033</v>
      </c>
      <c r="M217" s="178" t="s">
        <v>5068</v>
      </c>
      <c r="N217" s="180">
        <v>45083</v>
      </c>
      <c r="O217" s="179"/>
      <c r="Q217" t="s">
        <v>22</v>
      </c>
      <c r="R217">
        <v>12</v>
      </c>
      <c r="T217" s="195"/>
      <c r="U217" s="195"/>
      <c r="V217" s="300"/>
      <c r="W217" s="201"/>
      <c r="X217" s="201"/>
      <c r="Y217" s="200"/>
      <c r="Z217" s="207"/>
      <c r="AA217" s="206"/>
      <c r="AB217" s="207"/>
      <c r="AC217" s="188"/>
      <c r="AD217" s="187">
        <v>45083</v>
      </c>
    </row>
    <row r="218" spans="1:30">
      <c r="A218" s="318">
        <f>COUNTA($E$3:E218)</f>
        <v>216</v>
      </c>
      <c r="B218" s="318" t="s">
        <v>5016</v>
      </c>
      <c r="C218" s="318" t="s">
        <v>41</v>
      </c>
      <c r="D218" s="318" t="s">
        <v>34</v>
      </c>
      <c r="E218" s="318" t="s">
        <v>1045</v>
      </c>
      <c r="F218" s="316">
        <v>45022</v>
      </c>
      <c r="G218" s="316"/>
      <c r="H218" s="316" t="s">
        <v>66</v>
      </c>
      <c r="I218" s="316" t="s">
        <v>3</v>
      </c>
      <c r="J218" s="318" t="s">
        <v>5017</v>
      </c>
      <c r="K218" s="318" t="s">
        <v>18</v>
      </c>
      <c r="L218" s="171">
        <v>45033</v>
      </c>
      <c r="M218" s="178"/>
      <c r="N218" s="180">
        <v>45083</v>
      </c>
      <c r="O218" s="179"/>
      <c r="Q218" t="s">
        <v>22</v>
      </c>
      <c r="R218">
        <v>11</v>
      </c>
      <c r="T218" s="195"/>
      <c r="U218" s="195"/>
      <c r="V218" s="300"/>
      <c r="W218" s="201"/>
      <c r="X218" s="201"/>
      <c r="Y218" s="200"/>
      <c r="Z218" s="207"/>
      <c r="AA218" s="206"/>
      <c r="AB218" s="207"/>
      <c r="AC218" s="188"/>
      <c r="AD218" s="187">
        <v>45083</v>
      </c>
    </row>
    <row r="219" spans="1:30">
      <c r="A219" s="318">
        <f>COUNTA($E$3:E219)</f>
        <v>217</v>
      </c>
      <c r="B219" s="318" t="s">
        <v>5026</v>
      </c>
      <c r="C219" s="318" t="s">
        <v>37</v>
      </c>
      <c r="D219" s="318" t="s">
        <v>34</v>
      </c>
      <c r="E219" s="318" t="s">
        <v>3373</v>
      </c>
      <c r="F219" s="316">
        <v>45020.71172644676</v>
      </c>
      <c r="G219" s="316"/>
      <c r="H219" s="316"/>
      <c r="I219" s="316" t="s">
        <v>3</v>
      </c>
      <c r="J219" s="318"/>
      <c r="K219" s="318" t="s">
        <v>1296</v>
      </c>
      <c r="L219" s="171">
        <v>45033</v>
      </c>
      <c r="M219" s="178" t="s">
        <v>5091</v>
      </c>
      <c r="N219" s="180"/>
      <c r="O219" s="179"/>
      <c r="Q219" t="s">
        <v>129</v>
      </c>
      <c r="R219">
        <v>12</v>
      </c>
      <c r="T219" s="195"/>
      <c r="U219" s="195"/>
      <c r="V219" s="300"/>
      <c r="W219" s="201"/>
      <c r="X219" s="201"/>
      <c r="Y219" s="200"/>
      <c r="Z219" s="207"/>
      <c r="AA219" s="206"/>
      <c r="AB219" s="207"/>
      <c r="AC219" s="188"/>
      <c r="AD219" s="187"/>
    </row>
    <row r="220" spans="1:30">
      <c r="A220" s="318">
        <f>COUNTA($E$3:E220)</f>
        <v>218</v>
      </c>
      <c r="B220" s="318" t="s">
        <v>5025</v>
      </c>
      <c r="C220" s="318" t="s">
        <v>37</v>
      </c>
      <c r="D220" s="318" t="s">
        <v>30</v>
      </c>
      <c r="E220" s="318" t="s">
        <v>1187</v>
      </c>
      <c r="F220" s="316">
        <v>45020.710970069442</v>
      </c>
      <c r="G220" s="316"/>
      <c r="H220" s="316"/>
      <c r="I220" s="316" t="s">
        <v>3</v>
      </c>
      <c r="J220" s="318"/>
      <c r="K220" s="318" t="s">
        <v>1287</v>
      </c>
      <c r="L220" s="171">
        <v>45033</v>
      </c>
      <c r="M220" s="178" t="s">
        <v>2811</v>
      </c>
      <c r="N220" s="180">
        <v>45030</v>
      </c>
      <c r="O220" s="179"/>
      <c r="Q220" t="s">
        <v>129</v>
      </c>
      <c r="R220">
        <v>12</v>
      </c>
      <c r="T220" s="195"/>
      <c r="U220" s="195"/>
      <c r="V220" s="300"/>
      <c r="W220" s="201"/>
      <c r="X220" s="201"/>
      <c r="Y220" s="200"/>
      <c r="Z220" s="207"/>
      <c r="AA220" s="206"/>
      <c r="AB220" s="207"/>
      <c r="AC220" s="188"/>
      <c r="AD220" s="187"/>
    </row>
    <row r="221" spans="1:30">
      <c r="A221" s="318">
        <f>COUNTA($E$3:E221)</f>
        <v>219</v>
      </c>
      <c r="B221" s="318" t="s">
        <v>4983</v>
      </c>
      <c r="C221" s="318" t="s">
        <v>21</v>
      </c>
      <c r="D221" s="318" t="s">
        <v>34</v>
      </c>
      <c r="E221" s="318" t="s">
        <v>1784</v>
      </c>
      <c r="F221" s="316">
        <v>45015</v>
      </c>
      <c r="G221" s="316"/>
      <c r="H221" s="316" t="s">
        <v>55</v>
      </c>
      <c r="I221" s="316" t="s">
        <v>3</v>
      </c>
      <c r="J221" s="318" t="s">
        <v>4984</v>
      </c>
      <c r="K221" s="318" t="s">
        <v>1120</v>
      </c>
      <c r="L221" s="171">
        <v>45033</v>
      </c>
      <c r="M221" s="178" t="s">
        <v>5010</v>
      </c>
      <c r="N221" s="180">
        <v>45034</v>
      </c>
      <c r="O221" s="179"/>
      <c r="Q221" t="s">
        <v>129</v>
      </c>
      <c r="R221">
        <v>18</v>
      </c>
      <c r="T221" s="195"/>
      <c r="U221" s="195"/>
      <c r="V221" s="300"/>
      <c r="W221" s="201"/>
      <c r="X221" s="201"/>
      <c r="Y221" s="200"/>
      <c r="Z221" s="207"/>
      <c r="AA221" s="206"/>
      <c r="AB221" s="207"/>
      <c r="AC221" s="188"/>
      <c r="AD221" s="187"/>
    </row>
    <row r="222" spans="1:30">
      <c r="A222" s="318">
        <f>COUNTA($E$3:E222)</f>
        <v>220</v>
      </c>
      <c r="B222" s="318" t="s">
        <v>4716</v>
      </c>
      <c r="C222" s="318" t="s">
        <v>44</v>
      </c>
      <c r="D222" s="318" t="s">
        <v>45</v>
      </c>
      <c r="E222" s="318" t="s">
        <v>173</v>
      </c>
      <c r="F222" s="316">
        <v>44959</v>
      </c>
      <c r="G222" s="316"/>
      <c r="H222" s="316" t="s">
        <v>66</v>
      </c>
      <c r="I222" s="316" t="s">
        <v>4</v>
      </c>
      <c r="J222" s="318" t="s">
        <v>1639</v>
      </c>
      <c r="K222" s="318" t="s">
        <v>1287</v>
      </c>
      <c r="L222" s="171">
        <v>45033</v>
      </c>
      <c r="M222" s="178" t="s">
        <v>5089</v>
      </c>
      <c r="N222" s="180">
        <v>45147</v>
      </c>
      <c r="O222" s="179"/>
      <c r="Q222" t="s">
        <v>129</v>
      </c>
      <c r="R222">
        <v>74</v>
      </c>
      <c r="T222" s="195"/>
      <c r="U222" s="195"/>
      <c r="V222" s="300"/>
      <c r="W222" s="201"/>
      <c r="X222" s="201"/>
      <c r="Y222" s="200"/>
      <c r="Z222" s="207"/>
      <c r="AA222" s="206"/>
      <c r="AB222" s="207"/>
      <c r="AC222" s="188"/>
      <c r="AD222" s="187"/>
    </row>
    <row r="223" spans="1:30">
      <c r="A223" s="318">
        <f>COUNTA($E$3:E223)</f>
        <v>221</v>
      </c>
      <c r="B223" s="318" t="s">
        <v>4714</v>
      </c>
      <c r="C223" s="318" t="s">
        <v>44</v>
      </c>
      <c r="D223" s="318" t="s">
        <v>45</v>
      </c>
      <c r="E223" s="318" t="s">
        <v>178</v>
      </c>
      <c r="F223" s="316">
        <v>44959</v>
      </c>
      <c r="G223" s="316"/>
      <c r="H223" s="316" t="s">
        <v>66</v>
      </c>
      <c r="I223" s="316" t="s">
        <v>4</v>
      </c>
      <c r="J223" s="318" t="s">
        <v>1639</v>
      </c>
      <c r="K223" s="318" t="s">
        <v>1287</v>
      </c>
      <c r="L223" s="171">
        <v>45033</v>
      </c>
      <c r="M223" s="178" t="s">
        <v>2956</v>
      </c>
      <c r="N223" s="180">
        <v>45028</v>
      </c>
      <c r="O223" s="179"/>
      <c r="Q223" t="s">
        <v>129</v>
      </c>
      <c r="R223">
        <v>74</v>
      </c>
      <c r="T223" s="195"/>
      <c r="U223" s="195"/>
      <c r="V223" s="300"/>
      <c r="W223" s="201"/>
      <c r="X223" s="201"/>
      <c r="Y223" s="200"/>
      <c r="Z223" s="207"/>
      <c r="AA223" s="206"/>
      <c r="AB223" s="207"/>
      <c r="AC223" s="188"/>
      <c r="AD223" s="187"/>
    </row>
    <row r="224" spans="1:30">
      <c r="A224" s="318">
        <f>COUNTA($E$3:E224)</f>
        <v>222</v>
      </c>
      <c r="B224" s="318" t="s">
        <v>4656</v>
      </c>
      <c r="C224" s="318" t="s">
        <v>41</v>
      </c>
      <c r="D224" s="318" t="s">
        <v>1098</v>
      </c>
      <c r="E224" s="318" t="s">
        <v>4657</v>
      </c>
      <c r="F224" s="316">
        <v>44936</v>
      </c>
      <c r="G224" s="316"/>
      <c r="H224" s="316" t="s">
        <v>66</v>
      </c>
      <c r="I224" s="316" t="s">
        <v>4</v>
      </c>
      <c r="J224" s="318" t="s">
        <v>3909</v>
      </c>
      <c r="K224" s="318" t="s">
        <v>1287</v>
      </c>
      <c r="L224" s="171">
        <v>45033</v>
      </c>
      <c r="M224" s="178" t="s">
        <v>5088</v>
      </c>
      <c r="N224" s="180"/>
      <c r="O224" s="179"/>
      <c r="Q224" t="s">
        <v>129</v>
      </c>
      <c r="R224">
        <v>97</v>
      </c>
      <c r="T224" s="195"/>
      <c r="U224" s="195"/>
      <c r="V224" s="300"/>
      <c r="W224" s="201"/>
      <c r="X224" s="201"/>
      <c r="Y224" s="200"/>
      <c r="Z224" s="207"/>
      <c r="AA224" s="206"/>
      <c r="AB224" s="207"/>
      <c r="AC224" s="188"/>
      <c r="AD224" s="187"/>
    </row>
    <row r="225" spans="1:30">
      <c r="A225" s="318">
        <f>COUNTA($E$3:E225)</f>
        <v>223</v>
      </c>
      <c r="B225" s="318" t="s">
        <v>4988</v>
      </c>
      <c r="C225" s="318" t="s">
        <v>21</v>
      </c>
      <c r="D225" s="318" t="s">
        <v>30</v>
      </c>
      <c r="E225" s="318" t="s">
        <v>4989</v>
      </c>
      <c r="F225" s="316">
        <v>45015</v>
      </c>
      <c r="G225" s="316"/>
      <c r="H225" s="316"/>
      <c r="I225" s="316"/>
      <c r="J225" s="318"/>
      <c r="K225" s="318" t="s">
        <v>53</v>
      </c>
      <c r="L225" s="171">
        <v>45026</v>
      </c>
      <c r="M225" s="178"/>
      <c r="N225" s="180">
        <v>45147</v>
      </c>
      <c r="O225" s="179"/>
      <c r="Q225" t="s">
        <v>129</v>
      </c>
      <c r="R225">
        <v>11</v>
      </c>
      <c r="T225" s="195"/>
      <c r="U225" s="195"/>
      <c r="V225" s="300"/>
      <c r="W225" s="201"/>
      <c r="X225" s="201"/>
      <c r="Y225" s="200"/>
      <c r="Z225" s="207"/>
      <c r="AA225" s="206"/>
      <c r="AB225" s="207"/>
      <c r="AC225" s="188"/>
      <c r="AD225" s="187"/>
    </row>
    <row r="226" spans="1:30">
      <c r="A226" s="318">
        <f>COUNTA($E$3:E226)</f>
        <v>224</v>
      </c>
      <c r="B226" s="318" t="s">
        <v>4957</v>
      </c>
      <c r="C226" s="318" t="s">
        <v>4326</v>
      </c>
      <c r="D226" s="318" t="s">
        <v>38</v>
      </c>
      <c r="E226" s="318" t="s">
        <v>4337</v>
      </c>
      <c r="F226" s="316">
        <v>45016.581076388888</v>
      </c>
      <c r="G226" s="316"/>
      <c r="H226" s="316"/>
      <c r="I226" s="316" t="s">
        <v>2</v>
      </c>
      <c r="J226" s="318" t="s">
        <v>4958</v>
      </c>
      <c r="K226" s="318" t="s">
        <v>1287</v>
      </c>
      <c r="L226" s="171">
        <v>45026</v>
      </c>
      <c r="M226" s="178" t="s">
        <v>5054</v>
      </c>
      <c r="N226" s="180"/>
      <c r="O226" s="179"/>
      <c r="Q226" t="s">
        <v>129</v>
      </c>
      <c r="R226">
        <v>147</v>
      </c>
      <c r="T226" s="195"/>
      <c r="U226" s="195"/>
      <c r="V226" s="300"/>
      <c r="W226" s="201"/>
      <c r="X226" s="201"/>
      <c r="Y226" s="200"/>
      <c r="Z226" s="207"/>
      <c r="AA226" s="206"/>
      <c r="AB226" s="207"/>
      <c r="AC226" s="188"/>
      <c r="AD226" s="187"/>
    </row>
    <row r="227" spans="1:30">
      <c r="A227" s="318">
        <f>COUNTA($E$3:E227)</f>
        <v>225</v>
      </c>
      <c r="B227" s="318" t="s">
        <v>4727</v>
      </c>
      <c r="C227" s="318" t="s">
        <v>1752</v>
      </c>
      <c r="D227" s="318" t="s">
        <v>1145</v>
      </c>
      <c r="E227" s="318" t="s">
        <v>4410</v>
      </c>
      <c r="F227" s="316">
        <v>44964</v>
      </c>
      <c r="G227" s="316"/>
      <c r="H227" s="316"/>
      <c r="I227" s="316" t="s">
        <v>2</v>
      </c>
      <c r="J227" s="318" t="s">
        <v>357</v>
      </c>
      <c r="K227" s="318" t="s">
        <v>1295</v>
      </c>
      <c r="L227" s="171">
        <v>45026</v>
      </c>
      <c r="M227" s="178" t="s">
        <v>5050</v>
      </c>
      <c r="N227" s="180">
        <v>45023</v>
      </c>
      <c r="O227" s="179"/>
      <c r="Q227" t="s">
        <v>129</v>
      </c>
      <c r="R227">
        <v>62</v>
      </c>
      <c r="T227" s="195"/>
      <c r="U227" s="195"/>
      <c r="V227" s="300"/>
      <c r="W227" s="201"/>
      <c r="X227" s="201"/>
      <c r="Y227" s="200"/>
      <c r="Z227" s="207"/>
      <c r="AA227" s="206"/>
      <c r="AB227" s="207"/>
      <c r="AC227" s="188"/>
      <c r="AD227" s="187"/>
    </row>
    <row r="228" spans="1:30">
      <c r="A228" s="318">
        <f>COUNTA($E$3:E228)</f>
        <v>226</v>
      </c>
      <c r="B228" s="318" t="s">
        <v>5011</v>
      </c>
      <c r="C228" s="318" t="s">
        <v>1990</v>
      </c>
      <c r="D228" s="318" t="s">
        <v>16</v>
      </c>
      <c r="E228" s="318" t="s">
        <v>5012</v>
      </c>
      <c r="F228" s="316">
        <v>45021.550636574073</v>
      </c>
      <c r="G228" s="316"/>
      <c r="H228" s="316"/>
      <c r="I228" s="316" t="s">
        <v>3</v>
      </c>
      <c r="J228" s="318" t="s">
        <v>5013</v>
      </c>
      <c r="K228" s="318"/>
      <c r="L228" s="171">
        <v>45026</v>
      </c>
      <c r="M228" s="178" t="s">
        <v>3456</v>
      </c>
      <c r="N228" s="180">
        <v>45021</v>
      </c>
      <c r="O228" s="179"/>
      <c r="Q228" t="s">
        <v>129</v>
      </c>
      <c r="R228">
        <v>4</v>
      </c>
      <c r="T228" s="195"/>
      <c r="U228" s="195"/>
      <c r="V228" s="300"/>
      <c r="W228" s="201"/>
      <c r="X228" s="201"/>
      <c r="Y228" s="200"/>
      <c r="Z228" s="207"/>
      <c r="AA228" s="206"/>
      <c r="AB228" s="207"/>
      <c r="AC228" s="188"/>
      <c r="AD228" s="187"/>
    </row>
    <row r="229" spans="1:30">
      <c r="A229" s="318">
        <f>COUNTA($E$3:E229)</f>
        <v>227</v>
      </c>
      <c r="B229" s="318" t="s">
        <v>4985</v>
      </c>
      <c r="C229" s="318" t="s">
        <v>41</v>
      </c>
      <c r="D229" s="318" t="s">
        <v>63</v>
      </c>
      <c r="E229" s="318" t="s">
        <v>4986</v>
      </c>
      <c r="F229" s="316">
        <v>45015.455003020834</v>
      </c>
      <c r="G229" s="316"/>
      <c r="H229" s="316"/>
      <c r="I229" s="316" t="s">
        <v>3</v>
      </c>
      <c r="J229" s="318"/>
      <c r="K229" s="318" t="s">
        <v>1296</v>
      </c>
      <c r="L229" s="171">
        <v>45026</v>
      </c>
      <c r="M229" s="178" t="s">
        <v>5041</v>
      </c>
      <c r="N229" s="180">
        <v>45147</v>
      </c>
      <c r="O229" s="179"/>
      <c r="Q229" t="s">
        <v>129</v>
      </c>
      <c r="R229">
        <v>11</v>
      </c>
      <c r="T229" s="195"/>
      <c r="U229" s="195"/>
      <c r="V229" s="300"/>
      <c r="W229" s="201"/>
      <c r="X229" s="201"/>
      <c r="Y229" s="200"/>
      <c r="Z229" s="207"/>
      <c r="AA229" s="206"/>
      <c r="AB229" s="207"/>
      <c r="AC229" s="188"/>
      <c r="AD229" s="187"/>
    </row>
    <row r="230" spans="1:30">
      <c r="A230" s="318">
        <f>COUNTA($E$3:E230)</f>
        <v>228</v>
      </c>
      <c r="B230" s="318" t="s">
        <v>4961</v>
      </c>
      <c r="C230" s="318" t="s">
        <v>65</v>
      </c>
      <c r="D230" s="318" t="s">
        <v>1080</v>
      </c>
      <c r="E230" s="318" t="s">
        <v>4962</v>
      </c>
      <c r="F230" s="316">
        <v>45012</v>
      </c>
      <c r="G230" s="316"/>
      <c r="H230" s="316">
        <v>45019</v>
      </c>
      <c r="I230" s="316" t="s">
        <v>3</v>
      </c>
      <c r="J230" s="318" t="s">
        <v>514</v>
      </c>
      <c r="K230" s="318" t="s">
        <v>20</v>
      </c>
      <c r="L230" s="171">
        <v>45026</v>
      </c>
      <c r="M230" s="178"/>
      <c r="N230" s="180">
        <v>45028</v>
      </c>
      <c r="O230" s="179"/>
      <c r="Q230" t="s">
        <v>22</v>
      </c>
      <c r="R230">
        <v>14</v>
      </c>
      <c r="T230" s="195"/>
      <c r="U230" s="195"/>
      <c r="V230" s="300"/>
      <c r="W230" s="201"/>
      <c r="X230" s="201"/>
      <c r="Y230" s="200"/>
      <c r="Z230" s="207"/>
      <c r="AA230" s="206"/>
      <c r="AB230" s="207"/>
      <c r="AC230" s="188"/>
      <c r="AD230" s="187">
        <v>45028</v>
      </c>
    </row>
    <row r="231" spans="1:30">
      <c r="A231" s="318">
        <f>COUNTA($E$3:E231)</f>
        <v>229</v>
      </c>
      <c r="B231" s="318" t="s">
        <v>4959</v>
      </c>
      <c r="C231" s="318" t="s">
        <v>41</v>
      </c>
      <c r="D231" s="318" t="s">
        <v>1080</v>
      </c>
      <c r="E231" s="318" t="s">
        <v>3422</v>
      </c>
      <c r="F231" s="316">
        <v>45012.44767361111</v>
      </c>
      <c r="G231" s="316"/>
      <c r="H231" s="316"/>
      <c r="I231" s="316" t="s">
        <v>3</v>
      </c>
      <c r="J231" s="318" t="s">
        <v>4960</v>
      </c>
      <c r="K231" s="318" t="s">
        <v>1294</v>
      </c>
      <c r="L231" s="171">
        <v>45026</v>
      </c>
      <c r="M231" s="178" t="s">
        <v>5052</v>
      </c>
      <c r="N231" s="180">
        <v>45124</v>
      </c>
      <c r="O231" s="179"/>
      <c r="Q231" t="s">
        <v>22</v>
      </c>
      <c r="R231">
        <v>14</v>
      </c>
      <c r="T231" s="195"/>
      <c r="U231" s="195"/>
      <c r="V231" s="300"/>
      <c r="W231" s="201"/>
      <c r="X231" s="201"/>
      <c r="Y231" s="200"/>
      <c r="Z231" s="207"/>
      <c r="AA231" s="206"/>
      <c r="AB231" s="207"/>
      <c r="AC231" s="188"/>
      <c r="AD231" s="187"/>
    </row>
    <row r="232" spans="1:30">
      <c r="A232" s="318">
        <f>COUNTA($E$3:E232)</f>
        <v>230</v>
      </c>
      <c r="B232" s="318" t="s">
        <v>4978</v>
      </c>
      <c r="C232" s="318" t="s">
        <v>37</v>
      </c>
      <c r="D232" s="318" t="s">
        <v>30</v>
      </c>
      <c r="E232" s="318" t="s">
        <v>4979</v>
      </c>
      <c r="F232" s="316">
        <v>45009</v>
      </c>
      <c r="G232" s="316"/>
      <c r="H232" s="316"/>
      <c r="I232" s="316" t="s">
        <v>3</v>
      </c>
      <c r="J232" s="318" t="s">
        <v>4980</v>
      </c>
      <c r="K232" s="318" t="s">
        <v>1295</v>
      </c>
      <c r="L232" s="171">
        <v>45026</v>
      </c>
      <c r="M232" s="178" t="s">
        <v>5053</v>
      </c>
      <c r="N232" s="180"/>
      <c r="O232" s="179"/>
      <c r="Q232" t="s">
        <v>129</v>
      </c>
      <c r="R232">
        <v>17</v>
      </c>
      <c r="T232" s="195"/>
      <c r="U232" s="195"/>
      <c r="V232" s="300"/>
      <c r="W232" s="201"/>
      <c r="X232" s="201"/>
      <c r="Y232" s="200"/>
      <c r="Z232" s="207"/>
      <c r="AA232" s="206"/>
      <c r="AB232" s="207"/>
      <c r="AC232" s="188"/>
      <c r="AD232" s="187"/>
    </row>
    <row r="233" spans="1:30">
      <c r="A233" s="318">
        <f>COUNTA($E$3:E233)</f>
        <v>231</v>
      </c>
      <c r="B233" s="318" t="s">
        <v>4921</v>
      </c>
      <c r="C233" s="318" t="s">
        <v>41</v>
      </c>
      <c r="D233" s="318" t="s">
        <v>49</v>
      </c>
      <c r="E233" s="318" t="s">
        <v>4922</v>
      </c>
      <c r="F233" s="316">
        <v>45008</v>
      </c>
      <c r="G233" s="316"/>
      <c r="H233" s="316" t="s">
        <v>66</v>
      </c>
      <c r="I233" s="316" t="s">
        <v>3</v>
      </c>
      <c r="J233" s="318" t="s">
        <v>4923</v>
      </c>
      <c r="K233" s="318" t="s">
        <v>2032</v>
      </c>
      <c r="L233" s="171">
        <v>45026</v>
      </c>
      <c r="M233" s="178" t="s">
        <v>5040</v>
      </c>
      <c r="N233" s="180">
        <v>45051</v>
      </c>
      <c r="O233" s="179"/>
      <c r="Q233" t="s">
        <v>22</v>
      </c>
      <c r="R233">
        <v>18</v>
      </c>
      <c r="T233" s="195"/>
      <c r="U233" s="195"/>
      <c r="V233" s="300"/>
      <c r="W233" s="201"/>
      <c r="X233" s="201"/>
      <c r="Y233" s="200"/>
      <c r="Z233" s="207"/>
      <c r="AA233" s="206"/>
      <c r="AB233" s="207"/>
      <c r="AC233" s="188"/>
      <c r="AD233" s="187">
        <v>45051</v>
      </c>
    </row>
    <row r="234" spans="1:30">
      <c r="A234" s="318">
        <f>COUNTA($E$3:E234)</f>
        <v>232</v>
      </c>
      <c r="B234" s="318" t="s">
        <v>4945</v>
      </c>
      <c r="C234" s="318" t="s">
        <v>41</v>
      </c>
      <c r="D234" s="318" t="s">
        <v>16</v>
      </c>
      <c r="E234" s="318" t="s">
        <v>3962</v>
      </c>
      <c r="F234" s="316">
        <v>45006</v>
      </c>
      <c r="G234" s="316"/>
      <c r="H234" s="316"/>
      <c r="I234" s="316" t="s">
        <v>3</v>
      </c>
      <c r="J234" s="318"/>
      <c r="K234" s="318"/>
      <c r="L234" s="171">
        <v>45026</v>
      </c>
      <c r="M234" s="178" t="s">
        <v>5000</v>
      </c>
      <c r="N234" s="180">
        <v>45083</v>
      </c>
      <c r="O234" s="179"/>
      <c r="Q234" t="s">
        <v>22</v>
      </c>
      <c r="R234">
        <v>20</v>
      </c>
      <c r="T234" s="195"/>
      <c r="U234" s="195"/>
      <c r="V234" s="300"/>
      <c r="W234" s="201"/>
      <c r="X234" s="201"/>
      <c r="Y234" s="200"/>
      <c r="Z234" s="207"/>
      <c r="AA234" s="206"/>
      <c r="AB234" s="207"/>
      <c r="AC234" s="188"/>
      <c r="AD234" s="187"/>
    </row>
    <row r="235" spans="1:30">
      <c r="A235" s="318">
        <f>COUNTA($E$3:E235)</f>
        <v>233</v>
      </c>
      <c r="B235" s="318" t="s">
        <v>4915</v>
      </c>
      <c r="C235" s="318" t="s">
        <v>4637</v>
      </c>
      <c r="D235" s="318" t="s">
        <v>1124</v>
      </c>
      <c r="E235" s="318" t="s">
        <v>4916</v>
      </c>
      <c r="F235" s="316">
        <v>45007</v>
      </c>
      <c r="G235" s="316">
        <v>45022</v>
      </c>
      <c r="H235" s="316">
        <v>45008</v>
      </c>
      <c r="I235" s="316" t="s">
        <v>3</v>
      </c>
      <c r="J235" s="318" t="s">
        <v>4917</v>
      </c>
      <c r="K235" s="318" t="s">
        <v>20</v>
      </c>
      <c r="L235" s="171">
        <v>45026</v>
      </c>
      <c r="M235" s="178" t="s">
        <v>5039</v>
      </c>
      <c r="N235" s="180">
        <v>45083</v>
      </c>
      <c r="O235" s="179"/>
      <c r="Q235" t="s">
        <v>22</v>
      </c>
      <c r="R235">
        <v>19</v>
      </c>
      <c r="T235" s="195"/>
      <c r="U235" s="195"/>
      <c r="V235" s="300"/>
      <c r="W235" s="201"/>
      <c r="X235" s="201"/>
      <c r="Y235" s="200"/>
      <c r="Z235" s="207"/>
      <c r="AA235" s="206"/>
      <c r="AB235" s="207"/>
      <c r="AC235" s="188"/>
      <c r="AD235" s="187"/>
    </row>
    <row r="236" spans="1:30">
      <c r="A236" s="318">
        <f>COUNTA($E$3:E236)</f>
        <v>234</v>
      </c>
      <c r="B236" s="318" t="s">
        <v>4883</v>
      </c>
      <c r="C236" s="318" t="s">
        <v>37</v>
      </c>
      <c r="D236" s="318" t="s">
        <v>30</v>
      </c>
      <c r="E236" s="318" t="s">
        <v>4780</v>
      </c>
      <c r="F236" s="316">
        <v>45000</v>
      </c>
      <c r="G236" s="316"/>
      <c r="H236" s="316"/>
      <c r="I236" s="316" t="s">
        <v>3</v>
      </c>
      <c r="J236" s="318"/>
      <c r="K236" s="318" t="s">
        <v>1295</v>
      </c>
      <c r="L236" s="171">
        <v>45026</v>
      </c>
      <c r="M236" s="178" t="s">
        <v>5038</v>
      </c>
      <c r="N236" s="180">
        <v>45021</v>
      </c>
      <c r="O236" s="179"/>
      <c r="Q236" t="s">
        <v>129</v>
      </c>
      <c r="R236">
        <v>26</v>
      </c>
      <c r="T236" s="195"/>
      <c r="U236" s="195"/>
      <c r="V236" s="300"/>
      <c r="W236" s="201"/>
      <c r="X236" s="201"/>
      <c r="Y236" s="200"/>
      <c r="Z236" s="207"/>
      <c r="AA236" s="206"/>
      <c r="AB236" s="207"/>
      <c r="AC236" s="188"/>
      <c r="AD236" s="187"/>
    </row>
    <row r="237" spans="1:30">
      <c r="A237" s="318">
        <f>COUNTA($E$3:E237)</f>
        <v>235</v>
      </c>
      <c r="B237" s="318" t="s">
        <v>4879</v>
      </c>
      <c r="C237" s="318" t="s">
        <v>37</v>
      </c>
      <c r="D237" s="318" t="s">
        <v>30</v>
      </c>
      <c r="E237" s="318" t="s">
        <v>3370</v>
      </c>
      <c r="F237" s="316">
        <v>45000</v>
      </c>
      <c r="G237" s="316"/>
      <c r="H237" s="316"/>
      <c r="I237" s="316" t="s">
        <v>3</v>
      </c>
      <c r="J237" s="318"/>
      <c r="K237" s="318" t="s">
        <v>1295</v>
      </c>
      <c r="L237" s="171">
        <v>45026</v>
      </c>
      <c r="M237" s="178" t="s">
        <v>5052</v>
      </c>
      <c r="N237" s="180">
        <v>45021</v>
      </c>
      <c r="O237" s="179"/>
      <c r="Q237" t="s">
        <v>129</v>
      </c>
      <c r="R237">
        <v>26</v>
      </c>
      <c r="T237" s="195"/>
      <c r="U237" s="195"/>
      <c r="V237" s="300"/>
      <c r="W237" s="201"/>
      <c r="X237" s="201"/>
      <c r="Y237" s="200"/>
      <c r="Z237" s="207"/>
      <c r="AA237" s="206"/>
      <c r="AB237" s="207"/>
      <c r="AC237" s="188"/>
      <c r="AD237" s="187"/>
    </row>
    <row r="238" spans="1:30">
      <c r="A238" s="318">
        <f>COUNTA($E$3:E238)</f>
        <v>236</v>
      </c>
      <c r="B238" s="318" t="s">
        <v>4878</v>
      </c>
      <c r="C238" s="318" t="s">
        <v>37</v>
      </c>
      <c r="D238" s="318" t="s">
        <v>30</v>
      </c>
      <c r="E238" s="318" t="s">
        <v>4023</v>
      </c>
      <c r="F238" s="316">
        <v>45000</v>
      </c>
      <c r="G238" s="316"/>
      <c r="H238" s="316"/>
      <c r="I238" s="316" t="s">
        <v>3</v>
      </c>
      <c r="J238" s="318"/>
      <c r="K238" s="318" t="s">
        <v>1295</v>
      </c>
      <c r="L238" s="171">
        <v>45026</v>
      </c>
      <c r="M238" s="178" t="s">
        <v>5051</v>
      </c>
      <c r="N238" s="180">
        <v>45021</v>
      </c>
      <c r="O238" s="179"/>
      <c r="Q238" t="s">
        <v>129</v>
      </c>
      <c r="R238">
        <v>26</v>
      </c>
      <c r="T238" s="195"/>
      <c r="U238" s="195"/>
      <c r="V238" s="300"/>
      <c r="W238" s="201"/>
      <c r="X238" s="201"/>
      <c r="Y238" s="200"/>
      <c r="Z238" s="207"/>
      <c r="AA238" s="206"/>
      <c r="AB238" s="207"/>
      <c r="AC238" s="188"/>
      <c r="AD238" s="187"/>
    </row>
    <row r="239" spans="1:30">
      <c r="A239" s="318">
        <f>COUNTA($E$3:E239)</f>
        <v>237</v>
      </c>
      <c r="B239" s="318" t="s">
        <v>4799</v>
      </c>
      <c r="C239" s="318" t="s">
        <v>105</v>
      </c>
      <c r="D239" s="318" t="s">
        <v>30</v>
      </c>
      <c r="E239" s="318" t="s">
        <v>1286</v>
      </c>
      <c r="F239" s="316">
        <v>44980</v>
      </c>
      <c r="G239" s="316"/>
      <c r="H239" s="316">
        <v>44987</v>
      </c>
      <c r="I239" s="316" t="s">
        <v>3</v>
      </c>
      <c r="J239" s="318" t="s">
        <v>1652</v>
      </c>
      <c r="K239" s="318" t="s">
        <v>103</v>
      </c>
      <c r="L239" s="171">
        <v>45026</v>
      </c>
      <c r="M239" s="178"/>
      <c r="N239" s="180">
        <v>45028</v>
      </c>
      <c r="O239" s="179"/>
      <c r="Q239" t="s">
        <v>22</v>
      </c>
      <c r="R239">
        <v>46</v>
      </c>
      <c r="T239" s="195"/>
      <c r="U239" s="195"/>
      <c r="V239" s="300"/>
      <c r="W239" s="201"/>
      <c r="X239" s="201"/>
      <c r="Y239" s="200"/>
      <c r="Z239" s="207"/>
      <c r="AA239" s="206"/>
      <c r="AB239" s="207"/>
      <c r="AC239" s="188"/>
      <c r="AD239" s="187"/>
    </row>
    <row r="240" spans="1:30">
      <c r="A240" s="318">
        <f>COUNTA($E$3:E240)</f>
        <v>238</v>
      </c>
      <c r="B240" s="318" t="s">
        <v>4838</v>
      </c>
      <c r="C240" s="318" t="s">
        <v>1119</v>
      </c>
      <c r="D240" s="318" t="s">
        <v>64</v>
      </c>
      <c r="E240" s="318" t="s">
        <v>4839</v>
      </c>
      <c r="F240" s="316">
        <v>44987</v>
      </c>
      <c r="G240" s="316">
        <v>45002</v>
      </c>
      <c r="H240" s="316">
        <v>44994</v>
      </c>
      <c r="I240" s="316" t="s">
        <v>2</v>
      </c>
      <c r="J240" s="318"/>
      <c r="K240" s="318" t="s">
        <v>1295</v>
      </c>
      <c r="L240" s="171">
        <v>45020</v>
      </c>
      <c r="M240" s="178" t="s">
        <v>4995</v>
      </c>
      <c r="N240" s="180">
        <v>45020</v>
      </c>
      <c r="O240" s="179"/>
      <c r="Q240" t="s">
        <v>129</v>
      </c>
      <c r="T240" s="195"/>
      <c r="U240" s="195"/>
      <c r="V240" s="300"/>
      <c r="W240" s="201"/>
      <c r="X240" s="201"/>
      <c r="Y240" s="200"/>
      <c r="Z240" s="207"/>
      <c r="AA240" s="206"/>
      <c r="AB240" s="207"/>
      <c r="AC240" s="188"/>
      <c r="AD240" s="187">
        <v>45020</v>
      </c>
    </row>
    <row r="241" spans="1:30">
      <c r="A241" s="318">
        <f>COUNTA($E$3:E241)</f>
        <v>239</v>
      </c>
      <c r="B241" s="318" t="s">
        <v>4955</v>
      </c>
      <c r="C241" s="318" t="s">
        <v>37</v>
      </c>
      <c r="D241" s="318" t="s">
        <v>30</v>
      </c>
      <c r="E241" s="318" t="s">
        <v>3725</v>
      </c>
      <c r="F241" s="316">
        <v>45013</v>
      </c>
      <c r="G241" s="316"/>
      <c r="H241" s="316"/>
      <c r="I241" s="316" t="s">
        <v>3</v>
      </c>
      <c r="J241" s="318" t="s">
        <v>1249</v>
      </c>
      <c r="K241" s="318" t="s">
        <v>1287</v>
      </c>
      <c r="L241" s="171">
        <v>45020</v>
      </c>
      <c r="M241" s="178"/>
      <c r="N241" s="180">
        <v>45042</v>
      </c>
      <c r="O241" s="179"/>
      <c r="Q241" t="s">
        <v>129</v>
      </c>
      <c r="T241" s="195"/>
      <c r="U241" s="195"/>
      <c r="V241" s="300"/>
      <c r="W241" s="201"/>
      <c r="X241" s="201"/>
      <c r="Y241" s="200"/>
      <c r="Z241" s="207"/>
      <c r="AA241" s="206"/>
      <c r="AB241" s="207"/>
      <c r="AC241" s="188"/>
      <c r="AD241" s="187"/>
    </row>
    <row r="242" spans="1:30">
      <c r="A242" s="318">
        <f>COUNTA($E$3:E242)</f>
        <v>240</v>
      </c>
      <c r="B242" s="318" t="s">
        <v>4956</v>
      </c>
      <c r="C242" s="318" t="s">
        <v>37</v>
      </c>
      <c r="D242" s="318" t="s">
        <v>34</v>
      </c>
      <c r="E242" s="318" t="s">
        <v>3286</v>
      </c>
      <c r="F242" s="316">
        <v>45009.702245370368</v>
      </c>
      <c r="G242" s="316"/>
      <c r="H242" s="316"/>
      <c r="I242" s="316" t="s">
        <v>3</v>
      </c>
      <c r="J242" s="318" t="s">
        <v>1720</v>
      </c>
      <c r="K242" s="318" t="s">
        <v>1287</v>
      </c>
      <c r="L242" s="171">
        <v>45020</v>
      </c>
      <c r="M242" s="178"/>
      <c r="N242" s="180">
        <v>45021</v>
      </c>
      <c r="O242" s="179"/>
      <c r="Q242" t="s">
        <v>129</v>
      </c>
      <c r="T242" s="195"/>
      <c r="U242" s="195"/>
      <c r="V242" s="300"/>
      <c r="W242" s="201"/>
      <c r="X242" s="201"/>
      <c r="Y242" s="200"/>
      <c r="Z242" s="207"/>
      <c r="AA242" s="206"/>
      <c r="AB242" s="207"/>
      <c r="AC242" s="188"/>
      <c r="AD242" s="187"/>
    </row>
    <row r="243" spans="1:30">
      <c r="A243" s="318">
        <f>COUNTA($E$3:E243)</f>
        <v>241</v>
      </c>
      <c r="B243" s="318" t="s">
        <v>4943</v>
      </c>
      <c r="C243" s="318" t="s">
        <v>1106</v>
      </c>
      <c r="D243" s="318" t="s">
        <v>16</v>
      </c>
      <c r="E243" s="318" t="s">
        <v>2844</v>
      </c>
      <c r="F243" s="316">
        <v>45008</v>
      </c>
      <c r="G243" s="316"/>
      <c r="H243" s="316"/>
      <c r="I243" s="316" t="s">
        <v>3</v>
      </c>
      <c r="J243" s="318"/>
      <c r="K243" s="318" t="s">
        <v>1180</v>
      </c>
      <c r="L243" s="171">
        <v>45020</v>
      </c>
      <c r="M243" s="178" t="s">
        <v>5004</v>
      </c>
      <c r="N243" s="180">
        <v>45021</v>
      </c>
      <c r="O243" s="179"/>
      <c r="Q243" t="s">
        <v>129</v>
      </c>
      <c r="T243" s="195"/>
      <c r="U243" s="195"/>
      <c r="V243" s="300"/>
      <c r="W243" s="201"/>
      <c r="X243" s="201"/>
      <c r="Y243" s="200"/>
      <c r="Z243" s="207"/>
      <c r="AA243" s="206"/>
      <c r="AB243" s="207"/>
      <c r="AC243" s="188"/>
      <c r="AD243" s="187">
        <v>45021</v>
      </c>
    </row>
    <row r="244" spans="1:30">
      <c r="A244" s="318">
        <f>COUNTA($E$3:E244)</f>
        <v>242</v>
      </c>
      <c r="B244" s="318" t="s">
        <v>4933</v>
      </c>
      <c r="C244" s="318" t="s">
        <v>21</v>
      </c>
      <c r="D244" s="318" t="s">
        <v>25</v>
      </c>
      <c r="E244" s="318" t="s">
        <v>4934</v>
      </c>
      <c r="F244" s="316">
        <v>45006.505124444448</v>
      </c>
      <c r="G244" s="316"/>
      <c r="H244" s="316"/>
      <c r="I244" s="316" t="s">
        <v>3</v>
      </c>
      <c r="J244" s="318"/>
      <c r="K244" s="318" t="s">
        <v>1287</v>
      </c>
      <c r="L244" s="171">
        <v>45020</v>
      </c>
      <c r="M244" s="178" t="s">
        <v>4998</v>
      </c>
      <c r="N244" s="180">
        <v>45021</v>
      </c>
      <c r="O244" s="179"/>
      <c r="Q244" t="s">
        <v>129</v>
      </c>
      <c r="T244" s="195"/>
      <c r="U244" s="195"/>
      <c r="V244" s="300"/>
      <c r="W244" s="201"/>
      <c r="X244" s="201"/>
      <c r="Y244" s="200"/>
      <c r="Z244" s="207"/>
      <c r="AA244" s="206"/>
      <c r="AB244" s="207"/>
      <c r="AC244" s="188"/>
      <c r="AD244" s="187"/>
    </row>
    <row r="245" spans="1:30">
      <c r="A245" s="318">
        <f>COUNTA($E$3:E245)</f>
        <v>243</v>
      </c>
      <c r="B245" s="318" t="s">
        <v>4931</v>
      </c>
      <c r="C245" s="318" t="s">
        <v>37</v>
      </c>
      <c r="D245" s="318" t="s">
        <v>30</v>
      </c>
      <c r="E245" s="318" t="s">
        <v>4932</v>
      </c>
      <c r="F245" s="316">
        <v>45006</v>
      </c>
      <c r="G245" s="316"/>
      <c r="H245" s="316"/>
      <c r="I245" s="316" t="s">
        <v>3</v>
      </c>
      <c r="J245" s="318"/>
      <c r="K245" s="318" t="s">
        <v>1295</v>
      </c>
      <c r="L245" s="171">
        <v>45020</v>
      </c>
      <c r="M245" s="178" t="s">
        <v>4996</v>
      </c>
      <c r="N245" s="180">
        <v>45051</v>
      </c>
      <c r="O245" s="179"/>
      <c r="Q245" t="s">
        <v>129</v>
      </c>
      <c r="T245" s="195"/>
      <c r="U245" s="195"/>
      <c r="V245" s="300"/>
      <c r="W245" s="201"/>
      <c r="X245" s="201"/>
      <c r="Y245" s="200"/>
      <c r="Z245" s="207"/>
      <c r="AA245" s="206"/>
      <c r="AB245" s="207"/>
      <c r="AC245" s="188"/>
      <c r="AD245" s="187">
        <v>45051</v>
      </c>
    </row>
    <row r="246" spans="1:30">
      <c r="A246" s="318">
        <f>COUNTA($E$3:E246)</f>
        <v>244</v>
      </c>
      <c r="B246" s="318" t="s">
        <v>4884</v>
      </c>
      <c r="C246" s="318" t="s">
        <v>21</v>
      </c>
      <c r="D246" s="318" t="s">
        <v>30</v>
      </c>
      <c r="E246" s="318" t="s">
        <v>2565</v>
      </c>
      <c r="F246" s="316">
        <v>45001</v>
      </c>
      <c r="G246" s="316"/>
      <c r="H246" s="316"/>
      <c r="I246" s="316" t="s">
        <v>3</v>
      </c>
      <c r="J246" s="318"/>
      <c r="K246" s="318" t="s">
        <v>1295</v>
      </c>
      <c r="L246" s="171">
        <v>45020</v>
      </c>
      <c r="M246" s="178" t="s">
        <v>4996</v>
      </c>
      <c r="N246" s="180">
        <v>45051</v>
      </c>
      <c r="O246" s="179"/>
      <c r="Q246" t="s">
        <v>129</v>
      </c>
      <c r="T246" s="195"/>
      <c r="U246" s="195"/>
      <c r="V246" s="300"/>
      <c r="W246" s="201"/>
      <c r="X246" s="201"/>
      <c r="Y246" s="200"/>
      <c r="Z246" s="207"/>
      <c r="AA246" s="206"/>
      <c r="AB246" s="207"/>
      <c r="AC246" s="188"/>
      <c r="AD246" s="187">
        <v>45051</v>
      </c>
    </row>
    <row r="247" spans="1:30">
      <c r="A247" s="318">
        <f>COUNTA($E$3:E247)</f>
        <v>245</v>
      </c>
      <c r="B247" s="318" t="s">
        <v>4882</v>
      </c>
      <c r="C247" s="318" t="s">
        <v>37</v>
      </c>
      <c r="D247" s="318" t="s">
        <v>30</v>
      </c>
      <c r="E247" s="318" t="s">
        <v>1227</v>
      </c>
      <c r="F247" s="316">
        <v>45000</v>
      </c>
      <c r="G247" s="316"/>
      <c r="H247" s="316"/>
      <c r="I247" s="316" t="s">
        <v>3</v>
      </c>
      <c r="J247" s="318"/>
      <c r="K247" s="318" t="s">
        <v>1295</v>
      </c>
      <c r="L247" s="171">
        <v>45020</v>
      </c>
      <c r="M247" s="178" t="s">
        <v>4996</v>
      </c>
      <c r="N247" s="180">
        <v>45021</v>
      </c>
      <c r="O247" s="179"/>
      <c r="Q247" t="s">
        <v>129</v>
      </c>
      <c r="T247" s="195"/>
      <c r="U247" s="195"/>
      <c r="V247" s="300"/>
      <c r="W247" s="201"/>
      <c r="X247" s="201"/>
      <c r="Y247" s="200"/>
      <c r="Z247" s="207"/>
      <c r="AA247" s="206"/>
      <c r="AB247" s="207"/>
      <c r="AC247" s="188"/>
      <c r="AD247" s="187"/>
    </row>
    <row r="248" spans="1:30">
      <c r="A248" s="318">
        <f>COUNTA($E$3:E248)</f>
        <v>246</v>
      </c>
      <c r="B248" s="318" t="s">
        <v>4880</v>
      </c>
      <c r="C248" s="318" t="s">
        <v>37</v>
      </c>
      <c r="D248" s="318" t="s">
        <v>30</v>
      </c>
      <c r="E248" s="318" t="s">
        <v>4881</v>
      </c>
      <c r="F248" s="316">
        <v>45000</v>
      </c>
      <c r="G248" s="316"/>
      <c r="H248" s="316"/>
      <c r="I248" s="316" t="s">
        <v>3</v>
      </c>
      <c r="J248" s="318"/>
      <c r="K248" s="318" t="s">
        <v>1295</v>
      </c>
      <c r="L248" s="171">
        <v>45020</v>
      </c>
      <c r="M248" s="178" t="s">
        <v>4997</v>
      </c>
      <c r="N248" s="180">
        <v>45021</v>
      </c>
      <c r="O248" s="179"/>
      <c r="Q248" t="s">
        <v>129</v>
      </c>
      <c r="T248" s="195"/>
      <c r="U248" s="195"/>
      <c r="V248" s="300"/>
      <c r="W248" s="201"/>
      <c r="X248" s="201"/>
      <c r="Y248" s="200"/>
      <c r="Z248" s="207"/>
      <c r="AA248" s="206"/>
      <c r="AB248" s="207"/>
      <c r="AC248" s="188"/>
      <c r="AD248" s="187"/>
    </row>
    <row r="249" spans="1:30">
      <c r="A249" s="318">
        <f>COUNTA($E$3:E249)</f>
        <v>247</v>
      </c>
      <c r="B249" s="318" t="s">
        <v>4877</v>
      </c>
      <c r="C249" s="318" t="s">
        <v>37</v>
      </c>
      <c r="D249" s="318" t="s">
        <v>30</v>
      </c>
      <c r="E249" s="318" t="s">
        <v>3491</v>
      </c>
      <c r="F249" s="316">
        <v>45000</v>
      </c>
      <c r="G249" s="316"/>
      <c r="H249" s="316"/>
      <c r="I249" s="316" t="s">
        <v>3</v>
      </c>
      <c r="J249" s="318"/>
      <c r="K249" s="318" t="s">
        <v>1295</v>
      </c>
      <c r="L249" s="171">
        <v>45020</v>
      </c>
      <c r="M249" s="178" t="s">
        <v>4996</v>
      </c>
      <c r="N249" s="180">
        <v>45051</v>
      </c>
      <c r="O249" s="179"/>
      <c r="Q249" t="s">
        <v>129</v>
      </c>
      <c r="T249" s="195"/>
      <c r="U249" s="195"/>
      <c r="V249" s="300"/>
      <c r="W249" s="201"/>
      <c r="X249" s="201"/>
      <c r="Y249" s="200"/>
      <c r="Z249" s="207"/>
      <c r="AA249" s="206"/>
      <c r="AB249" s="207"/>
      <c r="AC249" s="188"/>
      <c r="AD249" s="187">
        <v>45051</v>
      </c>
    </row>
    <row r="250" spans="1:30">
      <c r="A250" s="318">
        <f>COUNTA($E$3:E250)</f>
        <v>248</v>
      </c>
      <c r="B250" s="318" t="s">
        <v>4907</v>
      </c>
      <c r="C250" s="318" t="s">
        <v>4326</v>
      </c>
      <c r="D250" s="318" t="s">
        <v>36</v>
      </c>
      <c r="E250" s="318" t="s">
        <v>4342</v>
      </c>
      <c r="F250" s="316">
        <v>45005</v>
      </c>
      <c r="G250" s="316"/>
      <c r="H250" s="316"/>
      <c r="I250" s="316" t="s">
        <v>2</v>
      </c>
      <c r="J250" s="318" t="s">
        <v>4908</v>
      </c>
      <c r="K250" s="318" t="s">
        <v>20</v>
      </c>
      <c r="L250" s="171">
        <v>45012</v>
      </c>
      <c r="M250" s="178" t="s">
        <v>4951</v>
      </c>
      <c r="N250" s="180">
        <v>45083</v>
      </c>
      <c r="O250" s="179"/>
      <c r="Q250" t="s">
        <v>22</v>
      </c>
      <c r="T250" s="195"/>
      <c r="U250" s="195"/>
      <c r="V250" s="300"/>
      <c r="W250" s="201"/>
      <c r="X250" s="201"/>
      <c r="Y250" s="200"/>
      <c r="Z250" s="207"/>
      <c r="AA250" s="206"/>
      <c r="AB250" s="207"/>
      <c r="AC250" s="188"/>
      <c r="AD250" s="187"/>
    </row>
    <row r="251" spans="1:30">
      <c r="A251" s="318">
        <f>COUNTA($E$3:E251)</f>
        <v>249</v>
      </c>
      <c r="B251" s="318" t="s">
        <v>4909</v>
      </c>
      <c r="C251" s="318" t="s">
        <v>37</v>
      </c>
      <c r="D251" s="318" t="s">
        <v>30</v>
      </c>
      <c r="E251" s="318" t="s">
        <v>4910</v>
      </c>
      <c r="F251" s="316">
        <v>45006</v>
      </c>
      <c r="G251" s="316"/>
      <c r="H251" s="316"/>
      <c r="I251" s="316" t="s">
        <v>3</v>
      </c>
      <c r="J251" s="318" t="s">
        <v>1720</v>
      </c>
      <c r="K251" s="318" t="s">
        <v>33</v>
      </c>
      <c r="L251" s="171">
        <v>45012</v>
      </c>
      <c r="M251" s="178" t="s">
        <v>4949</v>
      </c>
      <c r="N251" s="180">
        <v>45019</v>
      </c>
      <c r="O251" s="179"/>
      <c r="Q251" t="s">
        <v>129</v>
      </c>
      <c r="T251" s="195"/>
      <c r="U251" s="195"/>
      <c r="V251" s="300"/>
      <c r="W251" s="201"/>
      <c r="X251" s="201"/>
      <c r="Y251" s="200"/>
      <c r="Z251" s="207"/>
      <c r="AA251" s="206"/>
      <c r="AB251" s="207"/>
      <c r="AC251" s="188"/>
      <c r="AD251" s="187"/>
    </row>
    <row r="252" spans="1:30">
      <c r="A252" s="318">
        <f>COUNTA($E$3:E252)</f>
        <v>250</v>
      </c>
      <c r="B252" s="318" t="s">
        <v>4904</v>
      </c>
      <c r="C252" s="318" t="s">
        <v>37</v>
      </c>
      <c r="D252" s="318" t="s">
        <v>34</v>
      </c>
      <c r="E252" s="318" t="s">
        <v>1646</v>
      </c>
      <c r="F252" s="316">
        <v>45006</v>
      </c>
      <c r="G252" s="316"/>
      <c r="H252" s="316"/>
      <c r="I252" s="316" t="s">
        <v>3</v>
      </c>
      <c r="J252" s="318" t="s">
        <v>2153</v>
      </c>
      <c r="K252" s="318" t="s">
        <v>1295</v>
      </c>
      <c r="L252" s="171">
        <v>45012</v>
      </c>
      <c r="M252" s="178" t="s">
        <v>4950</v>
      </c>
      <c r="N252" s="180">
        <v>45021</v>
      </c>
      <c r="O252" s="179"/>
      <c r="Q252" t="s">
        <v>129</v>
      </c>
      <c r="T252" s="195"/>
      <c r="U252" s="195"/>
      <c r="V252" s="300"/>
      <c r="W252" s="201"/>
      <c r="X252" s="201"/>
      <c r="Y252" s="200"/>
      <c r="Z252" s="207"/>
      <c r="AA252" s="206"/>
      <c r="AB252" s="207"/>
      <c r="AC252" s="188"/>
      <c r="AD252" s="187"/>
    </row>
    <row r="253" spans="1:30">
      <c r="A253" s="318">
        <f>COUNTA($E$3:E253)</f>
        <v>251</v>
      </c>
      <c r="B253" s="318" t="s">
        <v>4906</v>
      </c>
      <c r="C253" s="318" t="s">
        <v>37</v>
      </c>
      <c r="D253" s="318" t="s">
        <v>30</v>
      </c>
      <c r="E253" s="318" t="s">
        <v>4792</v>
      </c>
      <c r="F253" s="316">
        <v>45006</v>
      </c>
      <c r="G253" s="316"/>
      <c r="H253" s="316"/>
      <c r="I253" s="316" t="s">
        <v>3</v>
      </c>
      <c r="J253" s="318" t="s">
        <v>1720</v>
      </c>
      <c r="K253" s="318" t="s">
        <v>1295</v>
      </c>
      <c r="L253" s="171">
        <v>45012</v>
      </c>
      <c r="M253" s="178" t="s">
        <v>4950</v>
      </c>
      <c r="N253" s="180">
        <v>45019</v>
      </c>
      <c r="O253" s="179"/>
      <c r="Q253" t="s">
        <v>129</v>
      </c>
      <c r="T253" s="195"/>
      <c r="U253" s="195"/>
      <c r="V253" s="300"/>
      <c r="W253" s="201"/>
      <c r="X253" s="201"/>
      <c r="Y253" s="200"/>
      <c r="Z253" s="207"/>
      <c r="AA253" s="206"/>
      <c r="AB253" s="207"/>
      <c r="AC253" s="188"/>
      <c r="AD253" s="187"/>
    </row>
    <row r="254" spans="1:30">
      <c r="A254" s="318">
        <f>COUNTA($E$3:E254)</f>
        <v>252</v>
      </c>
      <c r="B254" s="318" t="s">
        <v>4905</v>
      </c>
      <c r="C254" s="318" t="s">
        <v>37</v>
      </c>
      <c r="D254" s="318" t="s">
        <v>30</v>
      </c>
      <c r="E254" s="318" t="s">
        <v>3493</v>
      </c>
      <c r="F254" s="316">
        <v>45006</v>
      </c>
      <c r="G254" s="316"/>
      <c r="H254" s="316"/>
      <c r="I254" s="316" t="s">
        <v>3</v>
      </c>
      <c r="J254" s="318" t="s">
        <v>1720</v>
      </c>
      <c r="K254" s="318" t="s">
        <v>1295</v>
      </c>
      <c r="L254" s="171">
        <v>45012</v>
      </c>
      <c r="M254" s="178" t="s">
        <v>4950</v>
      </c>
      <c r="N254" s="180">
        <v>45019</v>
      </c>
      <c r="O254" s="179"/>
      <c r="Q254" t="s">
        <v>129</v>
      </c>
      <c r="T254" s="195"/>
      <c r="U254" s="195"/>
      <c r="V254" s="300"/>
      <c r="W254" s="201"/>
      <c r="X254" s="201"/>
      <c r="Y254" s="200"/>
      <c r="Z254" s="207"/>
      <c r="AA254" s="206"/>
      <c r="AB254" s="207"/>
      <c r="AC254" s="188"/>
      <c r="AD254" s="187"/>
    </row>
    <row r="255" spans="1:30">
      <c r="A255" s="318">
        <f>COUNTA($E$3:E255)</f>
        <v>253</v>
      </c>
      <c r="B255" s="318" t="s">
        <v>4885</v>
      </c>
      <c r="C255" s="318" t="s">
        <v>41</v>
      </c>
      <c r="D255" s="318" t="s">
        <v>58</v>
      </c>
      <c r="E255" s="318" t="s">
        <v>1173</v>
      </c>
      <c r="F255" s="316">
        <v>45001</v>
      </c>
      <c r="G255" s="316"/>
      <c r="H255" s="316"/>
      <c r="I255" s="316" t="s">
        <v>3</v>
      </c>
      <c r="J255" s="318"/>
      <c r="K255" s="318" t="s">
        <v>1295</v>
      </c>
      <c r="L255" s="171">
        <v>45012</v>
      </c>
      <c r="M255" s="178" t="s">
        <v>5005</v>
      </c>
      <c r="N255" s="180">
        <v>45012</v>
      </c>
      <c r="O255" s="179"/>
      <c r="Q255" t="s">
        <v>129</v>
      </c>
      <c r="T255" s="195"/>
      <c r="U255" s="195"/>
      <c r="V255" s="300"/>
      <c r="W255" s="201"/>
      <c r="X255" s="201"/>
      <c r="Y255" s="200"/>
      <c r="Z255" s="207"/>
      <c r="AA255" s="206"/>
      <c r="AB255" s="207"/>
      <c r="AC255" s="188"/>
      <c r="AD255" s="187">
        <v>45012</v>
      </c>
    </row>
    <row r="256" spans="1:30">
      <c r="A256" s="318">
        <f>COUNTA($E$3:E256)</f>
        <v>254</v>
      </c>
      <c r="B256" s="318" t="s">
        <v>4874</v>
      </c>
      <c r="C256" s="318" t="s">
        <v>4875</v>
      </c>
      <c r="D256" s="318" t="s">
        <v>16</v>
      </c>
      <c r="E256" s="318" t="s">
        <v>2261</v>
      </c>
      <c r="F256" s="316">
        <v>45005</v>
      </c>
      <c r="G256" s="316"/>
      <c r="H256" s="316"/>
      <c r="I256" s="316" t="s">
        <v>3</v>
      </c>
      <c r="J256" s="318" t="s">
        <v>1652</v>
      </c>
      <c r="K256" s="318" t="s">
        <v>20</v>
      </c>
      <c r="L256" s="171">
        <v>45012</v>
      </c>
      <c r="M256" s="178" t="s">
        <v>4948</v>
      </c>
      <c r="N256" s="180">
        <v>45083</v>
      </c>
      <c r="O256" s="179"/>
      <c r="Q256" t="s">
        <v>22</v>
      </c>
      <c r="T256" s="195"/>
      <c r="U256" s="195"/>
      <c r="V256" s="300"/>
      <c r="W256" s="201"/>
      <c r="X256" s="201"/>
      <c r="Y256" s="200"/>
      <c r="Z256" s="207"/>
      <c r="AA256" s="206"/>
      <c r="AB256" s="207"/>
      <c r="AC256" s="188"/>
      <c r="AD256" s="187"/>
    </row>
    <row r="257" spans="1:30">
      <c r="A257" s="318">
        <f>COUNTA($E$3:E257)</f>
        <v>255</v>
      </c>
      <c r="B257" s="318" t="s">
        <v>4861</v>
      </c>
      <c r="C257" s="318" t="s">
        <v>1279</v>
      </c>
      <c r="D257" s="318" t="s">
        <v>1103</v>
      </c>
      <c r="E257" s="318" t="s">
        <v>1281</v>
      </c>
      <c r="F257" s="316">
        <v>44999.413391203707</v>
      </c>
      <c r="G257" s="316"/>
      <c r="H257" s="316"/>
      <c r="I257" s="316" t="s">
        <v>2</v>
      </c>
      <c r="J257" s="318" t="s">
        <v>4862</v>
      </c>
      <c r="K257" s="318" t="s">
        <v>1294</v>
      </c>
      <c r="L257" s="171">
        <v>45006</v>
      </c>
      <c r="M257" s="178" t="s">
        <v>4860</v>
      </c>
      <c r="N257" s="180">
        <v>45083</v>
      </c>
      <c r="O257" s="179"/>
      <c r="Q257" t="s">
        <v>22</v>
      </c>
      <c r="T257" s="195"/>
      <c r="U257" s="195"/>
      <c r="V257" s="300"/>
      <c r="W257" s="201"/>
      <c r="X257" s="201"/>
      <c r="Y257" s="200"/>
      <c r="Z257" s="207"/>
      <c r="AA257" s="206"/>
      <c r="AB257" s="207"/>
      <c r="AC257" s="188"/>
      <c r="AD257" s="187"/>
    </row>
    <row r="258" spans="1:30">
      <c r="A258" s="318">
        <f>COUNTA($E$3:E258)</f>
        <v>256</v>
      </c>
      <c r="B258" s="318" t="s">
        <v>4863</v>
      </c>
      <c r="C258" s="318" t="s">
        <v>41</v>
      </c>
      <c r="D258" s="318" t="s">
        <v>30</v>
      </c>
      <c r="E258" s="318" t="s">
        <v>1721</v>
      </c>
      <c r="F258" s="316">
        <v>45001.678668981483</v>
      </c>
      <c r="G258" s="316"/>
      <c r="H258" s="316"/>
      <c r="I258" s="316" t="s">
        <v>3</v>
      </c>
      <c r="J258" s="318" t="s">
        <v>4864</v>
      </c>
      <c r="K258" s="318" t="s">
        <v>1296</v>
      </c>
      <c r="L258" s="171">
        <v>45006</v>
      </c>
      <c r="M258" s="178"/>
      <c r="N258" s="180">
        <v>45076</v>
      </c>
      <c r="O258" s="179"/>
      <c r="Q258" t="s">
        <v>129</v>
      </c>
      <c r="T258" s="195"/>
      <c r="U258" s="195"/>
      <c r="V258" s="300"/>
      <c r="W258" s="201"/>
      <c r="X258" s="201"/>
      <c r="Y258" s="200"/>
      <c r="Z258" s="207"/>
      <c r="AA258" s="206"/>
      <c r="AB258" s="207"/>
      <c r="AC258" s="188"/>
      <c r="AD258" s="187"/>
    </row>
    <row r="259" spans="1:30">
      <c r="A259" s="318">
        <f>COUNTA($E$3:E259)</f>
        <v>257</v>
      </c>
      <c r="B259" s="318" t="s">
        <v>4865</v>
      </c>
      <c r="C259" s="318" t="s">
        <v>4866</v>
      </c>
      <c r="D259" s="318" t="s">
        <v>45</v>
      </c>
      <c r="E259" s="318" t="s">
        <v>4867</v>
      </c>
      <c r="F259" s="316">
        <v>44998.414004629631</v>
      </c>
      <c r="G259" s="316"/>
      <c r="H259" s="316"/>
      <c r="I259" s="316" t="s">
        <v>4</v>
      </c>
      <c r="J259" s="318" t="s">
        <v>4868</v>
      </c>
      <c r="K259" s="318" t="s">
        <v>287</v>
      </c>
      <c r="L259" s="171">
        <v>45006</v>
      </c>
      <c r="M259" s="178" t="s">
        <v>2661</v>
      </c>
      <c r="N259" s="180">
        <v>45083</v>
      </c>
      <c r="O259" s="179"/>
      <c r="Q259" t="s">
        <v>22</v>
      </c>
      <c r="T259" s="195"/>
      <c r="U259" s="195"/>
      <c r="V259" s="300"/>
      <c r="W259" s="201"/>
      <c r="X259" s="201"/>
      <c r="Y259" s="200"/>
      <c r="Z259" s="207"/>
      <c r="AA259" s="206"/>
      <c r="AB259" s="207"/>
      <c r="AC259" s="188"/>
      <c r="AD259" s="187"/>
    </row>
    <row r="260" spans="1:30">
      <c r="A260" s="318">
        <f>COUNTA($E$3:E260)</f>
        <v>258</v>
      </c>
      <c r="B260" s="318" t="s">
        <v>4887</v>
      </c>
      <c r="C260" s="318" t="s">
        <v>2458</v>
      </c>
      <c r="D260" s="318" t="s">
        <v>16</v>
      </c>
      <c r="E260" s="318" t="s">
        <v>2459</v>
      </c>
      <c r="F260" s="316">
        <v>44994.764502314814</v>
      </c>
      <c r="G260" s="316"/>
      <c r="H260" s="316"/>
      <c r="I260" s="316" t="s">
        <v>2</v>
      </c>
      <c r="J260" s="318" t="s">
        <v>4886</v>
      </c>
      <c r="K260" s="318" t="s">
        <v>1287</v>
      </c>
      <c r="L260" s="171">
        <v>44998</v>
      </c>
      <c r="M260" s="178" t="s">
        <v>5006</v>
      </c>
      <c r="N260" s="180">
        <v>45000</v>
      </c>
      <c r="O260" s="179"/>
      <c r="Q260" t="s">
        <v>129</v>
      </c>
      <c r="T260" s="195"/>
      <c r="U260" s="195"/>
      <c r="V260" s="300"/>
      <c r="W260" s="201"/>
      <c r="X260" s="201"/>
      <c r="Y260" s="200"/>
      <c r="Z260" s="207"/>
      <c r="AA260" s="206"/>
      <c r="AB260" s="207"/>
      <c r="AC260" s="188"/>
      <c r="AD260" s="187">
        <v>45000</v>
      </c>
    </row>
    <row r="261" spans="1:30">
      <c r="A261" s="318">
        <f>COUNTA($E$3:E261)</f>
        <v>259</v>
      </c>
      <c r="B261" s="318" t="s">
        <v>4888</v>
      </c>
      <c r="C261" s="318" t="s">
        <v>41</v>
      </c>
      <c r="D261" s="318" t="s">
        <v>1201</v>
      </c>
      <c r="E261" s="318" t="s">
        <v>2296</v>
      </c>
      <c r="F261" s="316">
        <v>44994.769270833334</v>
      </c>
      <c r="G261" s="316"/>
      <c r="H261" s="316"/>
      <c r="I261" s="316" t="s">
        <v>3</v>
      </c>
      <c r="J261" s="318" t="s">
        <v>1485</v>
      </c>
      <c r="K261" s="318"/>
      <c r="L261" s="171">
        <v>44998</v>
      </c>
      <c r="M261" s="178" t="s">
        <v>2411</v>
      </c>
      <c r="N261" s="180">
        <v>45015</v>
      </c>
      <c r="O261" s="179"/>
      <c r="Q261" t="s">
        <v>129</v>
      </c>
      <c r="T261" s="195"/>
      <c r="U261" s="195"/>
      <c r="V261" s="300"/>
      <c r="W261" s="201"/>
      <c r="X261" s="201"/>
      <c r="Y261" s="200"/>
      <c r="Z261" s="207"/>
      <c r="AA261" s="206"/>
      <c r="AB261" s="207"/>
      <c r="AC261" s="188"/>
      <c r="AD261" s="187"/>
    </row>
    <row r="262" spans="1:30">
      <c r="A262" s="318">
        <f>COUNTA($E$3:E262)</f>
        <v>260</v>
      </c>
      <c r="B262" s="318" t="s">
        <v>4889</v>
      </c>
      <c r="C262" s="318" t="s">
        <v>41</v>
      </c>
      <c r="D262" s="318" t="s">
        <v>38</v>
      </c>
      <c r="E262" s="318" t="s">
        <v>2808</v>
      </c>
      <c r="F262" s="316">
        <v>44993.425300925926</v>
      </c>
      <c r="G262" s="316"/>
      <c r="H262" s="316"/>
      <c r="I262" s="316" t="s">
        <v>3</v>
      </c>
      <c r="J262" s="318" t="s">
        <v>1093</v>
      </c>
      <c r="K262" s="318" t="s">
        <v>1294</v>
      </c>
      <c r="L262" s="171">
        <v>44998</v>
      </c>
      <c r="M262" s="178" t="s">
        <v>2661</v>
      </c>
      <c r="N262" s="180">
        <v>45002</v>
      </c>
      <c r="O262" s="179"/>
      <c r="Q262" t="s">
        <v>22</v>
      </c>
      <c r="T262" s="195"/>
      <c r="U262" s="195"/>
      <c r="V262" s="300"/>
      <c r="W262" s="201"/>
      <c r="X262" s="201"/>
      <c r="Y262" s="200"/>
      <c r="Z262" s="207"/>
      <c r="AA262" s="206"/>
      <c r="AB262" s="207"/>
      <c r="AC262" s="188"/>
      <c r="AD262" s="187"/>
    </row>
    <row r="263" spans="1:30">
      <c r="A263" s="318">
        <f>COUNTA($E$3:E263)</f>
        <v>261</v>
      </c>
      <c r="B263" s="318" t="s">
        <v>4891</v>
      </c>
      <c r="C263" s="318" t="s">
        <v>41</v>
      </c>
      <c r="D263" s="318" t="s">
        <v>16</v>
      </c>
      <c r="E263" s="318" t="s">
        <v>1153</v>
      </c>
      <c r="F263" s="316">
        <v>44993.422453703701</v>
      </c>
      <c r="G263" s="316"/>
      <c r="H263" s="316"/>
      <c r="I263" s="316" t="s">
        <v>3</v>
      </c>
      <c r="J263" s="318" t="s">
        <v>4890</v>
      </c>
      <c r="K263" s="318"/>
      <c r="L263" s="171">
        <v>44998</v>
      </c>
      <c r="M263" s="178" t="s">
        <v>2411</v>
      </c>
      <c r="N263" s="180">
        <v>45083</v>
      </c>
      <c r="O263" s="179"/>
      <c r="Q263" t="s">
        <v>22</v>
      </c>
      <c r="T263" s="195"/>
      <c r="U263" s="195"/>
      <c r="V263" s="300"/>
      <c r="W263" s="201"/>
      <c r="X263" s="201"/>
      <c r="Y263" s="200"/>
      <c r="Z263" s="207"/>
      <c r="AA263" s="206"/>
      <c r="AB263" s="207"/>
      <c r="AC263" s="188"/>
      <c r="AD263" s="187"/>
    </row>
    <row r="264" spans="1:30">
      <c r="A264" s="318">
        <f>COUNTA($E$3:E264)</f>
        <v>262</v>
      </c>
      <c r="B264" s="318" t="s">
        <v>4893</v>
      </c>
      <c r="C264" s="318" t="s">
        <v>21</v>
      </c>
      <c r="D264" s="318" t="s">
        <v>58</v>
      </c>
      <c r="E264" s="318" t="s">
        <v>1258</v>
      </c>
      <c r="F264" s="316">
        <v>44992.704502314817</v>
      </c>
      <c r="G264" s="316"/>
      <c r="H264" s="316"/>
      <c r="I264" s="316" t="s">
        <v>3</v>
      </c>
      <c r="J264" s="318" t="s">
        <v>4892</v>
      </c>
      <c r="K264" s="318" t="s">
        <v>1296</v>
      </c>
      <c r="L264" s="171">
        <v>44998</v>
      </c>
      <c r="M264" s="178" t="s">
        <v>4860</v>
      </c>
      <c r="N264" s="180">
        <v>45034</v>
      </c>
      <c r="O264" s="179"/>
      <c r="Q264" t="s">
        <v>129</v>
      </c>
      <c r="T264" s="195"/>
      <c r="U264" s="195"/>
      <c r="V264" s="300"/>
      <c r="W264" s="201"/>
      <c r="X264" s="201"/>
      <c r="Y264" s="200"/>
      <c r="Z264" s="207"/>
      <c r="AA264" s="206"/>
      <c r="AB264" s="207"/>
      <c r="AC264" s="188"/>
      <c r="AD264" s="187"/>
    </row>
    <row r="265" spans="1:30">
      <c r="A265" s="318">
        <f>COUNTA($E$3:E265)</f>
        <v>263</v>
      </c>
      <c r="B265" s="318" t="s">
        <v>4894</v>
      </c>
      <c r="C265" s="318" t="s">
        <v>1106</v>
      </c>
      <c r="D265" s="318" t="s">
        <v>16</v>
      </c>
      <c r="E265" s="318" t="s">
        <v>2844</v>
      </c>
      <c r="F265" s="316">
        <v>44992.696805555555</v>
      </c>
      <c r="G265" s="316"/>
      <c r="H265" s="316"/>
      <c r="I265" s="316" t="s">
        <v>3</v>
      </c>
      <c r="J265" s="318" t="s">
        <v>1649</v>
      </c>
      <c r="K265" s="318" t="s">
        <v>1287</v>
      </c>
      <c r="L265" s="171">
        <v>44998</v>
      </c>
      <c r="M265" s="178" t="s">
        <v>4860</v>
      </c>
      <c r="N265" s="180">
        <v>45005</v>
      </c>
      <c r="O265" s="179"/>
      <c r="Q265" t="s">
        <v>129</v>
      </c>
      <c r="T265" s="195"/>
      <c r="U265" s="195"/>
      <c r="V265" s="300"/>
      <c r="W265" s="201"/>
      <c r="X265" s="201"/>
      <c r="Y265" s="200"/>
      <c r="Z265" s="207"/>
      <c r="AA265" s="206"/>
      <c r="AB265" s="207"/>
      <c r="AC265" s="188"/>
      <c r="AD265" s="187">
        <v>45005</v>
      </c>
    </row>
    <row r="266" spans="1:30">
      <c r="A266" s="318">
        <f>COUNTA($E$3:E266)</f>
        <v>264</v>
      </c>
      <c r="B266" s="318" t="s">
        <v>4895</v>
      </c>
      <c r="C266" s="318" t="s">
        <v>21</v>
      </c>
      <c r="D266" s="318" t="s">
        <v>34</v>
      </c>
      <c r="E266" s="318" t="s">
        <v>1682</v>
      </c>
      <c r="F266" s="316">
        <v>44987.690070879631</v>
      </c>
      <c r="G266" s="316"/>
      <c r="H266" s="316"/>
      <c r="I266" s="316" t="s">
        <v>3</v>
      </c>
      <c r="J266" s="318"/>
      <c r="K266" s="318" t="s">
        <v>1296</v>
      </c>
      <c r="L266" s="171">
        <v>44998</v>
      </c>
      <c r="M266" s="178" t="s">
        <v>4860</v>
      </c>
      <c r="N266" s="180">
        <v>44998</v>
      </c>
      <c r="O266" s="179"/>
      <c r="Q266" t="s">
        <v>129</v>
      </c>
      <c r="T266" s="195"/>
      <c r="U266" s="195"/>
      <c r="V266" s="300"/>
      <c r="W266" s="201"/>
      <c r="X266" s="201"/>
      <c r="Y266" s="200"/>
      <c r="Z266" s="207"/>
      <c r="AA266" s="206"/>
      <c r="AB266" s="207"/>
      <c r="AC266" s="188"/>
      <c r="AD266" s="187">
        <v>44998</v>
      </c>
    </row>
    <row r="267" spans="1:30">
      <c r="A267" s="318">
        <f>COUNTA($E$3:E267)</f>
        <v>265</v>
      </c>
      <c r="B267" s="318" t="s">
        <v>4897</v>
      </c>
      <c r="C267" s="318" t="s">
        <v>21</v>
      </c>
      <c r="D267" s="318" t="s">
        <v>34</v>
      </c>
      <c r="E267" s="318" t="s">
        <v>4896</v>
      </c>
      <c r="F267" s="316">
        <v>44987.689588043984</v>
      </c>
      <c r="G267" s="316"/>
      <c r="H267" s="316"/>
      <c r="I267" s="316" t="s">
        <v>3</v>
      </c>
      <c r="J267" s="318"/>
      <c r="K267" s="318" t="s">
        <v>1296</v>
      </c>
      <c r="L267" s="171">
        <v>44998</v>
      </c>
      <c r="M267" s="178" t="s">
        <v>4860</v>
      </c>
      <c r="N267" s="180">
        <v>44998</v>
      </c>
      <c r="O267" s="179"/>
      <c r="Q267" t="s">
        <v>129</v>
      </c>
      <c r="T267" s="195"/>
      <c r="U267" s="195"/>
      <c r="V267" s="300"/>
      <c r="W267" s="201"/>
      <c r="X267" s="201"/>
      <c r="Y267" s="200"/>
      <c r="Z267" s="207"/>
      <c r="AA267" s="206"/>
      <c r="AB267" s="207"/>
      <c r="AC267" s="188"/>
      <c r="AD267" s="187">
        <v>44998</v>
      </c>
    </row>
    <row r="268" spans="1:30">
      <c r="A268" s="318">
        <f>COUNTA($E$3:E268)</f>
        <v>266</v>
      </c>
      <c r="B268" s="318" t="s">
        <v>4490</v>
      </c>
      <c r="C268" s="318" t="s">
        <v>41</v>
      </c>
      <c r="D268" s="318" t="s">
        <v>1103</v>
      </c>
      <c r="E268" s="318" t="s">
        <v>1206</v>
      </c>
      <c r="F268" s="316">
        <v>44909</v>
      </c>
      <c r="G268" s="316"/>
      <c r="H268" s="316" t="s">
        <v>66</v>
      </c>
      <c r="I268" s="316" t="s">
        <v>3</v>
      </c>
      <c r="J268" s="318" t="s">
        <v>4898</v>
      </c>
      <c r="K268" s="318" t="s">
        <v>1294</v>
      </c>
      <c r="L268" s="171">
        <v>44998</v>
      </c>
      <c r="M268" s="178" t="s">
        <v>4899</v>
      </c>
      <c r="N268" s="180">
        <v>45083</v>
      </c>
      <c r="O268" s="179"/>
      <c r="Q268" t="s">
        <v>22</v>
      </c>
      <c r="T268" s="195"/>
      <c r="U268" s="195"/>
      <c r="V268" s="300"/>
      <c r="W268" s="201"/>
      <c r="X268" s="201"/>
      <c r="Y268" s="200"/>
      <c r="Z268" s="207"/>
      <c r="AA268" s="206"/>
      <c r="AB268" s="207"/>
      <c r="AC268" s="188"/>
      <c r="AD268" s="187"/>
    </row>
    <row r="269" spans="1:30">
      <c r="A269" s="318">
        <f>COUNTA($E$3:E269)</f>
        <v>267</v>
      </c>
      <c r="B269" s="318" t="s">
        <v>4902</v>
      </c>
      <c r="C269" s="318" t="s">
        <v>41</v>
      </c>
      <c r="D269" s="318" t="s">
        <v>52</v>
      </c>
      <c r="E269" s="318" t="s">
        <v>4900</v>
      </c>
      <c r="F269" s="316">
        <v>44980</v>
      </c>
      <c r="G269" s="316"/>
      <c r="H269" s="316" t="s">
        <v>66</v>
      </c>
      <c r="I269" s="316" t="s">
        <v>4</v>
      </c>
      <c r="J269" s="318"/>
      <c r="K269" s="318" t="s">
        <v>18</v>
      </c>
      <c r="L269" s="171">
        <v>44998</v>
      </c>
      <c r="M269" s="178" t="s">
        <v>4901</v>
      </c>
      <c r="N269" s="180">
        <v>45083</v>
      </c>
      <c r="O269" s="179"/>
      <c r="Q269" t="s">
        <v>22</v>
      </c>
      <c r="T269" s="195"/>
      <c r="U269" s="195"/>
      <c r="V269" s="300"/>
      <c r="W269" s="201"/>
      <c r="X269" s="201"/>
      <c r="Y269" s="200"/>
      <c r="Z269" s="207"/>
      <c r="AA269" s="206"/>
      <c r="AB269" s="207"/>
      <c r="AC269" s="188"/>
      <c r="AD269" s="187"/>
    </row>
    <row r="270" spans="1:30">
      <c r="A270" s="318">
        <f>COUNTA($E$3:E270)</f>
        <v>268</v>
      </c>
      <c r="B270" s="318" t="s">
        <v>4824</v>
      </c>
      <c r="C270" s="318" t="s">
        <v>2340</v>
      </c>
      <c r="D270" s="318" t="s">
        <v>2341</v>
      </c>
      <c r="E270" s="318" t="s">
        <v>2910</v>
      </c>
      <c r="F270" s="316">
        <v>44984</v>
      </c>
      <c r="G270" s="316"/>
      <c r="H270" s="316"/>
      <c r="I270" s="316" t="s">
        <v>2</v>
      </c>
      <c r="J270" s="318" t="s">
        <v>1485</v>
      </c>
      <c r="K270" s="318" t="s">
        <v>20</v>
      </c>
      <c r="L270" s="171">
        <v>44991</v>
      </c>
      <c r="M270" s="178" t="s">
        <v>4842</v>
      </c>
      <c r="N270" s="180">
        <v>44985</v>
      </c>
      <c r="O270" s="179"/>
      <c r="Q270" t="s">
        <v>22</v>
      </c>
      <c r="T270" s="195"/>
      <c r="U270" s="195"/>
      <c r="V270" s="300"/>
      <c r="W270" s="201"/>
      <c r="X270" s="201"/>
      <c r="Y270" s="200"/>
      <c r="Z270" s="207"/>
      <c r="AA270" s="206"/>
      <c r="AB270" s="207"/>
      <c r="AC270" s="188"/>
      <c r="AD270" s="187"/>
    </row>
    <row r="271" spans="1:30">
      <c r="A271" s="318">
        <f>COUNTA($E$3:E271)</f>
        <v>269</v>
      </c>
      <c r="B271" s="318" t="s">
        <v>4820</v>
      </c>
      <c r="C271" s="318" t="s">
        <v>21</v>
      </c>
      <c r="D271" s="318" t="s">
        <v>30</v>
      </c>
      <c r="E271" s="318" t="s">
        <v>4821</v>
      </c>
      <c r="F271" s="316">
        <v>44984</v>
      </c>
      <c r="G271" s="316"/>
      <c r="H271" s="316"/>
      <c r="I271" s="316" t="s">
        <v>2</v>
      </c>
      <c r="J271" s="318" t="s">
        <v>4822</v>
      </c>
      <c r="K271" s="318" t="s">
        <v>1287</v>
      </c>
      <c r="L271" s="171">
        <v>44991</v>
      </c>
      <c r="M271" s="178"/>
      <c r="N271" s="180"/>
      <c r="O271" s="179"/>
      <c r="Q271" t="s">
        <v>129</v>
      </c>
      <c r="T271" s="195"/>
      <c r="U271" s="195"/>
      <c r="V271" s="300"/>
      <c r="W271" s="201"/>
      <c r="X271" s="201"/>
      <c r="Y271" s="200"/>
      <c r="Z271" s="207"/>
      <c r="AA271" s="206"/>
      <c r="AB271" s="207"/>
      <c r="AC271" s="188"/>
      <c r="AD271" s="187"/>
    </row>
    <row r="272" spans="1:30">
      <c r="A272" s="318">
        <f>COUNTA($E$3:E272)</f>
        <v>270</v>
      </c>
      <c r="B272" s="318" t="s">
        <v>4773</v>
      </c>
      <c r="C272" s="318" t="s">
        <v>4122</v>
      </c>
      <c r="D272" s="318" t="s">
        <v>16</v>
      </c>
      <c r="E272" s="318" t="s">
        <v>4774</v>
      </c>
      <c r="F272" s="316">
        <v>44973</v>
      </c>
      <c r="G272" s="316"/>
      <c r="H272" s="316" t="s">
        <v>55</v>
      </c>
      <c r="I272" s="316" t="s">
        <v>2</v>
      </c>
      <c r="J272" s="318" t="s">
        <v>1875</v>
      </c>
      <c r="K272" s="318" t="s">
        <v>103</v>
      </c>
      <c r="L272" s="171">
        <v>44991</v>
      </c>
      <c r="M272" s="178" t="s">
        <v>4840</v>
      </c>
      <c r="N272" s="180">
        <v>45083</v>
      </c>
      <c r="O272" s="179"/>
      <c r="Q272" t="s">
        <v>22</v>
      </c>
      <c r="T272" s="195"/>
      <c r="U272" s="195"/>
      <c r="V272" s="300"/>
      <c r="W272" s="201"/>
      <c r="X272" s="201"/>
      <c r="Y272" s="200"/>
      <c r="Z272" s="207"/>
      <c r="AA272" s="206"/>
      <c r="AB272" s="207"/>
      <c r="AC272" s="188"/>
      <c r="AD272" s="187"/>
    </row>
    <row r="273" spans="1:30">
      <c r="A273" s="318">
        <f>COUNTA($E$3:E273)</f>
        <v>271</v>
      </c>
      <c r="B273" s="318" t="s">
        <v>4647</v>
      </c>
      <c r="C273" s="318" t="s">
        <v>41</v>
      </c>
      <c r="D273" s="318" t="s">
        <v>56</v>
      </c>
      <c r="E273" s="318" t="s">
        <v>1229</v>
      </c>
      <c r="F273" s="316">
        <v>44931</v>
      </c>
      <c r="G273" s="316"/>
      <c r="H273" s="316" t="s">
        <v>66</v>
      </c>
      <c r="I273" s="316" t="s">
        <v>2</v>
      </c>
      <c r="J273" s="318" t="s">
        <v>4831</v>
      </c>
      <c r="K273" s="318" t="s">
        <v>287</v>
      </c>
      <c r="L273" s="171">
        <v>44991</v>
      </c>
      <c r="M273" s="178" t="s">
        <v>4846</v>
      </c>
      <c r="N273" s="180">
        <v>45083</v>
      </c>
      <c r="O273" s="179"/>
      <c r="Q273" t="s">
        <v>22</v>
      </c>
      <c r="T273" s="195"/>
      <c r="U273" s="195"/>
      <c r="V273" s="300"/>
      <c r="W273" s="201"/>
      <c r="X273" s="201"/>
      <c r="Y273" s="200"/>
      <c r="Z273" s="207"/>
      <c r="AA273" s="206"/>
      <c r="AB273" s="207"/>
      <c r="AC273" s="188"/>
      <c r="AD273" s="187"/>
    </row>
    <row r="274" spans="1:30">
      <c r="A274" s="318">
        <f>COUNTA($E$3:E274)</f>
        <v>272</v>
      </c>
      <c r="B274" s="318" t="s">
        <v>4555</v>
      </c>
      <c r="C274" s="318" t="s">
        <v>1246</v>
      </c>
      <c r="D274" s="318" t="s">
        <v>31</v>
      </c>
      <c r="E274" s="318" t="s">
        <v>4556</v>
      </c>
      <c r="F274" s="316">
        <v>44917</v>
      </c>
      <c r="G274" s="316">
        <v>44942</v>
      </c>
      <c r="H274" s="316">
        <v>44932</v>
      </c>
      <c r="I274" s="316" t="s">
        <v>2</v>
      </c>
      <c r="J274" s="318" t="s">
        <v>17</v>
      </c>
      <c r="K274" s="318" t="s">
        <v>287</v>
      </c>
      <c r="L274" s="171">
        <v>44991</v>
      </c>
      <c r="M274" s="178" t="s">
        <v>4845</v>
      </c>
      <c r="N274" s="180">
        <v>44986</v>
      </c>
      <c r="O274" s="179"/>
      <c r="Q274" t="s">
        <v>22</v>
      </c>
      <c r="T274" s="195"/>
      <c r="U274" s="195"/>
      <c r="V274" s="300"/>
      <c r="W274" s="201"/>
      <c r="X274" s="201"/>
      <c r="Y274" s="200"/>
      <c r="Z274" s="207"/>
      <c r="AA274" s="206"/>
      <c r="AB274" s="207"/>
      <c r="AC274" s="188"/>
      <c r="AD274" s="187"/>
    </row>
    <row r="275" spans="1:30">
      <c r="A275" s="318">
        <f>COUNTA($E$3:E275)</f>
        <v>273</v>
      </c>
      <c r="B275" s="318" t="s">
        <v>4819</v>
      </c>
      <c r="C275" s="318" t="s">
        <v>21</v>
      </c>
      <c r="D275" s="318" t="s">
        <v>30</v>
      </c>
      <c r="E275" s="318" t="s">
        <v>2565</v>
      </c>
      <c r="F275" s="316">
        <v>44984</v>
      </c>
      <c r="G275" s="316"/>
      <c r="H275" s="316"/>
      <c r="I275" s="316" t="s">
        <v>3</v>
      </c>
      <c r="J275" s="318"/>
      <c r="K275" s="318" t="s">
        <v>1102</v>
      </c>
      <c r="L275" s="171">
        <v>44991</v>
      </c>
      <c r="M275" s="178"/>
      <c r="N275" s="180">
        <v>44992</v>
      </c>
      <c r="O275" s="179"/>
      <c r="Q275" t="s">
        <v>129</v>
      </c>
      <c r="T275" s="195"/>
      <c r="U275" s="195"/>
      <c r="V275" s="300"/>
      <c r="W275" s="201"/>
      <c r="X275" s="201"/>
      <c r="Y275" s="200"/>
      <c r="Z275" s="207"/>
      <c r="AA275" s="206"/>
      <c r="AB275" s="207"/>
      <c r="AC275" s="188"/>
      <c r="AD275" s="187">
        <v>44992</v>
      </c>
    </row>
    <row r="276" spans="1:30">
      <c r="A276" s="318">
        <f>COUNTA($E$3:E276)</f>
        <v>274</v>
      </c>
      <c r="B276" s="318" t="s">
        <v>4814</v>
      </c>
      <c r="C276" s="318" t="s">
        <v>21</v>
      </c>
      <c r="D276" s="318" t="s">
        <v>30</v>
      </c>
      <c r="E276" s="318" t="s">
        <v>2786</v>
      </c>
      <c r="F276" s="316">
        <v>44984</v>
      </c>
      <c r="G276" s="316"/>
      <c r="H276" s="316"/>
      <c r="I276" s="316" t="s">
        <v>3</v>
      </c>
      <c r="J276" s="318" t="s">
        <v>1212</v>
      </c>
      <c r="K276" s="318" t="s">
        <v>1287</v>
      </c>
      <c r="L276" s="171">
        <v>44991</v>
      </c>
      <c r="M276" s="178" t="s">
        <v>4841</v>
      </c>
      <c r="N276" s="180">
        <v>44987</v>
      </c>
      <c r="O276" s="179"/>
      <c r="Q276" t="s">
        <v>129</v>
      </c>
      <c r="T276" s="195"/>
      <c r="U276" s="195"/>
      <c r="V276" s="300"/>
      <c r="W276" s="201"/>
      <c r="X276" s="201"/>
      <c r="Y276" s="200"/>
      <c r="Z276" s="207"/>
      <c r="AA276" s="206"/>
      <c r="AB276" s="207"/>
      <c r="AC276" s="188"/>
      <c r="AD276" s="187">
        <v>44987</v>
      </c>
    </row>
    <row r="277" spans="1:30">
      <c r="A277" s="318">
        <f>COUNTA($E$3:E277)</f>
        <v>275</v>
      </c>
      <c r="B277" s="318" t="s">
        <v>4812</v>
      </c>
      <c r="C277" s="318" t="s">
        <v>21</v>
      </c>
      <c r="D277" s="318" t="s">
        <v>25</v>
      </c>
      <c r="E277" s="318" t="s">
        <v>298</v>
      </c>
      <c r="F277" s="316">
        <v>44984</v>
      </c>
      <c r="G277" s="316"/>
      <c r="H277" s="316">
        <v>45005</v>
      </c>
      <c r="I277" s="316" t="s">
        <v>3</v>
      </c>
      <c r="J277" s="318" t="s">
        <v>1666</v>
      </c>
      <c r="K277" s="318" t="s">
        <v>1295</v>
      </c>
      <c r="L277" s="171">
        <v>44991</v>
      </c>
      <c r="M277" s="178"/>
      <c r="N277" s="180">
        <v>44992</v>
      </c>
      <c r="O277" s="179"/>
      <c r="Q277" t="s">
        <v>129</v>
      </c>
      <c r="T277" s="195"/>
      <c r="U277" s="195"/>
      <c r="V277" s="300"/>
      <c r="W277" s="201"/>
      <c r="X277" s="201"/>
      <c r="Y277" s="200"/>
      <c r="Z277" s="207"/>
      <c r="AA277" s="206"/>
      <c r="AB277" s="207"/>
      <c r="AC277" s="188"/>
      <c r="AD277" s="187">
        <v>44992</v>
      </c>
    </row>
    <row r="278" spans="1:30">
      <c r="A278" s="318">
        <f>COUNTA($E$3:E278)</f>
        <v>276</v>
      </c>
      <c r="B278" s="318" t="s">
        <v>4793</v>
      </c>
      <c r="C278" s="318" t="s">
        <v>37</v>
      </c>
      <c r="D278" s="318" t="s">
        <v>30</v>
      </c>
      <c r="E278" s="318" t="s">
        <v>3371</v>
      </c>
      <c r="F278" s="316">
        <v>44978.567278553244</v>
      </c>
      <c r="G278" s="316"/>
      <c r="H278" s="316"/>
      <c r="I278" s="316" t="s">
        <v>3</v>
      </c>
      <c r="J278" s="318" t="s">
        <v>1485</v>
      </c>
      <c r="K278" s="318" t="s">
        <v>1296</v>
      </c>
      <c r="L278" s="171">
        <v>44991</v>
      </c>
      <c r="M278" s="178" t="s">
        <v>4834</v>
      </c>
      <c r="N278" s="180">
        <v>45019</v>
      </c>
      <c r="O278" s="179"/>
      <c r="Q278" t="s">
        <v>129</v>
      </c>
      <c r="T278" s="195"/>
      <c r="U278" s="195"/>
      <c r="V278" s="300"/>
      <c r="W278" s="201"/>
      <c r="X278" s="201"/>
      <c r="Y278" s="200"/>
      <c r="Z278" s="207"/>
      <c r="AA278" s="206"/>
      <c r="AB278" s="207"/>
      <c r="AC278" s="188"/>
      <c r="AD278" s="187">
        <v>45019</v>
      </c>
    </row>
    <row r="279" spans="1:30">
      <c r="A279" s="318">
        <f>COUNTA($E$3:E279)</f>
        <v>277</v>
      </c>
      <c r="B279" s="318" t="s">
        <v>4771</v>
      </c>
      <c r="C279" s="318" t="s">
        <v>41</v>
      </c>
      <c r="D279" s="318" t="s">
        <v>1124</v>
      </c>
      <c r="E279" s="318" t="s">
        <v>1184</v>
      </c>
      <c r="F279" s="316">
        <v>44973</v>
      </c>
      <c r="G279" s="316"/>
      <c r="H279" s="316" t="s">
        <v>55</v>
      </c>
      <c r="I279" s="316" t="s">
        <v>2</v>
      </c>
      <c r="J279" s="318" t="s">
        <v>4772</v>
      </c>
      <c r="K279" s="318" t="s">
        <v>1294</v>
      </c>
      <c r="L279" s="171">
        <v>44984</v>
      </c>
      <c r="M279" s="178" t="s">
        <v>4807</v>
      </c>
      <c r="N279" s="180">
        <v>45083</v>
      </c>
      <c r="O279" s="179"/>
      <c r="Q279" t="s">
        <v>22</v>
      </c>
      <c r="T279" s="195"/>
      <c r="U279" s="195"/>
      <c r="V279" s="300"/>
      <c r="W279" s="201"/>
      <c r="X279" s="201"/>
      <c r="Y279" s="200"/>
      <c r="Z279" s="207"/>
      <c r="AA279" s="206"/>
      <c r="AB279" s="207"/>
      <c r="AC279" s="188"/>
      <c r="AD279" s="187"/>
    </row>
    <row r="280" spans="1:30">
      <c r="A280" s="318">
        <f>COUNTA($E$3:E280)</f>
        <v>278</v>
      </c>
      <c r="B280" s="318" t="s">
        <v>4692</v>
      </c>
      <c r="C280" s="318" t="s">
        <v>41</v>
      </c>
      <c r="D280" s="318" t="s">
        <v>49</v>
      </c>
      <c r="E280" s="318" t="s">
        <v>1088</v>
      </c>
      <c r="F280" s="316">
        <v>44957</v>
      </c>
      <c r="G280" s="316"/>
      <c r="H280" s="316" t="s">
        <v>66</v>
      </c>
      <c r="I280" s="316" t="s">
        <v>2</v>
      </c>
      <c r="J280" s="318" t="s">
        <v>4693</v>
      </c>
      <c r="K280" s="318" t="s">
        <v>1296</v>
      </c>
      <c r="L280" s="171">
        <v>44984</v>
      </c>
      <c r="M280" s="178"/>
      <c r="N280" s="180"/>
      <c r="O280" s="179"/>
      <c r="Q280" t="s">
        <v>129</v>
      </c>
      <c r="T280" s="195"/>
      <c r="U280" s="195"/>
      <c r="V280" s="300"/>
      <c r="W280" s="201"/>
      <c r="X280" s="201"/>
      <c r="Y280" s="200"/>
      <c r="Z280" s="207"/>
      <c r="AA280" s="206"/>
      <c r="AB280" s="207"/>
      <c r="AC280" s="188"/>
      <c r="AD280" s="187"/>
    </row>
    <row r="281" spans="1:30">
      <c r="A281" s="318">
        <f>COUNTA($E$3:E281)</f>
        <v>279</v>
      </c>
      <c r="B281" s="318" t="s">
        <v>4662</v>
      </c>
      <c r="C281" s="318" t="s">
        <v>2345</v>
      </c>
      <c r="D281" s="318" t="s">
        <v>16</v>
      </c>
      <c r="E281" s="318" t="s">
        <v>2377</v>
      </c>
      <c r="F281" s="316">
        <v>44936</v>
      </c>
      <c r="G281" s="316"/>
      <c r="H281" s="316" t="s">
        <v>55</v>
      </c>
      <c r="I281" s="316" t="s">
        <v>2</v>
      </c>
      <c r="J281" s="318"/>
      <c r="K281" s="318" t="s">
        <v>1287</v>
      </c>
      <c r="L281" s="171">
        <v>44984</v>
      </c>
      <c r="M281" s="178" t="s">
        <v>4800</v>
      </c>
      <c r="N281" s="180">
        <v>44977</v>
      </c>
      <c r="O281" s="179"/>
      <c r="Q281" t="s">
        <v>129</v>
      </c>
      <c r="T281" s="195"/>
      <c r="U281" s="195"/>
      <c r="V281" s="300"/>
      <c r="W281" s="201"/>
      <c r="X281" s="201"/>
      <c r="Y281" s="200"/>
      <c r="Z281" s="207"/>
      <c r="AA281" s="206"/>
      <c r="AB281" s="207"/>
      <c r="AC281" s="188"/>
      <c r="AD281" s="187">
        <v>44977</v>
      </c>
    </row>
    <row r="282" spans="1:30">
      <c r="A282" s="318">
        <f>COUNTA($E$3:E282)</f>
        <v>280</v>
      </c>
      <c r="B282" s="318" t="s">
        <v>4798</v>
      </c>
      <c r="C282" s="318" t="s">
        <v>41</v>
      </c>
      <c r="D282" s="318" t="s">
        <v>16</v>
      </c>
      <c r="E282" s="318" t="s">
        <v>3449</v>
      </c>
      <c r="F282" s="316">
        <v>44980.806960289352</v>
      </c>
      <c r="G282" s="316"/>
      <c r="H282" s="316"/>
      <c r="I282" s="316" t="s">
        <v>3</v>
      </c>
      <c r="J282" s="318"/>
      <c r="K282" s="318" t="s">
        <v>2032</v>
      </c>
      <c r="L282" s="171">
        <v>44984</v>
      </c>
      <c r="M282" s="178" t="s">
        <v>4806</v>
      </c>
      <c r="N282" s="180">
        <v>45021</v>
      </c>
      <c r="O282" s="179"/>
      <c r="Q282" t="s">
        <v>22</v>
      </c>
      <c r="T282" s="195"/>
      <c r="U282" s="195"/>
      <c r="V282" s="300"/>
      <c r="W282" s="201"/>
      <c r="X282" s="201"/>
      <c r="Y282" s="200"/>
      <c r="Z282" s="207"/>
      <c r="AA282" s="206"/>
      <c r="AB282" s="207"/>
      <c r="AC282" s="188"/>
      <c r="AD282" s="187">
        <v>45021</v>
      </c>
    </row>
    <row r="283" spans="1:30">
      <c r="A283" s="318">
        <f>COUNTA($E$3:E283)</f>
        <v>281</v>
      </c>
      <c r="B283" s="318" t="s">
        <v>4797</v>
      </c>
      <c r="C283" s="318" t="s">
        <v>3766</v>
      </c>
      <c r="D283" s="318" t="s">
        <v>64</v>
      </c>
      <c r="E283" s="318" t="s">
        <v>4080</v>
      </c>
      <c r="F283" s="316">
        <v>44980</v>
      </c>
      <c r="G283" s="316"/>
      <c r="H283" s="316"/>
      <c r="I283" s="316" t="s">
        <v>3</v>
      </c>
      <c r="J283" s="318"/>
      <c r="K283" s="318" t="s">
        <v>103</v>
      </c>
      <c r="L283" s="171">
        <v>44984</v>
      </c>
      <c r="M283" s="178" t="s">
        <v>4806</v>
      </c>
      <c r="N283" s="180">
        <v>45083</v>
      </c>
      <c r="O283" s="179"/>
      <c r="Q283" t="s">
        <v>22</v>
      </c>
      <c r="T283" s="195"/>
      <c r="U283" s="195"/>
      <c r="V283" s="300"/>
      <c r="W283" s="201"/>
      <c r="X283" s="201"/>
      <c r="Y283" s="200"/>
      <c r="Z283" s="207"/>
      <c r="AA283" s="206"/>
      <c r="AB283" s="207"/>
      <c r="AC283" s="188"/>
      <c r="AD283" s="187"/>
    </row>
    <row r="284" spans="1:30">
      <c r="A284" s="318">
        <f>COUNTA($E$3:E284)</f>
        <v>282</v>
      </c>
      <c r="B284" s="318" t="s">
        <v>4794</v>
      </c>
      <c r="C284" s="318" t="s">
        <v>4795</v>
      </c>
      <c r="D284" s="318" t="s">
        <v>1125</v>
      </c>
      <c r="E284" s="318" t="s">
        <v>4796</v>
      </c>
      <c r="F284" s="316">
        <v>44980.757729942132</v>
      </c>
      <c r="G284" s="316"/>
      <c r="H284" s="316"/>
      <c r="I284" s="316" t="s">
        <v>3</v>
      </c>
      <c r="J284" s="318"/>
      <c r="K284" s="318" t="s">
        <v>1295</v>
      </c>
      <c r="L284" s="171">
        <v>44984</v>
      </c>
      <c r="M284" s="178" t="s">
        <v>4802</v>
      </c>
      <c r="N284" s="180">
        <v>44981</v>
      </c>
      <c r="O284" s="179"/>
      <c r="Q284" t="s">
        <v>129</v>
      </c>
      <c r="T284" s="195"/>
      <c r="U284" s="195"/>
      <c r="V284" s="300"/>
      <c r="W284" s="201"/>
      <c r="X284" s="201"/>
      <c r="Y284" s="200"/>
      <c r="Z284" s="207"/>
      <c r="AA284" s="206"/>
      <c r="AB284" s="207"/>
      <c r="AC284" s="188"/>
      <c r="AD284" s="187">
        <v>44981</v>
      </c>
    </row>
    <row r="285" spans="1:30">
      <c r="A285" s="318">
        <f>COUNTA($E$3:E285)</f>
        <v>283</v>
      </c>
      <c r="B285" s="318" t="s">
        <v>4778</v>
      </c>
      <c r="C285" s="318" t="s">
        <v>37</v>
      </c>
      <c r="D285" s="318" t="s">
        <v>30</v>
      </c>
      <c r="E285" s="318" t="s">
        <v>4023</v>
      </c>
      <c r="F285" s="316">
        <v>44978.565821759257</v>
      </c>
      <c r="G285" s="316"/>
      <c r="H285" s="316"/>
      <c r="I285" s="316" t="s">
        <v>3</v>
      </c>
      <c r="J285" s="318" t="s">
        <v>2153</v>
      </c>
      <c r="K285" s="318" t="s">
        <v>1296</v>
      </c>
      <c r="L285" s="171">
        <v>44984</v>
      </c>
      <c r="M285" s="178" t="s">
        <v>4802</v>
      </c>
      <c r="N285" s="180">
        <v>44985</v>
      </c>
      <c r="O285" s="179"/>
      <c r="Q285" t="s">
        <v>129</v>
      </c>
      <c r="T285" s="195"/>
      <c r="U285" s="195"/>
      <c r="V285" s="300"/>
      <c r="W285" s="201"/>
      <c r="X285" s="201"/>
      <c r="Y285" s="200"/>
      <c r="Z285" s="207"/>
      <c r="AA285" s="206"/>
      <c r="AB285" s="207"/>
      <c r="AC285" s="188"/>
      <c r="AD285" s="187">
        <v>44985</v>
      </c>
    </row>
    <row r="286" spans="1:30">
      <c r="A286" s="318">
        <f>COUNTA($E$3:E286)</f>
        <v>284</v>
      </c>
      <c r="B286" s="318" t="s">
        <v>4791</v>
      </c>
      <c r="C286" s="318" t="s">
        <v>37</v>
      </c>
      <c r="D286" s="318" t="s">
        <v>30</v>
      </c>
      <c r="E286" s="318" t="s">
        <v>4792</v>
      </c>
      <c r="F286" s="316">
        <v>44978.565375879632</v>
      </c>
      <c r="G286" s="316"/>
      <c r="H286" s="316"/>
      <c r="I286" s="316" t="s">
        <v>3</v>
      </c>
      <c r="J286" s="318"/>
      <c r="K286" s="318" t="s">
        <v>1295</v>
      </c>
      <c r="L286" s="171">
        <v>44984</v>
      </c>
      <c r="M286" s="178" t="s">
        <v>4802</v>
      </c>
      <c r="N286" s="180">
        <v>44985</v>
      </c>
      <c r="O286" s="179"/>
      <c r="Q286" t="s">
        <v>129</v>
      </c>
      <c r="T286" s="195"/>
      <c r="U286" s="195"/>
      <c r="V286" s="300"/>
      <c r="W286" s="201"/>
      <c r="X286" s="201"/>
      <c r="Y286" s="200"/>
      <c r="Z286" s="207"/>
      <c r="AA286" s="206"/>
      <c r="AB286" s="207"/>
      <c r="AC286" s="188"/>
      <c r="AD286" s="187">
        <v>44985</v>
      </c>
    </row>
    <row r="287" spans="1:30">
      <c r="A287" s="318">
        <f>COUNTA($E$3:E287)</f>
        <v>285</v>
      </c>
      <c r="B287" s="318" t="s">
        <v>4777</v>
      </c>
      <c r="C287" s="318" t="s">
        <v>37</v>
      </c>
      <c r="D287" s="318" t="s">
        <v>30</v>
      </c>
      <c r="E287" s="318" t="s">
        <v>1288</v>
      </c>
      <c r="F287" s="316">
        <v>44978.564872685187</v>
      </c>
      <c r="G287" s="316"/>
      <c r="H287" s="316"/>
      <c r="I287" s="316" t="s">
        <v>3</v>
      </c>
      <c r="J287" s="318" t="s">
        <v>1249</v>
      </c>
      <c r="K287" s="318" t="s">
        <v>1287</v>
      </c>
      <c r="L287" s="171">
        <v>44984</v>
      </c>
      <c r="M287" s="178" t="s">
        <v>4802</v>
      </c>
      <c r="N287" s="180">
        <v>44985</v>
      </c>
      <c r="O287" s="179"/>
      <c r="Q287" t="s">
        <v>129</v>
      </c>
      <c r="T287" s="195"/>
      <c r="U287" s="195"/>
      <c r="V287" s="300"/>
      <c r="W287" s="201"/>
      <c r="X287" s="201"/>
      <c r="Y287" s="200"/>
      <c r="Z287" s="207"/>
      <c r="AA287" s="206"/>
      <c r="AB287" s="207"/>
      <c r="AC287" s="188"/>
      <c r="AD287" s="187">
        <v>44985</v>
      </c>
    </row>
    <row r="288" spans="1:30">
      <c r="A288" s="318">
        <f>COUNTA($E$3:E288)</f>
        <v>286</v>
      </c>
      <c r="B288" s="318" t="s">
        <v>4776</v>
      </c>
      <c r="C288" s="318" t="s">
        <v>37</v>
      </c>
      <c r="D288" s="318" t="s">
        <v>30</v>
      </c>
      <c r="E288" s="318" t="s">
        <v>3491</v>
      </c>
      <c r="F288" s="316">
        <v>44978.563414351855</v>
      </c>
      <c r="G288" s="316"/>
      <c r="H288" s="316"/>
      <c r="I288" s="316" t="s">
        <v>3</v>
      </c>
      <c r="J288" s="318" t="s">
        <v>2153</v>
      </c>
      <c r="K288" s="318" t="s">
        <v>1296</v>
      </c>
      <c r="L288" s="171">
        <v>44984</v>
      </c>
      <c r="M288" s="178" t="s">
        <v>4802</v>
      </c>
      <c r="N288" s="180">
        <v>44985</v>
      </c>
      <c r="O288" s="179"/>
      <c r="Q288" t="s">
        <v>129</v>
      </c>
      <c r="T288" s="195"/>
      <c r="U288" s="195"/>
      <c r="V288" s="300"/>
      <c r="W288" s="201"/>
      <c r="X288" s="201"/>
      <c r="Y288" s="200"/>
      <c r="Z288" s="207"/>
      <c r="AA288" s="206"/>
      <c r="AB288" s="207"/>
      <c r="AC288" s="188"/>
      <c r="AD288" s="187">
        <v>44985</v>
      </c>
    </row>
    <row r="289" spans="1:30">
      <c r="A289" s="318">
        <f>COUNTA($E$3:E289)</f>
        <v>287</v>
      </c>
      <c r="B289" s="318" t="s">
        <v>4790</v>
      </c>
      <c r="C289" s="318" t="s">
        <v>37</v>
      </c>
      <c r="D289" s="318" t="s">
        <v>30</v>
      </c>
      <c r="E289" s="318" t="s">
        <v>1122</v>
      </c>
      <c r="F289" s="316">
        <v>44978.562973425927</v>
      </c>
      <c r="G289" s="316"/>
      <c r="H289" s="316"/>
      <c r="I289" s="316" t="s">
        <v>3</v>
      </c>
      <c r="J289" s="318"/>
      <c r="K289" s="318" t="s">
        <v>1295</v>
      </c>
      <c r="L289" s="171">
        <v>44984</v>
      </c>
      <c r="M289" s="178" t="s">
        <v>4802</v>
      </c>
      <c r="N289" s="180">
        <v>44985</v>
      </c>
      <c r="O289" s="179"/>
      <c r="Q289" t="s">
        <v>129</v>
      </c>
      <c r="T289" s="195"/>
      <c r="U289" s="195"/>
      <c r="V289" s="300"/>
      <c r="W289" s="201"/>
      <c r="X289" s="201"/>
      <c r="Y289" s="200"/>
      <c r="Z289" s="207"/>
      <c r="AA289" s="206"/>
      <c r="AB289" s="207"/>
      <c r="AC289" s="188"/>
      <c r="AD289" s="187">
        <v>44985</v>
      </c>
    </row>
    <row r="290" spans="1:30">
      <c r="A290" s="318">
        <f>COUNTA($E$3:E290)</f>
        <v>288</v>
      </c>
      <c r="B290" s="318" t="s">
        <v>4779</v>
      </c>
      <c r="C290" s="318" t="s">
        <v>37</v>
      </c>
      <c r="D290" s="318" t="s">
        <v>30</v>
      </c>
      <c r="E290" s="318" t="s">
        <v>4780</v>
      </c>
      <c r="F290" s="316">
        <v>44978.562407407408</v>
      </c>
      <c r="G290" s="316"/>
      <c r="H290" s="316"/>
      <c r="I290" s="316" t="s">
        <v>3</v>
      </c>
      <c r="J290" s="318" t="s">
        <v>1485</v>
      </c>
      <c r="K290" s="318" t="s">
        <v>1287</v>
      </c>
      <c r="L290" s="171">
        <v>44984</v>
      </c>
      <c r="M290" s="178" t="s">
        <v>4809</v>
      </c>
      <c r="N290" s="180">
        <v>44985</v>
      </c>
      <c r="O290" s="179"/>
      <c r="Q290" t="s">
        <v>129</v>
      </c>
      <c r="T290" s="195"/>
      <c r="U290" s="195"/>
      <c r="V290" s="300"/>
      <c r="W290" s="201"/>
      <c r="X290" s="201"/>
      <c r="Y290" s="200"/>
      <c r="Z290" s="207"/>
      <c r="AA290" s="206"/>
      <c r="AB290" s="207"/>
      <c r="AC290" s="188"/>
      <c r="AD290" s="187">
        <v>44985</v>
      </c>
    </row>
    <row r="291" spans="1:30">
      <c r="A291" s="318">
        <f>COUNTA($E$3:E291)</f>
        <v>289</v>
      </c>
      <c r="B291" s="318" t="s">
        <v>4753</v>
      </c>
      <c r="C291" s="318" t="s">
        <v>41</v>
      </c>
      <c r="D291" s="318" t="s">
        <v>32</v>
      </c>
      <c r="E291" s="318" t="s">
        <v>3595</v>
      </c>
      <c r="F291" s="316">
        <v>44970.680092592593</v>
      </c>
      <c r="G291" s="316"/>
      <c r="H291" s="316"/>
      <c r="I291" s="316" t="s">
        <v>3</v>
      </c>
      <c r="J291" s="318" t="s">
        <v>1485</v>
      </c>
      <c r="K291" s="318" t="s">
        <v>1287</v>
      </c>
      <c r="L291" s="171">
        <v>44984</v>
      </c>
      <c r="M291" s="178" t="s">
        <v>4801</v>
      </c>
      <c r="N291" s="180">
        <v>44984</v>
      </c>
      <c r="O291" s="179"/>
      <c r="Q291" t="s">
        <v>129</v>
      </c>
      <c r="T291" s="195"/>
      <c r="U291" s="195"/>
      <c r="V291" s="300"/>
      <c r="W291" s="201"/>
      <c r="X291" s="201"/>
      <c r="Y291" s="200"/>
      <c r="Z291" s="207"/>
      <c r="AA291" s="206"/>
      <c r="AB291" s="207"/>
      <c r="AC291" s="188"/>
      <c r="AD291" s="187">
        <v>44984</v>
      </c>
    </row>
    <row r="292" spans="1:30">
      <c r="A292" s="318">
        <f>COUNTA($E$3:E292)</f>
        <v>290</v>
      </c>
      <c r="B292" s="318" t="s">
        <v>4720</v>
      </c>
      <c r="C292" s="318" t="s">
        <v>37</v>
      </c>
      <c r="D292" s="318" t="s">
        <v>27</v>
      </c>
      <c r="E292" s="318" t="s">
        <v>4721</v>
      </c>
      <c r="F292" s="316">
        <v>44960</v>
      </c>
      <c r="G292" s="316"/>
      <c r="H292" s="316"/>
      <c r="I292" s="316" t="s">
        <v>4</v>
      </c>
      <c r="J292" s="318"/>
      <c r="K292" s="318" t="s">
        <v>1295</v>
      </c>
      <c r="L292" s="171">
        <v>44984</v>
      </c>
      <c r="M292" s="178" t="s">
        <v>5007</v>
      </c>
      <c r="N292" s="180">
        <v>45001</v>
      </c>
      <c r="O292" s="179"/>
      <c r="Q292" t="s">
        <v>129</v>
      </c>
      <c r="T292" s="195"/>
      <c r="U292" s="195"/>
      <c r="V292" s="300"/>
      <c r="W292" s="201"/>
      <c r="X292" s="201"/>
      <c r="Y292" s="200"/>
      <c r="Z292" s="207"/>
      <c r="AA292" s="206"/>
      <c r="AB292" s="207"/>
      <c r="AC292" s="188"/>
      <c r="AD292" s="187">
        <v>45001</v>
      </c>
    </row>
    <row r="293" spans="1:30">
      <c r="A293" s="318">
        <f>COUNTA($E$3:E293)</f>
        <v>291</v>
      </c>
      <c r="B293" s="318" t="s">
        <v>4751</v>
      </c>
      <c r="C293" s="318" t="s">
        <v>4165</v>
      </c>
      <c r="D293" s="318" t="s">
        <v>32</v>
      </c>
      <c r="E293" s="318" t="s">
        <v>4191</v>
      </c>
      <c r="F293" s="316">
        <v>44971.619085648148</v>
      </c>
      <c r="G293" s="316"/>
      <c r="H293" s="316"/>
      <c r="I293" s="316" t="s">
        <v>2</v>
      </c>
      <c r="J293" s="318" t="s">
        <v>4752</v>
      </c>
      <c r="K293" s="318" t="s">
        <v>287</v>
      </c>
      <c r="L293" s="171">
        <v>44977</v>
      </c>
      <c r="M293" s="178" t="s">
        <v>4763</v>
      </c>
      <c r="N293" s="180">
        <v>45083</v>
      </c>
      <c r="O293" s="179"/>
      <c r="Q293" t="s">
        <v>22</v>
      </c>
      <c r="T293" s="195"/>
      <c r="U293" s="195"/>
      <c r="V293" s="300"/>
      <c r="W293" s="201"/>
      <c r="X293" s="201"/>
      <c r="Y293" s="200"/>
      <c r="Z293" s="207"/>
      <c r="AA293" s="206"/>
      <c r="AB293" s="207"/>
      <c r="AC293" s="188"/>
      <c r="AD293" s="187"/>
    </row>
    <row r="294" spans="1:30">
      <c r="A294" s="318">
        <f>COUNTA($E$3:E294)</f>
        <v>292</v>
      </c>
      <c r="B294" s="318" t="s">
        <v>4738</v>
      </c>
      <c r="C294" s="318" t="s">
        <v>3766</v>
      </c>
      <c r="D294" s="318" t="s">
        <v>64</v>
      </c>
      <c r="E294" s="318" t="s">
        <v>2283</v>
      </c>
      <c r="F294" s="316">
        <v>44966</v>
      </c>
      <c r="G294" s="316"/>
      <c r="H294" s="316"/>
      <c r="I294" s="316" t="s">
        <v>2</v>
      </c>
      <c r="J294" s="318" t="s">
        <v>4739</v>
      </c>
      <c r="K294" s="318" t="s">
        <v>20</v>
      </c>
      <c r="L294" s="171">
        <v>44977</v>
      </c>
      <c r="M294" s="178" t="s">
        <v>4745</v>
      </c>
      <c r="N294" s="180">
        <v>45083</v>
      </c>
      <c r="O294" s="179"/>
      <c r="Q294" t="s">
        <v>22</v>
      </c>
      <c r="T294" s="195"/>
      <c r="U294" s="195"/>
      <c r="V294" s="300"/>
      <c r="W294" s="201"/>
      <c r="X294" s="201"/>
      <c r="Y294" s="200"/>
      <c r="Z294" s="207"/>
      <c r="AA294" s="206"/>
      <c r="AB294" s="207"/>
      <c r="AC294" s="188"/>
      <c r="AD294" s="187"/>
    </row>
    <row r="295" spans="1:30">
      <c r="A295" s="318">
        <f>COUNTA($E$3:E295)</f>
        <v>293</v>
      </c>
      <c r="B295" s="318" t="s">
        <v>4768</v>
      </c>
      <c r="C295" s="318" t="s">
        <v>41</v>
      </c>
      <c r="D295" s="318" t="s">
        <v>1083</v>
      </c>
      <c r="E295" s="318" t="s">
        <v>4415</v>
      </c>
      <c r="F295" s="316">
        <v>44973.782187500001</v>
      </c>
      <c r="G295" s="316"/>
      <c r="H295" s="316"/>
      <c r="I295" s="316" t="s">
        <v>3</v>
      </c>
      <c r="J295" s="318" t="s">
        <v>4769</v>
      </c>
      <c r="K295" s="318"/>
      <c r="L295" s="171">
        <v>44977</v>
      </c>
      <c r="M295" s="178"/>
      <c r="N295" s="180">
        <v>45051</v>
      </c>
      <c r="O295" s="179"/>
      <c r="Q295" t="s">
        <v>129</v>
      </c>
      <c r="T295" s="195"/>
      <c r="U295" s="195"/>
      <c r="V295" s="300"/>
      <c r="W295" s="201"/>
      <c r="X295" s="201"/>
      <c r="Y295" s="200"/>
      <c r="Z295" s="207"/>
      <c r="AA295" s="206"/>
      <c r="AB295" s="207"/>
      <c r="AC295" s="188"/>
      <c r="AD295" s="187">
        <v>45051</v>
      </c>
    </row>
    <row r="296" spans="1:30">
      <c r="A296" s="318">
        <f>COUNTA($E$3:E296)</f>
        <v>294</v>
      </c>
      <c r="B296" s="318" t="s">
        <v>4748</v>
      </c>
      <c r="C296" s="318" t="s">
        <v>37</v>
      </c>
      <c r="D296" s="318" t="s">
        <v>34</v>
      </c>
      <c r="E296" s="318" t="s">
        <v>4600</v>
      </c>
      <c r="F296" s="316">
        <v>44967.430194039349</v>
      </c>
      <c r="G296" s="316"/>
      <c r="H296" s="316"/>
      <c r="I296" s="316" t="s">
        <v>3</v>
      </c>
      <c r="J296" s="318"/>
      <c r="K296" s="318" t="s">
        <v>1296</v>
      </c>
      <c r="L296" s="171">
        <v>44977</v>
      </c>
      <c r="M296" s="178" t="s">
        <v>4761</v>
      </c>
      <c r="N296" s="180">
        <v>44972</v>
      </c>
      <c r="O296" s="179"/>
      <c r="Q296" t="s">
        <v>129</v>
      </c>
      <c r="T296" s="195"/>
      <c r="U296" s="195"/>
      <c r="V296" s="300"/>
      <c r="W296" s="201"/>
      <c r="X296" s="201"/>
      <c r="Y296" s="200"/>
      <c r="Z296" s="207"/>
      <c r="AA296" s="206"/>
      <c r="AB296" s="207"/>
      <c r="AC296" s="188"/>
      <c r="AD296" s="187">
        <v>44972</v>
      </c>
    </row>
    <row r="297" spans="1:30">
      <c r="A297" s="318">
        <f>COUNTA($E$3:E297)</f>
        <v>295</v>
      </c>
      <c r="B297" s="318" t="s">
        <v>4746</v>
      </c>
      <c r="C297" s="318" t="s">
        <v>37</v>
      </c>
      <c r="D297" s="318" t="s">
        <v>30</v>
      </c>
      <c r="E297" s="318" t="s">
        <v>4747</v>
      </c>
      <c r="F297" s="316">
        <v>44967.42960797454</v>
      </c>
      <c r="G297" s="316"/>
      <c r="H297" s="316"/>
      <c r="I297" s="316" t="s">
        <v>3</v>
      </c>
      <c r="J297" s="318"/>
      <c r="K297" s="318" t="s">
        <v>1296</v>
      </c>
      <c r="L297" s="171">
        <v>44977</v>
      </c>
      <c r="M297" s="178" t="s">
        <v>4761</v>
      </c>
      <c r="N297" s="180">
        <v>44972</v>
      </c>
      <c r="O297" s="179"/>
      <c r="Q297" t="s">
        <v>129</v>
      </c>
      <c r="T297" s="195"/>
      <c r="U297" s="195"/>
      <c r="V297" s="300"/>
      <c r="W297" s="201"/>
      <c r="X297" s="201"/>
      <c r="Y297" s="200"/>
      <c r="Z297" s="207"/>
      <c r="AA297" s="206"/>
      <c r="AB297" s="207"/>
      <c r="AC297" s="188"/>
      <c r="AD297" s="187">
        <v>44972</v>
      </c>
    </row>
    <row r="298" spans="1:30">
      <c r="A298" s="318">
        <f>COUNTA($E$3:E298)</f>
        <v>296</v>
      </c>
      <c r="B298" s="318" t="s">
        <v>4737</v>
      </c>
      <c r="C298" s="318" t="s">
        <v>3828</v>
      </c>
      <c r="D298" s="318" t="s">
        <v>104</v>
      </c>
      <c r="E298" s="318" t="s">
        <v>1266</v>
      </c>
      <c r="F298" s="316">
        <v>44965</v>
      </c>
      <c r="G298" s="316"/>
      <c r="H298" s="316"/>
      <c r="I298" s="316" t="s">
        <v>3</v>
      </c>
      <c r="J298" s="318"/>
      <c r="K298" s="318" t="s">
        <v>33</v>
      </c>
      <c r="L298" s="171">
        <v>44977</v>
      </c>
      <c r="M298" s="178" t="s">
        <v>4762</v>
      </c>
      <c r="N298" s="180">
        <v>44977</v>
      </c>
      <c r="O298" s="179"/>
      <c r="Q298" t="s">
        <v>129</v>
      </c>
      <c r="T298" s="195"/>
      <c r="U298" s="195"/>
      <c r="V298" s="300"/>
      <c r="W298" s="201"/>
      <c r="X298" s="201"/>
      <c r="Y298" s="200"/>
      <c r="Z298" s="207"/>
      <c r="AA298" s="206"/>
      <c r="AB298" s="207"/>
      <c r="AC298" s="188"/>
      <c r="AD298" s="187">
        <v>44977</v>
      </c>
    </row>
    <row r="299" spans="1:30">
      <c r="A299" s="318">
        <f>COUNTA($E$3:E299)</f>
        <v>297</v>
      </c>
      <c r="B299" s="318" t="s">
        <v>4736</v>
      </c>
      <c r="C299" s="318" t="s">
        <v>41</v>
      </c>
      <c r="D299" s="318" t="s">
        <v>49</v>
      </c>
      <c r="E299" s="318" t="s">
        <v>1143</v>
      </c>
      <c r="F299" s="316">
        <v>44972.646851562502</v>
      </c>
      <c r="G299" s="316"/>
      <c r="H299" s="316"/>
      <c r="I299" s="316" t="s">
        <v>3</v>
      </c>
      <c r="J299" s="318"/>
      <c r="K299" s="318" t="s">
        <v>1296</v>
      </c>
      <c r="L299" s="171">
        <v>44977</v>
      </c>
      <c r="M299" s="178"/>
      <c r="N299" s="180">
        <v>45158</v>
      </c>
      <c r="O299" s="179"/>
      <c r="Q299" t="s">
        <v>129</v>
      </c>
      <c r="T299" s="195"/>
      <c r="U299" s="195"/>
      <c r="V299" s="300"/>
      <c r="W299" s="201"/>
      <c r="X299" s="201"/>
      <c r="Y299" s="200"/>
      <c r="Z299" s="207"/>
      <c r="AA299" s="206"/>
      <c r="AB299" s="207"/>
      <c r="AC299" s="188"/>
      <c r="AD299" s="187"/>
    </row>
    <row r="300" spans="1:30">
      <c r="A300" s="318">
        <f>COUNTA($E$3:E300)</f>
        <v>298</v>
      </c>
      <c r="B300" s="318" t="s">
        <v>4731</v>
      </c>
      <c r="C300" s="318" t="s">
        <v>3828</v>
      </c>
      <c r="D300" s="318" t="s">
        <v>19</v>
      </c>
      <c r="E300" s="318" t="s">
        <v>3696</v>
      </c>
      <c r="F300" s="316">
        <v>44965.761384722224</v>
      </c>
      <c r="G300" s="316"/>
      <c r="H300" s="316"/>
      <c r="I300" s="316" t="s">
        <v>3</v>
      </c>
      <c r="J300" s="318"/>
      <c r="K300" s="318" t="s">
        <v>1295</v>
      </c>
      <c r="L300" s="171">
        <v>44977</v>
      </c>
      <c r="M300" s="178" t="s">
        <v>4761</v>
      </c>
      <c r="N300" s="180">
        <v>44973</v>
      </c>
      <c r="O300" s="179"/>
      <c r="Q300" t="s">
        <v>129</v>
      </c>
      <c r="T300" s="195"/>
      <c r="U300" s="195"/>
      <c r="V300" s="300"/>
      <c r="W300" s="201"/>
      <c r="X300" s="201"/>
      <c r="Y300" s="200"/>
      <c r="Z300" s="207"/>
      <c r="AA300" s="206"/>
      <c r="AB300" s="207"/>
      <c r="AC300" s="188"/>
      <c r="AD300" s="187">
        <v>44973</v>
      </c>
    </row>
    <row r="301" spans="1:30">
      <c r="A301" s="318">
        <f>COUNTA($E$3:E301)</f>
        <v>299</v>
      </c>
      <c r="B301" s="318" t="s">
        <v>4730</v>
      </c>
      <c r="C301" s="318" t="s">
        <v>1092</v>
      </c>
      <c r="D301" s="318" t="s">
        <v>1145</v>
      </c>
      <c r="E301" s="318" t="s">
        <v>4664</v>
      </c>
      <c r="F301" s="316">
        <v>44965.75728957176</v>
      </c>
      <c r="G301" s="316"/>
      <c r="H301" s="316"/>
      <c r="I301" s="316" t="s">
        <v>3</v>
      </c>
      <c r="J301" s="318"/>
      <c r="K301" s="318" t="s">
        <v>1296</v>
      </c>
      <c r="L301" s="171">
        <v>44977</v>
      </c>
      <c r="M301" s="178" t="s">
        <v>4761</v>
      </c>
      <c r="N301" s="180">
        <v>44936</v>
      </c>
      <c r="O301" s="179"/>
      <c r="Q301" t="s">
        <v>129</v>
      </c>
      <c r="T301" s="195"/>
      <c r="U301" s="195"/>
      <c r="V301" s="300"/>
      <c r="W301" s="201"/>
      <c r="X301" s="201"/>
      <c r="Y301" s="200"/>
      <c r="Z301" s="207"/>
      <c r="AA301" s="206"/>
      <c r="AB301" s="207"/>
      <c r="AC301" s="188"/>
      <c r="AD301" s="187">
        <v>44936</v>
      </c>
    </row>
    <row r="302" spans="1:30">
      <c r="A302" s="318">
        <f>COUNTA($E$3:E302)</f>
        <v>300</v>
      </c>
      <c r="B302" s="318" t="s">
        <v>4710</v>
      </c>
      <c r="C302" s="318" t="s">
        <v>21</v>
      </c>
      <c r="D302" s="318" t="s">
        <v>1124</v>
      </c>
      <c r="E302" s="318" t="s">
        <v>4711</v>
      </c>
      <c r="F302" s="316">
        <v>44959</v>
      </c>
      <c r="G302" s="316"/>
      <c r="H302" s="316"/>
      <c r="I302" s="316" t="s">
        <v>3</v>
      </c>
      <c r="J302" s="318"/>
      <c r="K302" s="318"/>
      <c r="L302" s="171">
        <v>44977</v>
      </c>
      <c r="M302" s="178" t="s">
        <v>4775</v>
      </c>
      <c r="N302" s="180">
        <v>45021</v>
      </c>
      <c r="O302" s="179"/>
      <c r="Q302" t="s">
        <v>129</v>
      </c>
      <c r="T302" s="195"/>
      <c r="U302" s="195"/>
      <c r="V302" s="300"/>
      <c r="W302" s="201"/>
      <c r="X302" s="201"/>
      <c r="Y302" s="200"/>
      <c r="Z302" s="207"/>
      <c r="AA302" s="206"/>
      <c r="AB302" s="207"/>
      <c r="AC302" s="188"/>
      <c r="AD302" s="187">
        <v>45021</v>
      </c>
    </row>
    <row r="303" spans="1:30">
      <c r="A303" s="318">
        <f>COUNTA($E$3:E303)</f>
        <v>301</v>
      </c>
      <c r="B303" s="318" t="s">
        <v>4704</v>
      </c>
      <c r="C303" s="318" t="s">
        <v>41</v>
      </c>
      <c r="D303" s="318" t="s">
        <v>30</v>
      </c>
      <c r="E303" s="318" t="s">
        <v>4705</v>
      </c>
      <c r="F303" s="316">
        <v>44957</v>
      </c>
      <c r="G303" s="316"/>
      <c r="H303" s="316" t="s">
        <v>55</v>
      </c>
      <c r="I303" s="316" t="s">
        <v>2</v>
      </c>
      <c r="J303" s="318"/>
      <c r="K303" s="318" t="s">
        <v>1287</v>
      </c>
      <c r="L303" s="171">
        <v>44970</v>
      </c>
      <c r="M303" s="178"/>
      <c r="N303" s="180"/>
      <c r="O303" s="179"/>
      <c r="Q303" t="s">
        <v>129</v>
      </c>
      <c r="T303" s="195"/>
      <c r="U303" s="195"/>
      <c r="V303" s="300"/>
      <c r="W303" s="201"/>
      <c r="X303" s="201"/>
      <c r="Y303" s="200"/>
      <c r="Z303" s="207"/>
      <c r="AA303" s="206"/>
      <c r="AB303" s="207"/>
      <c r="AC303" s="188"/>
      <c r="AD303" s="187"/>
    </row>
    <row r="304" spans="1:30">
      <c r="A304" s="318">
        <f>COUNTA($E$3:E304)</f>
        <v>302</v>
      </c>
      <c r="B304" s="318" t="s">
        <v>4665</v>
      </c>
      <c r="C304" s="318" t="s">
        <v>1092</v>
      </c>
      <c r="D304" s="318" t="s">
        <v>1123</v>
      </c>
      <c r="E304" s="318" t="s">
        <v>4666</v>
      </c>
      <c r="F304" s="316">
        <v>44938</v>
      </c>
      <c r="G304" s="316">
        <v>44963</v>
      </c>
      <c r="H304" s="316">
        <v>44942</v>
      </c>
      <c r="I304" s="316" t="s">
        <v>2</v>
      </c>
      <c r="J304" s="318"/>
      <c r="K304" s="318" t="s">
        <v>33</v>
      </c>
      <c r="L304" s="171">
        <v>44970</v>
      </c>
      <c r="M304" s="178" t="s">
        <v>4743</v>
      </c>
      <c r="N304" s="180">
        <v>44988</v>
      </c>
      <c r="O304" s="179"/>
      <c r="Q304" t="s">
        <v>129</v>
      </c>
      <c r="T304" s="195"/>
      <c r="U304" s="195"/>
      <c r="V304" s="300"/>
      <c r="W304" s="201"/>
      <c r="X304" s="201"/>
      <c r="Y304" s="200"/>
      <c r="Z304" s="207"/>
      <c r="AA304" s="206"/>
      <c r="AB304" s="207"/>
      <c r="AC304" s="188"/>
      <c r="AD304" s="187">
        <v>44988</v>
      </c>
    </row>
    <row r="305" spans="1:30">
      <c r="A305" s="318">
        <f>COUNTA($E$3:E305)</f>
        <v>303</v>
      </c>
      <c r="B305" s="318" t="s">
        <v>4646</v>
      </c>
      <c r="C305" s="318" t="s">
        <v>41</v>
      </c>
      <c r="D305" s="318" t="s">
        <v>34</v>
      </c>
      <c r="E305" s="318" t="s">
        <v>1045</v>
      </c>
      <c r="F305" s="316">
        <v>44932</v>
      </c>
      <c r="G305" s="316"/>
      <c r="H305" s="316" t="s">
        <v>55</v>
      </c>
      <c r="I305" s="316" t="s">
        <v>2</v>
      </c>
      <c r="J305" s="318"/>
      <c r="K305" s="318" t="s">
        <v>103</v>
      </c>
      <c r="L305" s="171">
        <v>44970</v>
      </c>
      <c r="M305" s="178" t="s">
        <v>4740</v>
      </c>
      <c r="N305" s="180">
        <v>44966</v>
      </c>
      <c r="O305" s="179"/>
      <c r="Q305" t="s">
        <v>22</v>
      </c>
      <c r="T305" s="195"/>
      <c r="U305" s="195"/>
      <c r="V305" s="300"/>
      <c r="W305" s="201"/>
      <c r="X305" s="201"/>
      <c r="Y305" s="200"/>
      <c r="Z305" s="207"/>
      <c r="AA305" s="206"/>
      <c r="AB305" s="207"/>
      <c r="AC305" s="188"/>
      <c r="AD305" s="187">
        <v>44966</v>
      </c>
    </row>
    <row r="306" spans="1:30">
      <c r="A306" s="318">
        <f>COUNTA($E$3:E306)</f>
        <v>304</v>
      </c>
      <c r="B306" s="318" t="s">
        <v>4159</v>
      </c>
      <c r="C306" s="318" t="s">
        <v>1196</v>
      </c>
      <c r="D306" s="318" t="s">
        <v>36</v>
      </c>
      <c r="E306" s="318" t="s">
        <v>2579</v>
      </c>
      <c r="F306" s="316">
        <v>44852</v>
      </c>
      <c r="G306" s="316">
        <v>44963</v>
      </c>
      <c r="H306" s="316">
        <v>44858</v>
      </c>
      <c r="I306" s="316" t="s">
        <v>2</v>
      </c>
      <c r="J306" s="318" t="s">
        <v>2435</v>
      </c>
      <c r="K306" s="318" t="s">
        <v>24</v>
      </c>
      <c r="L306" s="171">
        <v>44970</v>
      </c>
      <c r="M306" s="178" t="s">
        <v>4741</v>
      </c>
      <c r="N306" s="180">
        <v>44970</v>
      </c>
      <c r="O306" s="179"/>
      <c r="Q306" t="s">
        <v>22</v>
      </c>
      <c r="T306" s="195"/>
      <c r="U306" s="195"/>
      <c r="V306" s="300"/>
      <c r="W306" s="201"/>
      <c r="X306" s="201"/>
      <c r="Y306" s="200"/>
      <c r="Z306" s="207"/>
      <c r="AA306" s="206"/>
      <c r="AB306" s="207"/>
      <c r="AC306" s="188"/>
      <c r="AD306" s="187">
        <v>44970</v>
      </c>
    </row>
    <row r="307" spans="1:30">
      <c r="A307" s="318">
        <f>COUNTA($E$3:E307)</f>
        <v>305</v>
      </c>
      <c r="B307" s="318" t="s">
        <v>4713</v>
      </c>
      <c r="C307" s="318" t="s">
        <v>21</v>
      </c>
      <c r="D307" s="318" t="s">
        <v>34</v>
      </c>
      <c r="E307" s="318" t="s">
        <v>3873</v>
      </c>
      <c r="F307" s="316">
        <v>44959</v>
      </c>
      <c r="G307" s="316"/>
      <c r="H307" s="316"/>
      <c r="I307" s="316" t="s">
        <v>3</v>
      </c>
      <c r="J307" s="318"/>
      <c r="K307" s="318" t="s">
        <v>1089</v>
      </c>
      <c r="L307" s="171">
        <v>44970</v>
      </c>
      <c r="M307" s="178" t="s">
        <v>4744</v>
      </c>
      <c r="N307" s="180">
        <v>44965</v>
      </c>
      <c r="O307" s="179"/>
      <c r="Q307" t="s">
        <v>129</v>
      </c>
      <c r="T307" s="195"/>
      <c r="U307" s="195"/>
      <c r="V307" s="300"/>
      <c r="W307" s="201"/>
      <c r="X307" s="201"/>
      <c r="Y307" s="200"/>
      <c r="Z307" s="207"/>
      <c r="AA307" s="206"/>
      <c r="AB307" s="207"/>
      <c r="AC307" s="188"/>
      <c r="AD307" s="187">
        <v>44965</v>
      </c>
    </row>
    <row r="308" spans="1:30">
      <c r="A308" s="318">
        <f>COUNTA($E$3:E308)</f>
        <v>306</v>
      </c>
      <c r="B308" s="318" t="s">
        <v>4689</v>
      </c>
      <c r="C308" s="318" t="s">
        <v>37</v>
      </c>
      <c r="D308" s="318" t="s">
        <v>34</v>
      </c>
      <c r="E308" s="318" t="s">
        <v>1676</v>
      </c>
      <c r="F308" s="316">
        <v>44956.667164351849</v>
      </c>
      <c r="G308" s="316"/>
      <c r="H308" s="316"/>
      <c r="I308" s="316" t="s">
        <v>3</v>
      </c>
      <c r="J308" s="318" t="s">
        <v>1485</v>
      </c>
      <c r="K308" s="318" t="s">
        <v>1295</v>
      </c>
      <c r="L308" s="171">
        <v>44970</v>
      </c>
      <c r="M308" s="178" t="s">
        <v>4728</v>
      </c>
      <c r="N308" s="180">
        <v>44960</v>
      </c>
      <c r="O308" s="179"/>
      <c r="Q308" t="s">
        <v>129</v>
      </c>
      <c r="T308" s="195"/>
      <c r="U308" s="195"/>
      <c r="V308" s="300"/>
      <c r="W308" s="201"/>
      <c r="X308" s="201"/>
      <c r="Y308" s="200"/>
      <c r="Z308" s="207"/>
      <c r="AA308" s="206"/>
      <c r="AB308" s="207"/>
      <c r="AC308" s="188"/>
      <c r="AD308" s="187">
        <v>44960</v>
      </c>
    </row>
    <row r="309" spans="1:30">
      <c r="A309" s="318">
        <f>COUNTA($E$3:E309)</f>
        <v>307</v>
      </c>
      <c r="B309" s="318" t="s">
        <v>4687</v>
      </c>
      <c r="C309" s="318" t="s">
        <v>37</v>
      </c>
      <c r="D309" s="318" t="s">
        <v>34</v>
      </c>
      <c r="E309" s="318" t="s">
        <v>4688</v>
      </c>
      <c r="F309" s="316">
        <v>44956.660393518519</v>
      </c>
      <c r="G309" s="316"/>
      <c r="H309" s="316"/>
      <c r="I309" s="316" t="s">
        <v>3</v>
      </c>
      <c r="J309" s="318" t="s">
        <v>1485</v>
      </c>
      <c r="K309" s="318" t="s">
        <v>1287</v>
      </c>
      <c r="L309" s="171">
        <v>44970</v>
      </c>
      <c r="M309" s="178" t="s">
        <v>4728</v>
      </c>
      <c r="N309" s="180">
        <v>44963</v>
      </c>
      <c r="O309" s="179"/>
      <c r="Q309" t="s">
        <v>129</v>
      </c>
      <c r="T309" s="195"/>
      <c r="U309" s="195"/>
      <c r="V309" s="300"/>
      <c r="W309" s="201"/>
      <c r="X309" s="201"/>
      <c r="Y309" s="200"/>
      <c r="Z309" s="207"/>
      <c r="AA309" s="206"/>
      <c r="AB309" s="207"/>
      <c r="AC309" s="188"/>
      <c r="AD309" s="187">
        <v>44963</v>
      </c>
    </row>
    <row r="310" spans="1:30">
      <c r="A310" s="318">
        <f>COUNTA($E$3:E310)</f>
        <v>308</v>
      </c>
      <c r="B310" s="318" t="s">
        <v>4680</v>
      </c>
      <c r="C310" s="318" t="s">
        <v>1106</v>
      </c>
      <c r="D310" s="318" t="s">
        <v>58</v>
      </c>
      <c r="E310" s="318" t="s">
        <v>2621</v>
      </c>
      <c r="F310" s="316">
        <v>44943</v>
      </c>
      <c r="G310" s="316"/>
      <c r="H310" s="316"/>
      <c r="I310" s="316" t="s">
        <v>3</v>
      </c>
      <c r="J310" s="318" t="s">
        <v>1666</v>
      </c>
      <c r="K310" s="318" t="s">
        <v>1295</v>
      </c>
      <c r="L310" s="171">
        <v>44970</v>
      </c>
      <c r="M310" s="178">
        <v>44970</v>
      </c>
      <c r="N310" s="180">
        <v>44988</v>
      </c>
      <c r="O310" s="179"/>
      <c r="Q310" t="s">
        <v>129</v>
      </c>
      <c r="T310" s="195"/>
      <c r="U310" s="195"/>
      <c r="V310" s="300"/>
      <c r="W310" s="201"/>
      <c r="X310" s="201"/>
      <c r="Y310" s="200"/>
      <c r="Z310" s="207"/>
      <c r="AA310" s="206"/>
      <c r="AB310" s="207"/>
      <c r="AC310" s="188"/>
      <c r="AD310" s="187">
        <v>44988</v>
      </c>
    </row>
    <row r="311" spans="1:30">
      <c r="A311" s="318">
        <f>COUNTA($E$3:E311)</f>
        <v>309</v>
      </c>
      <c r="B311" s="318" t="s">
        <v>4636</v>
      </c>
      <c r="C311" s="318" t="s">
        <v>4637</v>
      </c>
      <c r="D311" s="318" t="s">
        <v>1139</v>
      </c>
      <c r="E311" s="318" t="s">
        <v>4626</v>
      </c>
      <c r="F311" s="316">
        <v>44931</v>
      </c>
      <c r="G311" s="316"/>
      <c r="H311" s="316">
        <v>44957</v>
      </c>
      <c r="I311" s="316" t="s">
        <v>3</v>
      </c>
      <c r="J311" s="318" t="s">
        <v>4624</v>
      </c>
      <c r="K311" s="318"/>
      <c r="L311" s="171">
        <v>44970</v>
      </c>
      <c r="M311" s="178" t="s">
        <v>4742</v>
      </c>
      <c r="N311" s="180">
        <v>44971</v>
      </c>
      <c r="O311" s="179"/>
      <c r="Q311" t="s">
        <v>22</v>
      </c>
      <c r="T311" s="195"/>
      <c r="U311" s="195"/>
      <c r="V311" s="300"/>
      <c r="W311" s="201"/>
      <c r="X311" s="201"/>
      <c r="Y311" s="200"/>
      <c r="Z311" s="207"/>
      <c r="AA311" s="206"/>
      <c r="AB311" s="207"/>
      <c r="AC311" s="188"/>
      <c r="AD311" s="187">
        <v>44971</v>
      </c>
    </row>
    <row r="312" spans="1:30">
      <c r="A312" s="318">
        <f>COUNTA($E$3:E312)</f>
        <v>310</v>
      </c>
      <c r="B312" s="318" t="s">
        <v>4715</v>
      </c>
      <c r="C312" s="318" t="s">
        <v>41</v>
      </c>
      <c r="D312" s="318" t="s">
        <v>45</v>
      </c>
      <c r="E312" s="318" t="s">
        <v>1789</v>
      </c>
      <c r="F312" s="316">
        <v>44959</v>
      </c>
      <c r="G312" s="316"/>
      <c r="H312" s="316"/>
      <c r="I312" s="316" t="s">
        <v>4</v>
      </c>
      <c r="J312" s="318"/>
      <c r="K312" s="318" t="s">
        <v>1089</v>
      </c>
      <c r="L312" s="171">
        <v>44970</v>
      </c>
      <c r="M312" s="178" t="s">
        <v>4745</v>
      </c>
      <c r="N312" s="180">
        <v>44970</v>
      </c>
      <c r="O312" s="179"/>
      <c r="Q312" t="s">
        <v>129</v>
      </c>
      <c r="T312" s="195"/>
      <c r="U312" s="195"/>
      <c r="V312" s="300"/>
      <c r="W312" s="201"/>
      <c r="X312" s="201"/>
      <c r="Y312" s="200"/>
      <c r="Z312" s="207"/>
      <c r="AA312" s="206"/>
      <c r="AB312" s="207"/>
      <c r="AC312" s="188"/>
      <c r="AD312" s="187">
        <v>44970</v>
      </c>
    </row>
    <row r="313" spans="1:30">
      <c r="A313" s="318">
        <f>COUNTA($E$3:E313)</f>
        <v>311</v>
      </c>
      <c r="B313" s="318" t="s">
        <v>4648</v>
      </c>
      <c r="C313" s="318" t="s">
        <v>41</v>
      </c>
      <c r="D313" s="318" t="s">
        <v>51</v>
      </c>
      <c r="E313" s="318" t="s">
        <v>3740</v>
      </c>
      <c r="F313" s="316">
        <v>44932.481659074074</v>
      </c>
      <c r="G313" s="316"/>
      <c r="H313" s="316"/>
      <c r="I313" s="316"/>
      <c r="J313" s="318"/>
      <c r="K313" s="318"/>
      <c r="L313" s="171">
        <v>44963</v>
      </c>
      <c r="M313" s="178" t="s">
        <v>2387</v>
      </c>
      <c r="N313" s="180">
        <v>44958</v>
      </c>
      <c r="O313" s="179"/>
      <c r="Q313" t="s">
        <v>22</v>
      </c>
      <c r="T313" s="195"/>
      <c r="U313" s="195"/>
      <c r="V313" s="300"/>
      <c r="W313" s="201"/>
      <c r="X313" s="201"/>
      <c r="Y313" s="200"/>
      <c r="Z313" s="207"/>
      <c r="AA313" s="206"/>
      <c r="AB313" s="207"/>
      <c r="AC313" s="188"/>
      <c r="AD313" s="187">
        <v>44958</v>
      </c>
    </row>
    <row r="314" spans="1:30">
      <c r="A314" s="318">
        <f>COUNTA($E$3:E314)</f>
        <v>312</v>
      </c>
      <c r="B314" s="318" t="s">
        <v>4703</v>
      </c>
      <c r="C314" s="318" t="s">
        <v>37</v>
      </c>
      <c r="D314" s="318" t="s">
        <v>30</v>
      </c>
      <c r="E314" s="318" t="s">
        <v>3378</v>
      </c>
      <c r="F314" s="316">
        <v>44956</v>
      </c>
      <c r="G314" s="316"/>
      <c r="H314" s="316"/>
      <c r="I314" s="316" t="s">
        <v>3</v>
      </c>
      <c r="J314" s="318"/>
      <c r="K314" s="318" t="s">
        <v>1089</v>
      </c>
      <c r="L314" s="171">
        <v>44963</v>
      </c>
      <c r="M314" s="178" t="s">
        <v>4719</v>
      </c>
      <c r="N314" s="180">
        <v>45147</v>
      </c>
      <c r="O314" s="179"/>
      <c r="Q314" t="s">
        <v>129</v>
      </c>
      <c r="T314" s="195"/>
      <c r="U314" s="195"/>
      <c r="V314" s="300"/>
      <c r="W314" s="201"/>
      <c r="X314" s="201"/>
      <c r="Y314" s="200"/>
      <c r="Z314" s="207"/>
      <c r="AA314" s="206"/>
      <c r="AB314" s="207"/>
      <c r="AC314" s="188"/>
      <c r="AD314" s="187"/>
    </row>
    <row r="315" spans="1:30">
      <c r="A315" s="318">
        <f>COUNTA($E$3:E315)</f>
        <v>313</v>
      </c>
      <c r="B315" s="318" t="s">
        <v>4702</v>
      </c>
      <c r="C315" s="318" t="s">
        <v>37</v>
      </c>
      <c r="D315" s="318" t="s">
        <v>30</v>
      </c>
      <c r="E315" s="318" t="s">
        <v>1248</v>
      </c>
      <c r="F315" s="316">
        <v>44957.712957187498</v>
      </c>
      <c r="G315" s="316"/>
      <c r="H315" s="316"/>
      <c r="I315" s="316" t="s">
        <v>3</v>
      </c>
      <c r="J315" s="318"/>
      <c r="K315" s="318" t="s">
        <v>1295</v>
      </c>
      <c r="L315" s="171">
        <v>44963</v>
      </c>
      <c r="M315" s="178" t="s">
        <v>4717</v>
      </c>
      <c r="N315" s="180">
        <v>44960</v>
      </c>
      <c r="O315" s="179"/>
      <c r="Q315" t="s">
        <v>129</v>
      </c>
      <c r="T315" s="195"/>
      <c r="U315" s="195"/>
      <c r="V315" s="300"/>
      <c r="W315" s="201"/>
      <c r="X315" s="201"/>
      <c r="Y315" s="200"/>
      <c r="Z315" s="207"/>
      <c r="AA315" s="206"/>
      <c r="AB315" s="207"/>
      <c r="AC315" s="188"/>
      <c r="AD315" s="187">
        <v>44960</v>
      </c>
    </row>
    <row r="316" spans="1:30">
      <c r="A316" s="318">
        <f>COUNTA($E$3:E316)</f>
        <v>314</v>
      </c>
      <c r="B316" s="318" t="s">
        <v>4701</v>
      </c>
      <c r="C316" s="318" t="s">
        <v>37</v>
      </c>
      <c r="D316" s="318" t="s">
        <v>30</v>
      </c>
      <c r="E316" s="318" t="s">
        <v>1288</v>
      </c>
      <c r="F316" s="316">
        <v>44957.726764629631</v>
      </c>
      <c r="G316" s="316"/>
      <c r="H316" s="316"/>
      <c r="I316" s="316" t="s">
        <v>3</v>
      </c>
      <c r="J316" s="318"/>
      <c r="K316" s="318" t="s">
        <v>1295</v>
      </c>
      <c r="L316" s="171">
        <v>44963</v>
      </c>
      <c r="M316" s="178" t="s">
        <v>4717</v>
      </c>
      <c r="N316" s="180">
        <v>44960</v>
      </c>
      <c r="O316" s="179"/>
      <c r="Q316" t="s">
        <v>129</v>
      </c>
      <c r="T316" s="195"/>
      <c r="U316" s="195"/>
      <c r="V316" s="300"/>
      <c r="W316" s="201"/>
      <c r="X316" s="201"/>
      <c r="Y316" s="200"/>
      <c r="Z316" s="207"/>
      <c r="AA316" s="206"/>
      <c r="AB316" s="207"/>
      <c r="AC316" s="188"/>
      <c r="AD316" s="187">
        <v>44960</v>
      </c>
    </row>
    <row r="317" spans="1:30">
      <c r="A317" s="318">
        <f>COUNTA($E$3:E317)</f>
        <v>315</v>
      </c>
      <c r="B317" s="318" t="s">
        <v>4694</v>
      </c>
      <c r="C317" s="318" t="s">
        <v>37</v>
      </c>
      <c r="D317" s="318" t="s">
        <v>30</v>
      </c>
      <c r="E317" s="318" t="s">
        <v>2634</v>
      </c>
      <c r="F317" s="316">
        <v>44956</v>
      </c>
      <c r="G317" s="316"/>
      <c r="H317" s="316"/>
      <c r="I317" s="316" t="s">
        <v>3</v>
      </c>
      <c r="J317" s="318" t="s">
        <v>4695</v>
      </c>
      <c r="K317" s="318" t="s">
        <v>1120</v>
      </c>
      <c r="L317" s="171">
        <v>44963</v>
      </c>
      <c r="M317" s="178" t="s">
        <v>4707</v>
      </c>
      <c r="N317" s="180">
        <v>44965</v>
      </c>
      <c r="O317" s="179"/>
      <c r="Q317" t="s">
        <v>129</v>
      </c>
      <c r="T317" s="195"/>
      <c r="U317" s="195"/>
      <c r="V317" s="300"/>
      <c r="W317" s="201"/>
      <c r="X317" s="201"/>
      <c r="Y317" s="200"/>
      <c r="Z317" s="207"/>
      <c r="AA317" s="206"/>
      <c r="AB317" s="207"/>
      <c r="AC317" s="188"/>
      <c r="AD317" s="187">
        <v>44965</v>
      </c>
    </row>
    <row r="318" spans="1:30">
      <c r="A318" s="318">
        <f>COUNTA($E$3:E318)</f>
        <v>316</v>
      </c>
      <c r="B318" s="318" t="s">
        <v>4686</v>
      </c>
      <c r="C318" s="318" t="s">
        <v>37</v>
      </c>
      <c r="D318" s="318" t="s">
        <v>30</v>
      </c>
      <c r="E318" s="318" t="s">
        <v>3871</v>
      </c>
      <c r="F318" s="316">
        <v>44956</v>
      </c>
      <c r="G318" s="316"/>
      <c r="H318" s="316"/>
      <c r="I318" s="316" t="s">
        <v>3</v>
      </c>
      <c r="J318" s="318" t="s">
        <v>1485</v>
      </c>
      <c r="K318" s="318" t="s">
        <v>1102</v>
      </c>
      <c r="L318" s="171">
        <v>44963</v>
      </c>
      <c r="M318" s="178" t="s">
        <v>4706</v>
      </c>
      <c r="N318" s="180">
        <v>44963</v>
      </c>
      <c r="O318" s="179"/>
      <c r="Q318" t="s">
        <v>129</v>
      </c>
      <c r="T318" s="195"/>
      <c r="U318" s="195"/>
      <c r="V318" s="300"/>
      <c r="W318" s="201"/>
      <c r="X318" s="201"/>
      <c r="Y318" s="200"/>
      <c r="Z318" s="207"/>
      <c r="AA318" s="206"/>
      <c r="AB318" s="207"/>
      <c r="AC318" s="188"/>
      <c r="AD318" s="187">
        <v>44963</v>
      </c>
    </row>
    <row r="319" spans="1:30">
      <c r="A319" s="318">
        <f>COUNTA($E$3:E319)</f>
        <v>317</v>
      </c>
      <c r="B319" s="318" t="s">
        <v>4573</v>
      </c>
      <c r="C319" s="318" t="s">
        <v>37</v>
      </c>
      <c r="D319" s="318" t="s">
        <v>34</v>
      </c>
      <c r="E319" s="318" t="s">
        <v>4574</v>
      </c>
      <c r="F319" s="316">
        <v>44918</v>
      </c>
      <c r="G319" s="316"/>
      <c r="H319" s="316"/>
      <c r="I319" s="316" t="s">
        <v>3</v>
      </c>
      <c r="J319" s="318" t="s">
        <v>514</v>
      </c>
      <c r="K319" s="318" t="s">
        <v>1089</v>
      </c>
      <c r="L319" s="171">
        <v>44963</v>
      </c>
      <c r="M319" s="178"/>
      <c r="N319" s="180">
        <v>45051</v>
      </c>
      <c r="O319" s="179"/>
      <c r="Q319" t="s">
        <v>129</v>
      </c>
      <c r="T319" s="195"/>
      <c r="U319" s="195"/>
      <c r="V319" s="300"/>
      <c r="W319" s="201"/>
      <c r="X319" s="201"/>
      <c r="Y319" s="200"/>
      <c r="Z319" s="207"/>
      <c r="AA319" s="206"/>
      <c r="AB319" s="207"/>
      <c r="AC319" s="188"/>
      <c r="AD319" s="187">
        <v>45051</v>
      </c>
    </row>
    <row r="320" spans="1:30">
      <c r="A320" s="318">
        <f>COUNTA($E$3:E320)</f>
        <v>318</v>
      </c>
      <c r="B320" s="318" t="s">
        <v>4699</v>
      </c>
      <c r="C320" s="318" t="s">
        <v>41</v>
      </c>
      <c r="D320" s="318" t="s">
        <v>45</v>
      </c>
      <c r="E320" s="318" t="s">
        <v>4700</v>
      </c>
      <c r="F320" s="316">
        <v>44956</v>
      </c>
      <c r="G320" s="316"/>
      <c r="H320" s="316"/>
      <c r="I320" s="316" t="s">
        <v>4</v>
      </c>
      <c r="J320" s="318"/>
      <c r="K320" s="318" t="s">
        <v>125</v>
      </c>
      <c r="L320" s="171">
        <v>44963</v>
      </c>
      <c r="M320" s="178" t="s">
        <v>4718</v>
      </c>
      <c r="N320" s="180">
        <v>44963</v>
      </c>
      <c r="O320" s="179"/>
      <c r="Q320" t="s">
        <v>129</v>
      </c>
      <c r="T320" s="195"/>
      <c r="U320" s="195"/>
      <c r="V320" s="300"/>
      <c r="W320" s="201"/>
      <c r="X320" s="201"/>
      <c r="Y320" s="200"/>
      <c r="Z320" s="207"/>
      <c r="AA320" s="206"/>
      <c r="AB320" s="207"/>
      <c r="AC320" s="188"/>
      <c r="AD320" s="187">
        <v>44963</v>
      </c>
    </row>
    <row r="321" spans="1:30">
      <c r="A321" s="318">
        <f>COUNTA($E$3:E321)</f>
        <v>319</v>
      </c>
      <c r="B321" s="318" t="s">
        <v>4697</v>
      </c>
      <c r="C321" s="318" t="s">
        <v>37</v>
      </c>
      <c r="D321" s="318" t="s">
        <v>45</v>
      </c>
      <c r="E321" s="318" t="s">
        <v>4698</v>
      </c>
      <c r="F321" s="316">
        <v>44956.66407353009</v>
      </c>
      <c r="G321" s="316"/>
      <c r="H321" s="316"/>
      <c r="I321" s="316" t="s">
        <v>4</v>
      </c>
      <c r="J321" s="318"/>
      <c r="K321" s="318" t="s">
        <v>1287</v>
      </c>
      <c r="L321" s="171">
        <v>44963</v>
      </c>
      <c r="M321" s="178" t="s">
        <v>4717</v>
      </c>
      <c r="N321" s="180">
        <v>44960</v>
      </c>
      <c r="O321" s="179"/>
      <c r="Q321" t="s">
        <v>129</v>
      </c>
      <c r="T321" s="195"/>
      <c r="U321" s="195"/>
      <c r="V321" s="300"/>
      <c r="W321" s="201"/>
      <c r="X321" s="201"/>
      <c r="Y321" s="200"/>
      <c r="Z321" s="207"/>
      <c r="AA321" s="206"/>
      <c r="AB321" s="207"/>
      <c r="AC321" s="188"/>
      <c r="AD321" s="187">
        <v>44960</v>
      </c>
    </row>
    <row r="322" spans="1:30">
      <c r="A322" s="318">
        <f>COUNTA($E$3:E322)</f>
        <v>320</v>
      </c>
      <c r="B322" s="318" t="s">
        <v>4696</v>
      </c>
      <c r="C322" s="318" t="s">
        <v>41</v>
      </c>
      <c r="D322" s="318" t="s">
        <v>52</v>
      </c>
      <c r="E322" s="318" t="s">
        <v>2017</v>
      </c>
      <c r="F322" s="316">
        <v>44956.661552349535</v>
      </c>
      <c r="G322" s="316"/>
      <c r="H322" s="316"/>
      <c r="I322" s="316" t="s">
        <v>4</v>
      </c>
      <c r="J322" s="318"/>
      <c r="K322" s="318" t="s">
        <v>1287</v>
      </c>
      <c r="L322" s="171">
        <v>44963</v>
      </c>
      <c r="M322" s="178" t="s">
        <v>4717</v>
      </c>
      <c r="N322" s="180">
        <v>44963</v>
      </c>
      <c r="O322" s="179"/>
      <c r="Q322" t="s">
        <v>129</v>
      </c>
      <c r="T322" s="195"/>
      <c r="U322" s="195"/>
      <c r="V322" s="300"/>
      <c r="W322" s="201"/>
      <c r="X322" s="201"/>
      <c r="Y322" s="200"/>
      <c r="Z322" s="207"/>
      <c r="AA322" s="206"/>
      <c r="AB322" s="207"/>
      <c r="AC322" s="188"/>
      <c r="AD322" s="187">
        <v>44963</v>
      </c>
    </row>
    <row r="323" spans="1:30">
      <c r="A323" s="318">
        <f>COUNTA($E$3:E323)</f>
        <v>321</v>
      </c>
      <c r="B323" s="318" t="s">
        <v>4679</v>
      </c>
      <c r="C323" s="318" t="s">
        <v>41</v>
      </c>
      <c r="D323" s="318" t="s">
        <v>1125</v>
      </c>
      <c r="E323" s="318" t="s">
        <v>2648</v>
      </c>
      <c r="F323" s="316">
        <v>44943</v>
      </c>
      <c r="G323" s="316"/>
      <c r="H323" s="316"/>
      <c r="I323" s="316" t="s">
        <v>3</v>
      </c>
      <c r="J323" s="318" t="s">
        <v>1485</v>
      </c>
      <c r="K323" s="318" t="s">
        <v>33</v>
      </c>
      <c r="L323" s="171">
        <v>44956</v>
      </c>
      <c r="M323" s="178"/>
      <c r="N323" s="180">
        <v>45021</v>
      </c>
      <c r="O323" s="179"/>
      <c r="Q323" t="s">
        <v>129</v>
      </c>
      <c r="T323" s="195"/>
      <c r="U323" s="195"/>
      <c r="V323" s="300"/>
      <c r="W323" s="201"/>
      <c r="X323" s="201"/>
      <c r="Y323" s="200"/>
      <c r="Z323" s="207"/>
      <c r="AA323" s="206"/>
      <c r="AB323" s="207"/>
      <c r="AC323" s="188"/>
      <c r="AD323" s="187">
        <v>45021</v>
      </c>
    </row>
    <row r="324" spans="1:30">
      <c r="A324" s="318">
        <f>COUNTA($E$3:E324)</f>
        <v>322</v>
      </c>
      <c r="B324" s="318" t="s">
        <v>4682</v>
      </c>
      <c r="C324" s="318" t="s">
        <v>4683</v>
      </c>
      <c r="D324" s="318" t="s">
        <v>49</v>
      </c>
      <c r="E324" s="318" t="s">
        <v>4685</v>
      </c>
      <c r="F324" s="316">
        <v>44942</v>
      </c>
      <c r="G324" s="316"/>
      <c r="H324" s="316"/>
      <c r="I324" s="316" t="s">
        <v>3</v>
      </c>
      <c r="J324" s="318"/>
      <c r="K324" s="318" t="s">
        <v>20</v>
      </c>
      <c r="L324" s="171">
        <v>44956</v>
      </c>
      <c r="M324" s="178"/>
      <c r="N324" s="180">
        <v>44956</v>
      </c>
      <c r="O324" s="179"/>
      <c r="Q324" t="s">
        <v>4684</v>
      </c>
      <c r="T324" s="195"/>
      <c r="U324" s="195"/>
      <c r="V324" s="300"/>
      <c r="W324" s="201"/>
      <c r="X324" s="201"/>
      <c r="Y324" s="200"/>
      <c r="Z324" s="207"/>
      <c r="AA324" s="206"/>
      <c r="AB324" s="207"/>
      <c r="AC324" s="188"/>
      <c r="AD324" s="187">
        <v>44956</v>
      </c>
    </row>
    <row r="325" spans="1:30">
      <c r="A325" s="318">
        <f>COUNTA($E$3:E325)</f>
        <v>323</v>
      </c>
      <c r="B325" s="318" t="s">
        <v>4663</v>
      </c>
      <c r="C325" s="318" t="s">
        <v>1092</v>
      </c>
      <c r="D325" s="318" t="s">
        <v>1145</v>
      </c>
      <c r="E325" s="318" t="s">
        <v>4664</v>
      </c>
      <c r="F325" s="316">
        <v>44937</v>
      </c>
      <c r="G325" s="316"/>
      <c r="H325" s="316"/>
      <c r="I325" s="316" t="s">
        <v>3</v>
      </c>
      <c r="J325" s="318"/>
      <c r="K325" s="318" t="s">
        <v>1295</v>
      </c>
      <c r="L325" s="171">
        <v>44956</v>
      </c>
      <c r="M325" s="178" t="s">
        <v>2447</v>
      </c>
      <c r="N325" s="180">
        <v>44967</v>
      </c>
      <c r="O325" s="179"/>
      <c r="Q325" t="s">
        <v>129</v>
      </c>
      <c r="T325" s="195"/>
      <c r="U325" s="195"/>
      <c r="V325" s="300"/>
      <c r="W325" s="201"/>
      <c r="X325" s="201"/>
      <c r="Y325" s="200"/>
      <c r="Z325" s="207"/>
      <c r="AA325" s="206"/>
      <c r="AB325" s="207"/>
      <c r="AC325" s="188"/>
      <c r="AD325" s="187">
        <v>44967</v>
      </c>
    </row>
    <row r="326" spans="1:30">
      <c r="A326" s="318">
        <f>COUNTA($E$3:E326)</f>
        <v>324</v>
      </c>
      <c r="B326" s="318" t="s">
        <v>4358</v>
      </c>
      <c r="C326" s="318" t="s">
        <v>2370</v>
      </c>
      <c r="D326" s="318" t="s">
        <v>56</v>
      </c>
      <c r="E326" s="318" t="s">
        <v>2697</v>
      </c>
      <c r="F326" s="316">
        <v>44880</v>
      </c>
      <c r="G326" s="316"/>
      <c r="H326" s="316"/>
      <c r="I326" s="316" t="s">
        <v>3</v>
      </c>
      <c r="J326" s="318"/>
      <c r="K326" s="318" t="s">
        <v>1295</v>
      </c>
      <c r="L326" s="171">
        <v>44956</v>
      </c>
      <c r="M326" s="178" t="s">
        <v>4681</v>
      </c>
      <c r="N326" s="180">
        <v>44967</v>
      </c>
      <c r="O326" s="179"/>
      <c r="Q326" t="s">
        <v>22</v>
      </c>
      <c r="T326" s="195"/>
      <c r="U326" s="195"/>
      <c r="V326" s="300"/>
      <c r="W326" s="201"/>
      <c r="X326" s="201"/>
      <c r="Y326" s="200"/>
      <c r="Z326" s="207"/>
      <c r="AA326" s="206"/>
      <c r="AB326" s="207"/>
      <c r="AC326" s="188"/>
      <c r="AD326" s="187">
        <v>44967</v>
      </c>
    </row>
    <row r="327" spans="1:30">
      <c r="A327" s="318">
        <f>COUNTA($E$3:E327)</f>
        <v>325</v>
      </c>
      <c r="B327" s="318" t="s">
        <v>4608</v>
      </c>
      <c r="C327" s="318" t="s">
        <v>1246</v>
      </c>
      <c r="D327" s="318" t="s">
        <v>1145</v>
      </c>
      <c r="E327" s="318" t="s">
        <v>4609</v>
      </c>
      <c r="F327" s="316">
        <v>44924</v>
      </c>
      <c r="G327" s="316"/>
      <c r="H327" s="316"/>
      <c r="I327" s="316" t="s">
        <v>2</v>
      </c>
      <c r="J327" s="318" t="s">
        <v>3253</v>
      </c>
      <c r="K327" s="318" t="s">
        <v>1294</v>
      </c>
      <c r="L327" s="171">
        <v>44942</v>
      </c>
      <c r="M327" s="178" t="s">
        <v>4674</v>
      </c>
      <c r="N327" s="180">
        <v>44936</v>
      </c>
      <c r="O327" s="179"/>
      <c r="Q327" t="s">
        <v>22</v>
      </c>
      <c r="T327" s="195"/>
      <c r="U327" s="195"/>
      <c r="V327" s="300"/>
      <c r="W327" s="201"/>
      <c r="X327" s="201"/>
      <c r="Y327" s="200"/>
      <c r="Z327" s="207"/>
      <c r="AA327" s="206"/>
      <c r="AB327" s="207"/>
      <c r="AC327" s="188"/>
      <c r="AD327" s="187">
        <v>44936</v>
      </c>
    </row>
    <row r="328" spans="1:30">
      <c r="A328" s="318">
        <f>COUNTA($E$3:E328)</f>
        <v>326</v>
      </c>
      <c r="B328" s="318" t="s">
        <v>4552</v>
      </c>
      <c r="C328" s="318" t="s">
        <v>4553</v>
      </c>
      <c r="D328" s="318" t="s">
        <v>64</v>
      </c>
      <c r="E328" s="318" t="s">
        <v>4554</v>
      </c>
      <c r="F328" s="316">
        <v>44916</v>
      </c>
      <c r="G328" s="316">
        <v>44942</v>
      </c>
      <c r="H328" s="316">
        <v>44923</v>
      </c>
      <c r="I328" s="316" t="s">
        <v>2</v>
      </c>
      <c r="J328" s="318" t="s">
        <v>4357</v>
      </c>
      <c r="K328" s="318" t="s">
        <v>1294</v>
      </c>
      <c r="L328" s="171">
        <v>44942</v>
      </c>
      <c r="M328" s="178" t="s">
        <v>4673</v>
      </c>
      <c r="N328" s="180">
        <v>44936</v>
      </c>
      <c r="O328" s="179"/>
      <c r="Q328" t="s">
        <v>22</v>
      </c>
      <c r="T328" s="195"/>
      <c r="U328" s="195"/>
      <c r="V328" s="300"/>
      <c r="W328" s="201"/>
      <c r="X328" s="201"/>
      <c r="Y328" s="200"/>
      <c r="Z328" s="207"/>
      <c r="AA328" s="206"/>
      <c r="AB328" s="207"/>
      <c r="AC328" s="188"/>
      <c r="AD328" s="187">
        <v>44936</v>
      </c>
    </row>
    <row r="329" spans="1:30">
      <c r="A329" s="318">
        <f>COUNTA($E$3:E329)</f>
        <v>327</v>
      </c>
      <c r="B329" s="318" t="s">
        <v>4655</v>
      </c>
      <c r="C329" s="318" t="s">
        <v>41</v>
      </c>
      <c r="D329" s="318" t="s">
        <v>1115</v>
      </c>
      <c r="E329" s="318" t="s">
        <v>4029</v>
      </c>
      <c r="F329" s="316">
        <v>44935</v>
      </c>
      <c r="G329" s="316"/>
      <c r="H329" s="316"/>
      <c r="I329" s="316" t="s">
        <v>3</v>
      </c>
      <c r="J329" s="318" t="s">
        <v>1485</v>
      </c>
      <c r="K329" s="318" t="s">
        <v>33</v>
      </c>
      <c r="L329" s="171">
        <v>44942</v>
      </c>
      <c r="M329" s="178" t="s">
        <v>2411</v>
      </c>
      <c r="N329" s="180"/>
      <c r="O329" s="179"/>
      <c r="Q329" t="s">
        <v>129</v>
      </c>
      <c r="T329" s="195"/>
      <c r="U329" s="195"/>
      <c r="V329" s="300"/>
      <c r="W329" s="201"/>
      <c r="X329" s="201"/>
      <c r="Y329" s="200"/>
      <c r="Z329" s="207"/>
      <c r="AA329" s="206"/>
      <c r="AB329" s="207"/>
      <c r="AC329" s="188"/>
      <c r="AD329" s="187"/>
    </row>
    <row r="330" spans="1:30">
      <c r="A330" s="318">
        <f>COUNTA($E$3:E330)</f>
        <v>328</v>
      </c>
      <c r="B330" s="318" t="s">
        <v>4649</v>
      </c>
      <c r="C330" s="318" t="s">
        <v>109</v>
      </c>
      <c r="D330" s="318" t="s">
        <v>16</v>
      </c>
      <c r="E330" s="318" t="s">
        <v>4650</v>
      </c>
      <c r="F330" s="316">
        <v>44932.481659074074</v>
      </c>
      <c r="G330" s="316"/>
      <c r="H330" s="316"/>
      <c r="I330" s="316" t="s">
        <v>3</v>
      </c>
      <c r="J330" s="318"/>
      <c r="K330" s="318" t="s">
        <v>1295</v>
      </c>
      <c r="L330" s="171">
        <v>44942</v>
      </c>
      <c r="M330" s="178" t="s">
        <v>4669</v>
      </c>
      <c r="N330" s="180">
        <v>44937</v>
      </c>
      <c r="O330" s="179"/>
      <c r="Q330" t="s">
        <v>129</v>
      </c>
      <c r="T330" s="195"/>
      <c r="U330" s="195"/>
      <c r="V330" s="300"/>
      <c r="W330" s="201"/>
      <c r="X330" s="201"/>
      <c r="Y330" s="200"/>
      <c r="Z330" s="207"/>
      <c r="AA330" s="206"/>
      <c r="AB330" s="207"/>
      <c r="AC330" s="188"/>
      <c r="AD330" s="187">
        <v>44937</v>
      </c>
    </row>
    <row r="331" spans="1:30">
      <c r="A331" s="318">
        <f>COUNTA($E$3:E331)</f>
        <v>329</v>
      </c>
      <c r="B331" s="318" t="s">
        <v>4643</v>
      </c>
      <c r="C331" s="318" t="s">
        <v>71</v>
      </c>
      <c r="D331" s="318" t="s">
        <v>1080</v>
      </c>
      <c r="E331" s="318" t="s">
        <v>2833</v>
      </c>
      <c r="F331" s="316">
        <v>44929.578914305559</v>
      </c>
      <c r="G331" s="316"/>
      <c r="H331" s="316"/>
      <c r="I331" s="316" t="s">
        <v>3</v>
      </c>
      <c r="J331" s="318"/>
      <c r="K331" s="318" t="s">
        <v>1296</v>
      </c>
      <c r="L331" s="171">
        <v>44942</v>
      </c>
      <c r="M331" s="178" t="s">
        <v>4668</v>
      </c>
      <c r="N331" s="180">
        <v>44938</v>
      </c>
      <c r="O331" s="179"/>
      <c r="Q331" t="s">
        <v>129</v>
      </c>
      <c r="T331" s="195"/>
      <c r="U331" s="195"/>
      <c r="V331" s="300"/>
      <c r="W331" s="201"/>
      <c r="X331" s="201"/>
      <c r="Y331" s="200"/>
      <c r="Z331" s="207"/>
      <c r="AA331" s="206"/>
      <c r="AB331" s="207"/>
      <c r="AC331" s="188"/>
      <c r="AD331" s="187">
        <v>44938</v>
      </c>
    </row>
    <row r="332" spans="1:30">
      <c r="A332" s="318">
        <f>COUNTA($E$3:E332)</f>
        <v>330</v>
      </c>
      <c r="B332" s="318" t="s">
        <v>4521</v>
      </c>
      <c r="C332" s="318" t="s">
        <v>1092</v>
      </c>
      <c r="D332" s="318" t="s">
        <v>51</v>
      </c>
      <c r="E332" s="318" t="s">
        <v>4522</v>
      </c>
      <c r="F332" s="316">
        <v>44909</v>
      </c>
      <c r="G332" s="316"/>
      <c r="H332" s="316"/>
      <c r="I332" s="316" t="s">
        <v>3</v>
      </c>
      <c r="J332" s="318" t="s">
        <v>1649</v>
      </c>
      <c r="K332" s="318" t="s">
        <v>1295</v>
      </c>
      <c r="L332" s="171">
        <v>44942</v>
      </c>
      <c r="M332" s="178" t="s">
        <v>5008</v>
      </c>
      <c r="N332" s="180">
        <v>44942</v>
      </c>
      <c r="O332" s="179"/>
      <c r="Q332" t="s">
        <v>129</v>
      </c>
      <c r="T332" s="195"/>
      <c r="U332" s="195"/>
      <c r="V332" s="300"/>
      <c r="W332" s="201"/>
      <c r="X332" s="201"/>
      <c r="Y332" s="200"/>
      <c r="Z332" s="207"/>
      <c r="AA332" s="206"/>
      <c r="AB332" s="207"/>
      <c r="AC332" s="188"/>
      <c r="AD332" s="187">
        <v>44942</v>
      </c>
    </row>
    <row r="333" spans="1:30">
      <c r="A333" s="318">
        <f>COUNTA($E$3:E333)</f>
        <v>331</v>
      </c>
      <c r="B333" s="318" t="s">
        <v>4367</v>
      </c>
      <c r="C333" s="318" t="s">
        <v>41</v>
      </c>
      <c r="D333" s="318" t="s">
        <v>25</v>
      </c>
      <c r="E333" s="318" t="s">
        <v>3583</v>
      </c>
      <c r="F333" s="316">
        <v>44883</v>
      </c>
      <c r="G333" s="316"/>
      <c r="H333" s="316"/>
      <c r="I333" s="316" t="s">
        <v>3</v>
      </c>
      <c r="J333" s="318" t="s">
        <v>1666</v>
      </c>
      <c r="K333" s="318" t="s">
        <v>1295</v>
      </c>
      <c r="L333" s="171">
        <v>44942</v>
      </c>
      <c r="M333" s="178" t="s">
        <v>4391</v>
      </c>
      <c r="N333" s="180">
        <v>44942</v>
      </c>
      <c r="O333" s="179"/>
      <c r="Q333" t="s">
        <v>129</v>
      </c>
      <c r="T333" s="195"/>
      <c r="U333" s="195"/>
      <c r="V333" s="300"/>
      <c r="W333" s="201"/>
      <c r="X333" s="201"/>
      <c r="Y333" s="200"/>
      <c r="Z333" s="207"/>
      <c r="AA333" s="206"/>
      <c r="AB333" s="207"/>
      <c r="AC333" s="188"/>
      <c r="AD333" s="187">
        <v>44942</v>
      </c>
    </row>
    <row r="334" spans="1:30">
      <c r="A334" s="318">
        <f>COUNTA($E$3:E334)</f>
        <v>332</v>
      </c>
      <c r="B334" s="318" t="s">
        <v>4638</v>
      </c>
      <c r="C334" s="318" t="s">
        <v>40</v>
      </c>
      <c r="D334" s="318" t="s">
        <v>27</v>
      </c>
      <c r="E334" s="318" t="s">
        <v>4627</v>
      </c>
      <c r="F334" s="316">
        <v>44930.701492858796</v>
      </c>
      <c r="G334" s="316"/>
      <c r="H334" s="316"/>
      <c r="I334" s="316" t="s">
        <v>4</v>
      </c>
      <c r="J334" s="318"/>
      <c r="K334" s="318" t="s">
        <v>1287</v>
      </c>
      <c r="L334" s="171">
        <v>44942</v>
      </c>
      <c r="M334" s="178" t="s">
        <v>4668</v>
      </c>
      <c r="N334" s="180">
        <v>44971</v>
      </c>
      <c r="O334" s="179"/>
      <c r="Q334" t="s">
        <v>129</v>
      </c>
      <c r="T334" s="195"/>
      <c r="U334" s="195"/>
      <c r="V334" s="300"/>
      <c r="W334" s="201"/>
      <c r="X334" s="201"/>
      <c r="Y334" s="200"/>
      <c r="Z334" s="207"/>
      <c r="AA334" s="206"/>
      <c r="AB334" s="207"/>
      <c r="AC334" s="188"/>
      <c r="AD334" s="187">
        <v>44971</v>
      </c>
    </row>
    <row r="335" spans="1:30">
      <c r="A335" s="318">
        <f>COUNTA($E$3:E335)</f>
        <v>333</v>
      </c>
      <c r="B335" s="318" t="s">
        <v>4645</v>
      </c>
      <c r="C335" s="318" t="s">
        <v>2776</v>
      </c>
      <c r="D335" s="318" t="s">
        <v>1139</v>
      </c>
      <c r="E335" s="318" t="s">
        <v>4630</v>
      </c>
      <c r="F335" s="316">
        <v>44931.652766203704</v>
      </c>
      <c r="G335" s="316"/>
      <c r="H335" s="316"/>
      <c r="I335" s="316" t="s">
        <v>3</v>
      </c>
      <c r="J335" s="318"/>
      <c r="K335" s="318" t="s">
        <v>103</v>
      </c>
      <c r="L335" s="171">
        <v>44935</v>
      </c>
      <c r="M335" s="178" t="s">
        <v>4653</v>
      </c>
      <c r="N335" s="180">
        <v>44936</v>
      </c>
      <c r="O335" s="179"/>
      <c r="Q335" t="s">
        <v>22</v>
      </c>
      <c r="T335" s="195"/>
      <c r="U335" s="195"/>
      <c r="V335" s="300"/>
      <c r="W335" s="201"/>
      <c r="X335" s="201"/>
      <c r="Y335" s="200"/>
      <c r="Z335" s="207"/>
      <c r="AA335" s="206"/>
      <c r="AB335" s="207"/>
      <c r="AC335" s="188"/>
      <c r="AD335" s="187">
        <v>44936</v>
      </c>
    </row>
    <row r="336" spans="1:30">
      <c r="A336" s="318">
        <f>COUNTA($E$3:E336)</f>
        <v>334</v>
      </c>
      <c r="B336" s="318" t="s">
        <v>4644</v>
      </c>
      <c r="C336" s="318" t="s">
        <v>41</v>
      </c>
      <c r="D336" s="318" t="s">
        <v>38</v>
      </c>
      <c r="E336" s="318" t="s">
        <v>2808</v>
      </c>
      <c r="F336" s="316">
        <v>44931.652766203704</v>
      </c>
      <c r="G336" s="316"/>
      <c r="H336" s="316"/>
      <c r="I336" s="316" t="s">
        <v>3</v>
      </c>
      <c r="J336" s="318"/>
      <c r="K336" s="318" t="s">
        <v>20</v>
      </c>
      <c r="L336" s="171">
        <v>44935</v>
      </c>
      <c r="M336" s="178" t="s">
        <v>2387</v>
      </c>
      <c r="N336" s="180">
        <v>44936</v>
      </c>
      <c r="O336" s="179"/>
      <c r="Q336" t="s">
        <v>22</v>
      </c>
      <c r="T336" s="195"/>
      <c r="U336" s="195"/>
      <c r="V336" s="300"/>
      <c r="W336" s="201"/>
      <c r="X336" s="201"/>
      <c r="Y336" s="200"/>
      <c r="Z336" s="207"/>
      <c r="AA336" s="206"/>
      <c r="AB336" s="207"/>
      <c r="AC336" s="188"/>
      <c r="AD336" s="187">
        <v>44936</v>
      </c>
    </row>
    <row r="337" spans="1:30">
      <c r="A337" s="318">
        <f>COUNTA($E$3:E337)</f>
        <v>335</v>
      </c>
      <c r="B337" s="318" t="s">
        <v>4394</v>
      </c>
      <c r="C337" s="318" t="s">
        <v>1752</v>
      </c>
      <c r="D337" s="318" t="s">
        <v>49</v>
      </c>
      <c r="E337" s="318" t="s">
        <v>1753</v>
      </c>
      <c r="F337" s="316">
        <v>44894</v>
      </c>
      <c r="G337" s="316">
        <v>44929</v>
      </c>
      <c r="H337" s="316">
        <v>44896</v>
      </c>
      <c r="I337" s="316" t="s">
        <v>2</v>
      </c>
      <c r="J337" s="318" t="s">
        <v>1723</v>
      </c>
      <c r="K337" s="318" t="s">
        <v>24</v>
      </c>
      <c r="L337" s="171">
        <v>44935</v>
      </c>
      <c r="M337" s="178" t="s">
        <v>4652</v>
      </c>
      <c r="N337" s="180">
        <v>44935</v>
      </c>
      <c r="O337" s="179"/>
      <c r="Q337" t="s">
        <v>22</v>
      </c>
      <c r="T337" s="195"/>
      <c r="U337" s="195"/>
      <c r="V337" s="300"/>
      <c r="W337" s="201"/>
      <c r="X337" s="201"/>
      <c r="Y337" s="200"/>
      <c r="Z337" s="207"/>
      <c r="AA337" s="206"/>
      <c r="AB337" s="207"/>
      <c r="AC337" s="188"/>
      <c r="AD337" s="187">
        <v>44935</v>
      </c>
    </row>
    <row r="338" spans="1:30">
      <c r="A338" s="318">
        <f>COUNTA($E$3:E338)</f>
        <v>336</v>
      </c>
      <c r="B338" s="318" t="s">
        <v>4243</v>
      </c>
      <c r="C338" s="318" t="s">
        <v>41</v>
      </c>
      <c r="D338" s="318" t="s">
        <v>16</v>
      </c>
      <c r="E338" s="318" t="s">
        <v>1153</v>
      </c>
      <c r="F338" s="316">
        <v>44865</v>
      </c>
      <c r="G338" s="316"/>
      <c r="H338" s="316"/>
      <c r="I338" s="316" t="s">
        <v>2</v>
      </c>
      <c r="J338" s="318" t="s">
        <v>2061</v>
      </c>
      <c r="K338" s="318" t="s">
        <v>103</v>
      </c>
      <c r="L338" s="171">
        <v>44935</v>
      </c>
      <c r="M338" s="178" t="s">
        <v>2407</v>
      </c>
      <c r="N338" s="180">
        <v>44936</v>
      </c>
      <c r="O338" s="179"/>
      <c r="Q338" t="s">
        <v>22</v>
      </c>
      <c r="T338" s="195"/>
      <c r="U338" s="195"/>
      <c r="V338" s="300"/>
      <c r="W338" s="201"/>
      <c r="X338" s="201"/>
      <c r="Y338" s="200"/>
      <c r="Z338" s="207"/>
      <c r="AA338" s="206"/>
      <c r="AB338" s="207"/>
      <c r="AC338" s="188"/>
      <c r="AD338" s="187">
        <v>44936</v>
      </c>
    </row>
    <row r="339" spans="1:30">
      <c r="A339" s="318">
        <f>COUNTA($E$3:E339)</f>
        <v>337</v>
      </c>
      <c r="B339" s="318" t="s">
        <v>4596</v>
      </c>
      <c r="C339" s="318" t="s">
        <v>2489</v>
      </c>
      <c r="D339" s="318" t="s">
        <v>1103</v>
      </c>
      <c r="E339" s="318" t="s">
        <v>1219</v>
      </c>
      <c r="F339" s="316">
        <v>44921</v>
      </c>
      <c r="G339" s="316"/>
      <c r="H339" s="316"/>
      <c r="I339" s="316" t="s">
        <v>3</v>
      </c>
      <c r="J339" s="318" t="s">
        <v>1485</v>
      </c>
      <c r="K339" s="318" t="s">
        <v>1296</v>
      </c>
      <c r="L339" s="171">
        <v>44935</v>
      </c>
      <c r="M339" s="178"/>
      <c r="N339" s="180"/>
      <c r="O339" s="179"/>
      <c r="Q339" t="s">
        <v>129</v>
      </c>
      <c r="T339" s="195"/>
      <c r="U339" s="195"/>
      <c r="V339" s="300"/>
      <c r="W339" s="201"/>
      <c r="X339" s="201"/>
      <c r="Y339" s="200"/>
      <c r="Z339" s="207"/>
      <c r="AA339" s="206"/>
      <c r="AB339" s="207"/>
      <c r="AC339" s="188"/>
      <c r="AD339" s="187"/>
    </row>
    <row r="340" spans="1:30">
      <c r="A340" s="318">
        <f>COUNTA($E$3:E340)</f>
        <v>338</v>
      </c>
      <c r="B340" s="318" t="s">
        <v>4595</v>
      </c>
      <c r="C340" s="318" t="s">
        <v>2489</v>
      </c>
      <c r="D340" s="318" t="s">
        <v>30</v>
      </c>
      <c r="E340" s="318" t="s">
        <v>1208</v>
      </c>
      <c r="F340" s="316">
        <v>44921</v>
      </c>
      <c r="G340" s="316"/>
      <c r="H340" s="316"/>
      <c r="I340" s="316" t="s">
        <v>3</v>
      </c>
      <c r="J340" s="318" t="s">
        <v>1485</v>
      </c>
      <c r="K340" s="318" t="s">
        <v>1296</v>
      </c>
      <c r="L340" s="171">
        <v>44935</v>
      </c>
      <c r="M340" s="178"/>
      <c r="N340" s="180"/>
      <c r="O340" s="179"/>
      <c r="Q340" t="s">
        <v>129</v>
      </c>
      <c r="T340" s="195"/>
      <c r="U340" s="195"/>
      <c r="V340" s="300"/>
      <c r="W340" s="201"/>
      <c r="X340" s="201"/>
      <c r="Y340" s="200"/>
      <c r="Z340" s="207"/>
      <c r="AA340" s="206"/>
      <c r="AB340" s="207"/>
      <c r="AC340" s="188"/>
      <c r="AD340" s="187"/>
    </row>
    <row r="341" spans="1:30">
      <c r="A341" s="318">
        <f>COUNTA($E$3:E341)</f>
        <v>339</v>
      </c>
      <c r="B341" s="318" t="s">
        <v>4585</v>
      </c>
      <c r="C341" s="318" t="s">
        <v>41</v>
      </c>
      <c r="D341" s="318" t="s">
        <v>23</v>
      </c>
      <c r="E341" s="318" t="s">
        <v>1044</v>
      </c>
      <c r="F341" s="316">
        <v>44918</v>
      </c>
      <c r="G341" s="316"/>
      <c r="H341" s="316"/>
      <c r="I341" s="316" t="s">
        <v>3</v>
      </c>
      <c r="J341" s="318" t="s">
        <v>2153</v>
      </c>
      <c r="K341" s="318" t="s">
        <v>1296</v>
      </c>
      <c r="L341" s="171">
        <v>44935</v>
      </c>
      <c r="M341" s="178"/>
      <c r="N341" s="180"/>
      <c r="O341" s="179"/>
      <c r="Q341" t="s">
        <v>129</v>
      </c>
      <c r="T341" s="195"/>
      <c r="U341" s="195"/>
      <c r="V341" s="300"/>
      <c r="W341" s="201"/>
      <c r="X341" s="201"/>
      <c r="Y341" s="200"/>
      <c r="Z341" s="207"/>
      <c r="AA341" s="206"/>
      <c r="AB341" s="207"/>
      <c r="AC341" s="188"/>
      <c r="AD341" s="187"/>
    </row>
    <row r="342" spans="1:30">
      <c r="A342" s="318">
        <f>COUNTA($E$3:E342)</f>
        <v>340</v>
      </c>
      <c r="B342" s="318" t="s">
        <v>4631</v>
      </c>
      <c r="C342" s="318" t="s">
        <v>44</v>
      </c>
      <c r="D342" s="318" t="s">
        <v>45</v>
      </c>
      <c r="E342" s="318" t="s">
        <v>173</v>
      </c>
      <c r="F342" s="316">
        <v>44929.575775462959</v>
      </c>
      <c r="G342" s="316"/>
      <c r="H342" s="316"/>
      <c r="I342" s="316" t="s">
        <v>4</v>
      </c>
      <c r="J342" s="318" t="s">
        <v>4624</v>
      </c>
      <c r="K342" s="318" t="s">
        <v>1287</v>
      </c>
      <c r="L342" s="171">
        <v>44935</v>
      </c>
      <c r="M342" s="178" t="s">
        <v>4654</v>
      </c>
      <c r="N342" s="180">
        <v>44937</v>
      </c>
      <c r="O342" s="179"/>
      <c r="Q342" t="s">
        <v>129</v>
      </c>
      <c r="T342" s="195"/>
      <c r="U342" s="195"/>
      <c r="V342" s="300"/>
      <c r="W342" s="201"/>
      <c r="X342" s="201"/>
      <c r="Y342" s="200"/>
      <c r="Z342" s="207"/>
      <c r="AA342" s="206"/>
      <c r="AB342" s="207"/>
      <c r="AC342" s="188"/>
      <c r="AD342" s="187">
        <v>44937</v>
      </c>
    </row>
    <row r="343" spans="1:30">
      <c r="A343" s="318">
        <f>COUNTA($E$3:E343)</f>
        <v>341</v>
      </c>
      <c r="B343" s="318" t="s">
        <v>4632</v>
      </c>
      <c r="C343" s="318" t="s">
        <v>41</v>
      </c>
      <c r="D343" s="318" t="s">
        <v>45</v>
      </c>
      <c r="E343" s="318" t="s">
        <v>1789</v>
      </c>
      <c r="F343" s="316">
        <v>44929.574803240743</v>
      </c>
      <c r="G343" s="316"/>
      <c r="H343" s="316"/>
      <c r="I343" s="316" t="s">
        <v>4</v>
      </c>
      <c r="J343" s="318" t="s">
        <v>4624</v>
      </c>
      <c r="K343" s="318" t="s">
        <v>1287</v>
      </c>
      <c r="L343" s="171">
        <v>44935</v>
      </c>
      <c r="M343" s="178" t="s">
        <v>4654</v>
      </c>
      <c r="N343" s="180">
        <v>44938</v>
      </c>
      <c r="O343" s="179"/>
      <c r="Q343" t="s">
        <v>129</v>
      </c>
      <c r="T343" s="195"/>
      <c r="U343" s="195"/>
      <c r="V343" s="300"/>
      <c r="W343" s="201"/>
      <c r="X343" s="201"/>
      <c r="Y343" s="200"/>
      <c r="Z343" s="207"/>
      <c r="AA343" s="206"/>
      <c r="AB343" s="207"/>
      <c r="AC343" s="188"/>
      <c r="AD343" s="187">
        <v>44938</v>
      </c>
    </row>
    <row r="344" spans="1:30">
      <c r="A344" s="318">
        <f>COUNTA($E$3:E344)</f>
        <v>342</v>
      </c>
      <c r="B344" s="318" t="s">
        <v>4543</v>
      </c>
      <c r="C344" s="318" t="s">
        <v>4541</v>
      </c>
      <c r="D344" s="318" t="s">
        <v>2859</v>
      </c>
      <c r="E344" s="318" t="s">
        <v>4544</v>
      </c>
      <c r="F344" s="316">
        <v>44911.689370057873</v>
      </c>
      <c r="G344" s="316"/>
      <c r="H344" s="316"/>
      <c r="I344" s="316" t="s">
        <v>4</v>
      </c>
      <c r="J344" s="318" t="s">
        <v>1093</v>
      </c>
      <c r="K344" s="318" t="s">
        <v>287</v>
      </c>
      <c r="L344" s="171">
        <v>44935</v>
      </c>
      <c r="M344" s="178" t="s">
        <v>2387</v>
      </c>
      <c r="N344" s="180">
        <v>44958</v>
      </c>
      <c r="O344" s="179"/>
      <c r="Q344" t="s">
        <v>22</v>
      </c>
      <c r="T344" s="195"/>
      <c r="U344" s="195"/>
      <c r="V344" s="300"/>
      <c r="W344" s="201"/>
      <c r="X344" s="201"/>
      <c r="Y344" s="200"/>
      <c r="Z344" s="207"/>
      <c r="AA344" s="206"/>
      <c r="AB344" s="207"/>
      <c r="AC344" s="188"/>
      <c r="AD344" s="187">
        <v>44958</v>
      </c>
    </row>
    <row r="345" spans="1:30">
      <c r="A345" s="318">
        <f>COUNTA($E$3:E345)</f>
        <v>343</v>
      </c>
      <c r="B345" s="318" t="s">
        <v>4540</v>
      </c>
      <c r="C345" s="318" t="s">
        <v>4541</v>
      </c>
      <c r="D345" s="318" t="s">
        <v>2862</v>
      </c>
      <c r="E345" s="318" t="s">
        <v>4542</v>
      </c>
      <c r="F345" s="316">
        <v>44911.688787581021</v>
      </c>
      <c r="G345" s="316"/>
      <c r="H345" s="316"/>
      <c r="I345" s="316" t="s">
        <v>4</v>
      </c>
      <c r="J345" s="318" t="s">
        <v>1093</v>
      </c>
      <c r="K345" s="318" t="s">
        <v>287</v>
      </c>
      <c r="L345" s="171">
        <v>44935</v>
      </c>
      <c r="M345" s="178" t="s">
        <v>2387</v>
      </c>
      <c r="N345" s="180">
        <v>44958</v>
      </c>
      <c r="O345" s="179"/>
      <c r="Q345" t="s">
        <v>22</v>
      </c>
      <c r="T345" s="195"/>
      <c r="U345" s="195"/>
      <c r="V345" s="300"/>
      <c r="W345" s="201"/>
      <c r="X345" s="201"/>
      <c r="Y345" s="200"/>
      <c r="Z345" s="207"/>
      <c r="AA345" s="206"/>
      <c r="AB345" s="207"/>
      <c r="AC345" s="188"/>
      <c r="AD345" s="187">
        <v>44958</v>
      </c>
    </row>
    <row r="346" spans="1:30">
      <c r="A346" s="318">
        <f>COUNTA($E$3:E346)</f>
        <v>344</v>
      </c>
      <c r="B346" s="318" t="s">
        <v>4171</v>
      </c>
      <c r="C346" s="318" t="s">
        <v>4172</v>
      </c>
      <c r="D346" s="318" t="s">
        <v>1083</v>
      </c>
      <c r="E346" s="318" t="s">
        <v>4173</v>
      </c>
      <c r="F346" s="316">
        <v>44852</v>
      </c>
      <c r="G346" s="316"/>
      <c r="H346" s="316" t="s">
        <v>55</v>
      </c>
      <c r="I346" s="316" t="s">
        <v>2</v>
      </c>
      <c r="J346" s="318" t="s">
        <v>1485</v>
      </c>
      <c r="K346" s="318" t="s">
        <v>1295</v>
      </c>
      <c r="L346" s="171">
        <v>44929</v>
      </c>
      <c r="M346" s="178" t="s">
        <v>4618</v>
      </c>
      <c r="N346" s="180">
        <v>44966</v>
      </c>
      <c r="O346" s="179"/>
      <c r="Q346" t="s">
        <v>129</v>
      </c>
      <c r="T346" s="195"/>
      <c r="U346" s="195"/>
      <c r="V346" s="300"/>
      <c r="W346" s="201"/>
      <c r="X346" s="201"/>
      <c r="Y346" s="200"/>
      <c r="Z346" s="207"/>
      <c r="AA346" s="206"/>
      <c r="AB346" s="207"/>
      <c r="AC346" s="188"/>
      <c r="AD346" s="187">
        <v>44966</v>
      </c>
    </row>
    <row r="347" spans="1:30">
      <c r="A347" s="318">
        <f>COUNTA($E$3:E347)</f>
        <v>345</v>
      </c>
      <c r="B347" s="318" t="s">
        <v>4285</v>
      </c>
      <c r="C347" s="318" t="s">
        <v>41</v>
      </c>
      <c r="D347" s="318" t="s">
        <v>1115</v>
      </c>
      <c r="E347" s="318" t="s">
        <v>4316</v>
      </c>
      <c r="F347" s="316">
        <v>44876</v>
      </c>
      <c r="G347" s="316"/>
      <c r="H347" s="316" t="s">
        <v>66</v>
      </c>
      <c r="I347" s="316" t="s">
        <v>2</v>
      </c>
      <c r="J347" s="318" t="s">
        <v>2480</v>
      </c>
      <c r="K347" s="318" t="s">
        <v>287</v>
      </c>
      <c r="L347" s="171">
        <v>44929</v>
      </c>
      <c r="M347" s="178" t="s">
        <v>4620</v>
      </c>
      <c r="N347" s="180">
        <v>44929</v>
      </c>
      <c r="O347" s="179"/>
      <c r="Q347" t="s">
        <v>22</v>
      </c>
      <c r="T347" s="195"/>
      <c r="U347" s="195"/>
      <c r="V347" s="300"/>
      <c r="W347" s="201"/>
      <c r="X347" s="201"/>
      <c r="Y347" s="200"/>
      <c r="Z347" s="207"/>
      <c r="AA347" s="206"/>
      <c r="AB347" s="207"/>
      <c r="AC347" s="188"/>
      <c r="AD347" s="187">
        <v>44929</v>
      </c>
    </row>
    <row r="348" spans="1:30">
      <c r="A348" s="318">
        <f>COUNTA($E$3:E348)</f>
        <v>346</v>
      </c>
      <c r="B348" s="318" t="s">
        <v>4015</v>
      </c>
      <c r="C348" s="318" t="s">
        <v>41</v>
      </c>
      <c r="D348" s="318" t="s">
        <v>32</v>
      </c>
      <c r="E348" s="318" t="s">
        <v>4016</v>
      </c>
      <c r="F348" s="316">
        <v>44834</v>
      </c>
      <c r="G348" s="316"/>
      <c r="H348" s="316" t="s">
        <v>66</v>
      </c>
      <c r="I348" s="316" t="s">
        <v>2</v>
      </c>
      <c r="J348" s="318" t="s">
        <v>4093</v>
      </c>
      <c r="K348" s="318" t="s">
        <v>287</v>
      </c>
      <c r="L348" s="171">
        <v>44929</v>
      </c>
      <c r="M348" s="178" t="s">
        <v>4617</v>
      </c>
      <c r="N348" s="180">
        <v>44929</v>
      </c>
      <c r="O348" s="179"/>
      <c r="Q348" t="s">
        <v>22</v>
      </c>
      <c r="T348" s="195"/>
      <c r="U348" s="195"/>
      <c r="V348" s="300"/>
      <c r="W348" s="201"/>
      <c r="X348" s="201"/>
      <c r="Y348" s="200"/>
      <c r="Z348" s="207"/>
      <c r="AA348" s="206"/>
      <c r="AB348" s="207"/>
      <c r="AC348" s="188"/>
      <c r="AD348" s="187">
        <v>44929</v>
      </c>
    </row>
    <row r="349" spans="1:30">
      <c r="A349" s="318">
        <f>COUNTA($E$3:E349)</f>
        <v>347</v>
      </c>
      <c r="B349" s="318" t="s">
        <v>4590</v>
      </c>
      <c r="C349" s="318" t="s">
        <v>41</v>
      </c>
      <c r="D349" s="318" t="s">
        <v>30</v>
      </c>
      <c r="E349" s="318" t="s">
        <v>2970</v>
      </c>
      <c r="F349" s="316">
        <v>44921</v>
      </c>
      <c r="G349" s="316"/>
      <c r="H349" s="316"/>
      <c r="I349" s="316" t="s">
        <v>2</v>
      </c>
      <c r="J349" s="318" t="s">
        <v>4591</v>
      </c>
      <c r="K349" s="318" t="s">
        <v>1294</v>
      </c>
      <c r="L349" s="171">
        <v>44929</v>
      </c>
      <c r="M349" s="178" t="s">
        <v>2367</v>
      </c>
      <c r="N349" s="180">
        <v>44929</v>
      </c>
      <c r="O349" s="179"/>
      <c r="Q349" t="s">
        <v>22</v>
      </c>
      <c r="T349" s="195"/>
      <c r="U349" s="195"/>
      <c r="V349" s="300"/>
      <c r="W349" s="201"/>
      <c r="X349" s="201"/>
      <c r="Y349" s="200"/>
      <c r="Z349" s="207"/>
      <c r="AA349" s="206"/>
      <c r="AB349" s="207"/>
      <c r="AC349" s="188"/>
      <c r="AD349" s="187">
        <v>44929</v>
      </c>
    </row>
    <row r="350" spans="1:30">
      <c r="A350" s="318">
        <f>COUNTA($E$3:E350)</f>
        <v>348</v>
      </c>
      <c r="B350" s="318" t="s">
        <v>4582</v>
      </c>
      <c r="C350" s="318" t="s">
        <v>37</v>
      </c>
      <c r="D350" s="318" t="s">
        <v>34</v>
      </c>
      <c r="E350" s="318" t="s">
        <v>1107</v>
      </c>
      <c r="F350" s="316">
        <v>44918</v>
      </c>
      <c r="G350" s="316"/>
      <c r="H350" s="316"/>
      <c r="I350" s="316" t="s">
        <v>3</v>
      </c>
      <c r="J350" s="318" t="s">
        <v>1212</v>
      </c>
      <c r="K350" s="318" t="s">
        <v>1287</v>
      </c>
      <c r="L350" s="171">
        <v>44929</v>
      </c>
      <c r="M350" s="178" t="s">
        <v>4621</v>
      </c>
      <c r="N350" s="180">
        <v>44977</v>
      </c>
      <c r="O350" s="179"/>
      <c r="Q350" t="s">
        <v>129</v>
      </c>
      <c r="T350" s="195"/>
      <c r="U350" s="195"/>
      <c r="V350" s="300"/>
      <c r="W350" s="201"/>
      <c r="X350" s="201"/>
      <c r="Y350" s="200"/>
      <c r="Z350" s="207"/>
      <c r="AA350" s="206"/>
      <c r="AB350" s="207"/>
      <c r="AC350" s="188"/>
      <c r="AD350" s="187">
        <v>44977</v>
      </c>
    </row>
    <row r="351" spans="1:30">
      <c r="A351" s="318">
        <f>COUNTA($E$3:E351)</f>
        <v>349</v>
      </c>
      <c r="B351" s="318" t="s">
        <v>4515</v>
      </c>
      <c r="C351" s="318" t="s">
        <v>41</v>
      </c>
      <c r="D351" s="318" t="s">
        <v>51</v>
      </c>
      <c r="E351" s="318" t="s">
        <v>4516</v>
      </c>
      <c r="F351" s="316">
        <v>44909.773326377297</v>
      </c>
      <c r="G351" s="316"/>
      <c r="H351" s="316"/>
      <c r="I351" s="316" t="s">
        <v>3</v>
      </c>
      <c r="J351" s="318" t="s">
        <v>1649</v>
      </c>
      <c r="K351" s="318" t="s">
        <v>1295</v>
      </c>
      <c r="L351" s="171">
        <v>44929</v>
      </c>
      <c r="M351" s="178"/>
      <c r="N351" s="180"/>
      <c r="O351" s="179"/>
      <c r="Q351" t="s">
        <v>129</v>
      </c>
      <c r="T351" s="195"/>
      <c r="U351" s="195"/>
      <c r="V351" s="300"/>
      <c r="W351" s="201"/>
      <c r="X351" s="201"/>
      <c r="Y351" s="200"/>
      <c r="Z351" s="207"/>
      <c r="AA351" s="206"/>
      <c r="AB351" s="207"/>
      <c r="AC351" s="188"/>
      <c r="AD351" s="187"/>
    </row>
    <row r="352" spans="1:30">
      <c r="A352" s="318">
        <f>COUNTA($E$3:E352)</f>
        <v>350</v>
      </c>
      <c r="B352" s="318" t="s">
        <v>4571</v>
      </c>
      <c r="C352" s="318" t="s">
        <v>37</v>
      </c>
      <c r="D352" s="318" t="s">
        <v>30</v>
      </c>
      <c r="E352" s="318" t="s">
        <v>3487</v>
      </c>
      <c r="F352" s="316">
        <v>44918.725987048601</v>
      </c>
      <c r="G352" s="316"/>
      <c r="H352" s="316"/>
      <c r="I352" s="316" t="s">
        <v>3</v>
      </c>
      <c r="J352" s="318" t="s">
        <v>2207</v>
      </c>
      <c r="K352" s="318" t="s">
        <v>1296</v>
      </c>
      <c r="L352" s="171">
        <v>44929</v>
      </c>
      <c r="M352" s="178" t="s">
        <v>2367</v>
      </c>
      <c r="N352" s="180">
        <v>45021</v>
      </c>
      <c r="O352" s="179"/>
      <c r="Q352" t="s">
        <v>129</v>
      </c>
      <c r="T352" s="195"/>
      <c r="U352" s="195"/>
      <c r="V352" s="300"/>
      <c r="W352" s="201"/>
      <c r="X352" s="201"/>
      <c r="Y352" s="200"/>
      <c r="Z352" s="207"/>
      <c r="AA352" s="206"/>
      <c r="AB352" s="207"/>
      <c r="AC352" s="188"/>
      <c r="AD352" s="187">
        <v>45021</v>
      </c>
    </row>
    <row r="353" spans="1:30">
      <c r="A353" s="318">
        <f>COUNTA($E$3:E353)</f>
        <v>351</v>
      </c>
      <c r="B353" s="318" t="s">
        <v>4578</v>
      </c>
      <c r="C353" s="318" t="s">
        <v>41</v>
      </c>
      <c r="D353" s="318" t="s">
        <v>1201</v>
      </c>
      <c r="E353" s="318" t="s">
        <v>3629</v>
      </c>
      <c r="F353" s="316">
        <v>44918.729610532399</v>
      </c>
      <c r="G353" s="316"/>
      <c r="H353" s="316"/>
      <c r="I353" s="316" t="s">
        <v>3</v>
      </c>
      <c r="J353" s="318" t="s">
        <v>1485</v>
      </c>
      <c r="K353" s="318" t="s">
        <v>1296</v>
      </c>
      <c r="L353" s="171">
        <v>44929</v>
      </c>
      <c r="M353" s="178"/>
      <c r="N353" s="180"/>
      <c r="O353" s="179"/>
      <c r="Q353" t="s">
        <v>129</v>
      </c>
      <c r="T353" s="195"/>
      <c r="U353" s="195"/>
      <c r="V353" s="300"/>
      <c r="W353" s="201"/>
      <c r="X353" s="201"/>
      <c r="Y353" s="200"/>
      <c r="Z353" s="207"/>
      <c r="AA353" s="206"/>
      <c r="AB353" s="207"/>
      <c r="AC353" s="188"/>
      <c r="AD353" s="187"/>
    </row>
    <row r="354" spans="1:30">
      <c r="A354" s="318">
        <f>COUNTA($E$3:E354)</f>
        <v>352</v>
      </c>
      <c r="B354" s="318" t="s">
        <v>4592</v>
      </c>
      <c r="C354" s="318" t="s">
        <v>1106</v>
      </c>
      <c r="D354" s="318" t="s">
        <v>1098</v>
      </c>
      <c r="E354" s="318" t="s">
        <v>2826</v>
      </c>
      <c r="F354" s="316">
        <v>44921</v>
      </c>
      <c r="G354" s="316"/>
      <c r="H354" s="316"/>
      <c r="I354" s="316" t="s">
        <v>3</v>
      </c>
      <c r="J354" s="318" t="s">
        <v>1093</v>
      </c>
      <c r="K354" s="318" t="s">
        <v>1287</v>
      </c>
      <c r="L354" s="171">
        <v>44929</v>
      </c>
      <c r="M354" s="178"/>
      <c r="N354" s="180"/>
      <c r="O354" s="179"/>
      <c r="Q354" t="s">
        <v>129</v>
      </c>
      <c r="T354" s="195"/>
      <c r="U354" s="195"/>
      <c r="V354" s="300"/>
      <c r="W354" s="201"/>
      <c r="X354" s="201"/>
      <c r="Y354" s="200"/>
      <c r="Z354" s="207"/>
      <c r="AA354" s="206"/>
      <c r="AB354" s="207"/>
      <c r="AC354" s="188"/>
      <c r="AD354" s="187"/>
    </row>
    <row r="355" spans="1:30">
      <c r="A355" s="318">
        <f>COUNTA($E$3:E355)</f>
        <v>353</v>
      </c>
      <c r="B355" s="318" t="s">
        <v>4593</v>
      </c>
      <c r="C355" s="318" t="s">
        <v>2484</v>
      </c>
      <c r="D355" s="318" t="s">
        <v>64</v>
      </c>
      <c r="E355" s="318" t="s">
        <v>4594</v>
      </c>
      <c r="F355" s="316">
        <v>44923</v>
      </c>
      <c r="G355" s="316"/>
      <c r="H355" s="316"/>
      <c r="I355" s="316" t="s">
        <v>3</v>
      </c>
      <c r="J355" s="318" t="s">
        <v>3076</v>
      </c>
      <c r="K355" s="318" t="s">
        <v>1294</v>
      </c>
      <c r="L355" s="171">
        <v>44929</v>
      </c>
      <c r="M355" s="178" t="s">
        <v>2366</v>
      </c>
      <c r="N355" s="180">
        <v>44930</v>
      </c>
      <c r="O355" s="179"/>
      <c r="Q355" t="s">
        <v>129</v>
      </c>
      <c r="T355" s="195"/>
      <c r="U355" s="195"/>
      <c r="V355" s="300"/>
      <c r="W355" s="201"/>
      <c r="X355" s="201"/>
      <c r="Y355" s="200"/>
      <c r="Z355" s="207"/>
      <c r="AA355" s="206"/>
      <c r="AB355" s="207"/>
      <c r="AC355" s="188"/>
      <c r="AD355" s="187">
        <v>44930</v>
      </c>
    </row>
    <row r="356" spans="1:30">
      <c r="A356" s="318">
        <f>COUNTA($E$3:E356)</f>
        <v>354</v>
      </c>
      <c r="B356" s="318" t="s">
        <v>4597</v>
      </c>
      <c r="C356" s="318" t="s">
        <v>37</v>
      </c>
      <c r="D356" s="318" t="s">
        <v>34</v>
      </c>
      <c r="E356" s="318" t="s">
        <v>4598</v>
      </c>
      <c r="F356" s="316">
        <v>44921</v>
      </c>
      <c r="G356" s="316"/>
      <c r="H356" s="316"/>
      <c r="I356" s="316" t="s">
        <v>3</v>
      </c>
      <c r="J356" s="318" t="s">
        <v>1649</v>
      </c>
      <c r="K356" s="318" t="s">
        <v>1287</v>
      </c>
      <c r="L356" s="171">
        <v>44929</v>
      </c>
      <c r="M356" s="178"/>
      <c r="N356" s="180"/>
      <c r="O356" s="179"/>
      <c r="Q356" t="s">
        <v>129</v>
      </c>
      <c r="T356" s="195"/>
      <c r="U356" s="195"/>
      <c r="V356" s="300"/>
      <c r="W356" s="201"/>
      <c r="X356" s="201"/>
      <c r="Y356" s="200"/>
      <c r="Z356" s="207"/>
      <c r="AA356" s="206"/>
      <c r="AB356" s="207"/>
      <c r="AC356" s="188"/>
      <c r="AD356" s="187"/>
    </row>
    <row r="357" spans="1:30">
      <c r="A357" s="318">
        <f>COUNTA($E$3:E357)</f>
        <v>355</v>
      </c>
      <c r="B357" s="318" t="s">
        <v>4599</v>
      </c>
      <c r="C357" s="318" t="s">
        <v>37</v>
      </c>
      <c r="D357" s="318" t="s">
        <v>34</v>
      </c>
      <c r="E357" s="318" t="s">
        <v>4600</v>
      </c>
      <c r="F357" s="316">
        <v>44921</v>
      </c>
      <c r="G357" s="316"/>
      <c r="H357" s="316"/>
      <c r="I357" s="316" t="s">
        <v>3</v>
      </c>
      <c r="J357" s="318" t="s">
        <v>1666</v>
      </c>
      <c r="K357" s="318" t="s">
        <v>1287</v>
      </c>
      <c r="L357" s="171">
        <v>44929</v>
      </c>
      <c r="M357" s="178" t="s">
        <v>2366</v>
      </c>
      <c r="N357" s="180">
        <v>44959</v>
      </c>
      <c r="O357" s="179"/>
      <c r="Q357" t="s">
        <v>129</v>
      </c>
      <c r="T357" s="195"/>
      <c r="U357" s="195"/>
      <c r="V357" s="300"/>
      <c r="W357" s="201"/>
      <c r="X357" s="201"/>
      <c r="Y357" s="200"/>
      <c r="Z357" s="207"/>
      <c r="AA357" s="206"/>
      <c r="AB357" s="207"/>
      <c r="AC357" s="188"/>
      <c r="AD357" s="187">
        <v>44959</v>
      </c>
    </row>
    <row r="358" spans="1:30">
      <c r="A358" s="318">
        <f>COUNTA($E$3:E358)</f>
        <v>356</v>
      </c>
      <c r="B358" s="318" t="s">
        <v>4601</v>
      </c>
      <c r="C358" s="318" t="s">
        <v>37</v>
      </c>
      <c r="D358" s="318" t="s">
        <v>30</v>
      </c>
      <c r="E358" s="318" t="s">
        <v>4602</v>
      </c>
      <c r="F358" s="316">
        <v>44921</v>
      </c>
      <c r="G358" s="316"/>
      <c r="H358" s="316"/>
      <c r="I358" s="316" t="s">
        <v>3</v>
      </c>
      <c r="J358" s="318" t="s">
        <v>1485</v>
      </c>
      <c r="K358" s="318" t="s">
        <v>1287</v>
      </c>
      <c r="L358" s="171">
        <v>44929</v>
      </c>
      <c r="M358" s="178"/>
      <c r="N358" s="180"/>
      <c r="O358" s="179"/>
      <c r="Q358" t="s">
        <v>129</v>
      </c>
      <c r="T358" s="195"/>
      <c r="U358" s="195"/>
      <c r="V358" s="300"/>
      <c r="W358" s="201"/>
      <c r="X358" s="201"/>
      <c r="Y358" s="200"/>
      <c r="Z358" s="207"/>
      <c r="AA358" s="206"/>
      <c r="AB358" s="207"/>
      <c r="AC358" s="188"/>
      <c r="AD358" s="187"/>
    </row>
    <row r="359" spans="1:30">
      <c r="A359" s="318">
        <f>COUNTA($E$3:E359)</f>
        <v>357</v>
      </c>
      <c r="B359" s="318" t="s">
        <v>4572</v>
      </c>
      <c r="C359" s="318" t="s">
        <v>37</v>
      </c>
      <c r="D359" s="318" t="s">
        <v>34</v>
      </c>
      <c r="E359" s="318" t="s">
        <v>1844</v>
      </c>
      <c r="F359" s="316">
        <v>44918.726548969898</v>
      </c>
      <c r="G359" s="316"/>
      <c r="H359" s="316"/>
      <c r="I359" s="316" t="s">
        <v>3</v>
      </c>
      <c r="J359" s="318" t="s">
        <v>1212</v>
      </c>
      <c r="K359" s="318" t="s">
        <v>1295</v>
      </c>
      <c r="L359" s="171">
        <v>44929</v>
      </c>
      <c r="M359" s="178" t="s">
        <v>2366</v>
      </c>
      <c r="N359" s="180">
        <v>44977</v>
      </c>
      <c r="O359" s="179"/>
      <c r="Q359" t="s">
        <v>129</v>
      </c>
      <c r="T359" s="195"/>
      <c r="U359" s="195"/>
      <c r="V359" s="300"/>
      <c r="W359" s="201"/>
      <c r="X359" s="201"/>
      <c r="Y359" s="200"/>
      <c r="Z359" s="207"/>
      <c r="AA359" s="206"/>
      <c r="AB359" s="207"/>
      <c r="AC359" s="188"/>
      <c r="AD359" s="187">
        <v>44977</v>
      </c>
    </row>
    <row r="360" spans="1:30">
      <c r="A360" s="318">
        <f>COUNTA($E$3:E360)</f>
        <v>358</v>
      </c>
      <c r="B360" s="318" t="s">
        <v>4610</v>
      </c>
      <c r="C360" s="318" t="s">
        <v>2726</v>
      </c>
      <c r="D360" s="318" t="s">
        <v>1264</v>
      </c>
      <c r="E360" s="318" t="s">
        <v>4611</v>
      </c>
      <c r="F360" s="316">
        <v>44923</v>
      </c>
      <c r="G360" s="316"/>
      <c r="H360" s="316"/>
      <c r="I360" s="316" t="s">
        <v>4</v>
      </c>
      <c r="J360" s="318" t="s">
        <v>2194</v>
      </c>
      <c r="K360" s="318" t="s">
        <v>2358</v>
      </c>
      <c r="L360" s="171">
        <v>44929</v>
      </c>
      <c r="M360" s="178" t="s">
        <v>2365</v>
      </c>
      <c r="N360" s="180">
        <v>45291</v>
      </c>
      <c r="O360" s="179"/>
      <c r="Q360" t="s">
        <v>22</v>
      </c>
      <c r="T360" s="195"/>
      <c r="U360" s="195"/>
      <c r="V360" s="300"/>
      <c r="W360" s="201"/>
      <c r="X360" s="201"/>
      <c r="Y360" s="200"/>
      <c r="Z360" s="207"/>
      <c r="AA360" s="206"/>
      <c r="AB360" s="207"/>
      <c r="AC360" s="188"/>
      <c r="AD360" s="187">
        <v>45291</v>
      </c>
    </row>
    <row r="361" spans="1:30">
      <c r="A361" s="318">
        <f>COUNTA($E$3:E361)</f>
        <v>359</v>
      </c>
      <c r="B361" s="318" t="s">
        <v>4559</v>
      </c>
      <c r="C361" s="318" t="s">
        <v>4560</v>
      </c>
      <c r="D361" s="318" t="s">
        <v>52</v>
      </c>
      <c r="E361" s="318" t="s">
        <v>4561</v>
      </c>
      <c r="F361" s="316">
        <v>44917</v>
      </c>
      <c r="G361" s="316"/>
      <c r="H361" s="316"/>
      <c r="I361" s="316" t="s">
        <v>4</v>
      </c>
      <c r="J361" s="318" t="s">
        <v>1158</v>
      </c>
      <c r="K361" s="318" t="s">
        <v>1294</v>
      </c>
      <c r="L361" s="171">
        <v>44929</v>
      </c>
      <c r="M361" s="178" t="s">
        <v>4622</v>
      </c>
      <c r="N361" s="180">
        <v>45291</v>
      </c>
      <c r="O361" s="179"/>
      <c r="Q361" t="s">
        <v>22</v>
      </c>
      <c r="T361" s="195"/>
      <c r="U361" s="195"/>
      <c r="V361" s="300"/>
      <c r="W361" s="201"/>
      <c r="X361" s="201"/>
      <c r="Y361" s="200"/>
      <c r="Z361" s="207"/>
      <c r="AA361" s="206"/>
      <c r="AB361" s="207"/>
      <c r="AC361" s="188"/>
      <c r="AD361" s="187">
        <v>45291</v>
      </c>
    </row>
    <row r="362" spans="1:30">
      <c r="A362" s="318">
        <f>COUNTA($E$3:E362)</f>
        <v>360</v>
      </c>
      <c r="B362" s="318" t="s">
        <v>4202</v>
      </c>
      <c r="C362" s="318" t="s">
        <v>1106</v>
      </c>
      <c r="D362" s="318" t="s">
        <v>1098</v>
      </c>
      <c r="E362" s="318" t="s">
        <v>4203</v>
      </c>
      <c r="F362" s="316">
        <v>44860</v>
      </c>
      <c r="G362" s="316"/>
      <c r="H362" s="316"/>
      <c r="I362" s="316" t="s">
        <v>4</v>
      </c>
      <c r="J362" s="318" t="s">
        <v>1093</v>
      </c>
      <c r="K362" s="318" t="s">
        <v>1287</v>
      </c>
      <c r="L362" s="171">
        <v>44929</v>
      </c>
      <c r="M362" s="178" t="s">
        <v>4619</v>
      </c>
      <c r="N362" s="180">
        <v>44943</v>
      </c>
      <c r="O362" s="179"/>
      <c r="Q362" t="s">
        <v>129</v>
      </c>
      <c r="T362" s="195"/>
      <c r="U362" s="195"/>
      <c r="V362" s="300"/>
      <c r="W362" s="201"/>
      <c r="X362" s="201"/>
      <c r="Y362" s="200"/>
      <c r="Z362" s="207"/>
      <c r="AA362" s="206"/>
      <c r="AB362" s="207"/>
      <c r="AC362" s="188"/>
      <c r="AD362" s="187">
        <v>44943</v>
      </c>
    </row>
    <row r="363" spans="1:30">
      <c r="A363" s="318">
        <f>COUNTA($E$3:E363)</f>
        <v>361</v>
      </c>
      <c r="B363" s="318" t="s">
        <v>4605</v>
      </c>
      <c r="C363" s="318" t="s">
        <v>1106</v>
      </c>
      <c r="D363" s="318" t="s">
        <v>1098</v>
      </c>
      <c r="E363" s="318" t="s">
        <v>3841</v>
      </c>
      <c r="F363" s="316">
        <v>44923</v>
      </c>
      <c r="G363" s="316"/>
      <c r="H363" s="316"/>
      <c r="I363" s="316" t="s">
        <v>4</v>
      </c>
      <c r="J363" s="318" t="s">
        <v>1093</v>
      </c>
      <c r="K363" s="318" t="s">
        <v>1287</v>
      </c>
      <c r="L363" s="171">
        <v>44929</v>
      </c>
      <c r="M363" s="178"/>
      <c r="N363" s="180"/>
      <c r="O363" s="179"/>
      <c r="Q363" t="s">
        <v>129</v>
      </c>
      <c r="T363" s="195"/>
      <c r="U363" s="195"/>
      <c r="V363" s="300"/>
      <c r="W363" s="201"/>
      <c r="X363" s="201"/>
      <c r="Y363" s="200"/>
      <c r="Z363" s="207"/>
      <c r="AA363" s="206"/>
      <c r="AB363" s="207"/>
      <c r="AC363" s="188"/>
      <c r="AD363" s="187"/>
    </row>
    <row r="364" spans="1:30">
      <c r="A364" s="318">
        <f>COUNTA($E$3:E364)</f>
        <v>362</v>
      </c>
      <c r="B364" s="318" t="s">
        <v>4570</v>
      </c>
      <c r="C364" s="318" t="s">
        <v>1106</v>
      </c>
      <c r="D364" s="318" t="s">
        <v>16</v>
      </c>
      <c r="E364" s="318" t="s">
        <v>2842</v>
      </c>
      <c r="F364" s="316">
        <v>44918</v>
      </c>
      <c r="G364" s="316">
        <v>44921</v>
      </c>
      <c r="H364" s="316">
        <v>44921</v>
      </c>
      <c r="I364" s="316" t="s">
        <v>2</v>
      </c>
      <c r="J364" s="318" t="s">
        <v>1723</v>
      </c>
      <c r="K364" s="318" t="s">
        <v>1296</v>
      </c>
      <c r="L364" s="171">
        <v>44921</v>
      </c>
      <c r="M364" s="178"/>
      <c r="N364" s="180">
        <v>45021</v>
      </c>
      <c r="O364" s="179"/>
      <c r="Q364" t="s">
        <v>129</v>
      </c>
      <c r="T364" s="195"/>
      <c r="U364" s="195"/>
      <c r="V364" s="300"/>
      <c r="W364" s="201"/>
      <c r="X364" s="201"/>
      <c r="Y364" s="200"/>
      <c r="Z364" s="207"/>
      <c r="AA364" s="206"/>
      <c r="AB364" s="207"/>
      <c r="AC364" s="188"/>
      <c r="AD364" s="187">
        <v>45021</v>
      </c>
    </row>
    <row r="365" spans="1:30">
      <c r="A365" s="318">
        <f>COUNTA($E$3:E365)</f>
        <v>363</v>
      </c>
      <c r="B365" s="318" t="s">
        <v>4569</v>
      </c>
      <c r="C365" s="318" t="s">
        <v>41</v>
      </c>
      <c r="D365" s="318" t="s">
        <v>32</v>
      </c>
      <c r="E365" s="318" t="s">
        <v>3595</v>
      </c>
      <c r="F365" s="316">
        <v>44917</v>
      </c>
      <c r="G365" s="316"/>
      <c r="H365" s="316"/>
      <c r="I365" s="316" t="s">
        <v>2</v>
      </c>
      <c r="J365" s="318" t="s">
        <v>3754</v>
      </c>
      <c r="K365" s="318" t="s">
        <v>1295</v>
      </c>
      <c r="L365" s="171">
        <v>44921</v>
      </c>
      <c r="M365" s="178" t="s">
        <v>2321</v>
      </c>
      <c r="N365" s="180">
        <v>44959</v>
      </c>
      <c r="O365" s="179"/>
      <c r="Q365" t="s">
        <v>129</v>
      </c>
      <c r="T365" s="195"/>
      <c r="U365" s="195"/>
      <c r="V365" s="300"/>
      <c r="W365" s="201"/>
      <c r="X365" s="201"/>
      <c r="Y365" s="200"/>
      <c r="Z365" s="207"/>
      <c r="AA365" s="206"/>
      <c r="AB365" s="207"/>
      <c r="AC365" s="188"/>
      <c r="AD365" s="187">
        <v>44959</v>
      </c>
    </row>
    <row r="366" spans="1:30">
      <c r="A366" s="318">
        <f>COUNTA($E$3:E366)</f>
        <v>364</v>
      </c>
      <c r="B366" s="318" t="s">
        <v>4551</v>
      </c>
      <c r="C366" s="318" t="s">
        <v>41</v>
      </c>
      <c r="D366" s="318" t="s">
        <v>1124</v>
      </c>
      <c r="E366" s="318" t="s">
        <v>1184</v>
      </c>
      <c r="F366" s="316">
        <v>44916</v>
      </c>
      <c r="G366" s="316"/>
      <c r="H366" s="316"/>
      <c r="I366" s="316" t="s">
        <v>2</v>
      </c>
      <c r="J366" s="318" t="s">
        <v>2665</v>
      </c>
      <c r="K366" s="318"/>
      <c r="L366" s="171">
        <v>44921</v>
      </c>
      <c r="M366" s="178" t="s">
        <v>4568</v>
      </c>
      <c r="N366" s="180">
        <v>44927</v>
      </c>
      <c r="O366" s="179"/>
      <c r="Q366" t="s">
        <v>22</v>
      </c>
      <c r="T366" s="195"/>
      <c r="U366" s="195"/>
      <c r="V366" s="300"/>
      <c r="W366" s="201"/>
      <c r="X366" s="201"/>
      <c r="Y366" s="200"/>
      <c r="Z366" s="207"/>
      <c r="AA366" s="206"/>
      <c r="AB366" s="207"/>
      <c r="AC366" s="188"/>
      <c r="AD366" s="187">
        <v>44927</v>
      </c>
    </row>
    <row r="367" spans="1:30">
      <c r="A367" s="318">
        <f>COUNTA($E$3:E367)</f>
        <v>365</v>
      </c>
      <c r="B367" s="318" t="s">
        <v>4188</v>
      </c>
      <c r="C367" s="318" t="s">
        <v>4165</v>
      </c>
      <c r="D367" s="318" t="s">
        <v>16</v>
      </c>
      <c r="E367" s="318" t="s">
        <v>4189</v>
      </c>
      <c r="F367" s="316">
        <v>44860</v>
      </c>
      <c r="G367" s="316"/>
      <c r="H367" s="316">
        <v>44861</v>
      </c>
      <c r="I367" s="316" t="s">
        <v>2</v>
      </c>
      <c r="J367" s="318" t="s">
        <v>4190</v>
      </c>
      <c r="K367" s="318"/>
      <c r="L367" s="171">
        <v>44921</v>
      </c>
      <c r="M367" s="178" t="s">
        <v>4567</v>
      </c>
      <c r="N367" s="180">
        <v>44921</v>
      </c>
      <c r="O367" s="179"/>
      <c r="Q367" t="s">
        <v>22</v>
      </c>
      <c r="T367" s="195"/>
      <c r="U367" s="195"/>
      <c r="V367" s="300"/>
      <c r="W367" s="201"/>
      <c r="X367" s="201"/>
      <c r="Y367" s="200"/>
      <c r="Z367" s="207"/>
      <c r="AA367" s="206"/>
      <c r="AB367" s="207"/>
      <c r="AC367" s="188"/>
      <c r="AD367" s="187">
        <v>44921</v>
      </c>
    </row>
    <row r="368" spans="1:30">
      <c r="A368" s="318">
        <f>COUNTA($E$3:E368)</f>
        <v>366</v>
      </c>
      <c r="B368" s="318" t="s">
        <v>4562</v>
      </c>
      <c r="C368" s="318" t="s">
        <v>37</v>
      </c>
      <c r="D368" s="318" t="s">
        <v>30</v>
      </c>
      <c r="E368" s="318" t="s">
        <v>4563</v>
      </c>
      <c r="F368" s="316">
        <v>44917</v>
      </c>
      <c r="G368" s="316"/>
      <c r="H368" s="316"/>
      <c r="I368" s="316" t="s">
        <v>3</v>
      </c>
      <c r="J368" s="318" t="s">
        <v>1485</v>
      </c>
      <c r="K368" s="318" t="s">
        <v>1287</v>
      </c>
      <c r="L368" s="171">
        <v>44921</v>
      </c>
      <c r="M368" s="178"/>
      <c r="N368" s="180"/>
      <c r="O368" s="179"/>
      <c r="Q368" t="s">
        <v>129</v>
      </c>
      <c r="T368" s="195"/>
      <c r="U368" s="195"/>
      <c r="V368" s="300"/>
      <c r="W368" s="201"/>
      <c r="X368" s="201"/>
      <c r="Y368" s="200"/>
      <c r="Z368" s="207"/>
      <c r="AA368" s="206"/>
      <c r="AB368" s="207"/>
      <c r="AC368" s="188"/>
      <c r="AD368" s="187"/>
    </row>
    <row r="369" spans="1:30">
      <c r="A369" s="318">
        <f>COUNTA($E$3:E369)</f>
        <v>367</v>
      </c>
      <c r="B369" s="318" t="s">
        <v>4523</v>
      </c>
      <c r="C369" s="318" t="s">
        <v>3828</v>
      </c>
      <c r="D369" s="318" t="s">
        <v>19</v>
      </c>
      <c r="E369" s="318" t="s">
        <v>3696</v>
      </c>
      <c r="F369" s="316">
        <v>44909.789760624997</v>
      </c>
      <c r="G369" s="316"/>
      <c r="H369" s="316"/>
      <c r="I369" s="316" t="s">
        <v>3</v>
      </c>
      <c r="J369" s="318" t="s">
        <v>17</v>
      </c>
      <c r="K369" s="318" t="s">
        <v>1295</v>
      </c>
      <c r="L369" s="171">
        <v>44921</v>
      </c>
      <c r="M369" s="178" t="s">
        <v>2321</v>
      </c>
      <c r="N369" s="180">
        <v>44937</v>
      </c>
      <c r="O369" s="179"/>
      <c r="Q369" t="s">
        <v>129</v>
      </c>
      <c r="T369" s="195"/>
      <c r="U369" s="195"/>
      <c r="V369" s="300"/>
      <c r="W369" s="201"/>
      <c r="X369" s="201"/>
      <c r="Y369" s="200"/>
      <c r="Z369" s="207"/>
      <c r="AA369" s="206"/>
      <c r="AB369" s="207"/>
      <c r="AC369" s="188"/>
      <c r="AD369" s="187">
        <v>44937</v>
      </c>
    </row>
    <row r="370" spans="1:30">
      <c r="A370" s="318">
        <f>COUNTA($E$3:E370)</f>
        <v>368</v>
      </c>
      <c r="B370" s="318" t="s">
        <v>4498</v>
      </c>
      <c r="C370" s="318" t="s">
        <v>21</v>
      </c>
      <c r="D370" s="318" t="s">
        <v>2751</v>
      </c>
      <c r="E370" s="318" t="s">
        <v>4499</v>
      </c>
      <c r="F370" s="316">
        <v>44909</v>
      </c>
      <c r="G370" s="316"/>
      <c r="H370" s="316"/>
      <c r="I370" s="316" t="s">
        <v>3</v>
      </c>
      <c r="J370" s="318" t="s">
        <v>1750</v>
      </c>
      <c r="K370" s="318" t="s">
        <v>1295</v>
      </c>
      <c r="L370" s="171">
        <v>44921</v>
      </c>
      <c r="M370" s="178"/>
      <c r="N370" s="180"/>
      <c r="O370" s="179"/>
      <c r="Q370" t="s">
        <v>129</v>
      </c>
      <c r="T370" s="195"/>
      <c r="U370" s="195"/>
      <c r="V370" s="300"/>
      <c r="W370" s="201"/>
      <c r="X370" s="201"/>
      <c r="Y370" s="200"/>
      <c r="Z370" s="207"/>
      <c r="AA370" s="206"/>
      <c r="AB370" s="207"/>
      <c r="AC370" s="188"/>
      <c r="AD370" s="187"/>
    </row>
    <row r="371" spans="1:30">
      <c r="A371" s="318">
        <f>COUNTA($E$3:E371)</f>
        <v>369</v>
      </c>
      <c r="B371" s="318" t="s">
        <v>4429</v>
      </c>
      <c r="C371" s="318" t="s">
        <v>4430</v>
      </c>
      <c r="D371" s="318" t="s">
        <v>104</v>
      </c>
      <c r="E371" s="318" t="s">
        <v>4431</v>
      </c>
      <c r="F371" s="316">
        <v>44901</v>
      </c>
      <c r="G371" s="316">
        <v>44921</v>
      </c>
      <c r="H371" s="316">
        <v>44909</v>
      </c>
      <c r="I371" s="316" t="s">
        <v>3</v>
      </c>
      <c r="J371" s="318" t="s">
        <v>1934</v>
      </c>
      <c r="K371" s="318" t="s">
        <v>125</v>
      </c>
      <c r="L371" s="171">
        <v>44921</v>
      </c>
      <c r="M371" s="178"/>
      <c r="N371" s="180"/>
      <c r="O371" s="179"/>
      <c r="Q371" t="s">
        <v>129</v>
      </c>
      <c r="T371" s="195"/>
      <c r="U371" s="195"/>
      <c r="V371" s="300"/>
      <c r="W371" s="201"/>
      <c r="X371" s="201"/>
      <c r="Y371" s="200"/>
      <c r="Z371" s="207"/>
      <c r="AA371" s="206"/>
      <c r="AB371" s="207"/>
      <c r="AC371" s="188"/>
      <c r="AD371" s="187"/>
    </row>
    <row r="372" spans="1:30">
      <c r="A372" s="318">
        <f>COUNTA($E$3:E372)</f>
        <v>370</v>
      </c>
      <c r="B372" s="318" t="s">
        <v>4300</v>
      </c>
      <c r="C372" s="318" t="s">
        <v>41</v>
      </c>
      <c r="D372" s="318" t="s">
        <v>51</v>
      </c>
      <c r="E372" s="318" t="s">
        <v>3024</v>
      </c>
      <c r="F372" s="316">
        <v>44875</v>
      </c>
      <c r="G372" s="316"/>
      <c r="H372" s="316" t="s">
        <v>66</v>
      </c>
      <c r="I372" s="316" t="s">
        <v>3</v>
      </c>
      <c r="J372" s="318" t="s">
        <v>1485</v>
      </c>
      <c r="K372" s="318" t="s">
        <v>1295</v>
      </c>
      <c r="L372" s="171">
        <v>44921</v>
      </c>
      <c r="M372" s="178" t="s">
        <v>4586</v>
      </c>
      <c r="N372" s="180">
        <v>44921</v>
      </c>
      <c r="O372" s="179"/>
      <c r="Q372" t="s">
        <v>129</v>
      </c>
      <c r="T372" s="195"/>
      <c r="U372" s="195"/>
      <c r="V372" s="300"/>
      <c r="W372" s="201"/>
      <c r="X372" s="201"/>
      <c r="Y372" s="200"/>
      <c r="Z372" s="207"/>
      <c r="AA372" s="206"/>
      <c r="AB372" s="207"/>
      <c r="AC372" s="188"/>
      <c r="AD372" s="187">
        <v>44921</v>
      </c>
    </row>
    <row r="373" spans="1:30">
      <c r="A373" s="318">
        <f>COUNTA($E$3:E373)</f>
        <v>371</v>
      </c>
      <c r="B373" s="318" t="s">
        <v>4063</v>
      </c>
      <c r="C373" s="318" t="s">
        <v>41</v>
      </c>
      <c r="D373" s="318" t="s">
        <v>1115</v>
      </c>
      <c r="E373" s="318" t="s">
        <v>1228</v>
      </c>
      <c r="F373" s="316">
        <v>44838</v>
      </c>
      <c r="G373" s="316"/>
      <c r="H373" s="316" t="s">
        <v>66</v>
      </c>
      <c r="I373" s="316" t="s">
        <v>3</v>
      </c>
      <c r="J373" s="318" t="s">
        <v>1652</v>
      </c>
      <c r="K373" s="318" t="s">
        <v>1295</v>
      </c>
      <c r="L373" s="171">
        <v>44921</v>
      </c>
      <c r="M373" s="178"/>
      <c r="N373" s="180"/>
      <c r="O373" s="179"/>
      <c r="Q373" t="s">
        <v>129</v>
      </c>
      <c r="T373" s="195"/>
      <c r="U373" s="195"/>
      <c r="V373" s="300"/>
      <c r="W373" s="201"/>
      <c r="X373" s="201"/>
      <c r="Y373" s="200"/>
      <c r="Z373" s="207"/>
      <c r="AA373" s="206"/>
      <c r="AB373" s="207"/>
      <c r="AC373" s="188"/>
      <c r="AD373" s="187"/>
    </row>
    <row r="374" spans="1:30">
      <c r="A374" s="318">
        <f>COUNTA($E$3:E374)</f>
        <v>372</v>
      </c>
      <c r="B374" s="318" t="s">
        <v>4158</v>
      </c>
      <c r="C374" s="318" t="s">
        <v>2370</v>
      </c>
      <c r="D374" s="318" t="s">
        <v>1264</v>
      </c>
      <c r="E374" s="318" t="s">
        <v>4169</v>
      </c>
      <c r="F374" s="316">
        <v>44851</v>
      </c>
      <c r="G374" s="316"/>
      <c r="H374" s="316">
        <v>44858</v>
      </c>
      <c r="I374" s="316" t="s">
        <v>4</v>
      </c>
      <c r="J374" s="318" t="s">
        <v>1707</v>
      </c>
      <c r="K374" s="318" t="s">
        <v>24</v>
      </c>
      <c r="L374" s="171">
        <v>44921</v>
      </c>
      <c r="M374" s="178" t="s">
        <v>4566</v>
      </c>
      <c r="N374" s="180">
        <v>44927</v>
      </c>
      <c r="O374" s="179"/>
      <c r="Q374" t="s">
        <v>22</v>
      </c>
      <c r="T374" s="195"/>
      <c r="U374" s="195"/>
      <c r="V374" s="300"/>
      <c r="W374" s="201"/>
      <c r="X374" s="201"/>
      <c r="Y374" s="200"/>
      <c r="Z374" s="207"/>
      <c r="AA374" s="206"/>
      <c r="AB374" s="207"/>
      <c r="AC374" s="188"/>
      <c r="AD374" s="187">
        <v>44927</v>
      </c>
    </row>
    <row r="375" spans="1:30">
      <c r="A375" s="318">
        <f>COUNTA($E$3:E375)</f>
        <v>373</v>
      </c>
      <c r="B375" s="318" t="s">
        <v>4469</v>
      </c>
      <c r="C375" s="318" t="s">
        <v>37</v>
      </c>
      <c r="D375" s="318" t="s">
        <v>30</v>
      </c>
      <c r="E375" s="318" t="s">
        <v>1669</v>
      </c>
      <c r="F375" s="316">
        <v>44907</v>
      </c>
      <c r="G375" s="316"/>
      <c r="H375" s="316"/>
      <c r="I375" s="316" t="s">
        <v>2</v>
      </c>
      <c r="J375" s="318" t="s">
        <v>17</v>
      </c>
      <c r="K375" s="318" t="s">
        <v>1120</v>
      </c>
      <c r="L375" s="171">
        <v>44914</v>
      </c>
      <c r="M375" s="178" t="s">
        <v>2301</v>
      </c>
      <c r="N375" s="180">
        <v>44907</v>
      </c>
      <c r="O375" s="179"/>
      <c r="Q375" t="s">
        <v>129</v>
      </c>
      <c r="T375" s="195"/>
      <c r="U375" s="195"/>
      <c r="V375" s="300"/>
      <c r="W375" s="201"/>
      <c r="X375" s="201"/>
      <c r="Y375" s="200"/>
      <c r="Z375" s="207"/>
      <c r="AA375" s="206"/>
      <c r="AB375" s="207"/>
      <c r="AC375" s="188"/>
      <c r="AD375" s="187">
        <v>44907</v>
      </c>
    </row>
    <row r="376" spans="1:30">
      <c r="A376" s="318">
        <f>COUNTA($E$3:E376)</f>
        <v>374</v>
      </c>
      <c r="B376" s="318" t="s">
        <v>3829</v>
      </c>
      <c r="C376" s="318" t="s">
        <v>3830</v>
      </c>
      <c r="D376" s="318" t="s">
        <v>3831</v>
      </c>
      <c r="E376" s="318" t="s">
        <v>3832</v>
      </c>
      <c r="F376" s="316">
        <v>44803</v>
      </c>
      <c r="G376" s="316">
        <v>44803</v>
      </c>
      <c r="H376" s="316">
        <v>44803</v>
      </c>
      <c r="I376" s="316" t="s">
        <v>2</v>
      </c>
      <c r="J376" s="318" t="s">
        <v>3833</v>
      </c>
      <c r="K376" s="318" t="s">
        <v>1295</v>
      </c>
      <c r="L376" s="171">
        <v>44902</v>
      </c>
      <c r="M376" s="178"/>
      <c r="N376" s="180">
        <v>44985</v>
      </c>
      <c r="O376" s="179"/>
      <c r="Q376" t="s">
        <v>129</v>
      </c>
      <c r="T376" s="195"/>
      <c r="U376" s="195"/>
      <c r="V376" s="300"/>
      <c r="W376" s="201"/>
      <c r="X376" s="201"/>
      <c r="Y376" s="200"/>
      <c r="Z376" s="207"/>
      <c r="AA376" s="206"/>
      <c r="AB376" s="207"/>
      <c r="AC376" s="188"/>
      <c r="AD376" s="187">
        <v>44985</v>
      </c>
    </row>
    <row r="377" spans="1:30">
      <c r="A377" s="318">
        <f>COUNTA($E$3:E377)</f>
        <v>375</v>
      </c>
      <c r="B377" s="318" t="s">
        <v>4497</v>
      </c>
      <c r="C377" s="318" t="s">
        <v>41</v>
      </c>
      <c r="D377" s="318" t="s">
        <v>1103</v>
      </c>
      <c r="E377" s="318" t="s">
        <v>4255</v>
      </c>
      <c r="F377" s="316">
        <v>44909</v>
      </c>
      <c r="G377" s="316"/>
      <c r="H377" s="316"/>
      <c r="I377" s="316" t="s">
        <v>3</v>
      </c>
      <c r="J377" s="318" t="s">
        <v>1650</v>
      </c>
      <c r="K377" s="318" t="s">
        <v>1274</v>
      </c>
      <c r="L377" s="171">
        <v>44914</v>
      </c>
      <c r="M377" s="178" t="s">
        <v>4514</v>
      </c>
      <c r="N377" s="180">
        <v>44967</v>
      </c>
      <c r="O377" s="179"/>
      <c r="Q377" t="s">
        <v>129</v>
      </c>
      <c r="T377" s="195"/>
      <c r="U377" s="195"/>
      <c r="V377" s="300"/>
      <c r="W377" s="201"/>
      <c r="X377" s="201"/>
      <c r="Y377" s="200"/>
      <c r="Z377" s="207"/>
      <c r="AA377" s="206"/>
      <c r="AB377" s="207"/>
      <c r="AC377" s="188"/>
      <c r="AD377" s="187">
        <v>44967</v>
      </c>
    </row>
    <row r="378" spans="1:30">
      <c r="A378" s="318">
        <f>COUNTA($E$3:E378)</f>
        <v>376</v>
      </c>
      <c r="B378" s="318" t="s">
        <v>4534</v>
      </c>
      <c r="C378" s="318" t="s">
        <v>1106</v>
      </c>
      <c r="D378" s="318" t="s">
        <v>16</v>
      </c>
      <c r="E378" s="318" t="s">
        <v>2844</v>
      </c>
      <c r="F378" s="316">
        <v>44910</v>
      </c>
      <c r="G378" s="316"/>
      <c r="H378" s="316"/>
      <c r="I378" s="316" t="s">
        <v>2</v>
      </c>
      <c r="J378" s="318" t="s">
        <v>1672</v>
      </c>
      <c r="K378" s="318" t="s">
        <v>1102</v>
      </c>
      <c r="L378" s="171">
        <v>44914</v>
      </c>
      <c r="M378" s="178" t="s">
        <v>2351</v>
      </c>
      <c r="N378" s="180">
        <v>45005</v>
      </c>
      <c r="O378" s="179"/>
      <c r="Q378" t="s">
        <v>129</v>
      </c>
      <c r="T378" s="195"/>
      <c r="U378" s="195"/>
      <c r="V378" s="300"/>
      <c r="W378" s="201"/>
      <c r="X378" s="201"/>
      <c r="Y378" s="200"/>
      <c r="Z378" s="207"/>
      <c r="AA378" s="206"/>
      <c r="AB378" s="207"/>
      <c r="AC378" s="188"/>
      <c r="AD378" s="187">
        <v>45005</v>
      </c>
    </row>
    <row r="379" spans="1:30">
      <c r="A379" s="318">
        <f>COUNTA($E$3:E379)</f>
        <v>377</v>
      </c>
      <c r="B379" s="318" t="s">
        <v>4459</v>
      </c>
      <c r="C379" s="318" t="s">
        <v>21</v>
      </c>
      <c r="D379" s="318" t="s">
        <v>30</v>
      </c>
      <c r="E379" s="318" t="s">
        <v>2644</v>
      </c>
      <c r="F379" s="316">
        <v>44904.746386990701</v>
      </c>
      <c r="G379" s="316"/>
      <c r="H379" s="316"/>
      <c r="I379" s="316" t="s">
        <v>2</v>
      </c>
      <c r="J379" s="318" t="s">
        <v>1662</v>
      </c>
      <c r="K379" s="318" t="s">
        <v>287</v>
      </c>
      <c r="L379" s="171">
        <v>44914</v>
      </c>
      <c r="M379" s="178" t="s">
        <v>4548</v>
      </c>
      <c r="N379" s="180">
        <v>44927</v>
      </c>
      <c r="O379" s="179"/>
      <c r="Q379" t="s">
        <v>22</v>
      </c>
      <c r="T379" s="195"/>
      <c r="U379" s="195"/>
      <c r="V379" s="300"/>
      <c r="W379" s="201"/>
      <c r="X379" s="201"/>
      <c r="Y379" s="200"/>
      <c r="Z379" s="207"/>
      <c r="AA379" s="206"/>
      <c r="AB379" s="207"/>
      <c r="AC379" s="188"/>
      <c r="AD379" s="187">
        <v>44927</v>
      </c>
    </row>
    <row r="380" spans="1:30">
      <c r="A380" s="318">
        <f>COUNTA($E$3:E380)</f>
        <v>378</v>
      </c>
      <c r="B380" s="318" t="s">
        <v>4457</v>
      </c>
      <c r="C380" s="318" t="s">
        <v>21</v>
      </c>
      <c r="D380" s="318" t="s">
        <v>1169</v>
      </c>
      <c r="E380" s="318" t="s">
        <v>3702</v>
      </c>
      <c r="F380" s="316">
        <v>44904.7452631829</v>
      </c>
      <c r="G380" s="316"/>
      <c r="H380" s="316"/>
      <c r="I380" s="316" t="s">
        <v>2</v>
      </c>
      <c r="J380" s="318" t="s">
        <v>4458</v>
      </c>
      <c r="K380" s="318"/>
      <c r="L380" s="171">
        <v>44914</v>
      </c>
      <c r="M380" s="178" t="s">
        <v>4548</v>
      </c>
      <c r="N380" s="180">
        <v>44927</v>
      </c>
      <c r="O380" s="179"/>
      <c r="Q380" t="s">
        <v>22</v>
      </c>
      <c r="T380" s="195"/>
      <c r="U380" s="195"/>
      <c r="V380" s="300"/>
      <c r="W380" s="201"/>
      <c r="X380" s="201"/>
      <c r="Y380" s="200"/>
      <c r="Z380" s="207"/>
      <c r="AA380" s="206"/>
      <c r="AB380" s="207"/>
      <c r="AC380" s="188"/>
      <c r="AD380" s="187">
        <v>44927</v>
      </c>
    </row>
    <row r="381" spans="1:30">
      <c r="A381" s="318">
        <f>COUNTA($E$3:E381)</f>
        <v>379</v>
      </c>
      <c r="B381" s="318" t="s">
        <v>4433</v>
      </c>
      <c r="C381" s="318" t="s">
        <v>21</v>
      </c>
      <c r="D381" s="318" t="s">
        <v>30</v>
      </c>
      <c r="E381" s="318" t="s">
        <v>1888</v>
      </c>
      <c r="F381" s="316">
        <v>44901</v>
      </c>
      <c r="G381" s="316"/>
      <c r="H381" s="316"/>
      <c r="I381" s="316" t="s">
        <v>2</v>
      </c>
      <c r="J381" s="318" t="s">
        <v>1935</v>
      </c>
      <c r="K381" s="318"/>
      <c r="L381" s="171">
        <v>44914</v>
      </c>
      <c r="M381" s="178" t="s">
        <v>4548</v>
      </c>
      <c r="N381" s="180">
        <v>44927</v>
      </c>
      <c r="O381" s="179"/>
      <c r="Q381" t="s">
        <v>22</v>
      </c>
      <c r="T381" s="195"/>
      <c r="U381" s="195"/>
      <c r="V381" s="300"/>
      <c r="W381" s="201"/>
      <c r="X381" s="201"/>
      <c r="Y381" s="200"/>
      <c r="Z381" s="207"/>
      <c r="AA381" s="206"/>
      <c r="AB381" s="207"/>
      <c r="AC381" s="188"/>
      <c r="AD381" s="187">
        <v>44927</v>
      </c>
    </row>
    <row r="382" spans="1:30">
      <c r="A382" s="318">
        <f>COUNTA($E$3:E382)</f>
        <v>380</v>
      </c>
      <c r="B382" s="318" t="s">
        <v>4381</v>
      </c>
      <c r="C382" s="318" t="s">
        <v>1171</v>
      </c>
      <c r="D382" s="318" t="s">
        <v>56</v>
      </c>
      <c r="E382" s="318" t="s">
        <v>4382</v>
      </c>
      <c r="F382" s="316">
        <v>44889</v>
      </c>
      <c r="G382" s="316"/>
      <c r="H382" s="316">
        <v>44893</v>
      </c>
      <c r="I382" s="316" t="s">
        <v>2</v>
      </c>
      <c r="J382" s="318" t="s">
        <v>4383</v>
      </c>
      <c r="K382" s="318" t="s">
        <v>1294</v>
      </c>
      <c r="L382" s="171">
        <v>44914</v>
      </c>
      <c r="M382" s="178" t="s">
        <v>1759</v>
      </c>
      <c r="N382" s="180">
        <v>44907</v>
      </c>
      <c r="O382" s="179"/>
      <c r="Q382" t="s">
        <v>22</v>
      </c>
      <c r="T382" s="195"/>
      <c r="U382" s="195"/>
      <c r="V382" s="300"/>
      <c r="W382" s="201"/>
      <c r="X382" s="201"/>
      <c r="Y382" s="200"/>
      <c r="Z382" s="207"/>
      <c r="AA382" s="206"/>
      <c r="AB382" s="207"/>
      <c r="AC382" s="188"/>
      <c r="AD382" s="187">
        <v>44907</v>
      </c>
    </row>
    <row r="383" spans="1:30">
      <c r="A383" s="318">
        <f>COUNTA($E$3:E383)</f>
        <v>381</v>
      </c>
      <c r="B383" s="318" t="s">
        <v>4380</v>
      </c>
      <c r="C383" s="318" t="s">
        <v>37</v>
      </c>
      <c r="D383" s="318" t="s">
        <v>34</v>
      </c>
      <c r="E383" s="318" t="s">
        <v>3369</v>
      </c>
      <c r="F383" s="316">
        <v>44888</v>
      </c>
      <c r="G383" s="316"/>
      <c r="H383" s="316"/>
      <c r="I383" s="316" t="s">
        <v>2</v>
      </c>
      <c r="J383" s="318" t="s">
        <v>1657</v>
      </c>
      <c r="K383" s="318" t="s">
        <v>1294</v>
      </c>
      <c r="L383" s="171">
        <v>44914</v>
      </c>
      <c r="M383" s="178" t="s">
        <v>4533</v>
      </c>
      <c r="N383" s="180">
        <v>44927</v>
      </c>
      <c r="O383" s="179"/>
      <c r="Q383" t="s">
        <v>22</v>
      </c>
      <c r="T383" s="195"/>
      <c r="U383" s="195"/>
      <c r="V383" s="300"/>
      <c r="W383" s="201"/>
      <c r="X383" s="201"/>
      <c r="Y383" s="200"/>
      <c r="Z383" s="207"/>
      <c r="AA383" s="206"/>
      <c r="AB383" s="207"/>
      <c r="AC383" s="188"/>
      <c r="AD383" s="187">
        <v>44927</v>
      </c>
    </row>
    <row r="384" spans="1:30">
      <c r="A384" s="318">
        <f>COUNTA($E$3:E384)</f>
        <v>382</v>
      </c>
      <c r="B384" s="318" t="s">
        <v>4470</v>
      </c>
      <c r="C384" s="318" t="s">
        <v>37</v>
      </c>
      <c r="D384" s="318" t="s">
        <v>30</v>
      </c>
      <c r="E384" s="318" t="s">
        <v>1289</v>
      </c>
      <c r="F384" s="316">
        <v>44907</v>
      </c>
      <c r="G384" s="316"/>
      <c r="H384" s="316"/>
      <c r="I384" s="316" t="s">
        <v>3</v>
      </c>
      <c r="J384" s="318" t="s">
        <v>1212</v>
      </c>
      <c r="K384" s="318" t="s">
        <v>1120</v>
      </c>
      <c r="L384" s="171">
        <v>44914</v>
      </c>
      <c r="M384" s="178" t="s">
        <v>2301</v>
      </c>
      <c r="N384" s="180">
        <v>44907</v>
      </c>
      <c r="O384" s="179"/>
      <c r="Q384" t="s">
        <v>129</v>
      </c>
      <c r="T384" s="195"/>
      <c r="U384" s="195"/>
      <c r="V384" s="300"/>
      <c r="W384" s="201"/>
      <c r="X384" s="201"/>
      <c r="Y384" s="200"/>
      <c r="Z384" s="207"/>
      <c r="AA384" s="206"/>
      <c r="AB384" s="207"/>
      <c r="AC384" s="188"/>
      <c r="AD384" s="187">
        <v>44907</v>
      </c>
    </row>
    <row r="385" spans="1:30">
      <c r="A385" s="318">
        <f>COUNTA($E$3:E385)</f>
        <v>383</v>
      </c>
      <c r="B385" s="318" t="s">
        <v>4397</v>
      </c>
      <c r="C385" s="318" t="s">
        <v>21</v>
      </c>
      <c r="D385" s="318" t="s">
        <v>30</v>
      </c>
      <c r="E385" s="318" t="s">
        <v>2565</v>
      </c>
      <c r="F385" s="316">
        <v>44896</v>
      </c>
      <c r="G385" s="316"/>
      <c r="H385" s="316"/>
      <c r="I385" s="316" t="s">
        <v>3</v>
      </c>
      <c r="J385" s="318" t="s">
        <v>1723</v>
      </c>
      <c r="K385" s="318" t="s">
        <v>33</v>
      </c>
      <c r="L385" s="171">
        <v>44914</v>
      </c>
      <c r="M385" s="178" t="s">
        <v>4513</v>
      </c>
      <c r="N385" s="180">
        <v>44908</v>
      </c>
      <c r="O385" s="179"/>
      <c r="Q385" t="s">
        <v>129</v>
      </c>
      <c r="T385" s="195"/>
      <c r="U385" s="195"/>
      <c r="V385" s="300"/>
      <c r="W385" s="201"/>
      <c r="X385" s="201"/>
      <c r="Y385" s="200"/>
      <c r="Z385" s="207"/>
      <c r="AA385" s="206"/>
      <c r="AB385" s="207"/>
      <c r="AC385" s="188"/>
      <c r="AD385" s="187">
        <v>44908</v>
      </c>
    </row>
    <row r="386" spans="1:30">
      <c r="A386" s="318">
        <f>COUNTA($E$3:E386)</f>
        <v>384</v>
      </c>
      <c r="B386" s="318" t="s">
        <v>4442</v>
      </c>
      <c r="C386" s="318" t="s">
        <v>41</v>
      </c>
      <c r="D386" s="318" t="s">
        <v>2129</v>
      </c>
      <c r="E386" s="318" t="s">
        <v>2130</v>
      </c>
      <c r="F386" s="316">
        <v>44902.664705474497</v>
      </c>
      <c r="G386" s="316"/>
      <c r="H386" s="316"/>
      <c r="I386" s="316"/>
      <c r="J386" s="318"/>
      <c r="K386" s="318"/>
      <c r="L386" s="171">
        <v>44906</v>
      </c>
      <c r="M386" s="178" t="s">
        <v>2268</v>
      </c>
      <c r="N386" s="180">
        <v>44927</v>
      </c>
      <c r="O386" s="179"/>
      <c r="Q386" t="s">
        <v>22</v>
      </c>
      <c r="T386" s="195"/>
      <c r="U386" s="195"/>
      <c r="V386" s="300"/>
      <c r="W386" s="201"/>
      <c r="X386" s="201"/>
      <c r="Y386" s="200"/>
      <c r="Z386" s="207"/>
      <c r="AA386" s="206"/>
      <c r="AB386" s="207"/>
      <c r="AC386" s="188"/>
      <c r="AD386" s="187">
        <v>44927</v>
      </c>
    </row>
    <row r="387" spans="1:30">
      <c r="A387" s="318">
        <f>COUNTA($E$3:E387)</f>
        <v>385</v>
      </c>
      <c r="B387" s="318" t="s">
        <v>4361</v>
      </c>
      <c r="C387" s="318" t="s">
        <v>105</v>
      </c>
      <c r="D387" s="318" t="s">
        <v>1124</v>
      </c>
      <c r="E387" s="318" t="s">
        <v>4362</v>
      </c>
      <c r="F387" s="316">
        <v>44880</v>
      </c>
      <c r="G387" s="316"/>
      <c r="H387" s="316">
        <v>44886</v>
      </c>
      <c r="I387" s="316" t="s">
        <v>2</v>
      </c>
      <c r="J387" s="318" t="s">
        <v>1679</v>
      </c>
      <c r="K387" s="318"/>
      <c r="L387" s="171">
        <v>44906</v>
      </c>
      <c r="M387" s="178" t="s">
        <v>4461</v>
      </c>
      <c r="N387" s="180">
        <v>44903</v>
      </c>
      <c r="O387" s="179"/>
      <c r="Q387" t="s">
        <v>22</v>
      </c>
      <c r="T387" s="195"/>
      <c r="U387" s="195"/>
      <c r="V387" s="300"/>
      <c r="W387" s="201"/>
      <c r="X387" s="201"/>
      <c r="Y387" s="200"/>
      <c r="Z387" s="207"/>
      <c r="AA387" s="206"/>
      <c r="AB387" s="207"/>
      <c r="AC387" s="188"/>
      <c r="AD387" s="187">
        <v>44903</v>
      </c>
    </row>
    <row r="388" spans="1:30">
      <c r="A388" s="318">
        <f>COUNTA($E$3:E388)</f>
        <v>386</v>
      </c>
      <c r="B388" s="318" t="s">
        <v>4449</v>
      </c>
      <c r="C388" s="318" t="s">
        <v>41</v>
      </c>
      <c r="D388" s="318" t="s">
        <v>45</v>
      </c>
      <c r="E388" s="318" t="s">
        <v>4450</v>
      </c>
      <c r="F388" s="316"/>
      <c r="G388" s="316"/>
      <c r="H388" s="316"/>
      <c r="I388" s="316" t="s">
        <v>3</v>
      </c>
      <c r="J388" s="318" t="s">
        <v>1750</v>
      </c>
      <c r="K388" s="318" t="s">
        <v>1274</v>
      </c>
      <c r="L388" s="171">
        <v>44906</v>
      </c>
      <c r="M388" s="178"/>
      <c r="N388" s="180"/>
      <c r="O388" s="179"/>
      <c r="Q388" t="s">
        <v>129</v>
      </c>
      <c r="T388" s="195"/>
      <c r="U388" s="195"/>
      <c r="V388" s="300"/>
      <c r="W388" s="201"/>
      <c r="X388" s="201"/>
      <c r="Y388" s="200"/>
      <c r="Z388" s="207"/>
      <c r="AA388" s="206"/>
      <c r="AB388" s="207"/>
      <c r="AC388" s="188"/>
      <c r="AD388" s="187"/>
    </row>
    <row r="389" spans="1:30">
      <c r="A389" s="318">
        <f>COUNTA($E$3:E389)</f>
        <v>387</v>
      </c>
      <c r="B389" s="318" t="s">
        <v>4448</v>
      </c>
      <c r="C389" s="318" t="s">
        <v>41</v>
      </c>
      <c r="D389" s="318" t="s">
        <v>45</v>
      </c>
      <c r="E389" s="318" t="s">
        <v>1955</v>
      </c>
      <c r="F389" s="316"/>
      <c r="G389" s="316"/>
      <c r="H389" s="316"/>
      <c r="I389" s="316" t="s">
        <v>3</v>
      </c>
      <c r="J389" s="318" t="s">
        <v>1750</v>
      </c>
      <c r="K389" s="318" t="s">
        <v>1274</v>
      </c>
      <c r="L389" s="171">
        <v>44906</v>
      </c>
      <c r="M389" s="178"/>
      <c r="N389" s="180">
        <v>45148</v>
      </c>
      <c r="O389" s="179"/>
      <c r="Q389" t="s">
        <v>129</v>
      </c>
      <c r="T389" s="195"/>
      <c r="U389" s="195"/>
      <c r="V389" s="300"/>
      <c r="W389" s="201"/>
      <c r="X389" s="201"/>
      <c r="Y389" s="200"/>
      <c r="Z389" s="207"/>
      <c r="AA389" s="206"/>
      <c r="AB389" s="207"/>
      <c r="AC389" s="188"/>
      <c r="AD389" s="187"/>
    </row>
    <row r="390" spans="1:30">
      <c r="A390" s="318">
        <f>COUNTA($E$3:E390)</f>
        <v>388</v>
      </c>
      <c r="B390" s="318" t="s">
        <v>4408</v>
      </c>
      <c r="C390" s="318" t="s">
        <v>37</v>
      </c>
      <c r="D390" s="318" t="s">
        <v>30</v>
      </c>
      <c r="E390" s="318" t="s">
        <v>1187</v>
      </c>
      <c r="F390" s="316">
        <v>44895.566954236099</v>
      </c>
      <c r="G390" s="316"/>
      <c r="H390" s="316"/>
      <c r="I390" s="316" t="s">
        <v>3</v>
      </c>
      <c r="J390" s="318" t="s">
        <v>1720</v>
      </c>
      <c r="K390" s="318" t="s">
        <v>1295</v>
      </c>
      <c r="L390" s="171">
        <v>44906</v>
      </c>
      <c r="M390" s="178" t="s">
        <v>2267</v>
      </c>
      <c r="N390" s="180">
        <v>44960</v>
      </c>
      <c r="O390" s="179"/>
      <c r="Q390" t="s">
        <v>129</v>
      </c>
      <c r="T390" s="195"/>
      <c r="U390" s="195"/>
      <c r="V390" s="300"/>
      <c r="W390" s="201"/>
      <c r="X390" s="201"/>
      <c r="Y390" s="200"/>
      <c r="Z390" s="207"/>
      <c r="AA390" s="206"/>
      <c r="AB390" s="207"/>
      <c r="AC390" s="188"/>
      <c r="AD390" s="187">
        <v>44960</v>
      </c>
    </row>
    <row r="391" spans="1:30">
      <c r="A391" s="318">
        <f>COUNTA($E$3:E391)</f>
        <v>389</v>
      </c>
      <c r="B391" s="318" t="s">
        <v>3861</v>
      </c>
      <c r="C391" s="318" t="s">
        <v>21</v>
      </c>
      <c r="D391" s="318" t="s">
        <v>1080</v>
      </c>
      <c r="E391" s="318" t="s">
        <v>1874</v>
      </c>
      <c r="F391" s="316">
        <v>44802</v>
      </c>
      <c r="G391" s="316"/>
      <c r="H391" s="316"/>
      <c r="I391" s="316" t="s">
        <v>3</v>
      </c>
      <c r="J391" s="318" t="s">
        <v>17</v>
      </c>
      <c r="K391" s="318"/>
      <c r="L391" s="171">
        <v>44900</v>
      </c>
      <c r="M391" s="178" t="s">
        <v>3943</v>
      </c>
      <c r="N391" s="180">
        <v>44818</v>
      </c>
      <c r="O391" s="179"/>
      <c r="Q391" t="s">
        <v>129</v>
      </c>
      <c r="T391" s="195"/>
      <c r="U391" s="195"/>
      <c r="V391" s="300"/>
      <c r="W391" s="201"/>
      <c r="X391" s="201"/>
      <c r="Y391" s="200"/>
      <c r="Z391" s="207"/>
      <c r="AA391" s="206"/>
      <c r="AB391" s="207"/>
      <c r="AC391" s="188"/>
      <c r="AD391" s="187">
        <v>44818</v>
      </c>
    </row>
    <row r="392" spans="1:30">
      <c r="A392" s="318">
        <f>COUNTA($E$3:E392)</f>
        <v>390</v>
      </c>
      <c r="B392" s="318" t="s">
        <v>3741</v>
      </c>
      <c r="C392" s="318" t="s">
        <v>3766</v>
      </c>
      <c r="D392" s="318" t="s">
        <v>38</v>
      </c>
      <c r="E392" s="318" t="s">
        <v>3742</v>
      </c>
      <c r="F392" s="316">
        <v>44783</v>
      </c>
      <c r="G392" s="316"/>
      <c r="H392" s="316"/>
      <c r="I392" s="316" t="s">
        <v>2</v>
      </c>
      <c r="J392" s="318" t="s">
        <v>4396</v>
      </c>
      <c r="K392" s="318"/>
      <c r="L392" s="171">
        <v>44893</v>
      </c>
      <c r="M392" s="178"/>
      <c r="N392" s="180">
        <v>44895</v>
      </c>
      <c r="O392" s="179"/>
      <c r="Q392" t="s">
        <v>22</v>
      </c>
      <c r="T392" s="195"/>
      <c r="U392" s="195"/>
      <c r="V392" s="300"/>
      <c r="W392" s="201"/>
      <c r="X392" s="201"/>
      <c r="Y392" s="200"/>
      <c r="Z392" s="207"/>
      <c r="AA392" s="206"/>
      <c r="AB392" s="207"/>
      <c r="AC392" s="188"/>
      <c r="AD392" s="187">
        <v>44895</v>
      </c>
    </row>
    <row r="393" spans="1:30">
      <c r="A393" s="318">
        <f>COUNTA($E$3:E393)</f>
        <v>391</v>
      </c>
      <c r="B393" s="318" t="s">
        <v>3980</v>
      </c>
      <c r="C393" s="318" t="s">
        <v>3766</v>
      </c>
      <c r="D393" s="318" t="s">
        <v>38</v>
      </c>
      <c r="E393" s="318" t="s">
        <v>3981</v>
      </c>
      <c r="F393" s="316">
        <v>44826</v>
      </c>
      <c r="G393" s="316">
        <v>44844</v>
      </c>
      <c r="H393" s="316">
        <v>44833</v>
      </c>
      <c r="I393" s="316" t="s">
        <v>2</v>
      </c>
      <c r="J393" s="318" t="s">
        <v>1647</v>
      </c>
      <c r="K393" s="318"/>
      <c r="L393" s="171">
        <v>44893</v>
      </c>
      <c r="M393" s="178" t="s">
        <v>4386</v>
      </c>
      <c r="N393" s="180">
        <v>44895</v>
      </c>
      <c r="O393" s="179"/>
      <c r="Q393" t="s">
        <v>22</v>
      </c>
      <c r="T393" s="195"/>
      <c r="U393" s="195"/>
      <c r="V393" s="300"/>
      <c r="W393" s="201"/>
      <c r="X393" s="201"/>
      <c r="Y393" s="200"/>
      <c r="Z393" s="207"/>
      <c r="AA393" s="206"/>
      <c r="AB393" s="207"/>
      <c r="AC393" s="188"/>
      <c r="AD393" s="187">
        <v>44895</v>
      </c>
    </row>
    <row r="394" spans="1:30">
      <c r="A394" s="318">
        <f>COUNTA($E$3:E394)</f>
        <v>392</v>
      </c>
      <c r="B394" s="318" t="s">
        <v>3905</v>
      </c>
      <c r="C394" s="318" t="s">
        <v>40</v>
      </c>
      <c r="D394" s="318" t="s">
        <v>51</v>
      </c>
      <c r="E394" s="318" t="s">
        <v>3906</v>
      </c>
      <c r="F394" s="316">
        <v>44812</v>
      </c>
      <c r="G394" s="316"/>
      <c r="H394" s="316" t="s">
        <v>66</v>
      </c>
      <c r="I394" s="316" t="s">
        <v>2</v>
      </c>
      <c r="J394" s="318" t="s">
        <v>3916</v>
      </c>
      <c r="K394" s="318" t="s">
        <v>1295</v>
      </c>
      <c r="L394" s="171">
        <v>44893</v>
      </c>
      <c r="M394" s="178" t="s">
        <v>4385</v>
      </c>
      <c r="N394" s="180">
        <v>44972</v>
      </c>
      <c r="O394" s="179"/>
      <c r="Q394" t="s">
        <v>129</v>
      </c>
      <c r="T394" s="195"/>
      <c r="U394" s="195"/>
      <c r="V394" s="300"/>
      <c r="W394" s="201"/>
      <c r="X394" s="201"/>
      <c r="Y394" s="200"/>
      <c r="Z394" s="207"/>
      <c r="AA394" s="206"/>
      <c r="AB394" s="207"/>
      <c r="AC394" s="188"/>
      <c r="AD394" s="187">
        <v>44972</v>
      </c>
    </row>
    <row r="395" spans="1:30">
      <c r="A395" s="318">
        <f>COUNTA($E$3:E395)</f>
        <v>393</v>
      </c>
      <c r="B395" s="318" t="s">
        <v>4376</v>
      </c>
      <c r="C395" s="318" t="s">
        <v>1233</v>
      </c>
      <c r="D395" s="318" t="s">
        <v>58</v>
      </c>
      <c r="E395" s="318" t="s">
        <v>1234</v>
      </c>
      <c r="F395" s="316">
        <v>44888</v>
      </c>
      <c r="G395" s="316"/>
      <c r="H395" s="316"/>
      <c r="I395" s="316" t="s">
        <v>3</v>
      </c>
      <c r="J395" s="318" t="s">
        <v>1485</v>
      </c>
      <c r="K395" s="318" t="s">
        <v>2032</v>
      </c>
      <c r="L395" s="171">
        <v>44893</v>
      </c>
      <c r="M395" s="178" t="s">
        <v>4388</v>
      </c>
      <c r="N395" s="180">
        <v>44907</v>
      </c>
      <c r="O395" s="179"/>
      <c r="Q395" t="s">
        <v>22</v>
      </c>
      <c r="T395" s="195"/>
      <c r="U395" s="195"/>
      <c r="V395" s="300"/>
      <c r="W395" s="201"/>
      <c r="X395" s="201"/>
      <c r="Y395" s="200"/>
      <c r="Z395" s="207"/>
      <c r="AA395" s="206"/>
      <c r="AB395" s="207"/>
      <c r="AC395" s="188"/>
      <c r="AD395" s="187">
        <v>44907</v>
      </c>
    </row>
    <row r="396" spans="1:30">
      <c r="A396" s="318">
        <f>COUNTA($E$3:E396)</f>
        <v>394</v>
      </c>
      <c r="B396" s="318" t="s">
        <v>4061</v>
      </c>
      <c r="C396" s="318" t="s">
        <v>21</v>
      </c>
      <c r="D396" s="318" t="s">
        <v>34</v>
      </c>
      <c r="E396" s="318" t="s">
        <v>2059</v>
      </c>
      <c r="F396" s="316">
        <v>44838</v>
      </c>
      <c r="G396" s="316"/>
      <c r="H396" s="316" t="s">
        <v>66</v>
      </c>
      <c r="I396" s="316" t="s">
        <v>3</v>
      </c>
      <c r="J396" s="318" t="s">
        <v>4062</v>
      </c>
      <c r="K396" s="318" t="s">
        <v>1295</v>
      </c>
      <c r="L396" s="171">
        <v>44893</v>
      </c>
      <c r="M396" s="178" t="s">
        <v>4387</v>
      </c>
      <c r="N396" s="180">
        <v>44907</v>
      </c>
      <c r="O396" s="179"/>
      <c r="Q396" t="s">
        <v>129</v>
      </c>
      <c r="T396" s="195"/>
      <c r="U396" s="195"/>
      <c r="V396" s="300"/>
      <c r="W396" s="201"/>
      <c r="X396" s="201"/>
      <c r="Y396" s="200"/>
      <c r="Z396" s="207"/>
      <c r="AA396" s="206"/>
      <c r="AB396" s="207"/>
      <c r="AC396" s="188"/>
      <c r="AD396" s="187">
        <v>44907</v>
      </c>
    </row>
    <row r="397" spans="1:30">
      <c r="A397" s="318">
        <f>COUNTA($E$3:E397)</f>
        <v>395</v>
      </c>
      <c r="B397" s="318" t="s">
        <v>4322</v>
      </c>
      <c r="C397" s="318" t="s">
        <v>41</v>
      </c>
      <c r="D397" s="318" t="s">
        <v>32</v>
      </c>
      <c r="E397" s="318" t="s">
        <v>2695</v>
      </c>
      <c r="F397" s="316">
        <v>44880</v>
      </c>
      <c r="G397" s="316"/>
      <c r="H397" s="316"/>
      <c r="I397" s="316" t="s">
        <v>2</v>
      </c>
      <c r="J397" s="318" t="s">
        <v>4357</v>
      </c>
      <c r="K397" s="318" t="s">
        <v>287</v>
      </c>
      <c r="L397" s="171">
        <v>44886</v>
      </c>
      <c r="M397" s="178" t="s">
        <v>2218</v>
      </c>
      <c r="N397" s="180">
        <v>44927</v>
      </c>
      <c r="O397" s="179"/>
      <c r="Q397" t="s">
        <v>22</v>
      </c>
      <c r="T397" s="195"/>
      <c r="U397" s="195"/>
      <c r="V397" s="300"/>
      <c r="W397" s="201"/>
      <c r="X397" s="201"/>
      <c r="Y397" s="200"/>
      <c r="Z397" s="207"/>
      <c r="AA397" s="206"/>
      <c r="AB397" s="207"/>
      <c r="AC397" s="188"/>
      <c r="AD397" s="187">
        <v>44927</v>
      </c>
    </row>
    <row r="398" spans="1:30">
      <c r="A398" s="318">
        <f>COUNTA($E$3:E398)</f>
        <v>396</v>
      </c>
      <c r="B398" s="318" t="s">
        <v>3746</v>
      </c>
      <c r="C398" s="318" t="s">
        <v>2370</v>
      </c>
      <c r="D398" s="318" t="s">
        <v>1145</v>
      </c>
      <c r="E398" s="318" t="s">
        <v>1163</v>
      </c>
      <c r="F398" s="316">
        <v>44782</v>
      </c>
      <c r="G398" s="316"/>
      <c r="H398" s="316">
        <v>44783</v>
      </c>
      <c r="I398" s="316" t="s">
        <v>2</v>
      </c>
      <c r="J398" s="318" t="s">
        <v>3747</v>
      </c>
      <c r="K398" s="318" t="s">
        <v>287</v>
      </c>
      <c r="L398" s="171">
        <v>44886</v>
      </c>
      <c r="M398" s="178" t="s">
        <v>4324</v>
      </c>
      <c r="N398" s="180">
        <v>44876</v>
      </c>
      <c r="O398" s="179"/>
      <c r="Q398" t="s">
        <v>22</v>
      </c>
      <c r="T398" s="195"/>
      <c r="U398" s="195"/>
      <c r="V398" s="300"/>
      <c r="W398" s="201"/>
      <c r="X398" s="201"/>
      <c r="Y398" s="200"/>
      <c r="Z398" s="207"/>
      <c r="AA398" s="206"/>
      <c r="AB398" s="207"/>
      <c r="AC398" s="188"/>
      <c r="AD398" s="187">
        <v>44876</v>
      </c>
    </row>
    <row r="399" spans="1:30">
      <c r="A399" s="318">
        <f>COUNTA($E$3:E399)</f>
        <v>397</v>
      </c>
      <c r="B399" s="318" t="s">
        <v>4359</v>
      </c>
      <c r="C399" s="318" t="s">
        <v>41</v>
      </c>
      <c r="D399" s="318" t="s">
        <v>30</v>
      </c>
      <c r="E399" s="318" t="s">
        <v>4360</v>
      </c>
      <c r="F399" s="316">
        <v>44880</v>
      </c>
      <c r="G399" s="316"/>
      <c r="H399" s="316"/>
      <c r="I399" s="316" t="s">
        <v>3</v>
      </c>
      <c r="J399" s="318" t="s">
        <v>1650</v>
      </c>
      <c r="K399" s="318" t="s">
        <v>1296</v>
      </c>
      <c r="L399" s="171">
        <v>44886</v>
      </c>
      <c r="M399" s="178" t="s">
        <v>2218</v>
      </c>
      <c r="N399" s="180">
        <v>45051</v>
      </c>
      <c r="O399" s="179"/>
      <c r="Q399" t="s">
        <v>129</v>
      </c>
      <c r="T399" s="195"/>
      <c r="U399" s="195"/>
      <c r="V399" s="300"/>
      <c r="W399" s="201"/>
      <c r="X399" s="201"/>
      <c r="Y399" s="200"/>
      <c r="Z399" s="207"/>
      <c r="AA399" s="206"/>
      <c r="AB399" s="207"/>
      <c r="AC399" s="188"/>
      <c r="AD399" s="187">
        <v>45051</v>
      </c>
    </row>
    <row r="400" spans="1:30">
      <c r="A400" s="318">
        <f>COUNTA($E$3:E400)</f>
        <v>398</v>
      </c>
      <c r="B400" s="318" t="s">
        <v>4323</v>
      </c>
      <c r="C400" s="318" t="s">
        <v>44</v>
      </c>
      <c r="D400" s="318" t="s">
        <v>2941</v>
      </c>
      <c r="E400" s="318" t="s">
        <v>163</v>
      </c>
      <c r="F400" s="316">
        <v>44879</v>
      </c>
      <c r="G400" s="316"/>
      <c r="H400" s="316"/>
      <c r="I400" s="316" t="s">
        <v>3</v>
      </c>
      <c r="J400" s="318" t="s">
        <v>17</v>
      </c>
      <c r="K400" s="318" t="s">
        <v>1295</v>
      </c>
      <c r="L400" s="171">
        <v>44886</v>
      </c>
      <c r="M400" s="178" t="s">
        <v>2218</v>
      </c>
      <c r="N400" s="180">
        <v>45017</v>
      </c>
      <c r="O400" s="179"/>
      <c r="Q400" t="s">
        <v>129</v>
      </c>
      <c r="T400" s="195"/>
      <c r="U400" s="195"/>
      <c r="V400" s="300"/>
      <c r="W400" s="201"/>
      <c r="X400" s="201"/>
      <c r="Y400" s="200"/>
      <c r="Z400" s="207"/>
      <c r="AA400" s="206"/>
      <c r="AB400" s="207"/>
      <c r="AC400" s="188"/>
      <c r="AD400" s="187">
        <v>45017</v>
      </c>
    </row>
    <row r="401" spans="1:30">
      <c r="A401" s="318">
        <f>COUNTA($E$3:E401)</f>
        <v>399</v>
      </c>
      <c r="B401" s="318" t="s">
        <v>4244</v>
      </c>
      <c r="C401" s="318" t="s">
        <v>1231</v>
      </c>
      <c r="D401" s="318" t="s">
        <v>1805</v>
      </c>
      <c r="E401" s="318" t="s">
        <v>4258</v>
      </c>
      <c r="F401" s="316">
        <v>44865</v>
      </c>
      <c r="G401" s="316"/>
      <c r="H401" s="316">
        <v>44867</v>
      </c>
      <c r="I401" s="316" t="s">
        <v>3</v>
      </c>
      <c r="J401" s="318" t="s">
        <v>514</v>
      </c>
      <c r="K401" s="318" t="s">
        <v>1294</v>
      </c>
      <c r="L401" s="171">
        <v>44886</v>
      </c>
      <c r="M401" s="178" t="s">
        <v>2214</v>
      </c>
      <c r="N401" s="180">
        <v>44876</v>
      </c>
      <c r="O401" s="179"/>
      <c r="Q401" t="s">
        <v>22</v>
      </c>
      <c r="T401" s="195"/>
      <c r="U401" s="195"/>
      <c r="V401" s="300"/>
      <c r="W401" s="201"/>
      <c r="X401" s="201"/>
      <c r="Y401" s="200"/>
      <c r="Z401" s="207"/>
      <c r="AA401" s="206"/>
      <c r="AB401" s="207"/>
      <c r="AC401" s="188"/>
      <c r="AD401" s="187">
        <v>44876</v>
      </c>
    </row>
    <row r="402" spans="1:30">
      <c r="A402" s="318">
        <f>COUNTA($E$3:E402)</f>
        <v>400</v>
      </c>
      <c r="B402" s="318" t="s">
        <v>4309</v>
      </c>
      <c r="C402" s="318" t="s">
        <v>4301</v>
      </c>
      <c r="D402" s="318" t="s">
        <v>4310</v>
      </c>
      <c r="E402" s="318" t="s">
        <v>4311</v>
      </c>
      <c r="F402" s="316">
        <v>44874</v>
      </c>
      <c r="G402" s="316"/>
      <c r="H402" s="316"/>
      <c r="I402" s="316" t="s">
        <v>4</v>
      </c>
      <c r="J402" s="318" t="s">
        <v>3444</v>
      </c>
      <c r="K402" s="318"/>
      <c r="L402" s="171">
        <v>44886</v>
      </c>
      <c r="M402" s="178" t="s">
        <v>4366</v>
      </c>
      <c r="N402" s="180">
        <v>44876</v>
      </c>
      <c r="O402" s="179"/>
      <c r="Q402" t="s">
        <v>22</v>
      </c>
      <c r="T402" s="195"/>
      <c r="U402" s="195"/>
      <c r="V402" s="300"/>
      <c r="W402" s="201"/>
      <c r="X402" s="201"/>
      <c r="Y402" s="200"/>
      <c r="Z402" s="207"/>
      <c r="AA402" s="206"/>
      <c r="AB402" s="207"/>
      <c r="AC402" s="188"/>
      <c r="AD402" s="187">
        <v>44876</v>
      </c>
    </row>
    <row r="403" spans="1:30">
      <c r="A403" s="318">
        <f>COUNTA($E$3:E403)</f>
        <v>401</v>
      </c>
      <c r="B403" s="318" t="s">
        <v>4278</v>
      </c>
      <c r="C403" s="318" t="s">
        <v>21</v>
      </c>
      <c r="D403" s="318" t="s">
        <v>58</v>
      </c>
      <c r="E403" s="318" t="s">
        <v>1258</v>
      </c>
      <c r="F403" s="316">
        <v>44873</v>
      </c>
      <c r="G403" s="316"/>
      <c r="H403" s="316"/>
      <c r="I403" s="316" t="s">
        <v>2</v>
      </c>
      <c r="J403" s="318" t="s">
        <v>1657</v>
      </c>
      <c r="K403" s="318" t="s">
        <v>1287</v>
      </c>
      <c r="L403" s="171">
        <v>44879</v>
      </c>
      <c r="M403" s="178" t="s">
        <v>2167</v>
      </c>
      <c r="N403" s="180">
        <v>44988</v>
      </c>
      <c r="O403" s="179"/>
      <c r="Q403" t="s">
        <v>129</v>
      </c>
      <c r="T403" s="195"/>
      <c r="U403" s="195"/>
      <c r="V403" s="300"/>
      <c r="W403" s="201"/>
      <c r="X403" s="201"/>
      <c r="Y403" s="200"/>
      <c r="Z403" s="207"/>
      <c r="AA403" s="206"/>
      <c r="AB403" s="207"/>
      <c r="AC403" s="188"/>
      <c r="AD403" s="187">
        <v>44988</v>
      </c>
    </row>
    <row r="404" spans="1:30">
      <c r="A404" s="318">
        <f>COUNTA($E$3:E404)</f>
        <v>402</v>
      </c>
      <c r="B404" s="318" t="s">
        <v>4267</v>
      </c>
      <c r="C404" s="318" t="s">
        <v>41</v>
      </c>
      <c r="D404" s="318" t="s">
        <v>1103</v>
      </c>
      <c r="E404" s="318" t="s">
        <v>1108</v>
      </c>
      <c r="F404" s="316">
        <v>44872</v>
      </c>
      <c r="G404" s="316"/>
      <c r="H404" s="316"/>
      <c r="I404" s="316" t="s">
        <v>2</v>
      </c>
      <c r="J404" s="318" t="s">
        <v>1485</v>
      </c>
      <c r="K404" s="318"/>
      <c r="L404" s="171">
        <v>44879</v>
      </c>
      <c r="M404" s="178"/>
      <c r="N404" s="180">
        <v>45130</v>
      </c>
      <c r="O404" s="179"/>
      <c r="Q404" t="s">
        <v>129</v>
      </c>
      <c r="T404" s="195"/>
      <c r="U404" s="195"/>
      <c r="V404" s="300"/>
      <c r="W404" s="201"/>
      <c r="X404" s="201"/>
      <c r="Y404" s="200"/>
      <c r="Z404" s="207"/>
      <c r="AA404" s="206"/>
      <c r="AB404" s="207"/>
      <c r="AC404" s="188"/>
      <c r="AD404" s="187"/>
    </row>
    <row r="405" spans="1:30">
      <c r="A405" s="318">
        <f>COUNTA($E$3:E405)</f>
        <v>403</v>
      </c>
      <c r="B405" s="318" t="s">
        <v>4264</v>
      </c>
      <c r="C405" s="318" t="s">
        <v>37</v>
      </c>
      <c r="D405" s="318" t="s">
        <v>30</v>
      </c>
      <c r="E405" s="318" t="s">
        <v>3380</v>
      </c>
      <c r="F405" s="316">
        <v>44867</v>
      </c>
      <c r="G405" s="316"/>
      <c r="H405" s="316"/>
      <c r="I405" s="316" t="s">
        <v>2</v>
      </c>
      <c r="J405" s="318" t="s">
        <v>4266</v>
      </c>
      <c r="K405" s="318" t="s">
        <v>1295</v>
      </c>
      <c r="L405" s="171">
        <v>44879</v>
      </c>
      <c r="M405" s="178" t="s">
        <v>2167</v>
      </c>
      <c r="N405" s="180">
        <v>45021</v>
      </c>
      <c r="O405" s="179"/>
      <c r="Q405" t="s">
        <v>129</v>
      </c>
      <c r="T405" s="195"/>
      <c r="U405" s="195"/>
      <c r="V405" s="300"/>
      <c r="W405" s="201"/>
      <c r="X405" s="201"/>
      <c r="Y405" s="200"/>
      <c r="Z405" s="207"/>
      <c r="AA405" s="206"/>
      <c r="AB405" s="207"/>
      <c r="AC405" s="188"/>
      <c r="AD405" s="187">
        <v>45021</v>
      </c>
    </row>
    <row r="406" spans="1:30">
      <c r="A406" s="318">
        <f>COUNTA($E$3:E406)</f>
        <v>404</v>
      </c>
      <c r="B406" s="318" t="s">
        <v>4291</v>
      </c>
      <c r="C406" s="318" t="s">
        <v>44</v>
      </c>
      <c r="D406" s="318" t="s">
        <v>45</v>
      </c>
      <c r="E406" s="318" t="s">
        <v>178</v>
      </c>
      <c r="F406" s="316">
        <v>44873</v>
      </c>
      <c r="G406" s="316"/>
      <c r="H406" s="316"/>
      <c r="I406" s="316" t="s">
        <v>3</v>
      </c>
      <c r="J406" s="318" t="s">
        <v>2194</v>
      </c>
      <c r="K406" s="318" t="s">
        <v>33</v>
      </c>
      <c r="L406" s="171">
        <v>44879</v>
      </c>
      <c r="M406" s="178" t="s">
        <v>4319</v>
      </c>
      <c r="N406" s="180">
        <v>44967</v>
      </c>
      <c r="O406" s="179"/>
      <c r="Q406" t="s">
        <v>129</v>
      </c>
      <c r="T406" s="195"/>
      <c r="U406" s="195"/>
      <c r="V406" s="300"/>
      <c r="W406" s="201"/>
      <c r="X406" s="201"/>
      <c r="Y406" s="200"/>
      <c r="Z406" s="207"/>
      <c r="AA406" s="206"/>
      <c r="AB406" s="207"/>
      <c r="AC406" s="188"/>
      <c r="AD406" s="187">
        <v>44967</v>
      </c>
    </row>
    <row r="407" spans="1:30">
      <c r="A407" s="318">
        <f>COUNTA($E$3:E407)</f>
        <v>405</v>
      </c>
      <c r="B407" s="318" t="s">
        <v>4289</v>
      </c>
      <c r="C407" s="318" t="s">
        <v>44</v>
      </c>
      <c r="D407" s="318" t="s">
        <v>45</v>
      </c>
      <c r="E407" s="318" t="s">
        <v>176</v>
      </c>
      <c r="F407" s="316">
        <v>44873</v>
      </c>
      <c r="G407" s="316"/>
      <c r="H407" s="316"/>
      <c r="I407" s="316" t="s">
        <v>3</v>
      </c>
      <c r="J407" s="318" t="s">
        <v>1750</v>
      </c>
      <c r="K407" s="318" t="s">
        <v>1295</v>
      </c>
      <c r="L407" s="14">
        <v>44879</v>
      </c>
      <c r="M407" t="s">
        <v>2167</v>
      </c>
      <c r="N407" s="180">
        <v>44907</v>
      </c>
      <c r="O407" s="179"/>
      <c r="Q407" t="s">
        <v>129</v>
      </c>
      <c r="T407" s="195"/>
      <c r="U407" s="195"/>
      <c r="V407" s="300"/>
      <c r="W407" s="201"/>
      <c r="X407" s="201"/>
      <c r="Y407" s="200"/>
      <c r="Z407" s="207"/>
      <c r="AA407" s="206"/>
      <c r="AB407" s="207"/>
      <c r="AC407" s="188"/>
      <c r="AD407" s="187">
        <v>44907</v>
      </c>
    </row>
    <row r="408" spans="1:30">
      <c r="A408" s="318">
        <f>COUNTA($E$3:E408)</f>
        <v>406</v>
      </c>
      <c r="B408" s="318" t="s">
        <v>4290</v>
      </c>
      <c r="C408" s="318" t="s">
        <v>2431</v>
      </c>
      <c r="D408" s="318" t="s">
        <v>30</v>
      </c>
      <c r="E408" s="318" t="s">
        <v>4298</v>
      </c>
      <c r="F408" s="316">
        <v>44872</v>
      </c>
      <c r="G408" s="316"/>
      <c r="H408" s="316"/>
      <c r="I408" s="316" t="s">
        <v>3</v>
      </c>
      <c r="J408" s="318" t="s">
        <v>4299</v>
      </c>
      <c r="K408" s="318"/>
      <c r="L408" s="14">
        <v>44879</v>
      </c>
      <c r="M408" t="s">
        <v>4321</v>
      </c>
      <c r="N408" s="180">
        <v>44909</v>
      </c>
      <c r="O408" s="179"/>
      <c r="Q408" t="s">
        <v>129</v>
      </c>
      <c r="T408" s="195"/>
      <c r="U408" s="195"/>
      <c r="V408" s="300"/>
      <c r="W408" s="201"/>
      <c r="X408" s="201"/>
      <c r="Y408" s="200"/>
      <c r="Z408" s="207"/>
      <c r="AA408" s="206"/>
      <c r="AB408" s="207"/>
      <c r="AC408" s="188"/>
      <c r="AD408" s="187">
        <v>44909</v>
      </c>
    </row>
    <row r="409" spans="1:30">
      <c r="A409" s="318">
        <f>COUNTA($E$3:E409)</f>
        <v>407</v>
      </c>
      <c r="B409" s="318" t="s">
        <v>4268</v>
      </c>
      <c r="C409" s="318" t="s">
        <v>2345</v>
      </c>
      <c r="D409" s="318" t="s">
        <v>16</v>
      </c>
      <c r="E409" s="318" t="s">
        <v>2377</v>
      </c>
      <c r="F409" s="316">
        <v>44872</v>
      </c>
      <c r="G409" s="316"/>
      <c r="H409" s="316"/>
      <c r="I409" s="316" t="s">
        <v>3</v>
      </c>
      <c r="J409" s="318" t="s">
        <v>1854</v>
      </c>
      <c r="K409" s="318"/>
      <c r="L409" s="14">
        <v>44879</v>
      </c>
      <c r="M409" t="s">
        <v>4321</v>
      </c>
      <c r="N409" s="180">
        <v>44881</v>
      </c>
      <c r="O409" s="179"/>
      <c r="Q409" t="s">
        <v>129</v>
      </c>
      <c r="T409" s="195"/>
      <c r="U409" s="195"/>
      <c r="V409" s="300"/>
      <c r="W409" s="201"/>
      <c r="X409" s="201"/>
      <c r="Y409" s="200"/>
      <c r="Z409" s="207"/>
      <c r="AA409" s="206"/>
      <c r="AB409" s="207"/>
      <c r="AC409" s="188"/>
      <c r="AD409" s="187">
        <v>44881</v>
      </c>
    </row>
    <row r="410" spans="1:30">
      <c r="A410" s="318">
        <f>COUNTA($E$3:E410)</f>
        <v>408</v>
      </c>
      <c r="B410" s="318" t="s">
        <v>4254</v>
      </c>
      <c r="C410" s="318" t="s">
        <v>21</v>
      </c>
      <c r="D410" s="318" t="s">
        <v>30</v>
      </c>
      <c r="E410" s="318" t="s">
        <v>3033</v>
      </c>
      <c r="F410" s="316">
        <v>44865.5704249884</v>
      </c>
      <c r="G410" s="316"/>
      <c r="H410" s="316"/>
      <c r="I410" s="316" t="s">
        <v>3</v>
      </c>
      <c r="J410" s="318" t="s">
        <v>3132</v>
      </c>
      <c r="K410" s="318" t="s">
        <v>1295</v>
      </c>
      <c r="L410" s="14">
        <v>44879</v>
      </c>
      <c r="M410" t="s">
        <v>4294</v>
      </c>
      <c r="N410" s="180">
        <v>44879</v>
      </c>
      <c r="O410" s="179"/>
      <c r="Q410" t="s">
        <v>129</v>
      </c>
      <c r="T410" s="195"/>
      <c r="U410" s="195"/>
      <c r="V410" s="300"/>
      <c r="W410" s="201"/>
      <c r="X410" s="201"/>
      <c r="Y410" s="200"/>
      <c r="Z410" s="207"/>
      <c r="AA410" s="206"/>
      <c r="AB410" s="207"/>
      <c r="AC410" s="188"/>
      <c r="AD410" s="187">
        <v>44879</v>
      </c>
    </row>
    <row r="411" spans="1:30">
      <c r="A411" s="318">
        <f>COUNTA($E$3:E411)</f>
        <v>409</v>
      </c>
      <c r="B411" s="318" t="s">
        <v>4248</v>
      </c>
      <c r="C411" s="318" t="s">
        <v>4253</v>
      </c>
      <c r="D411" s="318" t="s">
        <v>38</v>
      </c>
      <c r="E411" s="318" t="s">
        <v>3750</v>
      </c>
      <c r="F411" s="316">
        <v>44865.755362916701</v>
      </c>
      <c r="G411" s="316"/>
      <c r="H411" s="316"/>
      <c r="I411" s="316" t="s">
        <v>3</v>
      </c>
      <c r="J411" s="318" t="s">
        <v>17</v>
      </c>
      <c r="K411" s="318" t="s">
        <v>1287</v>
      </c>
      <c r="L411" s="14">
        <v>44879</v>
      </c>
      <c r="M411" t="s">
        <v>4294</v>
      </c>
      <c r="N411" s="180">
        <v>44868</v>
      </c>
      <c r="O411" s="179"/>
      <c r="Q411" t="s">
        <v>129</v>
      </c>
      <c r="T411" s="195"/>
      <c r="U411" s="195"/>
      <c r="V411" s="300"/>
      <c r="W411" s="201"/>
      <c r="X411" s="201"/>
      <c r="Y411" s="200"/>
      <c r="Z411" s="207"/>
      <c r="AA411" s="206"/>
      <c r="AB411" s="207"/>
      <c r="AC411" s="188"/>
      <c r="AD411" s="187">
        <v>44868</v>
      </c>
    </row>
    <row r="412" spans="1:30">
      <c r="A412" s="318">
        <f>COUNTA($E$3:E412)</f>
        <v>410</v>
      </c>
      <c r="B412" s="318" t="s">
        <v>4214</v>
      </c>
      <c r="C412" s="318" t="s">
        <v>3296</v>
      </c>
      <c r="D412" s="318" t="s">
        <v>36</v>
      </c>
      <c r="E412" s="318" t="s">
        <v>3525</v>
      </c>
      <c r="F412" s="316">
        <v>44861</v>
      </c>
      <c r="G412" s="316"/>
      <c r="H412" s="316"/>
      <c r="I412" s="316" t="s">
        <v>3</v>
      </c>
      <c r="J412" s="318" t="s">
        <v>17</v>
      </c>
      <c r="K412" s="318" t="s">
        <v>1287</v>
      </c>
      <c r="L412" s="14">
        <v>44879</v>
      </c>
      <c r="M412" t="s">
        <v>2167</v>
      </c>
      <c r="N412" s="180">
        <v>44879</v>
      </c>
      <c r="O412" s="179"/>
      <c r="Q412" t="s">
        <v>129</v>
      </c>
      <c r="T412" s="195"/>
      <c r="U412" s="195"/>
      <c r="V412" s="300"/>
      <c r="W412" s="201"/>
      <c r="X412" s="201"/>
      <c r="Y412" s="200"/>
      <c r="Z412" s="207"/>
      <c r="AA412" s="206"/>
      <c r="AB412" s="207"/>
      <c r="AC412" s="188"/>
      <c r="AD412" s="187">
        <v>44879</v>
      </c>
    </row>
    <row r="413" spans="1:30">
      <c r="A413" s="318">
        <f>COUNTA($E$3:E413)</f>
        <v>411</v>
      </c>
      <c r="B413" s="318" t="s">
        <v>4176</v>
      </c>
      <c r="C413" s="318" t="s">
        <v>21</v>
      </c>
      <c r="D413" s="318" t="s">
        <v>30</v>
      </c>
      <c r="E413" s="318" t="s">
        <v>2023</v>
      </c>
      <c r="F413" s="316">
        <v>44854.566905312502</v>
      </c>
      <c r="G413" s="316"/>
      <c r="H413" s="316"/>
      <c r="I413" s="316" t="s">
        <v>3</v>
      </c>
      <c r="J413" s="318" t="s">
        <v>2541</v>
      </c>
      <c r="K413" s="318"/>
      <c r="L413" s="14">
        <v>44879</v>
      </c>
      <c r="M413" t="s">
        <v>4320</v>
      </c>
      <c r="N413" s="180">
        <v>44872</v>
      </c>
      <c r="O413" s="179"/>
      <c r="Q413" t="s">
        <v>129</v>
      </c>
      <c r="T413" s="195"/>
      <c r="U413" s="195"/>
      <c r="V413" s="300"/>
      <c r="W413" s="201"/>
      <c r="X413" s="201"/>
      <c r="Y413" s="200"/>
      <c r="Z413" s="207"/>
      <c r="AA413" s="206"/>
      <c r="AB413" s="207"/>
      <c r="AC413" s="188"/>
      <c r="AD413" s="187">
        <v>44872</v>
      </c>
    </row>
    <row r="414" spans="1:30">
      <c r="A414" s="318">
        <f>COUNTA($E$3:E414)</f>
        <v>412</v>
      </c>
      <c r="B414" s="318" t="s">
        <v>4279</v>
      </c>
      <c r="C414" s="318" t="s">
        <v>1165</v>
      </c>
      <c r="D414" s="318" t="s">
        <v>1166</v>
      </c>
      <c r="E414" s="318" t="s">
        <v>1167</v>
      </c>
      <c r="F414" s="316">
        <v>44872</v>
      </c>
      <c r="G414" s="316"/>
      <c r="H414" s="316"/>
      <c r="I414" s="316" t="s">
        <v>4</v>
      </c>
      <c r="J414" s="318" t="s">
        <v>1779</v>
      </c>
      <c r="K414" s="318" t="s">
        <v>1295</v>
      </c>
      <c r="L414" s="14">
        <v>44879</v>
      </c>
      <c r="N414" s="180"/>
      <c r="O414" s="179"/>
      <c r="Q414" t="s">
        <v>129</v>
      </c>
      <c r="T414" s="195"/>
      <c r="U414" s="195"/>
      <c r="V414" s="300"/>
      <c r="W414" s="201"/>
      <c r="X414" s="201"/>
      <c r="Y414" s="200"/>
      <c r="Z414" s="207"/>
      <c r="AA414" s="206"/>
      <c r="AB414" s="207"/>
      <c r="AC414" s="188"/>
      <c r="AD414" s="187"/>
    </row>
    <row r="415" spans="1:30">
      <c r="A415" s="318">
        <f>COUNTA($E$3:E415)</f>
        <v>413</v>
      </c>
      <c r="B415" s="318" t="s">
        <v>4242</v>
      </c>
      <c r="C415" s="318" t="s">
        <v>1197</v>
      </c>
      <c r="D415" s="318" t="s">
        <v>38</v>
      </c>
      <c r="E415" s="318" t="s">
        <v>1222</v>
      </c>
      <c r="F415" s="316">
        <v>44866</v>
      </c>
      <c r="G415" s="316"/>
      <c r="H415" s="316"/>
      <c r="I415" s="316" t="s">
        <v>2</v>
      </c>
      <c r="J415" s="318" t="s">
        <v>2435</v>
      </c>
      <c r="K415" s="318" t="s">
        <v>20</v>
      </c>
      <c r="L415" s="14">
        <v>44872</v>
      </c>
      <c r="M415" t="s">
        <v>4265</v>
      </c>
      <c r="N415" s="180">
        <v>44866</v>
      </c>
      <c r="O415" s="179"/>
      <c r="Q415" t="s">
        <v>22</v>
      </c>
      <c r="T415" s="195"/>
      <c r="U415" s="195"/>
      <c r="V415" s="300"/>
      <c r="W415" s="201"/>
      <c r="X415" s="201"/>
      <c r="Y415" s="200"/>
      <c r="Z415" s="207"/>
      <c r="AA415" s="206"/>
      <c r="AB415" s="207"/>
      <c r="AC415" s="188"/>
      <c r="AD415" s="187">
        <v>44866</v>
      </c>
    </row>
    <row r="416" spans="1:30">
      <c r="A416" s="318">
        <f>COUNTA($E$3:E416)</f>
        <v>414</v>
      </c>
      <c r="B416" s="318" t="s">
        <v>4246</v>
      </c>
      <c r="C416" s="318" t="s">
        <v>41</v>
      </c>
      <c r="D416" s="318" t="s">
        <v>16</v>
      </c>
      <c r="E416" s="318" t="s">
        <v>3962</v>
      </c>
      <c r="F416" s="316">
        <v>44867.484780092593</v>
      </c>
      <c r="G416" s="316"/>
      <c r="H416" s="316"/>
      <c r="I416" s="316" t="s">
        <v>2</v>
      </c>
      <c r="J416" s="318" t="s">
        <v>4261</v>
      </c>
      <c r="K416" s="318" t="s">
        <v>18</v>
      </c>
      <c r="L416" s="14">
        <v>44872</v>
      </c>
      <c r="M416" t="s">
        <v>2137</v>
      </c>
      <c r="N416" s="180">
        <v>44872</v>
      </c>
      <c r="O416" s="179"/>
      <c r="Q416" t="s">
        <v>22</v>
      </c>
      <c r="T416" s="195"/>
      <c r="U416" s="195"/>
      <c r="V416" s="300"/>
      <c r="W416" s="201"/>
      <c r="X416" s="201"/>
      <c r="Y416" s="200"/>
      <c r="Z416" s="207"/>
      <c r="AA416" s="206"/>
      <c r="AB416" s="207"/>
      <c r="AC416" s="188"/>
      <c r="AD416" s="187">
        <v>44872</v>
      </c>
    </row>
    <row r="417" spans="1:30">
      <c r="A417" s="318">
        <f>COUNTA($E$3:E417)</f>
        <v>415</v>
      </c>
      <c r="B417" s="318" t="s">
        <v>4079</v>
      </c>
      <c r="C417" s="318" t="s">
        <v>3766</v>
      </c>
      <c r="D417" s="318" t="s">
        <v>64</v>
      </c>
      <c r="E417" s="318" t="s">
        <v>4080</v>
      </c>
      <c r="F417" s="316">
        <v>44841</v>
      </c>
      <c r="G417" s="316">
        <v>44872</v>
      </c>
      <c r="H417" s="316">
        <v>44848</v>
      </c>
      <c r="I417" s="316" t="s">
        <v>2</v>
      </c>
      <c r="J417" s="318" t="s">
        <v>3076</v>
      </c>
      <c r="K417" s="318" t="s">
        <v>1294</v>
      </c>
      <c r="L417" s="14">
        <v>44872</v>
      </c>
      <c r="M417" t="s">
        <v>4275</v>
      </c>
      <c r="N417" s="180">
        <v>44872</v>
      </c>
      <c r="O417" s="179"/>
      <c r="Q417" t="s">
        <v>22</v>
      </c>
      <c r="T417" s="195"/>
      <c r="U417" s="195"/>
      <c r="V417" s="300"/>
      <c r="W417" s="201"/>
      <c r="X417" s="201"/>
      <c r="Y417" s="200"/>
      <c r="Z417" s="207"/>
      <c r="AA417" s="206"/>
      <c r="AB417" s="207"/>
      <c r="AC417" s="188"/>
      <c r="AD417" s="187">
        <v>44872</v>
      </c>
    </row>
    <row r="418" spans="1:30">
      <c r="A418" s="318">
        <f>COUNTA($E$3:E418)</f>
        <v>416</v>
      </c>
      <c r="B418" s="318" t="s">
        <v>4247</v>
      </c>
      <c r="C418" s="318" t="s">
        <v>41</v>
      </c>
      <c r="D418" s="318" t="s">
        <v>1103</v>
      </c>
      <c r="E418" s="318" t="s">
        <v>4255</v>
      </c>
      <c r="F418" s="316">
        <v>44867</v>
      </c>
      <c r="G418" s="316"/>
      <c r="H418" s="316"/>
      <c r="I418" s="316" t="s">
        <v>3</v>
      </c>
      <c r="J418" s="318" t="s">
        <v>3477</v>
      </c>
      <c r="K418" s="318" t="s">
        <v>20</v>
      </c>
      <c r="L418" s="14">
        <v>44872</v>
      </c>
      <c r="M418" t="s">
        <v>2134</v>
      </c>
      <c r="N418" s="180">
        <v>44872</v>
      </c>
      <c r="O418" s="179"/>
      <c r="Q418" t="s">
        <v>22</v>
      </c>
      <c r="T418" s="195"/>
      <c r="U418" s="195"/>
      <c r="V418" s="300"/>
      <c r="W418" s="201"/>
      <c r="X418" s="201"/>
      <c r="Y418" s="200"/>
      <c r="Z418" s="207"/>
      <c r="AA418" s="206"/>
      <c r="AB418" s="207"/>
      <c r="AC418" s="188"/>
      <c r="AD418" s="187">
        <v>44872</v>
      </c>
    </row>
    <row r="419" spans="1:30">
      <c r="A419" s="318">
        <f>COUNTA($E$3:E419)</f>
        <v>417</v>
      </c>
      <c r="B419" s="318" t="s">
        <v>4221</v>
      </c>
      <c r="C419" s="318" t="s">
        <v>41</v>
      </c>
      <c r="D419" s="318" t="s">
        <v>1201</v>
      </c>
      <c r="E419" s="318" t="s">
        <v>3629</v>
      </c>
      <c r="F419" s="316">
        <v>44862</v>
      </c>
      <c r="G419" s="316"/>
      <c r="H419" s="316"/>
      <c r="I419" s="316" t="s">
        <v>3</v>
      </c>
      <c r="J419" s="318" t="s">
        <v>4222</v>
      </c>
      <c r="K419" s="318" t="s">
        <v>1287</v>
      </c>
      <c r="L419" s="14">
        <v>44872</v>
      </c>
      <c r="M419" t="s">
        <v>4252</v>
      </c>
      <c r="N419" s="180">
        <v>44907</v>
      </c>
      <c r="O419" s="179"/>
      <c r="Q419" t="s">
        <v>129</v>
      </c>
      <c r="T419" s="195"/>
      <c r="U419" s="195"/>
      <c r="V419" s="300"/>
      <c r="W419" s="201"/>
      <c r="X419" s="201"/>
      <c r="Y419" s="200"/>
      <c r="Z419" s="207"/>
      <c r="AA419" s="206"/>
      <c r="AB419" s="207"/>
      <c r="AC419" s="188"/>
      <c r="AD419" s="187">
        <v>44907</v>
      </c>
    </row>
    <row r="420" spans="1:30">
      <c r="A420" s="318">
        <f>COUNTA($E$3:E420)</f>
        <v>418</v>
      </c>
      <c r="B420" s="318" t="s">
        <v>4213</v>
      </c>
      <c r="C420" s="318" t="s">
        <v>3299</v>
      </c>
      <c r="D420" s="318" t="s">
        <v>1103</v>
      </c>
      <c r="E420" s="318" t="s">
        <v>3300</v>
      </c>
      <c r="F420" s="316">
        <v>44861</v>
      </c>
      <c r="G420" s="316"/>
      <c r="H420" s="316"/>
      <c r="I420" s="316" t="s">
        <v>3</v>
      </c>
      <c r="J420" s="318" t="s">
        <v>1485</v>
      </c>
      <c r="K420" s="318" t="s">
        <v>1296</v>
      </c>
      <c r="L420" s="14">
        <v>44872</v>
      </c>
      <c r="M420" t="s">
        <v>2134</v>
      </c>
      <c r="N420" s="180">
        <v>44872</v>
      </c>
      <c r="O420" s="179"/>
      <c r="Q420" t="s">
        <v>129</v>
      </c>
      <c r="T420" s="195"/>
      <c r="U420" s="195"/>
      <c r="V420" s="300"/>
      <c r="W420" s="201"/>
      <c r="X420" s="201"/>
      <c r="Y420" s="200"/>
      <c r="Z420" s="207"/>
      <c r="AA420" s="206"/>
      <c r="AB420" s="207"/>
      <c r="AC420" s="188"/>
      <c r="AD420" s="187">
        <v>44872</v>
      </c>
    </row>
    <row r="421" spans="1:30">
      <c r="A421" s="318">
        <f>COUNTA($E$3:E421)</f>
        <v>419</v>
      </c>
      <c r="B421" s="318" t="s">
        <v>4201</v>
      </c>
      <c r="C421" s="318" t="s">
        <v>41</v>
      </c>
      <c r="D421" s="318" t="s">
        <v>30</v>
      </c>
      <c r="E421" s="318" t="s">
        <v>1656</v>
      </c>
      <c r="F421" s="316">
        <v>44860</v>
      </c>
      <c r="G421" s="316"/>
      <c r="H421" s="316"/>
      <c r="I421" s="316" t="s">
        <v>3</v>
      </c>
      <c r="J421" s="318" t="s">
        <v>1723</v>
      </c>
      <c r="K421" s="318" t="s">
        <v>1180</v>
      </c>
      <c r="L421" s="14">
        <v>44872</v>
      </c>
      <c r="M421" t="s">
        <v>4271</v>
      </c>
      <c r="N421" s="180">
        <v>44867</v>
      </c>
      <c r="O421" s="179"/>
      <c r="Q421" t="s">
        <v>129</v>
      </c>
      <c r="T421" s="195"/>
      <c r="U421" s="195"/>
      <c r="V421" s="300"/>
      <c r="W421" s="201"/>
      <c r="X421" s="201"/>
      <c r="Y421" s="200"/>
      <c r="Z421" s="207"/>
      <c r="AA421" s="206"/>
      <c r="AB421" s="207"/>
      <c r="AC421" s="188"/>
      <c r="AD421" s="187">
        <v>44867</v>
      </c>
    </row>
    <row r="422" spans="1:30">
      <c r="A422" s="318">
        <f>COUNTA($E$3:E422)</f>
        <v>420</v>
      </c>
      <c r="B422" s="318" t="s">
        <v>4187</v>
      </c>
      <c r="C422" s="318" t="s">
        <v>1752</v>
      </c>
      <c r="D422" s="318" t="s">
        <v>49</v>
      </c>
      <c r="E422" s="318" t="s">
        <v>1753</v>
      </c>
      <c r="F422" s="316">
        <v>44858</v>
      </c>
      <c r="G422" s="316"/>
      <c r="H422" s="316"/>
      <c r="I422" s="316" t="s">
        <v>3</v>
      </c>
      <c r="J422" s="318" t="s">
        <v>2435</v>
      </c>
      <c r="K422" s="318" t="s">
        <v>20</v>
      </c>
      <c r="L422" s="14">
        <v>44872</v>
      </c>
      <c r="N422" s="180">
        <v>44858</v>
      </c>
      <c r="O422" s="179"/>
      <c r="Q422" t="s">
        <v>22</v>
      </c>
      <c r="T422" s="195"/>
      <c r="U422" s="195"/>
      <c r="V422" s="300"/>
      <c r="W422" s="201"/>
      <c r="X422" s="201"/>
      <c r="Y422" s="200"/>
      <c r="Z422" s="207"/>
      <c r="AA422" s="206"/>
      <c r="AB422" s="207"/>
      <c r="AC422" s="188"/>
      <c r="AD422" s="187">
        <v>44858</v>
      </c>
    </row>
    <row r="423" spans="1:30">
      <c r="A423" s="318">
        <f>COUNTA($E$3:E423)</f>
        <v>421</v>
      </c>
      <c r="B423" s="318" t="s">
        <v>3930</v>
      </c>
      <c r="C423" s="318" t="s">
        <v>286</v>
      </c>
      <c r="D423" s="318" t="s">
        <v>34</v>
      </c>
      <c r="E423" s="318" t="s">
        <v>1250</v>
      </c>
      <c r="F423" s="316">
        <v>44818</v>
      </c>
      <c r="G423" s="316"/>
      <c r="H423" s="316" t="s">
        <v>66</v>
      </c>
      <c r="I423" s="316" t="s">
        <v>3</v>
      </c>
      <c r="J423" s="318" t="s">
        <v>4041</v>
      </c>
      <c r="K423" s="318" t="s">
        <v>24</v>
      </c>
      <c r="L423" s="14">
        <v>44872</v>
      </c>
      <c r="M423" t="s">
        <v>4274</v>
      </c>
      <c r="N423" s="180">
        <v>44883</v>
      </c>
      <c r="O423" s="179"/>
      <c r="Q423" t="s">
        <v>22</v>
      </c>
      <c r="T423" s="195"/>
      <c r="U423" s="195"/>
      <c r="V423" s="300"/>
      <c r="W423" s="201"/>
      <c r="X423" s="201"/>
      <c r="Y423" s="200"/>
      <c r="Z423" s="207"/>
      <c r="AA423" s="206"/>
      <c r="AB423" s="207"/>
      <c r="AC423" s="188"/>
      <c r="AD423" s="187">
        <v>44883</v>
      </c>
    </row>
    <row r="424" spans="1:30">
      <c r="A424" s="318">
        <f>COUNTA($E$3:E424)</f>
        <v>422</v>
      </c>
      <c r="B424" s="318" t="s">
        <v>4182</v>
      </c>
      <c r="C424" s="318" t="s">
        <v>21</v>
      </c>
      <c r="D424" s="318" t="s">
        <v>30</v>
      </c>
      <c r="E424" s="318" t="s">
        <v>3317</v>
      </c>
      <c r="F424" s="316"/>
      <c r="G424" s="316">
        <v>44858</v>
      </c>
      <c r="H424" s="316" t="s">
        <v>1723</v>
      </c>
      <c r="I424" s="316" t="s">
        <v>2</v>
      </c>
      <c r="J424" s="318" t="s">
        <v>1723</v>
      </c>
      <c r="K424" s="318" t="s">
        <v>1295</v>
      </c>
      <c r="L424" s="14">
        <v>44865</v>
      </c>
      <c r="N424" s="180"/>
      <c r="O424" s="179"/>
      <c r="Q424" t="s">
        <v>129</v>
      </c>
      <c r="T424" s="195"/>
      <c r="U424" s="195"/>
      <c r="V424" s="300"/>
      <c r="W424" s="201"/>
      <c r="X424" s="201"/>
      <c r="Y424" s="200"/>
      <c r="Z424" s="207"/>
      <c r="AA424" s="206"/>
      <c r="AB424" s="207"/>
      <c r="AC424" s="188"/>
      <c r="AD424" s="187"/>
    </row>
    <row r="425" spans="1:30">
      <c r="A425" s="318">
        <f>COUNTA($E$3:E425)</f>
        <v>423</v>
      </c>
      <c r="B425" s="318" t="s">
        <v>4174</v>
      </c>
      <c r="C425" s="318" t="s">
        <v>21</v>
      </c>
      <c r="D425" s="318" t="s">
        <v>32</v>
      </c>
      <c r="E425" s="318" t="s">
        <v>1655</v>
      </c>
      <c r="F425" s="316">
        <v>44854</v>
      </c>
      <c r="G425" s="316"/>
      <c r="H425" s="316"/>
      <c r="I425" s="316" t="s">
        <v>2</v>
      </c>
      <c r="J425" s="318" t="s">
        <v>357</v>
      </c>
      <c r="K425" s="318" t="s">
        <v>1296</v>
      </c>
      <c r="L425" s="14">
        <v>44865</v>
      </c>
      <c r="M425" t="s">
        <v>4219</v>
      </c>
      <c r="N425" s="180">
        <v>44967</v>
      </c>
      <c r="O425" s="179"/>
      <c r="Q425" t="s">
        <v>129</v>
      </c>
      <c r="T425" s="195"/>
      <c r="U425" s="195"/>
      <c r="V425" s="300"/>
      <c r="W425" s="201"/>
      <c r="X425" s="201"/>
      <c r="Y425" s="200"/>
      <c r="Z425" s="207"/>
      <c r="AA425" s="206"/>
      <c r="AB425" s="207"/>
      <c r="AC425" s="188"/>
      <c r="AD425" s="187">
        <v>44967</v>
      </c>
    </row>
    <row r="426" spans="1:30">
      <c r="A426" s="318">
        <f>COUNTA($E$3:E426)</f>
        <v>424</v>
      </c>
      <c r="B426" s="318" t="s">
        <v>4164</v>
      </c>
      <c r="C426" s="318" t="s">
        <v>21</v>
      </c>
      <c r="D426" s="318" t="s">
        <v>30</v>
      </c>
      <c r="E426" s="318" t="s">
        <v>2055</v>
      </c>
      <c r="F426" s="316">
        <v>44853</v>
      </c>
      <c r="G426" s="316"/>
      <c r="H426" s="316"/>
      <c r="I426" s="316" t="s">
        <v>2</v>
      </c>
      <c r="J426" s="318" t="s">
        <v>1671</v>
      </c>
      <c r="K426" s="318" t="s">
        <v>1296</v>
      </c>
      <c r="L426" s="14">
        <v>44865</v>
      </c>
      <c r="M426" t="s">
        <v>4218</v>
      </c>
      <c r="N426" s="180">
        <v>44959</v>
      </c>
      <c r="O426" s="179"/>
      <c r="Q426" t="s">
        <v>129</v>
      </c>
      <c r="T426" s="195"/>
      <c r="U426" s="195"/>
      <c r="V426" s="300"/>
      <c r="W426" s="201"/>
      <c r="X426" s="201"/>
      <c r="Y426" s="200"/>
      <c r="Z426" s="207"/>
      <c r="AA426" s="206"/>
      <c r="AB426" s="207"/>
      <c r="AC426" s="188"/>
      <c r="AD426" s="187">
        <v>44959</v>
      </c>
    </row>
    <row r="427" spans="1:30">
      <c r="A427" s="318">
        <f>COUNTA($E$3:E427)</f>
        <v>425</v>
      </c>
      <c r="B427" s="318" t="s">
        <v>4057</v>
      </c>
      <c r="C427" s="318" t="s">
        <v>37</v>
      </c>
      <c r="D427" s="318" t="s">
        <v>30</v>
      </c>
      <c r="E427" s="318" t="s">
        <v>3381</v>
      </c>
      <c r="F427" s="316">
        <v>44837</v>
      </c>
      <c r="G427" s="316"/>
      <c r="H427" s="316"/>
      <c r="I427" s="316" t="s">
        <v>2</v>
      </c>
      <c r="J427" s="318" t="s">
        <v>3253</v>
      </c>
      <c r="K427" s="318" t="s">
        <v>1287</v>
      </c>
      <c r="L427" s="14">
        <v>44865</v>
      </c>
      <c r="M427" t="s">
        <v>4217</v>
      </c>
      <c r="N427" s="180">
        <v>44907</v>
      </c>
      <c r="O427" s="179"/>
      <c r="Q427" t="s">
        <v>129</v>
      </c>
      <c r="T427" s="195"/>
      <c r="U427" s="195"/>
      <c r="V427" s="300"/>
      <c r="W427" s="201"/>
      <c r="X427" s="201"/>
      <c r="Y427" s="200"/>
      <c r="Z427" s="207"/>
      <c r="AA427" s="206"/>
      <c r="AB427" s="207"/>
      <c r="AC427" s="188"/>
      <c r="AD427" s="187">
        <v>44907</v>
      </c>
    </row>
    <row r="428" spans="1:30">
      <c r="A428" s="318">
        <f>COUNTA($E$3:E428)</f>
        <v>426</v>
      </c>
      <c r="B428" s="318" t="s">
        <v>4037</v>
      </c>
      <c r="C428" s="318" t="s">
        <v>2726</v>
      </c>
      <c r="D428" s="318" t="s">
        <v>31</v>
      </c>
      <c r="E428" s="318" t="s">
        <v>4038</v>
      </c>
      <c r="F428" s="316">
        <v>44833</v>
      </c>
      <c r="G428" s="316">
        <v>44852</v>
      </c>
      <c r="H428" s="316">
        <v>44852</v>
      </c>
      <c r="I428" s="316" t="s">
        <v>2</v>
      </c>
      <c r="J428" s="318" t="s">
        <v>2687</v>
      </c>
      <c r="K428" s="318" t="s">
        <v>287</v>
      </c>
      <c r="L428" s="14">
        <v>44865</v>
      </c>
      <c r="M428" t="s">
        <v>4216</v>
      </c>
      <c r="N428" s="180">
        <v>44872</v>
      </c>
      <c r="O428" s="179"/>
      <c r="Q428" t="s">
        <v>22</v>
      </c>
      <c r="T428" s="195"/>
      <c r="U428" s="195"/>
      <c r="V428" s="300"/>
      <c r="W428" s="201"/>
      <c r="X428" s="201"/>
      <c r="Y428" s="200"/>
      <c r="Z428" s="207"/>
      <c r="AA428" s="206"/>
      <c r="AB428" s="207"/>
      <c r="AC428" s="188"/>
      <c r="AD428" s="187">
        <v>44872</v>
      </c>
    </row>
    <row r="429" spans="1:30">
      <c r="A429" s="318">
        <f>COUNTA($E$3:E429)</f>
        <v>427</v>
      </c>
      <c r="B429" s="318" t="s">
        <v>3870</v>
      </c>
      <c r="C429" s="318" t="s">
        <v>37</v>
      </c>
      <c r="D429" s="318" t="s">
        <v>30</v>
      </c>
      <c r="E429" s="318" t="s">
        <v>3871</v>
      </c>
      <c r="F429" s="316">
        <v>44804</v>
      </c>
      <c r="G429" s="316"/>
      <c r="H429" s="316" t="s">
        <v>55</v>
      </c>
      <c r="I429" s="316" t="s">
        <v>2</v>
      </c>
      <c r="J429" s="318" t="s">
        <v>1485</v>
      </c>
      <c r="K429" s="318" t="s">
        <v>1294</v>
      </c>
      <c r="L429" s="14">
        <v>44865</v>
      </c>
      <c r="M429" t="s">
        <v>4225</v>
      </c>
      <c r="N429" s="180">
        <v>44867</v>
      </c>
      <c r="O429" s="179"/>
      <c r="Q429" t="s">
        <v>129</v>
      </c>
      <c r="T429" s="195"/>
      <c r="U429" s="195"/>
      <c r="V429" s="300"/>
      <c r="W429" s="201"/>
      <c r="X429" s="201"/>
      <c r="Y429" s="200"/>
      <c r="Z429" s="207"/>
      <c r="AA429" s="206"/>
      <c r="AB429" s="207"/>
      <c r="AC429" s="188"/>
      <c r="AD429" s="187">
        <v>44867</v>
      </c>
    </row>
    <row r="430" spans="1:30">
      <c r="A430" s="318">
        <f>COUNTA($E$3:E430)</f>
        <v>428</v>
      </c>
      <c r="B430" s="318" t="s">
        <v>3724</v>
      </c>
      <c r="C430" s="318" t="s">
        <v>37</v>
      </c>
      <c r="D430" s="318" t="s">
        <v>30</v>
      </c>
      <c r="E430" s="318" t="s">
        <v>3725</v>
      </c>
      <c r="F430" s="316">
        <v>44777</v>
      </c>
      <c r="G430" s="316">
        <v>44783</v>
      </c>
      <c r="H430" s="316" t="s">
        <v>55</v>
      </c>
      <c r="I430" s="316" t="s">
        <v>2</v>
      </c>
      <c r="J430" s="318" t="s">
        <v>1485</v>
      </c>
      <c r="K430" s="318" t="s">
        <v>1294</v>
      </c>
      <c r="L430" s="14">
        <v>44865</v>
      </c>
      <c r="M430" t="s">
        <v>4224</v>
      </c>
      <c r="N430" s="180">
        <v>44867</v>
      </c>
      <c r="O430" s="179"/>
      <c r="Q430" t="s">
        <v>129</v>
      </c>
      <c r="T430" s="195"/>
      <c r="U430" s="195"/>
      <c r="V430" s="300"/>
      <c r="W430" s="201"/>
      <c r="X430" s="201"/>
      <c r="Y430" s="200"/>
      <c r="Z430" s="207"/>
      <c r="AA430" s="206"/>
      <c r="AB430" s="207"/>
      <c r="AC430" s="188"/>
      <c r="AD430" s="187">
        <v>44867</v>
      </c>
    </row>
    <row r="431" spans="1:30">
      <c r="A431" s="318">
        <f>COUNTA($E$3:E431)</f>
        <v>429</v>
      </c>
      <c r="B431" s="318" t="s">
        <v>4215</v>
      </c>
      <c r="C431" s="318" t="s">
        <v>3828</v>
      </c>
      <c r="D431" s="318" t="s">
        <v>19</v>
      </c>
      <c r="E431" s="318" t="s">
        <v>3696</v>
      </c>
      <c r="F431" s="316">
        <v>44861</v>
      </c>
      <c r="G431" s="316"/>
      <c r="H431" s="316"/>
      <c r="I431" s="316" t="s">
        <v>3</v>
      </c>
      <c r="J431" s="318" t="s">
        <v>1212</v>
      </c>
      <c r="K431" s="318" t="s">
        <v>1287</v>
      </c>
      <c r="L431" s="14">
        <v>44865</v>
      </c>
      <c r="M431" t="s">
        <v>4227</v>
      </c>
      <c r="N431" s="180">
        <v>44907</v>
      </c>
      <c r="O431" s="179"/>
      <c r="Q431" t="s">
        <v>129</v>
      </c>
      <c r="T431" s="195"/>
      <c r="U431" s="195"/>
      <c r="V431" s="300"/>
      <c r="W431" s="201"/>
      <c r="X431" s="201"/>
      <c r="Y431" s="200"/>
      <c r="Z431" s="207"/>
      <c r="AA431" s="206"/>
      <c r="AB431" s="207"/>
      <c r="AC431" s="188"/>
      <c r="AD431" s="187">
        <v>44907</v>
      </c>
    </row>
    <row r="432" spans="1:30">
      <c r="A432" s="318">
        <f>COUNTA($E$3:E432)</f>
        <v>430</v>
      </c>
      <c r="B432" s="318" t="s">
        <v>4186</v>
      </c>
      <c r="C432" s="318" t="s">
        <v>1171</v>
      </c>
      <c r="D432" s="318" t="s">
        <v>19</v>
      </c>
      <c r="E432" s="318" t="s">
        <v>3720</v>
      </c>
      <c r="F432" s="316">
        <v>44858</v>
      </c>
      <c r="G432" s="316"/>
      <c r="H432" s="316"/>
      <c r="I432" s="316" t="s">
        <v>3</v>
      </c>
      <c r="J432" s="318" t="s">
        <v>17</v>
      </c>
      <c r="K432" s="318"/>
      <c r="L432" s="14">
        <v>44865</v>
      </c>
      <c r="M432" t="s">
        <v>4226</v>
      </c>
      <c r="N432" s="180">
        <v>44864</v>
      </c>
      <c r="O432" s="179"/>
      <c r="Q432" t="s">
        <v>22</v>
      </c>
      <c r="T432" s="195"/>
      <c r="U432" s="195"/>
      <c r="V432" s="300"/>
      <c r="W432" s="201"/>
      <c r="X432" s="201"/>
      <c r="Y432" s="200"/>
      <c r="Z432" s="207"/>
      <c r="AA432" s="206"/>
      <c r="AB432" s="207"/>
      <c r="AC432" s="188"/>
      <c r="AD432" s="187">
        <v>44864</v>
      </c>
    </row>
    <row r="433" spans="1:30">
      <c r="A433" s="318">
        <f>COUNTA($E$3:E433)</f>
        <v>431</v>
      </c>
      <c r="B433" s="318" t="s">
        <v>4175</v>
      </c>
      <c r="C433" s="318" t="s">
        <v>21</v>
      </c>
      <c r="D433" s="318" t="s">
        <v>34</v>
      </c>
      <c r="E433" s="318" t="s">
        <v>2205</v>
      </c>
      <c r="F433" s="316">
        <v>44854.566400000003</v>
      </c>
      <c r="G433" s="316"/>
      <c r="H433" s="316"/>
      <c r="I433" s="316" t="s">
        <v>3</v>
      </c>
      <c r="J433" s="318" t="s">
        <v>1666</v>
      </c>
      <c r="K433" s="318" t="s">
        <v>1296</v>
      </c>
      <c r="L433" s="14">
        <v>44865</v>
      </c>
      <c r="M433" t="s">
        <v>4228</v>
      </c>
      <c r="N433" s="180">
        <v>44865</v>
      </c>
      <c r="O433" s="179"/>
      <c r="Q433" t="s">
        <v>129</v>
      </c>
      <c r="T433" s="195"/>
      <c r="U433" s="195"/>
      <c r="V433" s="300"/>
      <c r="W433" s="201"/>
      <c r="X433" s="201"/>
      <c r="Y433" s="200"/>
      <c r="Z433" s="207"/>
      <c r="AA433" s="206"/>
      <c r="AB433" s="207"/>
      <c r="AC433" s="188"/>
      <c r="AD433" s="187">
        <v>44865</v>
      </c>
    </row>
    <row r="434" spans="1:30">
      <c r="A434" s="318">
        <f>COUNTA($E$3:E434)</f>
        <v>432</v>
      </c>
      <c r="B434" s="318" t="s">
        <v>3882</v>
      </c>
      <c r="C434" s="318" t="s">
        <v>41</v>
      </c>
      <c r="D434" s="318" t="s">
        <v>1181</v>
      </c>
      <c r="E434" s="318" t="s">
        <v>3883</v>
      </c>
      <c r="F434" s="316">
        <v>44809</v>
      </c>
      <c r="G434" s="316"/>
      <c r="H434" s="316" t="s">
        <v>55</v>
      </c>
      <c r="I434" s="316" t="s">
        <v>4</v>
      </c>
      <c r="J434" s="318" t="s">
        <v>1093</v>
      </c>
      <c r="K434" s="318" t="s">
        <v>287</v>
      </c>
      <c r="L434" s="14">
        <v>44865</v>
      </c>
      <c r="M434" t="s">
        <v>4217</v>
      </c>
      <c r="N434" s="180">
        <v>44861</v>
      </c>
      <c r="O434" s="179"/>
      <c r="Q434" t="s">
        <v>22</v>
      </c>
      <c r="T434" s="195"/>
      <c r="U434" s="195"/>
      <c r="V434" s="300"/>
      <c r="W434" s="201"/>
      <c r="X434" s="201"/>
      <c r="Y434" s="200"/>
      <c r="Z434" s="207"/>
      <c r="AA434" s="206"/>
      <c r="AB434" s="207"/>
      <c r="AC434" s="188"/>
      <c r="AD434" s="187">
        <v>44861</v>
      </c>
    </row>
    <row r="435" spans="1:30">
      <c r="A435" s="318">
        <f>COUNTA($E$3:E435)</f>
        <v>433</v>
      </c>
      <c r="B435" s="318" t="s">
        <v>4135</v>
      </c>
      <c r="C435" s="318" t="s">
        <v>41</v>
      </c>
      <c r="D435" s="318" t="s">
        <v>1181</v>
      </c>
      <c r="E435" s="318" t="s">
        <v>1284</v>
      </c>
      <c r="F435" s="316">
        <v>44846.77511574074</v>
      </c>
      <c r="G435" s="316"/>
      <c r="H435" s="316"/>
      <c r="I435" s="316" t="s">
        <v>1110</v>
      </c>
      <c r="J435" s="318" t="s">
        <v>2194</v>
      </c>
      <c r="K435" s="318" t="s">
        <v>1295</v>
      </c>
      <c r="L435" s="14">
        <v>44858</v>
      </c>
      <c r="M435" t="s">
        <v>4180</v>
      </c>
      <c r="N435" s="180">
        <v>44865</v>
      </c>
      <c r="O435" s="179"/>
      <c r="Q435" t="s">
        <v>129</v>
      </c>
      <c r="T435" s="195"/>
      <c r="U435" s="195"/>
      <c r="V435" s="300"/>
      <c r="W435" s="201"/>
      <c r="X435" s="201"/>
      <c r="Y435" s="200"/>
      <c r="Z435" s="207"/>
      <c r="AA435" s="206"/>
      <c r="AB435" s="207"/>
      <c r="AC435" s="188"/>
      <c r="AD435" s="187">
        <v>44865</v>
      </c>
    </row>
    <row r="436" spans="1:30">
      <c r="A436" s="318">
        <f>COUNTA($E$3:E436)</f>
        <v>434</v>
      </c>
      <c r="B436" s="318" t="s">
        <v>4125</v>
      </c>
      <c r="C436" s="318" t="s">
        <v>41</v>
      </c>
      <c r="D436" s="318" t="s">
        <v>1139</v>
      </c>
      <c r="E436" s="318" t="s">
        <v>1140</v>
      </c>
      <c r="F436" s="316">
        <v>44846</v>
      </c>
      <c r="G436" s="316"/>
      <c r="H436" s="316"/>
      <c r="I436" s="316" t="s">
        <v>1110</v>
      </c>
      <c r="J436" s="318" t="s">
        <v>17</v>
      </c>
      <c r="K436" s="318" t="s">
        <v>1274</v>
      </c>
      <c r="L436" s="14">
        <v>44858</v>
      </c>
      <c r="N436" s="180"/>
      <c r="O436" s="179"/>
      <c r="Q436" t="s">
        <v>129</v>
      </c>
      <c r="T436" s="195"/>
      <c r="U436" s="195"/>
      <c r="V436" s="300"/>
      <c r="W436" s="201"/>
      <c r="X436" s="201"/>
      <c r="Y436" s="200"/>
      <c r="Z436" s="207"/>
      <c r="AA436" s="206"/>
      <c r="AB436" s="207"/>
      <c r="AC436" s="188"/>
      <c r="AD436" s="187"/>
    </row>
    <row r="437" spans="1:30">
      <c r="A437" s="318">
        <f>COUNTA($E$3:E437)</f>
        <v>435</v>
      </c>
      <c r="B437" s="318" t="s">
        <v>4124</v>
      </c>
      <c r="C437" s="318" t="s">
        <v>41</v>
      </c>
      <c r="D437" s="318" t="s">
        <v>1124</v>
      </c>
      <c r="E437" s="318" t="s">
        <v>4231</v>
      </c>
      <c r="F437" s="316">
        <v>44846</v>
      </c>
      <c r="G437" s="316"/>
      <c r="H437" s="316"/>
      <c r="I437" s="316" t="s">
        <v>1110</v>
      </c>
      <c r="J437" s="318" t="s">
        <v>1650</v>
      </c>
      <c r="K437" s="318" t="s">
        <v>1274</v>
      </c>
      <c r="L437" s="14">
        <v>44858</v>
      </c>
      <c r="N437" s="180"/>
      <c r="O437" s="179"/>
      <c r="Q437" t="s">
        <v>129</v>
      </c>
      <c r="T437" s="195"/>
      <c r="U437" s="195"/>
      <c r="V437" s="300"/>
      <c r="W437" s="201"/>
      <c r="X437" s="201"/>
      <c r="Y437" s="200"/>
      <c r="Z437" s="207"/>
      <c r="AA437" s="206"/>
      <c r="AB437" s="207"/>
      <c r="AC437" s="188"/>
      <c r="AD437" s="187"/>
    </row>
    <row r="438" spans="1:30">
      <c r="A438" s="318">
        <f>COUNTA($E$3:E438)</f>
        <v>436</v>
      </c>
      <c r="B438" s="318" t="s">
        <v>4157</v>
      </c>
      <c r="C438" s="318" t="s">
        <v>21</v>
      </c>
      <c r="D438" s="318" t="s">
        <v>30</v>
      </c>
      <c r="E438" s="318" t="s">
        <v>2565</v>
      </c>
      <c r="F438" s="316"/>
      <c r="G438" s="316"/>
      <c r="H438" s="316"/>
      <c r="I438" s="316" t="s">
        <v>2</v>
      </c>
      <c r="J438" s="318" t="s">
        <v>357</v>
      </c>
      <c r="K438" s="318" t="s">
        <v>1287</v>
      </c>
      <c r="L438" s="14">
        <v>44858</v>
      </c>
      <c r="M438" t="s">
        <v>4180</v>
      </c>
      <c r="N438" s="180">
        <v>44907</v>
      </c>
      <c r="O438" s="179"/>
      <c r="Q438" t="s">
        <v>129</v>
      </c>
      <c r="T438" s="195"/>
      <c r="U438" s="195"/>
      <c r="V438" s="300"/>
      <c r="W438" s="201"/>
      <c r="X438" s="201"/>
      <c r="Y438" s="200"/>
      <c r="Z438" s="207"/>
      <c r="AA438" s="206"/>
      <c r="AB438" s="207"/>
      <c r="AC438" s="188"/>
      <c r="AD438" s="187">
        <v>44907</v>
      </c>
    </row>
    <row r="439" spans="1:30">
      <c r="A439" s="318">
        <f>COUNTA($E$3:E439)</f>
        <v>437</v>
      </c>
      <c r="B439" s="318" t="s">
        <v>4363</v>
      </c>
      <c r="C439" s="318" t="s">
        <v>41</v>
      </c>
      <c r="D439" s="318" t="s">
        <v>34</v>
      </c>
      <c r="E439" s="318" t="s">
        <v>1045</v>
      </c>
      <c r="F439" s="316">
        <v>44882</v>
      </c>
      <c r="G439" s="316"/>
      <c r="H439" s="316"/>
      <c r="I439" s="316" t="s">
        <v>2</v>
      </c>
      <c r="J439" s="318" t="s">
        <v>3253</v>
      </c>
      <c r="K439" s="318"/>
      <c r="L439" s="14">
        <v>44893</v>
      </c>
      <c r="M439" t="s">
        <v>4389</v>
      </c>
      <c r="N439" s="180">
        <v>44893</v>
      </c>
      <c r="O439" s="179"/>
      <c r="Q439" t="s">
        <v>22</v>
      </c>
      <c r="T439" s="195"/>
      <c r="U439" s="195"/>
      <c r="V439" s="300"/>
      <c r="W439" s="201"/>
      <c r="X439" s="201"/>
      <c r="Y439" s="200"/>
      <c r="Z439" s="207"/>
      <c r="AA439" s="206"/>
      <c r="AB439" s="207"/>
      <c r="AC439" s="188"/>
      <c r="AD439" s="187">
        <v>44893</v>
      </c>
    </row>
    <row r="440" spans="1:30">
      <c r="A440" s="318">
        <f>COUNTA($E$3:E440)</f>
        <v>438</v>
      </c>
      <c r="B440" s="318" t="s">
        <v>4109</v>
      </c>
      <c r="C440" s="318" t="s">
        <v>41</v>
      </c>
      <c r="D440" s="318" t="s">
        <v>31</v>
      </c>
      <c r="E440" s="318" t="s">
        <v>3111</v>
      </c>
      <c r="F440" s="316">
        <v>44844</v>
      </c>
      <c r="G440" s="316"/>
      <c r="H440" s="316" t="s">
        <v>66</v>
      </c>
      <c r="I440" s="316" t="s">
        <v>2</v>
      </c>
      <c r="J440" s="318" t="s">
        <v>17</v>
      </c>
      <c r="K440" s="318" t="s">
        <v>287</v>
      </c>
      <c r="L440" s="14">
        <v>44858</v>
      </c>
      <c r="M440" t="s">
        <v>4232</v>
      </c>
      <c r="N440" s="180">
        <v>44851</v>
      </c>
      <c r="O440" s="179"/>
      <c r="Q440" t="s">
        <v>22</v>
      </c>
      <c r="T440" s="195"/>
      <c r="U440" s="195"/>
      <c r="V440" s="300"/>
      <c r="W440" s="201"/>
      <c r="X440" s="201"/>
      <c r="Y440" s="200"/>
      <c r="Z440" s="207"/>
      <c r="AA440" s="206"/>
      <c r="AB440" s="207"/>
      <c r="AC440" s="188"/>
      <c r="AD440" s="187">
        <v>44851</v>
      </c>
    </row>
    <row r="441" spans="1:30">
      <c r="A441" s="318">
        <f>COUNTA($E$3:E441)</f>
        <v>439</v>
      </c>
      <c r="B441" s="318" t="s">
        <v>4065</v>
      </c>
      <c r="C441" s="318" t="s">
        <v>41</v>
      </c>
      <c r="D441" s="318" t="s">
        <v>30</v>
      </c>
      <c r="E441" s="318" t="s">
        <v>2982</v>
      </c>
      <c r="F441" s="316">
        <v>44839</v>
      </c>
      <c r="G441" s="316"/>
      <c r="H441" s="316" t="s">
        <v>66</v>
      </c>
      <c r="I441" s="316" t="s">
        <v>2</v>
      </c>
      <c r="J441" s="318" t="s">
        <v>17</v>
      </c>
      <c r="K441" s="318" t="s">
        <v>2032</v>
      </c>
      <c r="L441" s="14">
        <v>44858</v>
      </c>
      <c r="M441" t="s">
        <v>4233</v>
      </c>
      <c r="N441" s="180">
        <v>44844</v>
      </c>
      <c r="O441" s="179"/>
      <c r="Q441" t="s">
        <v>22</v>
      </c>
      <c r="T441" s="195"/>
      <c r="U441" s="195"/>
      <c r="V441" s="300"/>
      <c r="W441" s="201"/>
      <c r="X441" s="201"/>
      <c r="Y441" s="200"/>
      <c r="Z441" s="207"/>
      <c r="AA441" s="206"/>
      <c r="AB441" s="207"/>
      <c r="AC441" s="188"/>
      <c r="AD441" s="187">
        <v>44844</v>
      </c>
    </row>
    <row r="442" spans="1:30">
      <c r="A442" s="318">
        <f>COUNTA($E$3:E442)</f>
        <v>440</v>
      </c>
      <c r="B442" s="318" t="s">
        <v>4234</v>
      </c>
      <c r="C442" s="318" t="s">
        <v>41</v>
      </c>
      <c r="D442" s="318" t="s">
        <v>51</v>
      </c>
      <c r="E442" s="318" t="s">
        <v>3024</v>
      </c>
      <c r="F442" s="316">
        <v>44846.777743055558</v>
      </c>
      <c r="G442" s="316"/>
      <c r="H442" s="316"/>
      <c r="I442" s="316" t="s">
        <v>3</v>
      </c>
      <c r="J442" s="318" t="s">
        <v>1649</v>
      </c>
      <c r="K442" s="318" t="s">
        <v>1287</v>
      </c>
      <c r="L442" s="14">
        <v>44858</v>
      </c>
      <c r="M442" t="s">
        <v>4235</v>
      </c>
      <c r="N442" s="180">
        <v>44843</v>
      </c>
      <c r="O442" s="179"/>
      <c r="Q442" t="s">
        <v>129</v>
      </c>
      <c r="T442" s="195"/>
      <c r="U442" s="195"/>
      <c r="V442" s="300"/>
      <c r="W442" s="201"/>
      <c r="X442" s="201"/>
      <c r="Y442" s="200"/>
      <c r="Z442" s="207"/>
      <c r="AA442" s="206"/>
      <c r="AB442" s="207"/>
      <c r="AC442" s="188"/>
      <c r="AD442" s="187">
        <v>44843</v>
      </c>
    </row>
    <row r="443" spans="1:30">
      <c r="A443" s="318">
        <f>COUNTA($E$3:E443)</f>
        <v>441</v>
      </c>
      <c r="B443" s="318" t="s">
        <v>4129</v>
      </c>
      <c r="C443" s="318" t="s">
        <v>37</v>
      </c>
      <c r="D443" s="318" t="s">
        <v>30</v>
      </c>
      <c r="E443" s="318" t="s">
        <v>3487</v>
      </c>
      <c r="F443" s="316">
        <v>44846.770451388889</v>
      </c>
      <c r="G443" s="316"/>
      <c r="H443" s="316"/>
      <c r="I443" s="316" t="s">
        <v>3</v>
      </c>
      <c r="J443" s="318" t="s">
        <v>2209</v>
      </c>
      <c r="K443" s="318" t="s">
        <v>1296</v>
      </c>
      <c r="L443" s="14">
        <v>44858</v>
      </c>
      <c r="M443" t="s">
        <v>4236</v>
      </c>
      <c r="N443" s="180">
        <v>44866</v>
      </c>
      <c r="O443" s="179"/>
      <c r="Q443" t="s">
        <v>129</v>
      </c>
      <c r="T443" s="195"/>
      <c r="U443" s="195"/>
      <c r="V443" s="300"/>
      <c r="W443" s="201"/>
      <c r="X443" s="201"/>
      <c r="Y443" s="200"/>
      <c r="Z443" s="207"/>
      <c r="AA443" s="206"/>
      <c r="AB443" s="207"/>
      <c r="AC443" s="188"/>
      <c r="AD443" s="187">
        <v>44866</v>
      </c>
    </row>
    <row r="444" spans="1:30">
      <c r="A444" s="318">
        <f>COUNTA($E$3:E444)</f>
        <v>442</v>
      </c>
      <c r="B444" s="318" t="s">
        <v>4128</v>
      </c>
      <c r="C444" s="318" t="s">
        <v>37</v>
      </c>
      <c r="D444" s="318" t="s">
        <v>30</v>
      </c>
      <c r="E444" s="318" t="s">
        <v>3491</v>
      </c>
      <c r="F444" s="316">
        <v>44846.769733796296</v>
      </c>
      <c r="G444" s="316"/>
      <c r="H444" s="316"/>
      <c r="I444" s="316" t="s">
        <v>3</v>
      </c>
      <c r="J444" s="318" t="s">
        <v>2209</v>
      </c>
      <c r="K444" s="318" t="s">
        <v>1295</v>
      </c>
      <c r="L444" s="14">
        <v>44858</v>
      </c>
      <c r="M444" t="s">
        <v>4163</v>
      </c>
      <c r="N444" s="180">
        <v>44866</v>
      </c>
      <c r="O444" s="179"/>
      <c r="Q444" t="s">
        <v>129</v>
      </c>
      <c r="T444" s="195"/>
      <c r="U444" s="195"/>
      <c r="V444" s="300"/>
      <c r="W444" s="201"/>
      <c r="X444" s="201"/>
      <c r="Y444" s="200"/>
      <c r="Z444" s="207"/>
      <c r="AA444" s="206"/>
      <c r="AB444" s="207"/>
      <c r="AC444" s="188"/>
      <c r="AD444" s="187">
        <v>44866</v>
      </c>
    </row>
    <row r="445" spans="1:30">
      <c r="A445" s="318">
        <f>COUNTA($E$3:E445)</f>
        <v>443</v>
      </c>
      <c r="B445" s="318" t="s">
        <v>4114</v>
      </c>
      <c r="C445" s="318" t="s">
        <v>41</v>
      </c>
      <c r="D445" s="318" t="s">
        <v>30</v>
      </c>
      <c r="E445" s="318" t="s">
        <v>1721</v>
      </c>
      <c r="F445" s="316">
        <v>44845.702280092592</v>
      </c>
      <c r="G445" s="316"/>
      <c r="H445" s="316"/>
      <c r="I445" s="316" t="s">
        <v>3</v>
      </c>
      <c r="J445" s="318" t="s">
        <v>2541</v>
      </c>
      <c r="K445" s="318" t="s">
        <v>1295</v>
      </c>
      <c r="L445" s="14">
        <v>44858</v>
      </c>
      <c r="M445" t="s">
        <v>4237</v>
      </c>
      <c r="N445" s="180">
        <v>44866</v>
      </c>
      <c r="O445" s="179"/>
      <c r="Q445" t="s">
        <v>129</v>
      </c>
      <c r="T445" s="195"/>
      <c r="U445" s="195"/>
      <c r="V445" s="300"/>
      <c r="W445" s="201"/>
      <c r="X445" s="201"/>
      <c r="Y445" s="200"/>
      <c r="Z445" s="207"/>
      <c r="AA445" s="206"/>
      <c r="AB445" s="207"/>
      <c r="AC445" s="188"/>
      <c r="AD445" s="187">
        <v>44866</v>
      </c>
    </row>
    <row r="446" spans="1:30">
      <c r="A446" s="318">
        <f>COUNTA($E$3:E446)</f>
        <v>444</v>
      </c>
      <c r="B446" s="318" t="s">
        <v>4162</v>
      </c>
      <c r="C446" s="318" t="s">
        <v>2370</v>
      </c>
      <c r="D446" s="318" t="s">
        <v>1126</v>
      </c>
      <c r="E446" s="318" t="s">
        <v>4170</v>
      </c>
      <c r="F446" s="316"/>
      <c r="G446" s="316"/>
      <c r="H446" s="316"/>
      <c r="I446" s="316" t="s">
        <v>4</v>
      </c>
      <c r="J446" s="318" t="s">
        <v>1707</v>
      </c>
      <c r="K446" s="318" t="s">
        <v>287</v>
      </c>
      <c r="L446" s="14">
        <v>44858</v>
      </c>
      <c r="M446" t="s">
        <v>4163</v>
      </c>
      <c r="N446" s="180">
        <v>44876</v>
      </c>
      <c r="O446" s="179"/>
      <c r="Q446" t="s">
        <v>22</v>
      </c>
      <c r="T446" s="195"/>
      <c r="U446" s="195"/>
      <c r="V446" s="300"/>
      <c r="W446" s="201"/>
      <c r="X446" s="201"/>
      <c r="Y446" s="200"/>
      <c r="Z446" s="207"/>
      <c r="AA446" s="206"/>
      <c r="AB446" s="207"/>
      <c r="AC446" s="188"/>
      <c r="AD446" s="187">
        <v>44876</v>
      </c>
    </row>
    <row r="447" spans="1:30">
      <c r="A447" s="318">
        <f>COUNTA($E$3:E447)</f>
        <v>445</v>
      </c>
      <c r="B447" s="318" t="s">
        <v>4092</v>
      </c>
      <c r="C447" s="318" t="s">
        <v>40</v>
      </c>
      <c r="D447" s="318" t="s">
        <v>30</v>
      </c>
      <c r="E447" s="318" t="s">
        <v>1645</v>
      </c>
      <c r="F447" s="316">
        <v>44841.474330543999</v>
      </c>
      <c r="G447" s="316"/>
      <c r="H447" s="316"/>
      <c r="I447" s="316"/>
      <c r="J447" s="318"/>
      <c r="K447" s="318"/>
      <c r="L447" s="14">
        <v>44851</v>
      </c>
      <c r="M447" t="s">
        <v>4151</v>
      </c>
      <c r="N447" s="180">
        <v>44840</v>
      </c>
      <c r="O447" s="179"/>
      <c r="Q447" t="s">
        <v>129</v>
      </c>
      <c r="T447" s="195"/>
      <c r="U447" s="195"/>
      <c r="V447" s="300"/>
      <c r="W447" s="201"/>
      <c r="X447" s="201"/>
      <c r="Y447" s="200"/>
      <c r="Z447" s="207"/>
      <c r="AA447" s="206"/>
      <c r="AB447" s="207"/>
      <c r="AC447" s="188"/>
      <c r="AD447" s="187">
        <v>44840</v>
      </c>
    </row>
    <row r="448" spans="1:30">
      <c r="A448" s="318">
        <f>COUNTA($E$3:E448)</f>
        <v>446</v>
      </c>
      <c r="B448" s="318" t="s">
        <v>4137</v>
      </c>
      <c r="C448" s="318" t="s">
        <v>41</v>
      </c>
      <c r="D448" s="318" t="s">
        <v>1126</v>
      </c>
      <c r="E448" s="318" t="s">
        <v>3103</v>
      </c>
      <c r="F448" s="316">
        <v>44846</v>
      </c>
      <c r="G448" s="316"/>
      <c r="H448" s="316" t="s">
        <v>66</v>
      </c>
      <c r="I448" s="316" t="s">
        <v>1110</v>
      </c>
      <c r="J448" s="318" t="s">
        <v>2194</v>
      </c>
      <c r="K448" s="318" t="s">
        <v>33</v>
      </c>
      <c r="L448" s="14">
        <v>44851</v>
      </c>
      <c r="M448" t="s">
        <v>4154</v>
      </c>
      <c r="N448" s="180">
        <v>44862</v>
      </c>
      <c r="O448" s="179"/>
      <c r="Q448" t="s">
        <v>129</v>
      </c>
      <c r="T448" s="195"/>
      <c r="U448" s="195"/>
      <c r="V448" s="300"/>
      <c r="W448" s="201"/>
      <c r="X448" s="201"/>
      <c r="Y448" s="200"/>
      <c r="Z448" s="207"/>
      <c r="AA448" s="206"/>
      <c r="AB448" s="207"/>
      <c r="AC448" s="188"/>
      <c r="AD448" s="187">
        <v>44862</v>
      </c>
    </row>
    <row r="449" spans="1:30">
      <c r="A449" s="318">
        <f>COUNTA($E$3:E449)</f>
        <v>447</v>
      </c>
      <c r="B449" s="318" t="s">
        <v>4136</v>
      </c>
      <c r="C449" s="318" t="s">
        <v>41</v>
      </c>
      <c r="D449" s="318" t="s">
        <v>1264</v>
      </c>
      <c r="E449" s="318" t="s">
        <v>3109</v>
      </c>
      <c r="F449" s="316">
        <v>44846</v>
      </c>
      <c r="G449" s="316"/>
      <c r="H449" s="316" t="s">
        <v>66</v>
      </c>
      <c r="I449" s="316" t="s">
        <v>1110</v>
      </c>
      <c r="J449" s="318" t="s">
        <v>2194</v>
      </c>
      <c r="K449" s="318" t="s">
        <v>33</v>
      </c>
      <c r="L449" s="14">
        <v>44851</v>
      </c>
      <c r="M449" t="s">
        <v>4154</v>
      </c>
      <c r="N449" s="180">
        <v>44862</v>
      </c>
      <c r="O449" s="179"/>
      <c r="Q449" t="s">
        <v>129</v>
      </c>
      <c r="T449" s="195"/>
      <c r="U449" s="195"/>
      <c r="V449" s="300"/>
      <c r="W449" s="201"/>
      <c r="X449" s="201"/>
      <c r="Y449" s="200"/>
      <c r="Z449" s="207"/>
      <c r="AA449" s="206"/>
      <c r="AB449" s="207"/>
      <c r="AC449" s="188"/>
      <c r="AD449" s="187">
        <v>44862</v>
      </c>
    </row>
    <row r="450" spans="1:30">
      <c r="A450" s="318">
        <f>COUNTA($E$3:E450)</f>
        <v>448</v>
      </c>
      <c r="B450" s="318" t="s">
        <v>4110</v>
      </c>
      <c r="C450" s="318" t="s">
        <v>3520</v>
      </c>
      <c r="D450" s="318" t="s">
        <v>31</v>
      </c>
      <c r="E450" s="318" t="s">
        <v>3521</v>
      </c>
      <c r="F450" s="316">
        <v>44844</v>
      </c>
      <c r="G450" s="316"/>
      <c r="H450" s="316"/>
      <c r="I450" s="316" t="s">
        <v>2</v>
      </c>
      <c r="J450" s="318" t="s">
        <v>17</v>
      </c>
      <c r="K450" s="318" t="s">
        <v>287</v>
      </c>
      <c r="L450" s="14">
        <v>44851</v>
      </c>
      <c r="M450" t="s">
        <v>4150</v>
      </c>
      <c r="N450" s="180">
        <v>44847</v>
      </c>
      <c r="O450" s="179"/>
      <c r="Q450" t="s">
        <v>22</v>
      </c>
      <c r="T450" s="195"/>
      <c r="U450" s="195"/>
      <c r="V450" s="300"/>
      <c r="W450" s="201"/>
      <c r="X450" s="201"/>
      <c r="Y450" s="200"/>
      <c r="Z450" s="207"/>
      <c r="AA450" s="206"/>
      <c r="AB450" s="207"/>
      <c r="AC450" s="188"/>
      <c r="AD450" s="187">
        <v>44847</v>
      </c>
    </row>
    <row r="451" spans="1:30">
      <c r="A451" s="318">
        <f>COUNTA($E$3:E451)</f>
        <v>449</v>
      </c>
      <c r="B451" s="318" t="s">
        <v>4075</v>
      </c>
      <c r="C451" s="318" t="s">
        <v>41</v>
      </c>
      <c r="D451" s="318" t="s">
        <v>1115</v>
      </c>
      <c r="E451" s="318" t="s">
        <v>4029</v>
      </c>
      <c r="F451" s="316">
        <v>44840</v>
      </c>
      <c r="G451" s="316"/>
      <c r="H451" s="316"/>
      <c r="I451" s="316" t="s">
        <v>2</v>
      </c>
      <c r="J451" s="318" t="s">
        <v>4076</v>
      </c>
      <c r="K451" s="318" t="s">
        <v>1287</v>
      </c>
      <c r="L451" s="14">
        <v>44851</v>
      </c>
      <c r="N451" s="180">
        <v>44858</v>
      </c>
      <c r="O451" s="179"/>
      <c r="Q451" t="s">
        <v>129</v>
      </c>
      <c r="T451" s="195"/>
      <c r="U451" s="195"/>
      <c r="V451" s="300"/>
      <c r="W451" s="201"/>
      <c r="X451" s="201"/>
      <c r="Y451" s="200"/>
      <c r="Z451" s="207"/>
      <c r="AA451" s="206"/>
      <c r="AB451" s="207"/>
      <c r="AC451" s="188"/>
      <c r="AD451" s="187">
        <v>44858</v>
      </c>
    </row>
    <row r="452" spans="1:30">
      <c r="A452" s="318">
        <f>COUNTA($E$3:E452)</f>
        <v>450</v>
      </c>
      <c r="B452" s="318" t="s">
        <v>4066</v>
      </c>
      <c r="C452" s="318" t="s">
        <v>41</v>
      </c>
      <c r="D452" s="318" t="s">
        <v>56</v>
      </c>
      <c r="E452" s="318" t="s">
        <v>3068</v>
      </c>
      <c r="F452" s="316">
        <v>44841</v>
      </c>
      <c r="G452" s="316"/>
      <c r="H452" s="316" t="s">
        <v>66</v>
      </c>
      <c r="I452" s="316" t="s">
        <v>2</v>
      </c>
      <c r="J452" s="318" t="s">
        <v>4067</v>
      </c>
      <c r="K452" s="318" t="s">
        <v>1287</v>
      </c>
      <c r="L452" s="14">
        <v>44851</v>
      </c>
      <c r="M452" t="s">
        <v>4153</v>
      </c>
      <c r="N452" s="180">
        <v>45051</v>
      </c>
      <c r="O452" s="179"/>
      <c r="Q452" t="s">
        <v>129</v>
      </c>
      <c r="T452" s="195"/>
      <c r="U452" s="195"/>
      <c r="V452" s="300"/>
      <c r="W452" s="201"/>
      <c r="X452" s="201"/>
      <c r="Y452" s="200"/>
      <c r="Z452" s="207"/>
      <c r="AA452" s="206"/>
      <c r="AB452" s="207"/>
      <c r="AC452" s="188"/>
      <c r="AD452" s="187">
        <v>45051</v>
      </c>
    </row>
    <row r="453" spans="1:30">
      <c r="A453" s="318">
        <f>COUNTA($E$3:E453)</f>
        <v>451</v>
      </c>
      <c r="B453" s="318" t="s">
        <v>4111</v>
      </c>
      <c r="C453" s="318" t="s">
        <v>41</v>
      </c>
      <c r="D453" s="318" t="s">
        <v>104</v>
      </c>
      <c r="E453" s="318" t="s">
        <v>4112</v>
      </c>
      <c r="F453" s="316">
        <v>44845</v>
      </c>
      <c r="G453" s="316"/>
      <c r="H453" s="316"/>
      <c r="I453" s="316" t="s">
        <v>3</v>
      </c>
      <c r="J453" s="318" t="s">
        <v>1485</v>
      </c>
      <c r="K453" s="318" t="s">
        <v>1287</v>
      </c>
      <c r="L453" s="14">
        <v>44851</v>
      </c>
      <c r="N453" s="180"/>
      <c r="O453" s="179"/>
      <c r="Q453" t="s">
        <v>129</v>
      </c>
      <c r="T453" s="195"/>
      <c r="U453" s="195"/>
      <c r="V453" s="300"/>
      <c r="W453" s="201"/>
      <c r="X453" s="201"/>
      <c r="Y453" s="200"/>
      <c r="Z453" s="207"/>
      <c r="AA453" s="206"/>
      <c r="AB453" s="207"/>
      <c r="AC453" s="188"/>
      <c r="AD453" s="187"/>
    </row>
    <row r="454" spans="1:30">
      <c r="A454" s="318">
        <f>COUNTA($E$3:E454)</f>
        <v>452</v>
      </c>
      <c r="B454" s="318" t="s">
        <v>4087</v>
      </c>
      <c r="C454" s="318" t="s">
        <v>21</v>
      </c>
      <c r="D454" s="318" t="s">
        <v>25</v>
      </c>
      <c r="E454" s="318" t="s">
        <v>298</v>
      </c>
      <c r="F454" s="316">
        <v>44841.470636388898</v>
      </c>
      <c r="G454" s="316"/>
      <c r="H454" s="316"/>
      <c r="I454" s="316" t="s">
        <v>3</v>
      </c>
      <c r="J454" s="318" t="s">
        <v>1720</v>
      </c>
      <c r="K454" s="318" t="s">
        <v>1296</v>
      </c>
      <c r="L454" s="14">
        <v>44851</v>
      </c>
      <c r="M454" t="s">
        <v>4148</v>
      </c>
      <c r="N454" s="180">
        <v>44854</v>
      </c>
      <c r="O454" s="179"/>
      <c r="Q454" t="s">
        <v>129</v>
      </c>
      <c r="T454" s="195"/>
      <c r="U454" s="195"/>
      <c r="V454" s="300"/>
      <c r="W454" s="201"/>
      <c r="X454" s="201"/>
      <c r="Y454" s="200"/>
      <c r="Z454" s="207"/>
      <c r="AA454" s="206"/>
      <c r="AB454" s="207"/>
      <c r="AC454" s="188"/>
      <c r="AD454" s="187">
        <v>44854</v>
      </c>
    </row>
    <row r="455" spans="1:30">
      <c r="A455" s="318">
        <f>COUNTA($E$3:E455)</f>
        <v>453</v>
      </c>
      <c r="B455" s="318" t="s">
        <v>4073</v>
      </c>
      <c r="C455" s="318" t="s">
        <v>41</v>
      </c>
      <c r="D455" s="318" t="s">
        <v>16</v>
      </c>
      <c r="E455" s="318" t="s">
        <v>1188</v>
      </c>
      <c r="F455" s="316">
        <v>44839</v>
      </c>
      <c r="G455" s="316"/>
      <c r="H455" s="316"/>
      <c r="I455" s="316" t="s">
        <v>3</v>
      </c>
      <c r="J455" s="318" t="s">
        <v>3132</v>
      </c>
      <c r="K455" s="318" t="s">
        <v>33</v>
      </c>
      <c r="L455" s="14">
        <v>44851</v>
      </c>
      <c r="M455" t="s">
        <v>4149</v>
      </c>
      <c r="N455" s="180">
        <v>44845</v>
      </c>
      <c r="O455" s="179"/>
      <c r="Q455" t="s">
        <v>129</v>
      </c>
      <c r="T455" s="195"/>
      <c r="U455" s="195"/>
      <c r="V455" s="300"/>
      <c r="W455" s="201"/>
      <c r="X455" s="201"/>
      <c r="Y455" s="200"/>
      <c r="Z455" s="207"/>
      <c r="AA455" s="206"/>
      <c r="AB455" s="207"/>
      <c r="AC455" s="188"/>
      <c r="AD455" s="187">
        <v>44845</v>
      </c>
    </row>
    <row r="456" spans="1:30">
      <c r="A456" s="318">
        <f>COUNTA($E$3:E456)</f>
        <v>454</v>
      </c>
      <c r="B456" s="318" t="s">
        <v>4071</v>
      </c>
      <c r="C456" s="318" t="s">
        <v>3903</v>
      </c>
      <c r="D456" s="318" t="s">
        <v>56</v>
      </c>
      <c r="E456" s="318" t="s">
        <v>3904</v>
      </c>
      <c r="F456" s="316">
        <v>44839.811130439797</v>
      </c>
      <c r="G456" s="316"/>
      <c r="H456" s="316"/>
      <c r="I456" s="316" t="s">
        <v>3</v>
      </c>
      <c r="J456" s="318" t="s">
        <v>1643</v>
      </c>
      <c r="K456" s="318" t="s">
        <v>1295</v>
      </c>
      <c r="L456" s="14">
        <v>44851</v>
      </c>
      <c r="M456" t="s">
        <v>4148</v>
      </c>
      <c r="N456" s="180">
        <v>44846</v>
      </c>
      <c r="O456" s="179"/>
      <c r="Q456" t="s">
        <v>129</v>
      </c>
      <c r="T456" s="195"/>
      <c r="U456" s="195"/>
      <c r="V456" s="300"/>
      <c r="W456" s="201"/>
      <c r="X456" s="201"/>
      <c r="Y456" s="200"/>
      <c r="Z456" s="207"/>
      <c r="AA456" s="206"/>
      <c r="AB456" s="207"/>
      <c r="AC456" s="188"/>
      <c r="AD456" s="187">
        <v>44846</v>
      </c>
    </row>
    <row r="457" spans="1:30">
      <c r="A457" s="318">
        <f>COUNTA($E$3:E457)</f>
        <v>455</v>
      </c>
      <c r="B457" s="318" t="s">
        <v>3823</v>
      </c>
      <c r="C457" s="318" t="s">
        <v>40</v>
      </c>
      <c r="D457" s="318" t="s">
        <v>56</v>
      </c>
      <c r="E457" s="318" t="s">
        <v>3824</v>
      </c>
      <c r="F457" s="316">
        <v>44797</v>
      </c>
      <c r="G457" s="316"/>
      <c r="H457" s="316"/>
      <c r="I457" s="316" t="s">
        <v>3</v>
      </c>
      <c r="J457" s="318" t="s">
        <v>2153</v>
      </c>
      <c r="K457" s="318" t="s">
        <v>1274</v>
      </c>
      <c r="L457" s="14">
        <v>44851</v>
      </c>
      <c r="M457" t="s">
        <v>4146</v>
      </c>
      <c r="N457" s="180">
        <v>44861</v>
      </c>
      <c r="O457" s="179"/>
      <c r="Q457" t="s">
        <v>129</v>
      </c>
      <c r="T457" s="195"/>
      <c r="U457" s="195"/>
      <c r="V457" s="300"/>
      <c r="W457" s="201"/>
      <c r="X457" s="201"/>
      <c r="Y457" s="200"/>
      <c r="Z457" s="207"/>
      <c r="AA457" s="206"/>
      <c r="AB457" s="207"/>
      <c r="AC457" s="188"/>
      <c r="AD457" s="187">
        <v>44861</v>
      </c>
    </row>
    <row r="458" spans="1:30">
      <c r="A458" s="318">
        <f>COUNTA($E$3:E458)</f>
        <v>456</v>
      </c>
      <c r="B458" s="318" t="s">
        <v>4074</v>
      </c>
      <c r="C458" s="318" t="s">
        <v>37</v>
      </c>
      <c r="D458" s="318" t="s">
        <v>34</v>
      </c>
      <c r="E458" s="318" t="s">
        <v>3373</v>
      </c>
      <c r="F458" s="316">
        <v>44839</v>
      </c>
      <c r="G458" s="316"/>
      <c r="H458" s="316"/>
      <c r="I458" s="316" t="s">
        <v>2</v>
      </c>
      <c r="J458" s="318" t="s">
        <v>3572</v>
      </c>
      <c r="K458" s="318" t="s">
        <v>33</v>
      </c>
      <c r="L458" s="14">
        <v>44844</v>
      </c>
      <c r="N458" s="180">
        <v>44846</v>
      </c>
      <c r="O458" s="179"/>
      <c r="Q458" t="s">
        <v>129</v>
      </c>
      <c r="T458" s="195"/>
      <c r="U458" s="195"/>
      <c r="V458" s="300"/>
      <c r="W458" s="201"/>
      <c r="X458" s="201"/>
      <c r="Y458" s="200"/>
      <c r="Z458" s="207"/>
      <c r="AA458" s="206"/>
      <c r="AB458" s="207"/>
      <c r="AC458" s="188"/>
      <c r="AD458" s="187">
        <v>44846</v>
      </c>
    </row>
    <row r="459" spans="1:30">
      <c r="A459" s="318">
        <f>COUNTA($E$3:E459)</f>
        <v>457</v>
      </c>
      <c r="B459" s="318" t="s">
        <v>4064</v>
      </c>
      <c r="C459" s="318" t="s">
        <v>1168</v>
      </c>
      <c r="D459" s="318" t="s">
        <v>38</v>
      </c>
      <c r="E459" s="318" t="s">
        <v>2922</v>
      </c>
      <c r="F459" s="316">
        <v>44844</v>
      </c>
      <c r="G459" s="316"/>
      <c r="H459" s="316"/>
      <c r="I459" s="316" t="s">
        <v>2</v>
      </c>
      <c r="J459" s="318" t="s">
        <v>2923</v>
      </c>
      <c r="K459" s="318"/>
      <c r="L459" s="14">
        <v>44844</v>
      </c>
      <c r="M459" t="s">
        <v>4107</v>
      </c>
      <c r="N459" s="180">
        <v>44849</v>
      </c>
      <c r="O459" s="179"/>
      <c r="Q459" t="s">
        <v>22</v>
      </c>
      <c r="T459" s="195"/>
      <c r="U459" s="195"/>
      <c r="V459" s="300"/>
      <c r="W459" s="201"/>
      <c r="X459" s="201"/>
      <c r="Y459" s="200"/>
      <c r="Z459" s="207"/>
      <c r="AA459" s="206"/>
      <c r="AB459" s="207"/>
      <c r="AC459" s="188"/>
      <c r="AD459" s="187">
        <v>44849</v>
      </c>
    </row>
    <row r="460" spans="1:30">
      <c r="A460" s="318">
        <f>COUNTA($E$3:E460)</f>
        <v>458</v>
      </c>
      <c r="B460" s="318" t="s">
        <v>4055</v>
      </c>
      <c r="C460" s="318" t="s">
        <v>2422</v>
      </c>
      <c r="D460" s="318" t="s">
        <v>25</v>
      </c>
      <c r="E460" s="318" t="s">
        <v>2440</v>
      </c>
      <c r="F460" s="316">
        <v>44837</v>
      </c>
      <c r="G460" s="316"/>
      <c r="H460" s="316"/>
      <c r="I460" s="316" t="s">
        <v>2</v>
      </c>
      <c r="J460" s="318" t="s">
        <v>4056</v>
      </c>
      <c r="K460" s="318" t="s">
        <v>1294</v>
      </c>
      <c r="L460" s="14">
        <v>44844</v>
      </c>
      <c r="M460" t="s">
        <v>4100</v>
      </c>
      <c r="N460" s="180">
        <v>44844</v>
      </c>
      <c r="O460" s="179"/>
      <c r="Q460" t="s">
        <v>22</v>
      </c>
      <c r="T460" s="195"/>
      <c r="U460" s="195"/>
      <c r="V460" s="300"/>
      <c r="W460" s="201"/>
      <c r="X460" s="201"/>
      <c r="Y460" s="200"/>
      <c r="Z460" s="207"/>
      <c r="AA460" s="206"/>
      <c r="AB460" s="207"/>
      <c r="AC460" s="188"/>
      <c r="AD460" s="187">
        <v>44844</v>
      </c>
    </row>
    <row r="461" spans="1:30">
      <c r="A461" s="318">
        <f>COUNTA($E$3:E461)</f>
        <v>459</v>
      </c>
      <c r="B461" s="318" t="s">
        <v>4028</v>
      </c>
      <c r="C461" s="318" t="s">
        <v>41</v>
      </c>
      <c r="D461" s="318" t="s">
        <v>1115</v>
      </c>
      <c r="E461" s="318" t="s">
        <v>4029</v>
      </c>
      <c r="F461" s="316">
        <v>44832.583428854203</v>
      </c>
      <c r="G461" s="316"/>
      <c r="H461" s="316"/>
      <c r="I461" s="316" t="s">
        <v>2</v>
      </c>
      <c r="J461" s="318" t="s">
        <v>4076</v>
      </c>
      <c r="K461" s="318"/>
      <c r="L461" s="14">
        <v>44844</v>
      </c>
      <c r="N461" s="180">
        <v>44844</v>
      </c>
      <c r="O461" s="179"/>
      <c r="Q461" t="s">
        <v>129</v>
      </c>
      <c r="T461" s="195"/>
      <c r="U461" s="195"/>
      <c r="V461" s="300"/>
      <c r="W461" s="201"/>
      <c r="X461" s="201"/>
      <c r="Y461" s="200"/>
      <c r="Z461" s="207"/>
      <c r="AA461" s="206"/>
      <c r="AB461" s="207"/>
      <c r="AC461" s="188"/>
      <c r="AD461" s="187">
        <v>44844</v>
      </c>
    </row>
    <row r="462" spans="1:30">
      <c r="A462" s="318">
        <f>COUNTA($E$3:E462)</f>
        <v>460</v>
      </c>
      <c r="B462" s="318" t="s">
        <v>3935</v>
      </c>
      <c r="C462" s="318" t="s">
        <v>41</v>
      </c>
      <c r="D462" s="318" t="s">
        <v>34</v>
      </c>
      <c r="E462" s="318" t="s">
        <v>3936</v>
      </c>
      <c r="F462" s="316">
        <v>44819</v>
      </c>
      <c r="G462" s="316"/>
      <c r="H462" s="316" t="s">
        <v>66</v>
      </c>
      <c r="I462" s="316" t="s">
        <v>2</v>
      </c>
      <c r="J462" s="318" t="s">
        <v>17</v>
      </c>
      <c r="K462" s="318" t="s">
        <v>287</v>
      </c>
      <c r="L462" s="14">
        <v>44844</v>
      </c>
      <c r="M462" t="s">
        <v>4099</v>
      </c>
      <c r="N462" s="180">
        <v>44833</v>
      </c>
      <c r="O462" s="179"/>
      <c r="Q462" t="s">
        <v>22</v>
      </c>
      <c r="T462" s="195"/>
      <c r="U462" s="195"/>
      <c r="V462" s="300"/>
      <c r="W462" s="201"/>
      <c r="X462" s="201"/>
      <c r="Y462" s="200"/>
      <c r="Z462" s="207"/>
      <c r="AA462" s="206"/>
      <c r="AB462" s="207"/>
      <c r="AC462" s="188"/>
      <c r="AD462" s="187">
        <v>44833</v>
      </c>
    </row>
    <row r="463" spans="1:30">
      <c r="A463" s="318">
        <f>COUNTA($E$3:E463)</f>
        <v>461</v>
      </c>
      <c r="B463" s="318" t="s">
        <v>3714</v>
      </c>
      <c r="C463" s="318" t="s">
        <v>2933</v>
      </c>
      <c r="D463" s="318" t="s">
        <v>1145</v>
      </c>
      <c r="E463" s="318" t="s">
        <v>3715</v>
      </c>
      <c r="F463" s="316">
        <v>44777</v>
      </c>
      <c r="G463" s="316"/>
      <c r="H463" s="316">
        <v>44785</v>
      </c>
      <c r="I463" s="316" t="s">
        <v>2</v>
      </c>
      <c r="J463" s="318" t="s">
        <v>357</v>
      </c>
      <c r="K463" s="318" t="s">
        <v>1287</v>
      </c>
      <c r="L463" s="14">
        <v>44844</v>
      </c>
      <c r="M463" t="s">
        <v>4098</v>
      </c>
      <c r="N463" s="180"/>
      <c r="O463" s="179"/>
      <c r="Q463" t="s">
        <v>129</v>
      </c>
      <c r="T463" s="195"/>
      <c r="U463" s="195"/>
      <c r="V463" s="300"/>
      <c r="W463" s="201"/>
      <c r="X463" s="201"/>
      <c r="Y463" s="200"/>
      <c r="Z463" s="207"/>
      <c r="AA463" s="206"/>
      <c r="AB463" s="207"/>
      <c r="AC463" s="188"/>
      <c r="AD463" s="187"/>
    </row>
    <row r="464" spans="1:30">
      <c r="A464" s="318">
        <f>COUNTA($E$3:E464)</f>
        <v>462</v>
      </c>
      <c r="B464" s="318" t="s">
        <v>4070</v>
      </c>
      <c r="C464" s="318" t="s">
        <v>37</v>
      </c>
      <c r="D464" s="318" t="s">
        <v>30</v>
      </c>
      <c r="E464" s="318" t="s">
        <v>2558</v>
      </c>
      <c r="F464" s="316">
        <v>44839</v>
      </c>
      <c r="G464" s="316"/>
      <c r="H464" s="316"/>
      <c r="I464" s="316" t="s">
        <v>3</v>
      </c>
      <c r="J464" s="318" t="s">
        <v>1212</v>
      </c>
      <c r="K464" s="318" t="s">
        <v>33</v>
      </c>
      <c r="L464" s="14">
        <v>44844</v>
      </c>
      <c r="N464" s="180">
        <v>45158</v>
      </c>
      <c r="O464" s="179"/>
      <c r="Q464" t="s">
        <v>129</v>
      </c>
      <c r="T464" s="195"/>
      <c r="U464" s="195"/>
      <c r="V464" s="300"/>
      <c r="W464" s="201"/>
      <c r="X464" s="201"/>
      <c r="Y464" s="200"/>
      <c r="Z464" s="207"/>
      <c r="AA464" s="206"/>
      <c r="AB464" s="207"/>
      <c r="AC464" s="188"/>
      <c r="AD464" s="187"/>
    </row>
    <row r="465" spans="1:30">
      <c r="A465" s="318">
        <f>COUNTA($E$3:E465)</f>
        <v>463</v>
      </c>
      <c r="B465" s="318" t="s">
        <v>4068</v>
      </c>
      <c r="C465" s="318" t="s">
        <v>3903</v>
      </c>
      <c r="D465" s="318" t="s">
        <v>1123</v>
      </c>
      <c r="E465" s="318" t="s">
        <v>4069</v>
      </c>
      <c r="F465" s="316">
        <v>44839</v>
      </c>
      <c r="G465" s="316">
        <v>44844</v>
      </c>
      <c r="H465" s="316">
        <v>44844</v>
      </c>
      <c r="I465" s="316" t="s">
        <v>3</v>
      </c>
      <c r="J465" s="318" t="s">
        <v>1643</v>
      </c>
      <c r="K465" s="318" t="s">
        <v>1295</v>
      </c>
      <c r="L465" s="14">
        <v>44844</v>
      </c>
      <c r="M465" t="s">
        <v>4102</v>
      </c>
      <c r="N465" s="180">
        <v>44844</v>
      </c>
      <c r="O465" s="179"/>
      <c r="Q465" t="s">
        <v>129</v>
      </c>
      <c r="T465" s="195"/>
      <c r="U465" s="195"/>
      <c r="V465" s="300"/>
      <c r="W465" s="201"/>
      <c r="X465" s="201"/>
      <c r="Y465" s="200"/>
      <c r="Z465" s="207"/>
      <c r="AA465" s="206"/>
      <c r="AB465" s="207"/>
      <c r="AC465" s="188"/>
      <c r="AD465" s="187">
        <v>44844</v>
      </c>
    </row>
    <row r="466" spans="1:30">
      <c r="A466" s="318">
        <f>COUNTA($E$3:E466)</f>
        <v>464</v>
      </c>
      <c r="B466" s="318" t="s">
        <v>4058</v>
      </c>
      <c r="C466" s="318" t="s">
        <v>4059</v>
      </c>
      <c r="D466" s="318" t="s">
        <v>30</v>
      </c>
      <c r="E466" s="318" t="s">
        <v>4060</v>
      </c>
      <c r="F466" s="316">
        <v>44838</v>
      </c>
      <c r="G466" s="316"/>
      <c r="H466" s="316"/>
      <c r="I466" s="316" t="s">
        <v>3</v>
      </c>
      <c r="J466" s="318" t="s">
        <v>3477</v>
      </c>
      <c r="K466" s="318" t="s">
        <v>1294</v>
      </c>
      <c r="L466" s="14">
        <v>44844</v>
      </c>
      <c r="M466" t="s">
        <v>4100</v>
      </c>
      <c r="N466" s="180">
        <v>44840</v>
      </c>
      <c r="O466" s="179"/>
      <c r="Q466" t="s">
        <v>22</v>
      </c>
      <c r="T466" s="195"/>
      <c r="U466" s="195"/>
      <c r="V466" s="300"/>
      <c r="W466" s="201"/>
      <c r="X466" s="201"/>
      <c r="Y466" s="200"/>
      <c r="Z466" s="207"/>
      <c r="AA466" s="206"/>
      <c r="AB466" s="207"/>
      <c r="AC466" s="188"/>
      <c r="AD466" s="187">
        <v>44840</v>
      </c>
    </row>
    <row r="467" spans="1:30">
      <c r="A467" s="318">
        <f>COUNTA($E$3:E467)</f>
        <v>465</v>
      </c>
      <c r="B467" s="318" t="s">
        <v>3516</v>
      </c>
      <c r="C467" s="318" t="s">
        <v>2431</v>
      </c>
      <c r="D467" s="318" t="s">
        <v>19</v>
      </c>
      <c r="E467" s="318" t="s">
        <v>3523</v>
      </c>
      <c r="F467" s="316">
        <v>44754</v>
      </c>
      <c r="G467" s="316"/>
      <c r="H467" s="316">
        <v>44764</v>
      </c>
      <c r="I467" s="316" t="s">
        <v>3</v>
      </c>
      <c r="J467" s="318" t="s">
        <v>1720</v>
      </c>
      <c r="K467" s="318" t="s">
        <v>1287</v>
      </c>
      <c r="L467" s="14">
        <v>44844</v>
      </c>
      <c r="M467" t="s">
        <v>4097</v>
      </c>
      <c r="N467" s="180">
        <v>44841</v>
      </c>
      <c r="O467" s="179"/>
      <c r="Q467" t="s">
        <v>129</v>
      </c>
      <c r="T467" s="195"/>
      <c r="U467" s="195"/>
      <c r="V467" s="300"/>
      <c r="W467" s="201"/>
      <c r="X467" s="201"/>
      <c r="Y467" s="200"/>
      <c r="Z467" s="207"/>
      <c r="AA467" s="206"/>
      <c r="AB467" s="207"/>
      <c r="AC467" s="188"/>
      <c r="AD467" s="187">
        <v>44841</v>
      </c>
    </row>
    <row r="468" spans="1:30">
      <c r="A468" s="318">
        <f>COUNTA($E$3:E468)</f>
        <v>466</v>
      </c>
      <c r="B468" s="318" t="s">
        <v>3331</v>
      </c>
      <c r="C468" s="318" t="s">
        <v>3324</v>
      </c>
      <c r="D468" s="318" t="s">
        <v>27</v>
      </c>
      <c r="E468" s="318" t="s">
        <v>3332</v>
      </c>
      <c r="F468" s="316">
        <v>44735</v>
      </c>
      <c r="G468" s="316"/>
      <c r="H468" s="316">
        <v>44741</v>
      </c>
      <c r="I468" s="316" t="s">
        <v>4</v>
      </c>
      <c r="J468" s="318" t="s">
        <v>1093</v>
      </c>
      <c r="K468" s="318" t="s">
        <v>287</v>
      </c>
      <c r="L468" s="14">
        <v>44844</v>
      </c>
      <c r="M468" t="s">
        <v>4096</v>
      </c>
      <c r="N468" s="180">
        <v>44827</v>
      </c>
      <c r="O468" s="179"/>
      <c r="Q468" t="s">
        <v>22</v>
      </c>
      <c r="T468" s="195"/>
      <c r="U468" s="195"/>
      <c r="V468" s="300"/>
      <c r="W468" s="201"/>
      <c r="X468" s="201"/>
      <c r="Y468" s="200"/>
      <c r="Z468" s="207"/>
      <c r="AA468" s="206"/>
      <c r="AB468" s="207"/>
      <c r="AC468" s="188"/>
      <c r="AD468" s="187">
        <v>44827</v>
      </c>
    </row>
    <row r="469" spans="1:30">
      <c r="A469" s="318">
        <f>COUNTA($E$3:E469)</f>
        <v>467</v>
      </c>
      <c r="B469" s="318" t="s">
        <v>3329</v>
      </c>
      <c r="C469" s="318" t="s">
        <v>3324</v>
      </c>
      <c r="D469" s="318" t="s">
        <v>45</v>
      </c>
      <c r="E469" s="318" t="s">
        <v>3330</v>
      </c>
      <c r="F469" s="316">
        <v>44735</v>
      </c>
      <c r="G469" s="316">
        <v>44783</v>
      </c>
      <c r="H469" s="316">
        <v>44741</v>
      </c>
      <c r="I469" s="316" t="s">
        <v>4</v>
      </c>
      <c r="J469" s="318" t="s">
        <v>3344</v>
      </c>
      <c r="K469" s="318" t="s">
        <v>24</v>
      </c>
      <c r="L469" s="14">
        <v>44844</v>
      </c>
      <c r="M469" t="s">
        <v>4095</v>
      </c>
      <c r="N469" s="180">
        <v>44827</v>
      </c>
      <c r="O469" s="179"/>
      <c r="Q469" t="s">
        <v>22</v>
      </c>
      <c r="T469" s="195"/>
      <c r="U469" s="195"/>
      <c r="V469" s="300"/>
      <c r="W469" s="201"/>
      <c r="X469" s="201"/>
      <c r="Y469" s="200"/>
      <c r="Z469" s="207"/>
      <c r="AA469" s="206"/>
      <c r="AB469" s="207"/>
      <c r="AC469" s="188"/>
      <c r="AD469" s="187">
        <v>44827</v>
      </c>
    </row>
    <row r="470" spans="1:30">
      <c r="A470" s="318">
        <f>COUNTA($E$3:E470)</f>
        <v>468</v>
      </c>
      <c r="B470" s="318" t="s">
        <v>4006</v>
      </c>
      <c r="C470" s="318" t="s">
        <v>37</v>
      </c>
      <c r="D470" s="318" t="s">
        <v>30</v>
      </c>
      <c r="E470" s="318" t="s">
        <v>3377</v>
      </c>
      <c r="F470" s="316">
        <v>44827</v>
      </c>
      <c r="G470" s="316"/>
      <c r="H470" s="316"/>
      <c r="I470" s="316" t="s">
        <v>2</v>
      </c>
      <c r="J470" s="318" t="s">
        <v>4007</v>
      </c>
      <c r="K470" s="318" t="s">
        <v>1296</v>
      </c>
      <c r="L470" s="14">
        <v>44837</v>
      </c>
      <c r="M470" t="s">
        <v>4050</v>
      </c>
      <c r="N470" s="180">
        <v>44907</v>
      </c>
      <c r="O470" s="179"/>
      <c r="Q470" t="s">
        <v>129</v>
      </c>
      <c r="T470" s="195"/>
      <c r="U470" s="195"/>
      <c r="V470" s="300"/>
      <c r="W470" s="201"/>
      <c r="X470" s="201"/>
      <c r="Y470" s="200"/>
      <c r="Z470" s="207"/>
      <c r="AA470" s="206"/>
      <c r="AB470" s="207"/>
      <c r="AC470" s="188"/>
      <c r="AD470" s="187">
        <v>44907</v>
      </c>
    </row>
    <row r="471" spans="1:30">
      <c r="A471" s="318">
        <f>COUNTA($E$3:E471)</f>
        <v>469</v>
      </c>
      <c r="B471" s="318" t="s">
        <v>3992</v>
      </c>
      <c r="C471" s="318" t="s">
        <v>37</v>
      </c>
      <c r="D471" s="318" t="s">
        <v>30</v>
      </c>
      <c r="E471" s="318" t="s">
        <v>3378</v>
      </c>
      <c r="F471" s="316">
        <v>44826</v>
      </c>
      <c r="G471" s="316"/>
      <c r="H471" s="316"/>
      <c r="I471" s="316" t="s">
        <v>2</v>
      </c>
      <c r="J471" s="318" t="s">
        <v>1671</v>
      </c>
      <c r="K471" s="318" t="s">
        <v>1287</v>
      </c>
      <c r="L471" s="14">
        <v>44837</v>
      </c>
      <c r="M471" t="s">
        <v>4048</v>
      </c>
      <c r="N471" s="180">
        <v>44967</v>
      </c>
      <c r="O471" s="179"/>
      <c r="Q471" t="s">
        <v>129</v>
      </c>
      <c r="T471" s="195"/>
      <c r="U471" s="195"/>
      <c r="V471" s="300"/>
      <c r="W471" s="201"/>
      <c r="X471" s="201"/>
      <c r="Y471" s="200"/>
      <c r="Z471" s="207"/>
      <c r="AA471" s="206"/>
      <c r="AB471" s="207"/>
      <c r="AC471" s="188"/>
      <c r="AD471" s="187">
        <v>44967</v>
      </c>
    </row>
    <row r="472" spans="1:30">
      <c r="A472" s="318">
        <f>COUNTA($E$3:E472)</f>
        <v>470</v>
      </c>
      <c r="B472" s="318" t="s">
        <v>3902</v>
      </c>
      <c r="C472" s="318" t="s">
        <v>3903</v>
      </c>
      <c r="D472" s="318" t="s">
        <v>56</v>
      </c>
      <c r="E472" s="318" t="s">
        <v>3904</v>
      </c>
      <c r="F472" s="316">
        <v>44812</v>
      </c>
      <c r="G472" s="316"/>
      <c r="H472" s="316" t="s">
        <v>55</v>
      </c>
      <c r="I472" s="316" t="s">
        <v>2</v>
      </c>
      <c r="J472" s="318" t="s">
        <v>3938</v>
      </c>
      <c r="K472" s="318"/>
      <c r="L472" s="14">
        <v>44837</v>
      </c>
      <c r="M472" t="s">
        <v>4049</v>
      </c>
      <c r="N472" s="180">
        <v>44844</v>
      </c>
      <c r="O472" s="179"/>
      <c r="Q472" t="s">
        <v>129</v>
      </c>
      <c r="T472" s="195"/>
      <c r="U472" s="195"/>
      <c r="V472" s="300"/>
      <c r="W472" s="201"/>
      <c r="X472" s="201"/>
      <c r="Y472" s="200"/>
      <c r="Z472" s="207"/>
      <c r="AA472" s="206"/>
      <c r="AB472" s="207"/>
      <c r="AC472" s="188"/>
      <c r="AD472" s="187">
        <v>44844</v>
      </c>
    </row>
    <row r="473" spans="1:30">
      <c r="A473" s="318">
        <f>COUNTA($E$3:E473)</f>
        <v>471</v>
      </c>
      <c r="B473" s="318" t="s">
        <v>3889</v>
      </c>
      <c r="C473" s="318" t="s">
        <v>1119</v>
      </c>
      <c r="D473" s="318" t="s">
        <v>64</v>
      </c>
      <c r="E473" s="318" t="s">
        <v>3684</v>
      </c>
      <c r="F473" s="316">
        <v>44810</v>
      </c>
      <c r="G473" s="316"/>
      <c r="H473" s="316">
        <v>44816</v>
      </c>
      <c r="I473" s="316" t="s">
        <v>2</v>
      </c>
      <c r="J473" s="318" t="s">
        <v>1747</v>
      </c>
      <c r="K473" s="318" t="s">
        <v>1295</v>
      </c>
      <c r="L473" s="14">
        <v>44837</v>
      </c>
      <c r="M473" t="s">
        <v>4047</v>
      </c>
      <c r="N473" s="180">
        <v>44832</v>
      </c>
      <c r="O473" s="179"/>
      <c r="Q473" t="s">
        <v>129</v>
      </c>
      <c r="T473" s="195"/>
      <c r="U473" s="195"/>
      <c r="V473" s="300"/>
      <c r="W473" s="201"/>
      <c r="X473" s="201"/>
      <c r="Y473" s="200"/>
      <c r="Z473" s="207"/>
      <c r="AA473" s="206"/>
      <c r="AB473" s="207"/>
      <c r="AC473" s="188"/>
      <c r="AD473" s="187">
        <v>44832</v>
      </c>
    </row>
    <row r="474" spans="1:30">
      <c r="A474" s="318">
        <f>COUNTA($E$3:E474)</f>
        <v>472</v>
      </c>
      <c r="B474" s="318" t="s">
        <v>3553</v>
      </c>
      <c r="C474" s="318" t="s">
        <v>3466</v>
      </c>
      <c r="D474" s="318" t="s">
        <v>3538</v>
      </c>
      <c r="E474" s="318" t="s">
        <v>3554</v>
      </c>
      <c r="F474" s="316">
        <v>44762</v>
      </c>
      <c r="G474" s="316"/>
      <c r="H474" s="316">
        <v>44769</v>
      </c>
      <c r="I474" s="316" t="s">
        <v>2</v>
      </c>
      <c r="J474" s="318" t="s">
        <v>1934</v>
      </c>
      <c r="K474" s="318"/>
      <c r="L474" s="14">
        <v>44837</v>
      </c>
      <c r="M474" t="s">
        <v>4054</v>
      </c>
      <c r="N474" s="180">
        <v>44762</v>
      </c>
      <c r="O474" s="179"/>
      <c r="Q474" t="s">
        <v>22</v>
      </c>
      <c r="T474" s="195"/>
      <c r="U474" s="195"/>
      <c r="V474" s="300"/>
      <c r="W474" s="201"/>
      <c r="X474" s="201"/>
      <c r="Y474" s="200"/>
      <c r="Z474" s="207"/>
      <c r="AA474" s="206"/>
      <c r="AB474" s="207"/>
      <c r="AC474" s="188"/>
      <c r="AD474" s="187">
        <v>44762</v>
      </c>
    </row>
    <row r="475" spans="1:30">
      <c r="A475" s="318">
        <f>COUNTA($E$3:E475)</f>
        <v>473</v>
      </c>
      <c r="B475" s="318" t="s">
        <v>4040</v>
      </c>
      <c r="C475" s="318" t="s">
        <v>3828</v>
      </c>
      <c r="D475" s="318" t="s">
        <v>19</v>
      </c>
      <c r="E475" s="318" t="s">
        <v>3696</v>
      </c>
      <c r="F475" s="316">
        <v>44833</v>
      </c>
      <c r="G475" s="316"/>
      <c r="H475" s="316"/>
      <c r="I475" s="316" t="s">
        <v>3</v>
      </c>
      <c r="J475" s="318" t="s">
        <v>1212</v>
      </c>
      <c r="K475" s="318"/>
      <c r="L475" s="14">
        <v>44837</v>
      </c>
      <c r="M475" t="s">
        <v>4052</v>
      </c>
      <c r="N475" s="180">
        <v>44833</v>
      </c>
      <c r="O475" s="179"/>
      <c r="Q475" t="s">
        <v>129</v>
      </c>
      <c r="T475" s="195"/>
      <c r="U475" s="195"/>
      <c r="V475" s="300"/>
      <c r="W475" s="201"/>
      <c r="X475" s="201"/>
      <c r="Y475" s="200"/>
      <c r="Z475" s="207"/>
      <c r="AA475" s="206"/>
      <c r="AB475" s="207"/>
      <c r="AC475" s="188"/>
      <c r="AD475" s="187">
        <v>44833</v>
      </c>
    </row>
    <row r="476" spans="1:30">
      <c r="A476" s="318">
        <f>COUNTA($E$3:E476)</f>
        <v>474</v>
      </c>
      <c r="B476" s="318" t="s">
        <v>4039</v>
      </c>
      <c r="C476" s="318" t="s">
        <v>3828</v>
      </c>
      <c r="D476" s="318" t="s">
        <v>104</v>
      </c>
      <c r="E476" s="318" t="s">
        <v>1266</v>
      </c>
      <c r="F476" s="316">
        <v>44833</v>
      </c>
      <c r="G476" s="316"/>
      <c r="H476" s="316"/>
      <c r="I476" s="316" t="s">
        <v>3</v>
      </c>
      <c r="J476" s="318" t="s">
        <v>1212</v>
      </c>
      <c r="K476" s="318"/>
      <c r="L476" s="14">
        <v>44837</v>
      </c>
      <c r="M476" t="s">
        <v>4052</v>
      </c>
      <c r="N476" s="180">
        <v>44833</v>
      </c>
      <c r="O476" s="179"/>
      <c r="Q476" t="s">
        <v>129</v>
      </c>
      <c r="T476" s="195"/>
      <c r="U476" s="195"/>
      <c r="V476" s="300"/>
      <c r="W476" s="201"/>
      <c r="X476" s="201"/>
      <c r="Y476" s="200"/>
      <c r="Z476" s="207"/>
      <c r="AA476" s="206"/>
      <c r="AB476" s="207"/>
      <c r="AC476" s="188"/>
      <c r="AD476" s="187">
        <v>44833</v>
      </c>
    </row>
    <row r="477" spans="1:30">
      <c r="A477" s="318">
        <f>COUNTA($E$3:E477)</f>
        <v>475</v>
      </c>
      <c r="B477" s="318" t="s">
        <v>4022</v>
      </c>
      <c r="C477" s="318" t="s">
        <v>37</v>
      </c>
      <c r="D477" s="318" t="s">
        <v>30</v>
      </c>
      <c r="E477" s="318" t="s">
        <v>4023</v>
      </c>
      <c r="F477" s="316">
        <v>44832.467793645803</v>
      </c>
      <c r="G477" s="316"/>
      <c r="H477" s="316"/>
      <c r="I477" s="316" t="s">
        <v>3</v>
      </c>
      <c r="J477" s="318" t="s">
        <v>2480</v>
      </c>
      <c r="K477" s="318"/>
      <c r="L477" s="14">
        <v>44837</v>
      </c>
      <c r="M477" t="s">
        <v>4049</v>
      </c>
      <c r="N477" s="180">
        <v>44844</v>
      </c>
      <c r="O477" s="179"/>
      <c r="Q477" t="s">
        <v>129</v>
      </c>
      <c r="T477" s="195"/>
      <c r="U477" s="195"/>
      <c r="V477" s="300"/>
      <c r="W477" s="201"/>
      <c r="X477" s="201"/>
      <c r="Y477" s="200"/>
      <c r="Z477" s="207"/>
      <c r="AA477" s="206"/>
      <c r="AB477" s="207"/>
      <c r="AC477" s="188"/>
      <c r="AD477" s="187">
        <v>44844</v>
      </c>
    </row>
    <row r="478" spans="1:30">
      <c r="A478" s="318">
        <f>COUNTA($E$3:E478)</f>
        <v>476</v>
      </c>
      <c r="B478" s="318" t="s">
        <v>4019</v>
      </c>
      <c r="C478" s="318" t="s">
        <v>41</v>
      </c>
      <c r="D478" s="318" t="s">
        <v>1139</v>
      </c>
      <c r="E478" s="318" t="s">
        <v>1140</v>
      </c>
      <c r="F478" s="316">
        <v>44831.782583090302</v>
      </c>
      <c r="G478" s="316"/>
      <c r="H478" s="316"/>
      <c r="I478" s="316" t="s">
        <v>3</v>
      </c>
      <c r="J478" s="318" t="s">
        <v>1485</v>
      </c>
      <c r="K478" s="318" t="s">
        <v>1295</v>
      </c>
      <c r="L478" s="14">
        <v>44837</v>
      </c>
      <c r="M478" t="s">
        <v>4043</v>
      </c>
      <c r="N478" s="180">
        <v>44831</v>
      </c>
      <c r="O478" s="179"/>
      <c r="Q478" t="s">
        <v>129</v>
      </c>
      <c r="T478" s="195"/>
      <c r="U478" s="195"/>
      <c r="V478" s="300"/>
      <c r="W478" s="201"/>
      <c r="X478" s="201"/>
      <c r="Y478" s="200"/>
      <c r="Z478" s="207"/>
      <c r="AA478" s="206"/>
      <c r="AB478" s="207"/>
      <c r="AC478" s="188"/>
      <c r="AD478" s="187">
        <v>44831</v>
      </c>
    </row>
    <row r="479" spans="1:30">
      <c r="A479" s="318">
        <f>COUNTA($E$3:E479)</f>
        <v>477</v>
      </c>
      <c r="B479" s="318" t="s">
        <v>4018</v>
      </c>
      <c r="C479" s="318" t="s">
        <v>40</v>
      </c>
      <c r="D479" s="318" t="s">
        <v>51</v>
      </c>
      <c r="E479" s="318" t="s">
        <v>1694</v>
      </c>
      <c r="F479" s="316">
        <v>44831.782280983804</v>
      </c>
      <c r="G479" s="316"/>
      <c r="H479" s="316"/>
      <c r="I479" s="316" t="s">
        <v>3</v>
      </c>
      <c r="J479" s="318" t="s">
        <v>1485</v>
      </c>
      <c r="K479" s="318" t="s">
        <v>1295</v>
      </c>
      <c r="L479" s="14">
        <v>44837</v>
      </c>
      <c r="M479" t="s">
        <v>4043</v>
      </c>
      <c r="N479" s="180">
        <v>44831</v>
      </c>
      <c r="O479" s="179"/>
      <c r="Q479" t="s">
        <v>129</v>
      </c>
      <c r="T479" s="195"/>
      <c r="U479" s="195"/>
      <c r="V479" s="300"/>
      <c r="W479" s="201"/>
      <c r="X479" s="201"/>
      <c r="Y479" s="200"/>
      <c r="Z479" s="207"/>
      <c r="AA479" s="206"/>
      <c r="AB479" s="207"/>
      <c r="AC479" s="188"/>
      <c r="AD479" s="187">
        <v>44831</v>
      </c>
    </row>
    <row r="480" spans="1:30">
      <c r="A480" s="318">
        <f>COUNTA($E$3:E480)</f>
        <v>478</v>
      </c>
      <c r="B480" s="318" t="s">
        <v>4017</v>
      </c>
      <c r="C480" s="318" t="s">
        <v>41</v>
      </c>
      <c r="D480" s="318" t="s">
        <v>51</v>
      </c>
      <c r="E480" s="318" t="s">
        <v>3024</v>
      </c>
      <c r="F480" s="316">
        <v>44831</v>
      </c>
      <c r="G480" s="316"/>
      <c r="H480" s="316"/>
      <c r="I480" s="316" t="s">
        <v>3</v>
      </c>
      <c r="J480" s="318" t="s">
        <v>1485</v>
      </c>
      <c r="K480" s="318"/>
      <c r="L480" s="14">
        <v>44837</v>
      </c>
      <c r="M480" t="s">
        <v>4051</v>
      </c>
      <c r="N480" s="180">
        <v>44831</v>
      </c>
      <c r="O480" s="179"/>
      <c r="Q480" t="s">
        <v>129</v>
      </c>
      <c r="T480" s="195"/>
      <c r="U480" s="195"/>
      <c r="V480" s="300"/>
      <c r="W480" s="201"/>
      <c r="X480" s="201"/>
      <c r="Y480" s="200"/>
      <c r="Z480" s="207"/>
      <c r="AA480" s="206"/>
      <c r="AB480" s="207"/>
      <c r="AC480" s="188"/>
      <c r="AD480" s="187">
        <v>44831</v>
      </c>
    </row>
    <row r="481" spans="1:30">
      <c r="A481" s="318">
        <f>COUNTA($E$3:E481)</f>
        <v>479</v>
      </c>
      <c r="B481" s="318" t="s">
        <v>3993</v>
      </c>
      <c r="C481" s="318" t="s">
        <v>3296</v>
      </c>
      <c r="D481" s="318" t="s">
        <v>36</v>
      </c>
      <c r="E481" s="318" t="s">
        <v>3525</v>
      </c>
      <c r="F481" s="316">
        <v>44826.541712812497</v>
      </c>
      <c r="G481" s="316"/>
      <c r="H481" s="316"/>
      <c r="I481" s="316" t="s">
        <v>3</v>
      </c>
      <c r="J481" s="318" t="s">
        <v>17</v>
      </c>
      <c r="K481" s="318" t="s">
        <v>1287</v>
      </c>
      <c r="L481" s="14">
        <v>44837</v>
      </c>
      <c r="M481" t="s">
        <v>4049</v>
      </c>
      <c r="N481" s="180">
        <v>44844</v>
      </c>
      <c r="O481" s="179"/>
      <c r="Q481" t="s">
        <v>129</v>
      </c>
      <c r="T481" s="195"/>
      <c r="U481" s="195"/>
      <c r="V481" s="300"/>
      <c r="W481" s="201"/>
      <c r="X481" s="201"/>
      <c r="Y481" s="200"/>
      <c r="Z481" s="207"/>
      <c r="AA481" s="206"/>
      <c r="AB481" s="207"/>
      <c r="AC481" s="188"/>
      <c r="AD481" s="187">
        <v>44844</v>
      </c>
    </row>
    <row r="482" spans="1:30">
      <c r="A482" s="318">
        <f>COUNTA($E$3:E482)</f>
        <v>480</v>
      </c>
      <c r="B482" s="318" t="s">
        <v>3929</v>
      </c>
      <c r="C482" s="318" t="s">
        <v>41</v>
      </c>
      <c r="D482" s="318" t="s">
        <v>34</v>
      </c>
      <c r="E482" s="318" t="s">
        <v>1045</v>
      </c>
      <c r="F482" s="316">
        <v>44820</v>
      </c>
      <c r="G482" s="316"/>
      <c r="H482" s="316" t="s">
        <v>66</v>
      </c>
      <c r="I482" s="316" t="s">
        <v>3</v>
      </c>
      <c r="J482" s="318" t="s">
        <v>1720</v>
      </c>
      <c r="K482" s="318" t="s">
        <v>18</v>
      </c>
      <c r="L482" s="14">
        <v>44837</v>
      </c>
      <c r="M482" t="s">
        <v>4014</v>
      </c>
      <c r="N482" s="180">
        <v>44841</v>
      </c>
      <c r="O482" s="179"/>
      <c r="Q482" t="s">
        <v>22</v>
      </c>
      <c r="T482" s="195"/>
      <c r="U482" s="195"/>
      <c r="V482" s="300"/>
      <c r="W482" s="201"/>
      <c r="X482" s="201"/>
      <c r="Y482" s="200"/>
      <c r="Z482" s="207"/>
      <c r="AA482" s="206"/>
      <c r="AB482" s="207"/>
      <c r="AC482" s="188"/>
      <c r="AD482" s="187">
        <v>44841</v>
      </c>
    </row>
    <row r="483" spans="1:30">
      <c r="A483" s="318">
        <f>COUNTA($E$3:E483)</f>
        <v>481</v>
      </c>
      <c r="B483" s="318" t="s">
        <v>3442</v>
      </c>
      <c r="C483" s="318" t="s">
        <v>2422</v>
      </c>
      <c r="D483" s="318" t="s">
        <v>45</v>
      </c>
      <c r="E483" s="318" t="s">
        <v>3443</v>
      </c>
      <c r="F483" s="316">
        <v>44743</v>
      </c>
      <c r="G483" s="316">
        <v>44830</v>
      </c>
      <c r="H483" s="316">
        <v>44755</v>
      </c>
      <c r="I483" s="316" t="s">
        <v>4</v>
      </c>
      <c r="J483" s="318" t="s">
        <v>3444</v>
      </c>
      <c r="K483" s="318" t="s">
        <v>287</v>
      </c>
      <c r="L483" s="14">
        <v>44837</v>
      </c>
      <c r="M483" t="s">
        <v>4053</v>
      </c>
      <c r="N483" s="180">
        <v>44844</v>
      </c>
      <c r="O483" s="179"/>
      <c r="Q483" t="s">
        <v>22</v>
      </c>
      <c r="T483" s="195"/>
      <c r="U483" s="195"/>
      <c r="V483" s="300"/>
      <c r="W483" s="201"/>
      <c r="X483" s="201"/>
      <c r="Y483" s="200"/>
      <c r="Z483" s="207"/>
      <c r="AA483" s="206"/>
      <c r="AB483" s="207"/>
      <c r="AC483" s="188"/>
      <c r="AD483" s="187">
        <v>44844</v>
      </c>
    </row>
    <row r="484" spans="1:30">
      <c r="A484" s="318">
        <f>COUNTA($E$3:E484)</f>
        <v>482</v>
      </c>
      <c r="B484" s="318" t="s">
        <v>3924</v>
      </c>
      <c r="C484" s="318" t="s">
        <v>41</v>
      </c>
      <c r="D484" s="318" t="s">
        <v>16</v>
      </c>
      <c r="E484" s="318" t="s">
        <v>1188</v>
      </c>
      <c r="F484" s="316">
        <v>44817.452291666668</v>
      </c>
      <c r="G484" s="316"/>
      <c r="H484" s="316"/>
      <c r="I484" s="316" t="s">
        <v>1110</v>
      </c>
      <c r="J484" s="318"/>
      <c r="K484" s="318"/>
      <c r="L484" s="14">
        <v>44830</v>
      </c>
      <c r="M484" t="s">
        <v>3942</v>
      </c>
      <c r="N484" s="180">
        <v>44827</v>
      </c>
      <c r="O484" s="179"/>
      <c r="Q484" t="s">
        <v>22</v>
      </c>
      <c r="T484" s="195"/>
      <c r="U484" s="195"/>
      <c r="V484" s="300"/>
      <c r="W484" s="201"/>
      <c r="X484" s="201"/>
      <c r="Y484" s="200"/>
      <c r="Z484" s="207"/>
      <c r="AA484" s="206"/>
      <c r="AB484" s="207"/>
      <c r="AC484" s="188"/>
      <c r="AD484" s="187">
        <v>44827</v>
      </c>
    </row>
    <row r="485" spans="1:30">
      <c r="A485" s="318">
        <f>COUNTA($E$3:E485)</f>
        <v>483</v>
      </c>
      <c r="B485" s="318" t="s">
        <v>4003</v>
      </c>
      <c r="C485" s="318" t="s">
        <v>37</v>
      </c>
      <c r="D485" s="318" t="s">
        <v>30</v>
      </c>
      <c r="E485" s="318" t="s">
        <v>3368</v>
      </c>
      <c r="F485" s="316">
        <v>44826</v>
      </c>
      <c r="G485" s="316"/>
      <c r="H485" s="316"/>
      <c r="I485" s="316" t="s">
        <v>2</v>
      </c>
      <c r="J485" s="318" t="s">
        <v>4004</v>
      </c>
      <c r="K485" s="318" t="s">
        <v>33</v>
      </c>
      <c r="L485" s="14">
        <v>44830</v>
      </c>
      <c r="N485" s="180">
        <v>45051</v>
      </c>
      <c r="O485" s="179"/>
      <c r="Q485" t="s">
        <v>129</v>
      </c>
      <c r="T485" s="195"/>
      <c r="U485" s="195"/>
      <c r="V485" s="300"/>
      <c r="W485" s="201"/>
      <c r="X485" s="201"/>
      <c r="Y485" s="200"/>
      <c r="Z485" s="207"/>
      <c r="AA485" s="206"/>
      <c r="AB485" s="207"/>
      <c r="AC485" s="188"/>
      <c r="AD485" s="187">
        <v>45051</v>
      </c>
    </row>
    <row r="486" spans="1:30">
      <c r="A486" s="318">
        <f>COUNTA($E$3:E486)</f>
        <v>484</v>
      </c>
      <c r="B486" s="318" t="s">
        <v>3926</v>
      </c>
      <c r="C486" s="318" t="s">
        <v>21</v>
      </c>
      <c r="D486" s="318" t="s">
        <v>23</v>
      </c>
      <c r="E486" s="318" t="s">
        <v>1925</v>
      </c>
      <c r="F486" s="316">
        <v>44819</v>
      </c>
      <c r="G486" s="316"/>
      <c r="H486" s="316"/>
      <c r="I486" s="316" t="s">
        <v>2</v>
      </c>
      <c r="J486" s="318" t="s">
        <v>2063</v>
      </c>
      <c r="K486" s="318" t="s">
        <v>287</v>
      </c>
      <c r="L486" s="14">
        <v>44830</v>
      </c>
      <c r="M486" t="s">
        <v>3999</v>
      </c>
      <c r="N486" s="180">
        <v>44988</v>
      </c>
      <c r="O486" s="179"/>
      <c r="Q486" t="s">
        <v>129</v>
      </c>
      <c r="T486" s="195"/>
      <c r="U486" s="195"/>
      <c r="V486" s="300"/>
      <c r="W486" s="201"/>
      <c r="X486" s="201"/>
      <c r="Y486" s="200"/>
      <c r="Z486" s="207"/>
      <c r="AA486" s="206"/>
      <c r="AB486" s="207"/>
      <c r="AC486" s="188"/>
      <c r="AD486" s="187">
        <v>44988</v>
      </c>
    </row>
    <row r="487" spans="1:30">
      <c r="A487" s="318">
        <f>COUNTA($E$3:E487)</f>
        <v>485</v>
      </c>
      <c r="B487" s="318" t="s">
        <v>3923</v>
      </c>
      <c r="C487" s="318" t="s">
        <v>65</v>
      </c>
      <c r="D487" s="318" t="s">
        <v>1103</v>
      </c>
      <c r="E487" s="318" t="s">
        <v>2420</v>
      </c>
      <c r="F487" s="316">
        <v>44817</v>
      </c>
      <c r="G487" s="316"/>
      <c r="H487" s="316"/>
      <c r="I487" s="316" t="s">
        <v>2</v>
      </c>
      <c r="J487" s="318" t="s">
        <v>1485</v>
      </c>
      <c r="K487" s="318"/>
      <c r="L487" s="14">
        <v>44830</v>
      </c>
      <c r="M487" t="s">
        <v>3947</v>
      </c>
      <c r="N487" s="180">
        <v>44827</v>
      </c>
      <c r="O487" s="179"/>
      <c r="Q487" t="s">
        <v>22</v>
      </c>
      <c r="T487" s="195"/>
      <c r="U487" s="195"/>
      <c r="V487" s="300"/>
      <c r="W487" s="201"/>
      <c r="X487" s="201"/>
      <c r="Y487" s="200"/>
      <c r="Z487" s="207"/>
      <c r="AA487" s="206"/>
      <c r="AB487" s="207"/>
      <c r="AC487" s="188"/>
      <c r="AD487" s="187">
        <v>44827</v>
      </c>
    </row>
    <row r="488" spans="1:30">
      <c r="A488" s="318">
        <f>COUNTA($E$3:E488)</f>
        <v>486</v>
      </c>
      <c r="B488" s="318" t="s">
        <v>3986</v>
      </c>
      <c r="C488" s="318" t="s">
        <v>44</v>
      </c>
      <c r="D488" s="318" t="s">
        <v>45</v>
      </c>
      <c r="E488" s="318" t="s">
        <v>173</v>
      </c>
      <c r="F488" s="316">
        <v>44826</v>
      </c>
      <c r="G488" s="316"/>
      <c r="H488" s="316" t="s">
        <v>66</v>
      </c>
      <c r="I488" s="316" t="s">
        <v>3</v>
      </c>
      <c r="J488" s="318" t="s">
        <v>1639</v>
      </c>
      <c r="K488" s="318" t="s">
        <v>125</v>
      </c>
      <c r="L488" s="14">
        <v>44830</v>
      </c>
      <c r="M488" t="s">
        <v>4010</v>
      </c>
      <c r="N488" s="180">
        <v>44831</v>
      </c>
      <c r="O488" s="179"/>
      <c r="Q488" t="s">
        <v>129</v>
      </c>
      <c r="T488" s="195"/>
      <c r="U488" s="195"/>
      <c r="V488" s="300"/>
      <c r="W488" s="201"/>
      <c r="X488" s="201"/>
      <c r="Y488" s="200"/>
      <c r="Z488" s="207"/>
      <c r="AA488" s="206"/>
      <c r="AB488" s="207"/>
      <c r="AC488" s="188"/>
      <c r="AD488" s="187">
        <v>44831</v>
      </c>
    </row>
    <row r="489" spans="1:30">
      <c r="A489" s="318">
        <f>COUNTA($E$3:E489)</f>
        <v>487</v>
      </c>
      <c r="B489" s="318" t="s">
        <v>3982</v>
      </c>
      <c r="C489" s="318" t="s">
        <v>1752</v>
      </c>
      <c r="D489" s="318" t="s">
        <v>49</v>
      </c>
      <c r="E489" s="318" t="s">
        <v>1753</v>
      </c>
      <c r="F489" s="316">
        <v>44824</v>
      </c>
      <c r="G489" s="316"/>
      <c r="H489" s="316"/>
      <c r="I489" s="316" t="s">
        <v>3</v>
      </c>
      <c r="J489" s="318" t="s">
        <v>1652</v>
      </c>
      <c r="K489" s="318" t="s">
        <v>20</v>
      </c>
      <c r="L489" s="14">
        <v>44830</v>
      </c>
      <c r="M489" t="s">
        <v>4001</v>
      </c>
      <c r="N489" s="180">
        <v>44827</v>
      </c>
      <c r="O489" s="179"/>
      <c r="Q489" t="s">
        <v>22</v>
      </c>
      <c r="T489" s="195"/>
      <c r="U489" s="195"/>
      <c r="V489" s="300"/>
      <c r="W489" s="201"/>
      <c r="X489" s="201"/>
      <c r="Y489" s="200"/>
      <c r="Z489" s="207"/>
      <c r="AA489" s="206"/>
      <c r="AB489" s="207"/>
      <c r="AC489" s="188"/>
      <c r="AD489" s="187">
        <v>44827</v>
      </c>
    </row>
    <row r="490" spans="1:30">
      <c r="A490" s="318">
        <f>COUNTA($E$3:E490)</f>
        <v>488</v>
      </c>
      <c r="B490" s="318" t="s">
        <v>3970</v>
      </c>
      <c r="C490" s="318" t="s">
        <v>2726</v>
      </c>
      <c r="D490" s="318" t="s">
        <v>56</v>
      </c>
      <c r="E490" s="318" t="s">
        <v>3971</v>
      </c>
      <c r="F490" s="316">
        <v>44823</v>
      </c>
      <c r="G490" s="316"/>
      <c r="H490" s="316"/>
      <c r="I490" s="316" t="s">
        <v>3</v>
      </c>
      <c r="J490" s="318" t="s">
        <v>1485</v>
      </c>
      <c r="K490" s="318" t="s">
        <v>18</v>
      </c>
      <c r="L490" s="14">
        <v>44830</v>
      </c>
      <c r="M490" t="s">
        <v>4009</v>
      </c>
      <c r="N490" s="180">
        <v>44824</v>
      </c>
      <c r="O490" s="179"/>
      <c r="Q490" t="s">
        <v>22</v>
      </c>
      <c r="T490" s="195"/>
      <c r="U490" s="195"/>
      <c r="V490" s="300"/>
      <c r="W490" s="201"/>
      <c r="X490" s="201"/>
      <c r="Y490" s="200"/>
      <c r="Z490" s="207"/>
      <c r="AA490" s="206"/>
      <c r="AB490" s="207"/>
      <c r="AC490" s="188"/>
      <c r="AD490" s="187">
        <v>44824</v>
      </c>
    </row>
    <row r="491" spans="1:30">
      <c r="A491" s="318">
        <f>COUNTA($E$3:E491)</f>
        <v>489</v>
      </c>
      <c r="B491" s="318" t="s">
        <v>3932</v>
      </c>
      <c r="C491" s="318" t="s">
        <v>41</v>
      </c>
      <c r="D491" s="318" t="s">
        <v>1201</v>
      </c>
      <c r="E491" s="318" t="s">
        <v>2296</v>
      </c>
      <c r="F491" s="316">
        <v>44818.693276099497</v>
      </c>
      <c r="G491" s="316"/>
      <c r="H491" s="316"/>
      <c r="I491" s="316" t="s">
        <v>3</v>
      </c>
      <c r="J491" s="318" t="s">
        <v>1666</v>
      </c>
      <c r="K491" s="318" t="s">
        <v>1294</v>
      </c>
      <c r="L491" s="14">
        <v>44830</v>
      </c>
      <c r="M491" t="s">
        <v>4000</v>
      </c>
      <c r="N491" s="180">
        <v>44825</v>
      </c>
      <c r="O491" s="179"/>
      <c r="Q491" t="s">
        <v>22</v>
      </c>
      <c r="T491" s="195"/>
      <c r="U491" s="195"/>
      <c r="V491" s="300"/>
      <c r="W491" s="201"/>
      <c r="X491" s="201"/>
      <c r="Y491" s="200"/>
      <c r="Z491" s="207"/>
      <c r="AA491" s="206"/>
      <c r="AB491" s="207"/>
      <c r="AC491" s="188"/>
      <c r="AD491" s="187">
        <v>44825</v>
      </c>
    </row>
    <row r="492" spans="1:30">
      <c r="A492" s="318">
        <f>COUNTA($E$3:E492)</f>
        <v>490</v>
      </c>
      <c r="B492" s="318" t="s">
        <v>3914</v>
      </c>
      <c r="C492" s="318" t="s">
        <v>1279</v>
      </c>
      <c r="D492" s="318" t="s">
        <v>16</v>
      </c>
      <c r="E492" s="318" t="s">
        <v>2772</v>
      </c>
      <c r="F492" s="316">
        <v>44813.515660543999</v>
      </c>
      <c r="G492" s="316"/>
      <c r="H492" s="316"/>
      <c r="I492" s="316" t="s">
        <v>3</v>
      </c>
      <c r="J492" s="318" t="s">
        <v>1485</v>
      </c>
      <c r="K492" s="318" t="s">
        <v>1295</v>
      </c>
      <c r="L492" s="14">
        <v>44830</v>
      </c>
      <c r="M492" t="s">
        <v>4008</v>
      </c>
      <c r="N492" s="180">
        <v>44824</v>
      </c>
      <c r="O492" s="179"/>
      <c r="Q492" t="s">
        <v>129</v>
      </c>
      <c r="T492" s="195"/>
      <c r="U492" s="195"/>
      <c r="V492" s="300"/>
      <c r="W492" s="201"/>
      <c r="X492" s="201"/>
      <c r="Y492" s="200"/>
      <c r="Z492" s="207"/>
      <c r="AA492" s="206"/>
      <c r="AB492" s="207"/>
      <c r="AC492" s="188"/>
      <c r="AD492" s="187">
        <v>44824</v>
      </c>
    </row>
    <row r="493" spans="1:30">
      <c r="A493" s="318">
        <f>COUNTA($E$3:E493)</f>
        <v>491</v>
      </c>
      <c r="B493" s="318" t="s">
        <v>3872</v>
      </c>
      <c r="C493" s="318" t="s">
        <v>21</v>
      </c>
      <c r="D493" s="318" t="s">
        <v>34</v>
      </c>
      <c r="E493" s="318" t="s">
        <v>3873</v>
      </c>
      <c r="F493" s="316">
        <v>44804</v>
      </c>
      <c r="G493" s="316"/>
      <c r="H493" s="316" t="s">
        <v>55</v>
      </c>
      <c r="I493" s="316" t="s">
        <v>3</v>
      </c>
      <c r="J493" s="318" t="s">
        <v>514</v>
      </c>
      <c r="K493" s="318" t="s">
        <v>1295</v>
      </c>
      <c r="L493" s="14">
        <v>44830</v>
      </c>
      <c r="M493" t="s">
        <v>3998</v>
      </c>
      <c r="N493" s="180">
        <v>44834</v>
      </c>
      <c r="O493" s="179"/>
      <c r="Q493" t="s">
        <v>129</v>
      </c>
      <c r="T493" s="195"/>
      <c r="U493" s="195"/>
      <c r="V493" s="300"/>
      <c r="W493" s="201"/>
      <c r="X493" s="201"/>
      <c r="Y493" s="200"/>
      <c r="Z493" s="207"/>
      <c r="AA493" s="206"/>
      <c r="AB493" s="207"/>
      <c r="AC493" s="188"/>
      <c r="AD493" s="187">
        <v>44834</v>
      </c>
    </row>
    <row r="494" spans="1:30">
      <c r="A494" s="318">
        <f>COUNTA($E$3:E494)</f>
        <v>492</v>
      </c>
      <c r="B494" s="318" t="s">
        <v>3547</v>
      </c>
      <c r="C494" s="318" t="s">
        <v>3548</v>
      </c>
      <c r="D494" s="318" t="s">
        <v>52</v>
      </c>
      <c r="E494" s="318" t="s">
        <v>3549</v>
      </c>
      <c r="F494" s="316">
        <v>44760</v>
      </c>
      <c r="G494" s="316"/>
      <c r="H494" s="316">
        <v>44764</v>
      </c>
      <c r="I494" s="316" t="s">
        <v>4</v>
      </c>
      <c r="J494" s="318" t="s">
        <v>3550</v>
      </c>
      <c r="K494" s="318" t="s">
        <v>287</v>
      </c>
      <c r="L494" s="14">
        <v>44830</v>
      </c>
      <c r="M494" t="s">
        <v>3997</v>
      </c>
      <c r="N494" s="180">
        <v>44830</v>
      </c>
      <c r="O494" s="179"/>
      <c r="Q494" t="s">
        <v>22</v>
      </c>
      <c r="T494" s="195"/>
      <c r="U494" s="195"/>
      <c r="V494" s="300"/>
      <c r="W494" s="201"/>
      <c r="X494" s="201"/>
      <c r="Y494" s="200"/>
      <c r="Z494" s="207"/>
      <c r="AA494" s="206"/>
      <c r="AB494" s="207"/>
      <c r="AC494" s="188"/>
      <c r="AD494" s="187">
        <v>44830</v>
      </c>
    </row>
    <row r="495" spans="1:30">
      <c r="A495" s="318">
        <f>COUNTA($E$3:E495)</f>
        <v>493</v>
      </c>
      <c r="B495" s="318" t="s">
        <v>3519</v>
      </c>
      <c r="C495" s="318" t="s">
        <v>3520</v>
      </c>
      <c r="D495" s="318" t="s">
        <v>31</v>
      </c>
      <c r="E495" s="318" t="s">
        <v>3521</v>
      </c>
      <c r="F495" s="316">
        <v>44756</v>
      </c>
      <c r="G495" s="316"/>
      <c r="H495" s="316">
        <v>44764</v>
      </c>
      <c r="I495" s="316" t="s">
        <v>2</v>
      </c>
      <c r="J495" s="318" t="s">
        <v>3560</v>
      </c>
      <c r="K495" s="318" t="s">
        <v>24</v>
      </c>
      <c r="L495" s="14">
        <v>44824</v>
      </c>
      <c r="M495" t="s">
        <v>3940</v>
      </c>
      <c r="N495" s="180">
        <v>44802</v>
      </c>
      <c r="O495" s="179"/>
      <c r="Q495" t="s">
        <v>22</v>
      </c>
      <c r="T495" s="195"/>
      <c r="U495" s="195"/>
      <c r="V495" s="300"/>
      <c r="W495" s="201"/>
      <c r="X495" s="201"/>
      <c r="Y495" s="200"/>
      <c r="Z495" s="207"/>
      <c r="AA495" s="206"/>
      <c r="AB495" s="207"/>
      <c r="AC495" s="188"/>
      <c r="AD495" s="187">
        <v>44802</v>
      </c>
    </row>
    <row r="496" spans="1:30">
      <c r="A496" s="318">
        <f>COUNTA($E$3:E496)</f>
        <v>494</v>
      </c>
      <c r="B496" s="318" t="s">
        <v>3234</v>
      </c>
      <c r="C496" s="318" t="s">
        <v>299</v>
      </c>
      <c r="D496" s="318" t="s">
        <v>16</v>
      </c>
      <c r="E496" s="318" t="s">
        <v>1049</v>
      </c>
      <c r="F496" s="316">
        <v>44721</v>
      </c>
      <c r="G496" s="316"/>
      <c r="H496" s="316">
        <v>42908</v>
      </c>
      <c r="I496" s="316" t="s">
        <v>2</v>
      </c>
      <c r="J496" s="318" t="s">
        <v>3267</v>
      </c>
      <c r="K496" s="318" t="s">
        <v>1294</v>
      </c>
      <c r="L496" s="14">
        <v>44823</v>
      </c>
      <c r="M496" t="s">
        <v>3939</v>
      </c>
      <c r="N496" s="180">
        <v>44811</v>
      </c>
      <c r="O496" s="179"/>
      <c r="Q496" t="s">
        <v>22</v>
      </c>
      <c r="T496" s="195"/>
      <c r="U496" s="195"/>
      <c r="V496" s="300"/>
      <c r="W496" s="201"/>
      <c r="X496" s="201"/>
      <c r="Y496" s="200"/>
      <c r="Z496" s="207"/>
      <c r="AA496" s="206"/>
      <c r="AB496" s="207"/>
      <c r="AC496" s="188"/>
      <c r="AD496" s="187">
        <v>44811</v>
      </c>
    </row>
    <row r="497" spans="1:30">
      <c r="A497" s="318">
        <f>COUNTA($E$3:E497)</f>
        <v>495</v>
      </c>
      <c r="B497" s="318" t="s">
        <v>3933</v>
      </c>
      <c r="C497" s="318" t="s">
        <v>2370</v>
      </c>
      <c r="D497" s="318" t="s">
        <v>49</v>
      </c>
      <c r="E497" s="318" t="s">
        <v>1175</v>
      </c>
      <c r="F497" s="316">
        <v>44819.725578078702</v>
      </c>
      <c r="G497" s="316"/>
      <c r="H497" s="316"/>
      <c r="I497" s="316" t="s">
        <v>3</v>
      </c>
      <c r="J497" s="318" t="s">
        <v>3946</v>
      </c>
      <c r="K497" s="318" t="s">
        <v>20</v>
      </c>
      <c r="L497" s="14">
        <v>44823</v>
      </c>
      <c r="M497" t="s">
        <v>3943</v>
      </c>
      <c r="N497" s="180">
        <v>44819</v>
      </c>
      <c r="O497" s="179"/>
      <c r="Q497" t="s">
        <v>22</v>
      </c>
      <c r="T497" s="195"/>
      <c r="U497" s="195"/>
      <c r="V497" s="300"/>
      <c r="W497" s="201"/>
      <c r="X497" s="201"/>
      <c r="Y497" s="200"/>
      <c r="Z497" s="207"/>
      <c r="AA497" s="206"/>
      <c r="AB497" s="207"/>
      <c r="AC497" s="188"/>
      <c r="AD497" s="187">
        <v>44819</v>
      </c>
    </row>
    <row r="498" spans="1:30">
      <c r="A498" s="318">
        <f>COUNTA($E$3:E498)</f>
        <v>496</v>
      </c>
      <c r="B498" s="318" t="s">
        <v>3928</v>
      </c>
      <c r="C498" s="318" t="s">
        <v>41</v>
      </c>
      <c r="D498" s="318" t="s">
        <v>30</v>
      </c>
      <c r="E498" s="318" t="s">
        <v>1722</v>
      </c>
      <c r="F498" s="316">
        <v>44819</v>
      </c>
      <c r="G498" s="316"/>
      <c r="H498" s="316"/>
      <c r="I498" s="316" t="s">
        <v>3</v>
      </c>
      <c r="J498" s="318" t="s">
        <v>1649</v>
      </c>
      <c r="K498" s="318" t="s">
        <v>1287</v>
      </c>
      <c r="L498" s="14">
        <v>44823</v>
      </c>
      <c r="M498" t="s">
        <v>3947</v>
      </c>
      <c r="N498" s="180"/>
      <c r="O498" s="179"/>
      <c r="Q498" t="s">
        <v>129</v>
      </c>
      <c r="T498" s="195"/>
      <c r="U498" s="195"/>
      <c r="V498" s="300"/>
      <c r="W498" s="201"/>
      <c r="X498" s="201"/>
      <c r="Y498" s="200"/>
      <c r="Z498" s="207"/>
      <c r="AA498" s="206"/>
      <c r="AB498" s="207"/>
      <c r="AC498" s="188"/>
      <c r="AD498" s="187"/>
    </row>
    <row r="499" spans="1:30">
      <c r="A499" s="318">
        <f>COUNTA($E$3:E499)</f>
        <v>497</v>
      </c>
      <c r="B499" s="318" t="s">
        <v>3927</v>
      </c>
      <c r="C499" s="318" t="s">
        <v>57</v>
      </c>
      <c r="D499" s="318" t="s">
        <v>1103</v>
      </c>
      <c r="E499" s="318" t="s">
        <v>2899</v>
      </c>
      <c r="F499" s="316">
        <v>44818</v>
      </c>
      <c r="G499" s="316"/>
      <c r="H499" s="316"/>
      <c r="I499" s="316" t="s">
        <v>3</v>
      </c>
      <c r="J499" s="318" t="s">
        <v>1666</v>
      </c>
      <c r="K499" s="318" t="s">
        <v>287</v>
      </c>
      <c r="L499" s="14">
        <v>44823</v>
      </c>
      <c r="M499" t="s">
        <v>3944</v>
      </c>
      <c r="N499" s="180">
        <v>44820</v>
      </c>
      <c r="O499" s="179"/>
      <c r="Q499" t="s">
        <v>22</v>
      </c>
      <c r="T499" s="195"/>
      <c r="U499" s="195"/>
      <c r="V499" s="300"/>
      <c r="W499" s="201"/>
      <c r="X499" s="201"/>
      <c r="Y499" s="200"/>
      <c r="Z499" s="207"/>
      <c r="AA499" s="206"/>
      <c r="AB499" s="207"/>
      <c r="AC499" s="188"/>
      <c r="AD499" s="187">
        <v>44820</v>
      </c>
    </row>
    <row r="500" spans="1:30">
      <c r="A500" s="318">
        <f>COUNTA($E$3:E500)</f>
        <v>498</v>
      </c>
      <c r="B500" s="318" t="s">
        <v>3925</v>
      </c>
      <c r="C500" s="318" t="s">
        <v>21</v>
      </c>
      <c r="D500" s="318" t="s">
        <v>34</v>
      </c>
      <c r="E500" s="318" t="s">
        <v>1784</v>
      </c>
      <c r="F500" s="316">
        <v>44819</v>
      </c>
      <c r="G500" s="316"/>
      <c r="H500" s="316"/>
      <c r="I500" s="316" t="s">
        <v>3</v>
      </c>
      <c r="J500" s="318" t="s">
        <v>1643</v>
      </c>
      <c r="K500" s="318" t="s">
        <v>2032</v>
      </c>
      <c r="L500" s="14">
        <v>44823</v>
      </c>
      <c r="M500" t="s">
        <v>3943</v>
      </c>
      <c r="N500" s="180">
        <v>45021</v>
      </c>
      <c r="O500" s="179"/>
      <c r="Q500" t="s">
        <v>129</v>
      </c>
      <c r="T500" s="195"/>
      <c r="U500" s="195"/>
      <c r="V500" s="300"/>
      <c r="W500" s="201"/>
      <c r="X500" s="201"/>
      <c r="Y500" s="200"/>
      <c r="Z500" s="207"/>
      <c r="AA500" s="206"/>
      <c r="AB500" s="207"/>
      <c r="AC500" s="188"/>
      <c r="AD500" s="187">
        <v>45021</v>
      </c>
    </row>
    <row r="501" spans="1:30">
      <c r="A501" s="318">
        <f>COUNTA($E$3:E501)</f>
        <v>499</v>
      </c>
      <c r="B501" s="318" t="s">
        <v>3901</v>
      </c>
      <c r="C501" s="318" t="s">
        <v>37</v>
      </c>
      <c r="D501" s="318" t="s">
        <v>30</v>
      </c>
      <c r="E501" s="318" t="s">
        <v>3039</v>
      </c>
      <c r="F501" s="316">
        <v>44812.5459670255</v>
      </c>
      <c r="G501" s="316"/>
      <c r="H501" s="316"/>
      <c r="I501" s="316" t="s">
        <v>3</v>
      </c>
      <c r="J501" s="318" t="s">
        <v>1485</v>
      </c>
      <c r="K501" s="318" t="s">
        <v>1296</v>
      </c>
      <c r="L501" s="14">
        <v>44823</v>
      </c>
      <c r="M501" t="s">
        <v>3942</v>
      </c>
      <c r="N501" s="180">
        <v>44827</v>
      </c>
      <c r="O501" s="179"/>
      <c r="Q501" t="s">
        <v>129</v>
      </c>
      <c r="T501" s="195"/>
      <c r="U501" s="195"/>
      <c r="V501" s="300"/>
      <c r="W501" s="201"/>
      <c r="X501" s="201"/>
      <c r="Y501" s="200"/>
      <c r="Z501" s="207"/>
      <c r="AA501" s="206"/>
      <c r="AB501" s="207"/>
      <c r="AC501" s="188"/>
      <c r="AD501" s="187">
        <v>44827</v>
      </c>
    </row>
    <row r="502" spans="1:30">
      <c r="A502" s="318">
        <f>COUNTA($E$3:E502)</f>
        <v>500</v>
      </c>
      <c r="B502" s="318" t="s">
        <v>3900</v>
      </c>
      <c r="C502" s="318" t="s">
        <v>37</v>
      </c>
      <c r="D502" s="318" t="s">
        <v>30</v>
      </c>
      <c r="E502" s="318" t="s">
        <v>3487</v>
      </c>
      <c r="F502" s="316">
        <v>44812.5447856713</v>
      </c>
      <c r="G502" s="316"/>
      <c r="H502" s="316"/>
      <c r="I502" s="316" t="s">
        <v>3</v>
      </c>
      <c r="J502" s="318" t="s">
        <v>1720</v>
      </c>
      <c r="K502" s="318" t="s">
        <v>1296</v>
      </c>
      <c r="L502" s="14">
        <v>44823</v>
      </c>
      <c r="M502" t="s">
        <v>3942</v>
      </c>
      <c r="N502" s="180">
        <v>44827</v>
      </c>
      <c r="O502" s="179"/>
      <c r="Q502" t="s">
        <v>129</v>
      </c>
      <c r="T502" s="195"/>
      <c r="U502" s="195"/>
      <c r="V502" s="300"/>
      <c r="W502" s="201"/>
      <c r="X502" s="201"/>
      <c r="Y502" s="200"/>
      <c r="Z502" s="207"/>
      <c r="AA502" s="206"/>
      <c r="AB502" s="207"/>
      <c r="AC502" s="188"/>
      <c r="AD502" s="187">
        <v>44827</v>
      </c>
    </row>
    <row r="503" spans="1:30">
      <c r="A503" s="318">
        <f>COUNTA($E$3:E503)</f>
        <v>501</v>
      </c>
      <c r="B503" s="318" t="s">
        <v>3891</v>
      </c>
      <c r="C503" s="318" t="s">
        <v>37</v>
      </c>
      <c r="D503" s="318" t="s">
        <v>30</v>
      </c>
      <c r="E503" s="318" t="s">
        <v>2558</v>
      </c>
      <c r="F503" s="316">
        <v>44811</v>
      </c>
      <c r="G503" s="316"/>
      <c r="H503" s="316">
        <v>44813</v>
      </c>
      <c r="I503" s="316" t="s">
        <v>3</v>
      </c>
      <c r="J503" s="318" t="s">
        <v>3915</v>
      </c>
      <c r="K503" s="318" t="s">
        <v>1089</v>
      </c>
      <c r="L503" s="14">
        <v>44823</v>
      </c>
      <c r="N503" s="180">
        <v>44844</v>
      </c>
      <c r="O503" s="179"/>
      <c r="Q503" t="s">
        <v>129</v>
      </c>
      <c r="T503" s="195"/>
      <c r="U503" s="195"/>
      <c r="V503" s="300"/>
      <c r="W503" s="201"/>
      <c r="X503" s="201"/>
      <c r="Y503" s="200"/>
      <c r="Z503" s="207"/>
      <c r="AA503" s="206"/>
      <c r="AB503" s="207"/>
      <c r="AC503" s="188"/>
      <c r="AD503" s="187">
        <v>44844</v>
      </c>
    </row>
    <row r="504" spans="1:30">
      <c r="A504" s="318">
        <f>COUNTA($E$3:E504)</f>
        <v>502</v>
      </c>
      <c r="B504" s="318" t="s">
        <v>3867</v>
      </c>
      <c r="C504" s="318" t="s">
        <v>2370</v>
      </c>
      <c r="D504" s="318" t="s">
        <v>34</v>
      </c>
      <c r="E504" s="318" t="s">
        <v>2650</v>
      </c>
      <c r="F504" s="316">
        <v>44802.833935185183</v>
      </c>
      <c r="G504" s="316"/>
      <c r="H504" s="316"/>
      <c r="I504" s="316" t="s">
        <v>3</v>
      </c>
      <c r="J504" s="318" t="s">
        <v>3937</v>
      </c>
      <c r="K504" s="318" t="s">
        <v>2032</v>
      </c>
      <c r="L504" s="14">
        <v>44823</v>
      </c>
      <c r="M504" t="s">
        <v>3944</v>
      </c>
      <c r="N504" s="180">
        <v>44824</v>
      </c>
      <c r="O504" s="179"/>
      <c r="Q504" t="s">
        <v>129</v>
      </c>
      <c r="T504" s="195"/>
      <c r="U504" s="195"/>
      <c r="V504" s="300"/>
      <c r="W504" s="201"/>
      <c r="X504" s="201"/>
      <c r="Y504" s="200"/>
      <c r="Z504" s="207"/>
      <c r="AA504" s="206"/>
      <c r="AB504" s="207"/>
      <c r="AC504" s="188"/>
      <c r="AD504" s="187">
        <v>44824</v>
      </c>
    </row>
    <row r="505" spans="1:30">
      <c r="A505" s="318">
        <f>COUNTA($E$3:E505)</f>
        <v>503</v>
      </c>
      <c r="B505" s="318" t="s">
        <v>3799</v>
      </c>
      <c r="C505" s="318" t="s">
        <v>105</v>
      </c>
      <c r="D505" s="318" t="s">
        <v>31</v>
      </c>
      <c r="E505" s="318" t="s">
        <v>3800</v>
      </c>
      <c r="F505" s="316">
        <v>44792</v>
      </c>
      <c r="G505" s="316"/>
      <c r="H505" s="316">
        <v>44795</v>
      </c>
      <c r="I505" s="316" t="s">
        <v>3</v>
      </c>
      <c r="J505" s="318" t="s">
        <v>1720</v>
      </c>
      <c r="K505" s="318" t="s">
        <v>1294</v>
      </c>
      <c r="L505" s="14">
        <v>44823</v>
      </c>
      <c r="M505" t="s">
        <v>3941</v>
      </c>
      <c r="N505" s="180">
        <v>44819</v>
      </c>
      <c r="O505" s="179"/>
      <c r="Q505" t="s">
        <v>22</v>
      </c>
      <c r="T505" s="195"/>
      <c r="U505" s="195"/>
      <c r="V505" s="300"/>
      <c r="W505" s="201"/>
      <c r="X505" s="201"/>
      <c r="Y505" s="200"/>
      <c r="Z505" s="207"/>
      <c r="AA505" s="206"/>
      <c r="AB505" s="207"/>
      <c r="AC505" s="188"/>
      <c r="AD505" s="187">
        <v>44819</v>
      </c>
    </row>
    <row r="506" spans="1:30">
      <c r="A506" s="318">
        <f>COUNTA($E$3:E506)</f>
        <v>504</v>
      </c>
      <c r="B506" s="318" t="s">
        <v>3862</v>
      </c>
      <c r="C506" s="318" t="s">
        <v>41</v>
      </c>
      <c r="D506" s="318" t="s">
        <v>1124</v>
      </c>
      <c r="E506" s="318" t="s">
        <v>1185</v>
      </c>
      <c r="F506" s="316">
        <v>44802</v>
      </c>
      <c r="G506" s="316"/>
      <c r="H506" s="316"/>
      <c r="I506" s="316" t="s">
        <v>1110</v>
      </c>
      <c r="J506" s="318" t="s">
        <v>1650</v>
      </c>
      <c r="K506" s="318"/>
      <c r="L506" s="14">
        <v>44816</v>
      </c>
      <c r="M506" t="s">
        <v>3913</v>
      </c>
      <c r="N506" s="180">
        <v>44812</v>
      </c>
      <c r="O506" s="179"/>
      <c r="Q506" t="s">
        <v>22</v>
      </c>
      <c r="T506" s="195"/>
      <c r="U506" s="195"/>
      <c r="V506" s="300"/>
      <c r="W506" s="201"/>
      <c r="X506" s="201"/>
      <c r="Y506" s="200"/>
      <c r="Z506" s="207"/>
      <c r="AA506" s="206"/>
      <c r="AB506" s="207"/>
      <c r="AC506" s="188"/>
      <c r="AD506" s="187">
        <v>44812</v>
      </c>
    </row>
    <row r="507" spans="1:30">
      <c r="A507" s="318">
        <f>COUNTA($E$3:E507)</f>
        <v>505</v>
      </c>
      <c r="B507" s="318" t="s">
        <v>3890</v>
      </c>
      <c r="C507" s="318" t="s">
        <v>41</v>
      </c>
      <c r="D507" s="318" t="s">
        <v>49</v>
      </c>
      <c r="E507" s="318" t="s">
        <v>1088</v>
      </c>
      <c r="F507" s="316">
        <v>44811</v>
      </c>
      <c r="G507" s="316"/>
      <c r="H507" s="316"/>
      <c r="I507" s="316" t="s">
        <v>2</v>
      </c>
      <c r="J507" s="318" t="s">
        <v>1662</v>
      </c>
      <c r="K507" s="318"/>
      <c r="L507" s="14">
        <v>44816</v>
      </c>
      <c r="M507" t="s">
        <v>3919</v>
      </c>
      <c r="N507" s="180">
        <v>44811</v>
      </c>
      <c r="O507" s="179"/>
      <c r="Q507" t="s">
        <v>22</v>
      </c>
      <c r="T507" s="195"/>
      <c r="U507" s="195"/>
      <c r="V507" s="300"/>
      <c r="W507" s="201"/>
      <c r="X507" s="201"/>
      <c r="Y507" s="200"/>
      <c r="Z507" s="207"/>
      <c r="AA507" s="206"/>
      <c r="AB507" s="207"/>
      <c r="AC507" s="188"/>
      <c r="AD507" s="187">
        <v>44811</v>
      </c>
    </row>
    <row r="508" spans="1:30">
      <c r="A508" s="318">
        <f>COUNTA($E$3:E508)</f>
        <v>506</v>
      </c>
      <c r="B508" s="318" t="s">
        <v>3749</v>
      </c>
      <c r="C508" s="318" t="s">
        <v>3791</v>
      </c>
      <c r="D508" s="318" t="s">
        <v>38</v>
      </c>
      <c r="E508" s="318" t="s">
        <v>3750</v>
      </c>
      <c r="F508" s="316">
        <v>44783</v>
      </c>
      <c r="G508" s="316"/>
      <c r="H508" s="316">
        <v>44792</v>
      </c>
      <c r="I508" s="316" t="s">
        <v>2</v>
      </c>
      <c r="J508" s="318" t="s">
        <v>3790</v>
      </c>
      <c r="K508" s="318" t="s">
        <v>1287</v>
      </c>
      <c r="L508" s="14">
        <v>44816</v>
      </c>
      <c r="M508" t="s">
        <v>3911</v>
      </c>
      <c r="N508" s="180">
        <v>44817</v>
      </c>
      <c r="O508" s="179"/>
      <c r="Q508" t="s">
        <v>129</v>
      </c>
      <c r="T508" s="195"/>
      <c r="U508" s="195"/>
      <c r="V508" s="300"/>
      <c r="W508" s="201"/>
      <c r="X508" s="201"/>
      <c r="Y508" s="200"/>
      <c r="Z508" s="207"/>
      <c r="AA508" s="206"/>
      <c r="AB508" s="207"/>
      <c r="AC508" s="188"/>
      <c r="AD508" s="187">
        <v>44817</v>
      </c>
    </row>
    <row r="509" spans="1:30">
      <c r="A509" s="318">
        <f>COUNTA($E$3:E509)</f>
        <v>507</v>
      </c>
      <c r="B509" s="318" t="s">
        <v>3276</v>
      </c>
      <c r="C509" s="318" t="s">
        <v>2767</v>
      </c>
      <c r="D509" s="318" t="s">
        <v>16</v>
      </c>
      <c r="E509" s="318" t="s">
        <v>3277</v>
      </c>
      <c r="F509" s="316">
        <v>44729</v>
      </c>
      <c r="G509" s="316">
        <v>44792</v>
      </c>
      <c r="H509" s="316">
        <v>44753</v>
      </c>
      <c r="I509" s="316" t="s">
        <v>2</v>
      </c>
      <c r="J509" s="318" t="s">
        <v>3333</v>
      </c>
      <c r="K509" s="318" t="s">
        <v>1295</v>
      </c>
      <c r="L509" s="14">
        <v>44816</v>
      </c>
      <c r="M509" t="s">
        <v>3910</v>
      </c>
      <c r="N509" s="180">
        <v>44817</v>
      </c>
      <c r="O509" s="179"/>
      <c r="Q509" t="s">
        <v>129</v>
      </c>
      <c r="T509" s="195"/>
      <c r="U509" s="195"/>
      <c r="V509" s="300"/>
      <c r="W509" s="201"/>
      <c r="X509" s="201"/>
      <c r="Y509" s="200"/>
      <c r="Z509" s="207"/>
      <c r="AA509" s="206"/>
      <c r="AB509" s="207"/>
      <c r="AC509" s="188"/>
      <c r="AD509" s="187">
        <v>44817</v>
      </c>
    </row>
    <row r="510" spans="1:30">
      <c r="A510" s="318">
        <f>COUNTA($E$3:E510)</f>
        <v>508</v>
      </c>
      <c r="B510" s="318" t="s">
        <v>3146</v>
      </c>
      <c r="C510" s="318" t="s">
        <v>41</v>
      </c>
      <c r="D510" s="318" t="s">
        <v>1169</v>
      </c>
      <c r="E510" s="318" t="s">
        <v>3147</v>
      </c>
      <c r="F510" s="316">
        <v>44711</v>
      </c>
      <c r="G510" s="316"/>
      <c r="H510" s="316" t="s">
        <v>66</v>
      </c>
      <c r="I510" s="316" t="s">
        <v>2</v>
      </c>
      <c r="J510" s="318" t="s">
        <v>3241</v>
      </c>
      <c r="K510" s="318"/>
      <c r="L510" s="14">
        <v>44816</v>
      </c>
      <c r="M510" t="s">
        <v>3920</v>
      </c>
      <c r="N510" s="180">
        <v>44813</v>
      </c>
      <c r="O510" s="179"/>
      <c r="Q510" t="s">
        <v>22</v>
      </c>
      <c r="T510" s="195"/>
      <c r="U510" s="195"/>
      <c r="V510" s="300"/>
      <c r="W510" s="201"/>
      <c r="X510" s="201"/>
      <c r="Y510" s="200"/>
      <c r="Z510" s="207"/>
      <c r="AA510" s="206"/>
      <c r="AB510" s="207"/>
      <c r="AC510" s="188"/>
      <c r="AD510" s="187">
        <v>44813</v>
      </c>
    </row>
    <row r="511" spans="1:30">
      <c r="A511" s="318">
        <f>COUNTA($E$3:E511)</f>
        <v>509</v>
      </c>
      <c r="B511" s="318" t="s">
        <v>3117</v>
      </c>
      <c r="C511" s="318" t="s">
        <v>2370</v>
      </c>
      <c r="D511" s="318" t="s">
        <v>30</v>
      </c>
      <c r="E511" s="318" t="s">
        <v>2106</v>
      </c>
      <c r="F511" s="316">
        <v>44704</v>
      </c>
      <c r="G511" s="316"/>
      <c r="H511" s="316">
        <v>44714</v>
      </c>
      <c r="I511" s="316" t="s">
        <v>2</v>
      </c>
      <c r="J511" s="318" t="s">
        <v>2665</v>
      </c>
      <c r="K511" s="318"/>
      <c r="L511" s="14">
        <v>44816</v>
      </c>
      <c r="M511" t="s">
        <v>3921</v>
      </c>
      <c r="N511" s="180">
        <v>44816</v>
      </c>
      <c r="O511" s="179"/>
      <c r="Q511" t="s">
        <v>22</v>
      </c>
      <c r="T511" s="195"/>
      <c r="U511" s="195"/>
      <c r="V511" s="300"/>
      <c r="W511" s="201"/>
      <c r="X511" s="201"/>
      <c r="Y511" s="200"/>
      <c r="Z511" s="207"/>
      <c r="AA511" s="206"/>
      <c r="AB511" s="207"/>
      <c r="AC511" s="188"/>
      <c r="AD511" s="187">
        <v>44816</v>
      </c>
    </row>
    <row r="512" spans="1:30">
      <c r="A512" s="318">
        <f>COUNTA($E$3:E512)</f>
        <v>510</v>
      </c>
      <c r="B512" s="318" t="s">
        <v>3096</v>
      </c>
      <c r="C512" s="318" t="s">
        <v>1764</v>
      </c>
      <c r="D512" s="318" t="s">
        <v>19</v>
      </c>
      <c r="E512" s="318" t="s">
        <v>1765</v>
      </c>
      <c r="F512" s="316">
        <v>44704</v>
      </c>
      <c r="G512" s="316"/>
      <c r="H512" s="316">
        <v>44714</v>
      </c>
      <c r="I512" s="316" t="s">
        <v>2</v>
      </c>
      <c r="J512" s="318" t="s">
        <v>3097</v>
      </c>
      <c r="K512" s="318"/>
      <c r="L512" s="14">
        <v>44816</v>
      </c>
      <c r="M512" t="s">
        <v>3921</v>
      </c>
      <c r="N512" s="180">
        <v>44816</v>
      </c>
      <c r="O512" s="179"/>
      <c r="Q512" t="s">
        <v>22</v>
      </c>
      <c r="T512" s="195"/>
      <c r="U512" s="195"/>
      <c r="V512" s="300"/>
      <c r="W512" s="201"/>
      <c r="X512" s="201"/>
      <c r="Y512" s="200"/>
      <c r="Z512" s="207"/>
      <c r="AA512" s="206"/>
      <c r="AB512" s="207"/>
      <c r="AC512" s="188"/>
      <c r="AD512" s="187">
        <v>44816</v>
      </c>
    </row>
    <row r="513" spans="1:30">
      <c r="A513" s="318">
        <f>COUNTA($E$3:E513)</f>
        <v>511</v>
      </c>
      <c r="B513" s="318" t="s">
        <v>3888</v>
      </c>
      <c r="C513" s="318" t="s">
        <v>41</v>
      </c>
      <c r="D513" s="318" t="s">
        <v>1139</v>
      </c>
      <c r="E513" s="318" t="s">
        <v>3116</v>
      </c>
      <c r="F513" s="316">
        <v>44810</v>
      </c>
      <c r="G513" s="316"/>
      <c r="H513" s="316"/>
      <c r="I513" s="316" t="s">
        <v>3</v>
      </c>
      <c r="J513" s="318" t="s">
        <v>1649</v>
      </c>
      <c r="K513" s="318" t="s">
        <v>287</v>
      </c>
      <c r="L513" s="14">
        <v>44816</v>
      </c>
      <c r="M513" t="s">
        <v>3913</v>
      </c>
      <c r="N513" s="180">
        <v>44812</v>
      </c>
      <c r="O513" s="179"/>
      <c r="Q513" t="s">
        <v>22</v>
      </c>
      <c r="T513" s="195"/>
      <c r="U513" s="195"/>
      <c r="V513" s="300"/>
      <c r="W513" s="201"/>
      <c r="X513" s="201"/>
      <c r="Y513" s="200"/>
      <c r="Z513" s="207"/>
      <c r="AA513" s="206"/>
      <c r="AB513" s="207"/>
      <c r="AC513" s="188"/>
      <c r="AD513" s="187">
        <v>44812</v>
      </c>
    </row>
    <row r="514" spans="1:30">
      <c r="A514" s="318">
        <f>COUNTA($E$3:E514)</f>
        <v>512</v>
      </c>
      <c r="B514" s="318" t="s">
        <v>3881</v>
      </c>
      <c r="C514" s="318" t="s">
        <v>21</v>
      </c>
      <c r="D514" s="318" t="s">
        <v>34</v>
      </c>
      <c r="E514" s="318" t="s">
        <v>1682</v>
      </c>
      <c r="F514" s="316">
        <v>44809</v>
      </c>
      <c r="G514" s="316"/>
      <c r="H514" s="316"/>
      <c r="I514" s="316" t="s">
        <v>3</v>
      </c>
      <c r="J514" s="318" t="s">
        <v>1720</v>
      </c>
      <c r="K514" s="318" t="s">
        <v>1287</v>
      </c>
      <c r="L514" s="14">
        <v>44816</v>
      </c>
      <c r="M514" t="s">
        <v>3913</v>
      </c>
      <c r="N514" s="180">
        <v>44818</v>
      </c>
      <c r="O514" s="179"/>
      <c r="Q514" t="s">
        <v>129</v>
      </c>
      <c r="T514" s="195"/>
      <c r="U514" s="195"/>
      <c r="V514" s="300"/>
      <c r="W514" s="201"/>
      <c r="X514" s="201"/>
      <c r="Y514" s="200"/>
      <c r="Z514" s="207"/>
      <c r="AA514" s="206"/>
      <c r="AB514" s="207"/>
      <c r="AC514" s="188"/>
      <c r="AD514" s="187">
        <v>44818</v>
      </c>
    </row>
    <row r="515" spans="1:30">
      <c r="A515" s="318">
        <f>COUNTA($E$3:E515)</f>
        <v>513</v>
      </c>
      <c r="B515" s="318" t="s">
        <v>3855</v>
      </c>
      <c r="C515" s="318" t="s">
        <v>41</v>
      </c>
      <c r="D515" s="318" t="s">
        <v>2539</v>
      </c>
      <c r="E515" s="318" t="s">
        <v>3864</v>
      </c>
      <c r="F515" s="316">
        <v>44802</v>
      </c>
      <c r="G515" s="316"/>
      <c r="H515" s="316"/>
      <c r="I515" s="316" t="s">
        <v>1110</v>
      </c>
      <c r="J515" s="318" t="s">
        <v>1650</v>
      </c>
      <c r="K515" s="318" t="s">
        <v>2032</v>
      </c>
      <c r="L515" s="14">
        <v>44809</v>
      </c>
      <c r="M515" t="s">
        <v>3858</v>
      </c>
      <c r="N515" s="180">
        <v>44804</v>
      </c>
      <c r="O515" s="179"/>
      <c r="Q515" t="s">
        <v>22</v>
      </c>
      <c r="T515" s="195"/>
      <c r="U515" s="195"/>
      <c r="V515" s="300"/>
      <c r="W515" s="201"/>
      <c r="X515" s="201"/>
      <c r="Y515" s="200"/>
      <c r="Z515" s="207"/>
      <c r="AA515" s="206"/>
      <c r="AB515" s="207"/>
      <c r="AC515" s="188"/>
      <c r="AD515" s="187">
        <v>44804</v>
      </c>
    </row>
    <row r="516" spans="1:30">
      <c r="A516" s="318">
        <f>COUNTA($E$3:E516)</f>
        <v>514</v>
      </c>
      <c r="B516" s="318" t="s">
        <v>3857</v>
      </c>
      <c r="C516" s="318" t="s">
        <v>3868</v>
      </c>
      <c r="D516" s="318" t="s">
        <v>38</v>
      </c>
      <c r="E516" s="318" t="s">
        <v>3869</v>
      </c>
      <c r="F516" s="316">
        <v>44802</v>
      </c>
      <c r="G516" s="316"/>
      <c r="H516" s="316"/>
      <c r="I516" s="316" t="s">
        <v>3</v>
      </c>
      <c r="J516" s="318" t="s">
        <v>17</v>
      </c>
      <c r="K516" s="318" t="s">
        <v>33</v>
      </c>
      <c r="L516" s="14">
        <v>44809</v>
      </c>
      <c r="M516" t="s">
        <v>3879</v>
      </c>
      <c r="N516" s="180">
        <v>44809</v>
      </c>
      <c r="O516" s="179"/>
      <c r="Q516" t="s">
        <v>129</v>
      </c>
      <c r="T516" s="195"/>
      <c r="U516" s="195"/>
      <c r="V516" s="300"/>
      <c r="W516" s="201"/>
      <c r="X516" s="201"/>
      <c r="Y516" s="200"/>
      <c r="Z516" s="207"/>
      <c r="AA516" s="206"/>
      <c r="AB516" s="207"/>
      <c r="AC516" s="188"/>
      <c r="AD516" s="187">
        <v>44809</v>
      </c>
    </row>
    <row r="517" spans="1:30">
      <c r="A517" s="318">
        <f>COUNTA($E$3:E517)</f>
        <v>515</v>
      </c>
      <c r="B517" s="318" t="s">
        <v>3852</v>
      </c>
      <c r="C517" s="318" t="s">
        <v>2370</v>
      </c>
      <c r="D517" s="318" t="s">
        <v>56</v>
      </c>
      <c r="E517" s="318" t="s">
        <v>2697</v>
      </c>
      <c r="F517" s="316">
        <v>44802</v>
      </c>
      <c r="G517" s="316"/>
      <c r="H517" s="316"/>
      <c r="I517" s="316" t="s">
        <v>3</v>
      </c>
      <c r="J517" s="318" t="s">
        <v>1649</v>
      </c>
      <c r="K517" s="318" t="s">
        <v>1294</v>
      </c>
      <c r="L517" s="14">
        <v>44809</v>
      </c>
      <c r="M517" t="s">
        <v>3878</v>
      </c>
      <c r="N517" s="180">
        <v>44802</v>
      </c>
      <c r="O517" s="179"/>
      <c r="Q517" t="s">
        <v>22</v>
      </c>
      <c r="T517" s="195"/>
      <c r="U517" s="195"/>
      <c r="V517" s="300"/>
      <c r="W517" s="201"/>
      <c r="X517" s="201"/>
      <c r="Y517" s="200"/>
      <c r="Z517" s="207"/>
      <c r="AA517" s="206"/>
      <c r="AB517" s="207"/>
      <c r="AC517" s="188"/>
      <c r="AD517" s="187">
        <v>44802</v>
      </c>
    </row>
    <row r="518" spans="1:30">
      <c r="A518" s="318">
        <f>COUNTA($E$3:E518)</f>
        <v>516</v>
      </c>
      <c r="B518" s="318" t="s">
        <v>3856</v>
      </c>
      <c r="C518" s="318" t="s">
        <v>41</v>
      </c>
      <c r="D518" s="318" t="s">
        <v>56</v>
      </c>
      <c r="E518" s="318" t="s">
        <v>3865</v>
      </c>
      <c r="F518" s="316">
        <v>44802</v>
      </c>
      <c r="G518" s="316"/>
      <c r="H518" s="316"/>
      <c r="I518" s="316" t="s">
        <v>3</v>
      </c>
      <c r="J518" s="318" t="s">
        <v>1649</v>
      </c>
      <c r="K518" s="318" t="s">
        <v>287</v>
      </c>
      <c r="L518" s="14">
        <v>44809</v>
      </c>
      <c r="M518" t="s">
        <v>3858</v>
      </c>
      <c r="N518" s="180">
        <v>44804</v>
      </c>
      <c r="O518" s="179"/>
      <c r="Q518" t="s">
        <v>22</v>
      </c>
      <c r="T518" s="195"/>
      <c r="U518" s="195"/>
      <c r="V518" s="300"/>
      <c r="W518" s="201"/>
      <c r="X518" s="201"/>
      <c r="Y518" s="200"/>
      <c r="Z518" s="207"/>
      <c r="AA518" s="206"/>
      <c r="AB518" s="207"/>
      <c r="AC518" s="188"/>
      <c r="AD518" s="187">
        <v>44804</v>
      </c>
    </row>
    <row r="519" spans="1:30">
      <c r="A519" s="318">
        <f>COUNTA($E$3:E519)</f>
        <v>517</v>
      </c>
      <c r="B519" s="318" t="s">
        <v>3825</v>
      </c>
      <c r="C519" s="318" t="s">
        <v>40</v>
      </c>
      <c r="D519" s="318" t="s">
        <v>30</v>
      </c>
      <c r="E519" s="318" t="s">
        <v>1645</v>
      </c>
      <c r="F519" s="316">
        <v>44797.684392000003</v>
      </c>
      <c r="G519" s="316"/>
      <c r="H519" s="316"/>
      <c r="I519" s="316" t="s">
        <v>3</v>
      </c>
      <c r="J519" s="318" t="s">
        <v>1485</v>
      </c>
      <c r="K519" s="318" t="s">
        <v>1295</v>
      </c>
      <c r="L519" s="14">
        <v>44809</v>
      </c>
      <c r="M519" t="s">
        <v>3858</v>
      </c>
      <c r="N519" s="180">
        <v>44844</v>
      </c>
      <c r="O519" s="179"/>
      <c r="Q519" t="s">
        <v>129</v>
      </c>
      <c r="T519" s="195"/>
      <c r="U519" s="195"/>
      <c r="V519" s="300"/>
      <c r="W519" s="201"/>
      <c r="X519" s="201"/>
      <c r="Y519" s="200"/>
      <c r="Z519" s="207"/>
      <c r="AA519" s="206"/>
      <c r="AB519" s="207"/>
      <c r="AC519" s="188"/>
      <c r="AD519" s="187">
        <v>44844</v>
      </c>
    </row>
    <row r="520" spans="1:30">
      <c r="A520" s="318">
        <f>COUNTA($E$3:E520)</f>
        <v>518</v>
      </c>
      <c r="B520" s="318" t="s">
        <v>3819</v>
      </c>
      <c r="C520" s="318" t="s">
        <v>1865</v>
      </c>
      <c r="D520" s="318" t="s">
        <v>16</v>
      </c>
      <c r="E520" s="318" t="s">
        <v>1866</v>
      </c>
      <c r="F520" s="316">
        <v>44797.580871999999</v>
      </c>
      <c r="G520" s="316"/>
      <c r="H520" s="316"/>
      <c r="I520" s="316" t="s">
        <v>3</v>
      </c>
      <c r="J520" s="318" t="s">
        <v>1485</v>
      </c>
      <c r="K520" s="318" t="s">
        <v>1295</v>
      </c>
      <c r="L520" s="14">
        <v>44809</v>
      </c>
      <c r="M520" t="s">
        <v>3858</v>
      </c>
      <c r="N520" s="180">
        <v>44839</v>
      </c>
      <c r="O520" s="179"/>
      <c r="Q520" t="s">
        <v>129</v>
      </c>
      <c r="T520" s="195"/>
      <c r="U520" s="195"/>
      <c r="V520" s="300"/>
      <c r="W520" s="201"/>
      <c r="X520" s="201"/>
      <c r="Y520" s="200"/>
      <c r="Z520" s="207"/>
      <c r="AA520" s="206"/>
      <c r="AB520" s="207"/>
      <c r="AC520" s="188"/>
      <c r="AD520" s="187">
        <v>44839</v>
      </c>
    </row>
    <row r="521" spans="1:30">
      <c r="A521" s="318">
        <f>COUNTA($E$3:E521)</f>
        <v>519</v>
      </c>
      <c r="B521" s="318" t="s">
        <v>3815</v>
      </c>
      <c r="C521" s="318" t="s">
        <v>41</v>
      </c>
      <c r="D521" s="318" t="s">
        <v>3816</v>
      </c>
      <c r="E521" s="318" t="s">
        <v>3817</v>
      </c>
      <c r="F521" s="316">
        <v>44795</v>
      </c>
      <c r="G521" s="316"/>
      <c r="H521" s="316"/>
      <c r="I521" s="316" t="s">
        <v>3</v>
      </c>
      <c r="J521" s="318" t="s">
        <v>3850</v>
      </c>
      <c r="K521" s="318" t="s">
        <v>1180</v>
      </c>
      <c r="L521" s="14">
        <v>44809</v>
      </c>
      <c r="M521" t="s">
        <v>3859</v>
      </c>
      <c r="N521" s="180">
        <v>44809</v>
      </c>
      <c r="O521" s="179"/>
      <c r="Q521" t="s">
        <v>129</v>
      </c>
      <c r="T521" s="195"/>
      <c r="U521" s="195"/>
      <c r="V521" s="300"/>
      <c r="W521" s="201"/>
      <c r="X521" s="201"/>
      <c r="Y521" s="200"/>
      <c r="Z521" s="207"/>
      <c r="AA521" s="206"/>
      <c r="AB521" s="207"/>
      <c r="AC521" s="188"/>
      <c r="AD521" s="187">
        <v>44809</v>
      </c>
    </row>
    <row r="522" spans="1:30">
      <c r="A522" s="318">
        <f>COUNTA($E$3:E522)</f>
        <v>520</v>
      </c>
      <c r="B522" s="318" t="s">
        <v>3820</v>
      </c>
      <c r="C522" s="318" t="s">
        <v>1106</v>
      </c>
      <c r="D522" s="318" t="s">
        <v>45</v>
      </c>
      <c r="E522" s="318" t="s">
        <v>2828</v>
      </c>
      <c r="F522" s="316">
        <v>44797</v>
      </c>
      <c r="G522" s="316"/>
      <c r="H522" s="316"/>
      <c r="I522" s="316" t="s">
        <v>4</v>
      </c>
      <c r="J522" s="318" t="s">
        <v>1093</v>
      </c>
      <c r="K522" s="318" t="s">
        <v>1296</v>
      </c>
      <c r="L522" s="14">
        <v>44802</v>
      </c>
      <c r="M522" t="s">
        <v>3836</v>
      </c>
      <c r="N522" s="180">
        <v>44839</v>
      </c>
      <c r="O522" s="179"/>
      <c r="Q522" t="s">
        <v>129</v>
      </c>
      <c r="T522" s="195"/>
      <c r="U522" s="195"/>
      <c r="V522" s="300"/>
      <c r="W522" s="201"/>
      <c r="X522" s="201"/>
      <c r="Y522" s="200"/>
      <c r="Z522" s="207"/>
      <c r="AA522" s="206"/>
      <c r="AB522" s="207"/>
      <c r="AC522" s="188"/>
      <c r="AD522" s="187">
        <v>44839</v>
      </c>
    </row>
    <row r="523" spans="1:30">
      <c r="A523" s="318">
        <f>COUNTA($E$3:E523)</f>
        <v>521</v>
      </c>
      <c r="B523" s="318" t="s">
        <v>3827</v>
      </c>
      <c r="C523" s="318" t="s">
        <v>3828</v>
      </c>
      <c r="D523" s="318" t="s">
        <v>19</v>
      </c>
      <c r="E523" s="318" t="s">
        <v>3696</v>
      </c>
      <c r="F523" s="316">
        <v>44797</v>
      </c>
      <c r="G523" s="316"/>
      <c r="H523" s="316"/>
      <c r="I523" s="316" t="s">
        <v>2</v>
      </c>
      <c r="J523" s="318" t="s">
        <v>1664</v>
      </c>
      <c r="K523" s="318"/>
      <c r="L523" s="14">
        <v>44802</v>
      </c>
      <c r="M523" t="s">
        <v>3848</v>
      </c>
      <c r="N523" s="174">
        <v>44797</v>
      </c>
      <c r="O523" s="179"/>
      <c r="Q523" t="s">
        <v>129</v>
      </c>
      <c r="T523" s="195"/>
      <c r="U523" s="195"/>
      <c r="V523" s="300"/>
      <c r="W523" s="201"/>
      <c r="X523" s="201"/>
      <c r="Y523" s="200"/>
      <c r="Z523" s="207"/>
      <c r="AA523" s="206"/>
      <c r="AB523" s="207"/>
      <c r="AC523" s="188"/>
      <c r="AD523" s="187">
        <v>44797</v>
      </c>
    </row>
    <row r="524" spans="1:30">
      <c r="A524" s="318">
        <f>COUNTA($E$3:E524)</f>
        <v>522</v>
      </c>
      <c r="B524" s="318" t="s">
        <v>3793</v>
      </c>
      <c r="C524" s="318" t="s">
        <v>1279</v>
      </c>
      <c r="D524" s="318" t="s">
        <v>16</v>
      </c>
      <c r="E524" s="318" t="s">
        <v>3794</v>
      </c>
      <c r="F524" s="316">
        <v>44792.4600310069</v>
      </c>
      <c r="G524" s="316"/>
      <c r="H524" s="316"/>
      <c r="I524" s="316" t="s">
        <v>2</v>
      </c>
      <c r="J524" s="318" t="s">
        <v>3835</v>
      </c>
      <c r="K524" s="318"/>
      <c r="L524" s="14">
        <v>44802</v>
      </c>
      <c r="M524" t="s">
        <v>2954</v>
      </c>
      <c r="N524" s="174">
        <v>44809</v>
      </c>
      <c r="O524" s="179"/>
      <c r="Q524" t="s">
        <v>129</v>
      </c>
      <c r="T524" s="195"/>
      <c r="U524" s="195"/>
      <c r="V524" s="300"/>
      <c r="W524" s="201"/>
      <c r="X524" s="201"/>
      <c r="Y524" s="200"/>
      <c r="Z524" s="207"/>
      <c r="AA524" s="206"/>
      <c r="AB524" s="207"/>
      <c r="AC524" s="188"/>
      <c r="AD524" s="187">
        <v>44809</v>
      </c>
    </row>
    <row r="525" spans="1:30">
      <c r="A525" s="318">
        <f>COUNTA($E$3:E525)</f>
        <v>523</v>
      </c>
      <c r="B525" s="318" t="s">
        <v>3748</v>
      </c>
      <c r="C525" s="318" t="s">
        <v>41</v>
      </c>
      <c r="D525" s="318" t="s">
        <v>49</v>
      </c>
      <c r="E525" s="318" t="s">
        <v>2719</v>
      </c>
      <c r="F525" s="316">
        <v>44783</v>
      </c>
      <c r="G525" s="316"/>
      <c r="H525" s="316" t="s">
        <v>66</v>
      </c>
      <c r="I525" s="316" t="s">
        <v>2</v>
      </c>
      <c r="J525" s="318" t="s">
        <v>1664</v>
      </c>
      <c r="K525" s="318"/>
      <c r="L525" s="14">
        <v>44802</v>
      </c>
      <c r="M525" t="s">
        <v>3836</v>
      </c>
      <c r="N525" s="174">
        <v>44798</v>
      </c>
      <c r="O525" s="179"/>
      <c r="Q525" t="s">
        <v>22</v>
      </c>
      <c r="T525" s="195"/>
      <c r="U525" s="195"/>
      <c r="V525" s="300"/>
      <c r="W525" s="201"/>
      <c r="X525" s="201"/>
      <c r="Y525" s="200"/>
      <c r="Z525" s="207"/>
      <c r="AA525" s="206"/>
      <c r="AB525" s="207"/>
      <c r="AC525" s="188"/>
      <c r="AD525" s="187">
        <v>44798</v>
      </c>
    </row>
    <row r="526" spans="1:30">
      <c r="A526" s="318">
        <f>COUNTA($E$3:E526)</f>
        <v>524</v>
      </c>
      <c r="B526" s="318" t="s">
        <v>3582</v>
      </c>
      <c r="C526" s="318" t="s">
        <v>41</v>
      </c>
      <c r="D526" s="318" t="s">
        <v>25</v>
      </c>
      <c r="E526" s="318" t="s">
        <v>3583</v>
      </c>
      <c r="F526" s="316">
        <v>44768</v>
      </c>
      <c r="G526" s="316">
        <v>44784</v>
      </c>
      <c r="H526" s="316" t="s">
        <v>66</v>
      </c>
      <c r="I526" s="316" t="s">
        <v>2</v>
      </c>
      <c r="J526" s="318" t="s">
        <v>3634</v>
      </c>
      <c r="K526" s="318"/>
      <c r="L526" s="14">
        <v>44802</v>
      </c>
      <c r="M526" t="s">
        <v>3838</v>
      </c>
      <c r="N526" s="174">
        <v>44797</v>
      </c>
      <c r="O526" s="179"/>
      <c r="Q526" t="s">
        <v>129</v>
      </c>
      <c r="T526" s="195"/>
      <c r="U526" s="195"/>
      <c r="V526" s="300"/>
      <c r="W526" s="201"/>
      <c r="X526" s="201"/>
      <c r="Y526" s="200"/>
      <c r="Z526" s="207"/>
      <c r="AA526" s="206"/>
      <c r="AB526" s="207"/>
      <c r="AC526" s="188"/>
      <c r="AD526" s="187">
        <v>44797</v>
      </c>
    </row>
    <row r="527" spans="1:30">
      <c r="A527" s="318">
        <f>COUNTA($E$3:E527)</f>
        <v>525</v>
      </c>
      <c r="B527" s="318" t="s">
        <v>3514</v>
      </c>
      <c r="C527" s="318" t="s">
        <v>1197</v>
      </c>
      <c r="D527" s="318" t="s">
        <v>38</v>
      </c>
      <c r="E527" s="318" t="s">
        <v>3526</v>
      </c>
      <c r="F527" s="316">
        <v>44755</v>
      </c>
      <c r="G527" s="316">
        <v>44792</v>
      </c>
      <c r="H527" s="316">
        <v>44760</v>
      </c>
      <c r="I527" s="316" t="s">
        <v>2</v>
      </c>
      <c r="J527" s="318" t="s">
        <v>3527</v>
      </c>
      <c r="K527" s="318"/>
      <c r="L527" s="14">
        <v>44802</v>
      </c>
      <c r="M527" t="s">
        <v>3845</v>
      </c>
      <c r="N527" s="174">
        <v>44803</v>
      </c>
      <c r="O527" s="179"/>
      <c r="Q527" t="s">
        <v>22</v>
      </c>
      <c r="T527" s="195"/>
      <c r="U527" s="195"/>
      <c r="V527" s="300"/>
      <c r="W527" s="201"/>
      <c r="X527" s="201"/>
      <c r="Y527" s="200"/>
      <c r="Z527" s="207"/>
      <c r="AA527" s="206"/>
      <c r="AB527" s="207"/>
      <c r="AC527" s="188"/>
      <c r="AD527" s="187">
        <v>44803</v>
      </c>
    </row>
    <row r="528" spans="1:30">
      <c r="A528" s="318">
        <f>COUNTA($E$3:E528)</f>
        <v>526</v>
      </c>
      <c r="B528" s="318" t="s">
        <v>3524</v>
      </c>
      <c r="C528" s="318" t="s">
        <v>3296</v>
      </c>
      <c r="D528" s="318" t="s">
        <v>36</v>
      </c>
      <c r="E528" s="318" t="s">
        <v>3525</v>
      </c>
      <c r="F528" s="316">
        <v>44754</v>
      </c>
      <c r="G528" s="316">
        <v>44792</v>
      </c>
      <c r="H528" s="316">
        <v>44768</v>
      </c>
      <c r="I528" s="316" t="s">
        <v>2</v>
      </c>
      <c r="J528" s="318" t="s">
        <v>1671</v>
      </c>
      <c r="K528" s="318"/>
      <c r="L528" s="14">
        <v>44802</v>
      </c>
      <c r="M528" t="s">
        <v>3844</v>
      </c>
      <c r="N528" s="174">
        <v>44813</v>
      </c>
      <c r="O528" s="179"/>
      <c r="Q528" t="s">
        <v>129</v>
      </c>
      <c r="T528" s="195"/>
      <c r="U528" s="195"/>
      <c r="V528" s="300"/>
      <c r="W528" s="201"/>
      <c r="X528" s="201"/>
      <c r="Y528" s="200"/>
      <c r="Z528" s="207"/>
      <c r="AA528" s="206"/>
      <c r="AB528" s="207"/>
      <c r="AC528" s="188"/>
      <c r="AD528" s="187">
        <v>44813</v>
      </c>
    </row>
    <row r="529" spans="1:30">
      <c r="A529" s="318">
        <f>COUNTA($E$3:E529)</f>
        <v>527</v>
      </c>
      <c r="B529" s="318" t="s">
        <v>3811</v>
      </c>
      <c r="C529" s="318" t="s">
        <v>21</v>
      </c>
      <c r="D529" s="318" t="s">
        <v>23</v>
      </c>
      <c r="E529" s="318" t="s">
        <v>1653</v>
      </c>
      <c r="F529" s="316">
        <v>44795</v>
      </c>
      <c r="G529" s="316"/>
      <c r="H529" s="316"/>
      <c r="I529" s="316" t="s">
        <v>3</v>
      </c>
      <c r="J529" s="318" t="s">
        <v>1485</v>
      </c>
      <c r="K529" s="318" t="s">
        <v>1296</v>
      </c>
      <c r="L529" s="14">
        <v>44802</v>
      </c>
      <c r="M529" t="s">
        <v>3838</v>
      </c>
      <c r="N529" s="174">
        <v>44797</v>
      </c>
      <c r="O529" s="179"/>
      <c r="Q529" t="s">
        <v>129</v>
      </c>
      <c r="T529" s="195"/>
      <c r="U529" s="195"/>
      <c r="V529" s="300"/>
      <c r="W529" s="201"/>
      <c r="X529" s="201"/>
      <c r="Y529" s="200"/>
      <c r="Z529" s="207"/>
      <c r="AA529" s="206"/>
      <c r="AB529" s="207"/>
      <c r="AC529" s="188"/>
      <c r="AD529" s="187">
        <v>44797</v>
      </c>
    </row>
    <row r="530" spans="1:30">
      <c r="A530" s="318">
        <f>COUNTA($E$3:E530)</f>
        <v>528</v>
      </c>
      <c r="B530" s="318" t="s">
        <v>3807</v>
      </c>
      <c r="C530" s="318" t="s">
        <v>41</v>
      </c>
      <c r="D530" s="318" t="s">
        <v>30</v>
      </c>
      <c r="E530" s="318" t="s">
        <v>2982</v>
      </c>
      <c r="F530" s="316">
        <v>44795</v>
      </c>
      <c r="G530" s="316"/>
      <c r="H530" s="316"/>
      <c r="I530" s="316" t="s">
        <v>3</v>
      </c>
      <c r="J530" s="318" t="s">
        <v>1485</v>
      </c>
      <c r="K530" s="318" t="s">
        <v>1294</v>
      </c>
      <c r="L530" s="14">
        <v>44802</v>
      </c>
      <c r="M530" t="s">
        <v>3837</v>
      </c>
      <c r="N530" s="174">
        <v>44844</v>
      </c>
      <c r="O530" s="179"/>
      <c r="Q530" t="s">
        <v>22</v>
      </c>
      <c r="T530" s="195"/>
      <c r="U530" s="195"/>
      <c r="V530" s="300"/>
      <c r="W530" s="201"/>
      <c r="X530" s="201"/>
      <c r="Y530" s="200"/>
      <c r="Z530" s="207"/>
      <c r="AA530" s="206"/>
      <c r="AB530" s="207"/>
      <c r="AC530" s="188"/>
      <c r="AD530" s="187">
        <v>44844</v>
      </c>
    </row>
    <row r="531" spans="1:30">
      <c r="A531" s="318">
        <f>COUNTA($E$3:E531)</f>
        <v>529</v>
      </c>
      <c r="B531" s="318" t="s">
        <v>3806</v>
      </c>
      <c r="C531" s="318" t="s">
        <v>41</v>
      </c>
      <c r="D531" s="318" t="s">
        <v>1103</v>
      </c>
      <c r="E531" s="318" t="s">
        <v>1206</v>
      </c>
      <c r="F531" s="316">
        <v>44795</v>
      </c>
      <c r="G531" s="316"/>
      <c r="H531" s="316"/>
      <c r="I531" s="316" t="s">
        <v>3</v>
      </c>
      <c r="J531" s="318" t="s">
        <v>1212</v>
      </c>
      <c r="K531" s="318" t="s">
        <v>103</v>
      </c>
      <c r="L531" s="14">
        <v>44802</v>
      </c>
      <c r="M531" t="s">
        <v>3836</v>
      </c>
      <c r="N531" s="174">
        <v>44798</v>
      </c>
      <c r="O531" s="179"/>
      <c r="Q531" t="s">
        <v>22</v>
      </c>
      <c r="T531" s="195"/>
      <c r="U531" s="195"/>
      <c r="V531" s="300"/>
      <c r="W531" s="201"/>
      <c r="X531" s="201"/>
      <c r="Y531" s="200"/>
      <c r="Z531" s="207"/>
      <c r="AA531" s="206"/>
      <c r="AB531" s="207"/>
      <c r="AC531" s="188"/>
      <c r="AD531" s="187">
        <v>44798</v>
      </c>
    </row>
    <row r="532" spans="1:30">
      <c r="A532" s="318">
        <f>COUNTA($E$3:E532)</f>
        <v>530</v>
      </c>
      <c r="B532" s="318" t="s">
        <v>3798</v>
      </c>
      <c r="C532" s="318" t="s">
        <v>1752</v>
      </c>
      <c r="D532" s="318" t="s">
        <v>49</v>
      </c>
      <c r="E532" s="318" t="s">
        <v>1753</v>
      </c>
      <c r="F532" s="316">
        <v>44792.689569398099</v>
      </c>
      <c r="G532" s="316"/>
      <c r="H532" s="316"/>
      <c r="I532" s="316" t="s">
        <v>3</v>
      </c>
      <c r="J532" s="318" t="s">
        <v>3842</v>
      </c>
      <c r="K532" s="318"/>
      <c r="L532" s="14">
        <v>44802</v>
      </c>
      <c r="M532" t="s">
        <v>3847</v>
      </c>
      <c r="N532" s="174">
        <v>44832</v>
      </c>
      <c r="O532" s="179"/>
      <c r="Q532" t="s">
        <v>22</v>
      </c>
      <c r="T532" s="195"/>
      <c r="U532" s="195"/>
      <c r="V532" s="300"/>
      <c r="W532" s="201"/>
      <c r="X532" s="201"/>
      <c r="Y532" s="200"/>
      <c r="Z532" s="207"/>
      <c r="AA532" s="206"/>
      <c r="AB532" s="207"/>
      <c r="AC532" s="188"/>
      <c r="AD532" s="187">
        <v>44832</v>
      </c>
    </row>
    <row r="533" spans="1:30">
      <c r="A533" s="318">
        <f>COUNTA($E$3:E533)</f>
        <v>531</v>
      </c>
      <c r="B533" s="318" t="s">
        <v>3783</v>
      </c>
      <c r="C533" s="318" t="s">
        <v>21</v>
      </c>
      <c r="D533" s="318" t="s">
        <v>30</v>
      </c>
      <c r="E533" s="318" t="s">
        <v>2640</v>
      </c>
      <c r="F533" s="316">
        <v>44790.8249084954</v>
      </c>
      <c r="G533" s="316"/>
      <c r="H533" s="316"/>
      <c r="I533" s="316" t="s">
        <v>3</v>
      </c>
      <c r="J533" s="318" t="s">
        <v>3834</v>
      </c>
      <c r="K533" s="318"/>
      <c r="L533" s="14">
        <v>44802</v>
      </c>
      <c r="M533" t="s">
        <v>3836</v>
      </c>
      <c r="N533" s="174">
        <v>44802</v>
      </c>
      <c r="O533" s="179"/>
      <c r="Q533" t="s">
        <v>129</v>
      </c>
      <c r="T533" s="195"/>
      <c r="U533" s="195"/>
      <c r="V533" s="300"/>
      <c r="W533" s="201"/>
      <c r="X533" s="201"/>
      <c r="Y533" s="200"/>
      <c r="Z533" s="207"/>
      <c r="AA533" s="206"/>
      <c r="AB533" s="207"/>
      <c r="AC533" s="188"/>
      <c r="AD533" s="187">
        <v>44802</v>
      </c>
    </row>
    <row r="534" spans="1:30">
      <c r="A534" s="318">
        <f>COUNTA($E$3:E534)</f>
        <v>532</v>
      </c>
      <c r="B534" s="318" t="s">
        <v>3782</v>
      </c>
      <c r="C534" s="318" t="s">
        <v>21</v>
      </c>
      <c r="D534" s="318" t="s">
        <v>30</v>
      </c>
      <c r="E534" s="318" t="s">
        <v>2023</v>
      </c>
      <c r="F534" s="316">
        <v>44790.4673330324</v>
      </c>
      <c r="G534" s="316"/>
      <c r="H534" s="316"/>
      <c r="I534" s="316" t="s">
        <v>3</v>
      </c>
      <c r="J534" s="318" t="s">
        <v>2435</v>
      </c>
      <c r="K534" s="318" t="s">
        <v>1295</v>
      </c>
      <c r="L534" s="14">
        <v>44802</v>
      </c>
      <c r="M534" t="s">
        <v>3836</v>
      </c>
      <c r="N534" s="174">
        <v>44802</v>
      </c>
      <c r="O534" s="179"/>
      <c r="Q534" t="s">
        <v>129</v>
      </c>
      <c r="T534" s="195"/>
      <c r="U534" s="195"/>
      <c r="V534" s="300"/>
      <c r="W534" s="201"/>
      <c r="X534" s="201"/>
      <c r="Y534" s="200"/>
      <c r="Z534" s="207"/>
      <c r="AA534" s="206"/>
      <c r="AB534" s="207"/>
      <c r="AC534" s="188"/>
      <c r="AD534" s="187">
        <v>44802</v>
      </c>
    </row>
    <row r="535" spans="1:30">
      <c r="A535" s="318">
        <f>COUNTA($E$3:E535)</f>
        <v>533</v>
      </c>
      <c r="B535" s="318" t="s">
        <v>3632</v>
      </c>
      <c r="C535" s="318" t="s">
        <v>1253</v>
      </c>
      <c r="D535" s="318" t="s">
        <v>124</v>
      </c>
      <c r="E535" s="318" t="s">
        <v>123</v>
      </c>
      <c r="F535" s="316">
        <v>44775</v>
      </c>
      <c r="G535" s="316">
        <v>44784</v>
      </c>
      <c r="H535" s="316"/>
      <c r="I535" s="316" t="s">
        <v>3</v>
      </c>
      <c r="J535" s="318" t="s">
        <v>1666</v>
      </c>
      <c r="K535" s="318"/>
      <c r="L535" s="14">
        <v>44802</v>
      </c>
      <c r="M535" t="s">
        <v>3846</v>
      </c>
      <c r="N535" s="174">
        <v>44797</v>
      </c>
      <c r="O535" s="179"/>
      <c r="Q535" t="s">
        <v>129</v>
      </c>
      <c r="T535" s="195"/>
      <c r="U535" s="195"/>
      <c r="V535" s="300"/>
      <c r="W535" s="201"/>
      <c r="X535" s="201"/>
      <c r="Y535" s="200"/>
      <c r="Z535" s="207"/>
      <c r="AA535" s="206"/>
      <c r="AB535" s="207"/>
      <c r="AC535" s="188"/>
      <c r="AD535" s="187">
        <v>44797</v>
      </c>
    </row>
    <row r="536" spans="1:30">
      <c r="A536" s="318">
        <f>COUNTA($E$3:E536)</f>
        <v>534</v>
      </c>
      <c r="B536" s="318" t="s">
        <v>3789</v>
      </c>
      <c r="C536" s="318" t="s">
        <v>41</v>
      </c>
      <c r="D536" s="318" t="s">
        <v>56</v>
      </c>
      <c r="E536" s="318" t="s">
        <v>3068</v>
      </c>
      <c r="F536" s="316">
        <v>44790</v>
      </c>
      <c r="G536" s="316"/>
      <c r="H536" s="316"/>
      <c r="I536" s="316"/>
      <c r="J536" s="318"/>
      <c r="K536" s="318"/>
      <c r="L536" s="14">
        <v>44795</v>
      </c>
      <c r="M536" t="s">
        <v>3805</v>
      </c>
      <c r="N536" s="174">
        <v>44795</v>
      </c>
      <c r="O536" s="179"/>
      <c r="Q536" t="s">
        <v>22</v>
      </c>
      <c r="T536" s="195"/>
      <c r="U536" s="195"/>
      <c r="V536" s="300"/>
      <c r="W536" s="201"/>
      <c r="X536" s="201"/>
      <c r="Y536" s="200"/>
      <c r="Z536" s="207"/>
      <c r="AA536" s="206"/>
      <c r="AB536" s="207"/>
      <c r="AC536" s="188"/>
      <c r="AD536" s="187">
        <v>44795</v>
      </c>
    </row>
    <row r="537" spans="1:30">
      <c r="A537" s="318">
        <f>COUNTA($E$3:E537)</f>
        <v>535</v>
      </c>
      <c r="B537" s="318" t="s">
        <v>3788</v>
      </c>
      <c r="C537" s="318" t="s">
        <v>41</v>
      </c>
      <c r="D537" s="318" t="s">
        <v>1124</v>
      </c>
      <c r="E537" s="318" t="s">
        <v>1138</v>
      </c>
      <c r="F537" s="316">
        <v>44790</v>
      </c>
      <c r="G537" s="316"/>
      <c r="H537" s="316"/>
      <c r="I537" s="316" t="s">
        <v>1110</v>
      </c>
      <c r="J537" s="318" t="s">
        <v>1650</v>
      </c>
      <c r="K537" s="318"/>
      <c r="L537" s="14">
        <v>44795</v>
      </c>
      <c r="M537" t="s">
        <v>3804</v>
      </c>
      <c r="N537" s="174">
        <v>44795</v>
      </c>
      <c r="O537" s="179"/>
      <c r="Q537" t="s">
        <v>22</v>
      </c>
      <c r="T537" s="195"/>
      <c r="U537" s="195"/>
      <c r="V537" s="300"/>
      <c r="W537" s="201"/>
      <c r="X537" s="201"/>
      <c r="Y537" s="200"/>
      <c r="Z537" s="207"/>
      <c r="AA537" s="206"/>
      <c r="AB537" s="207"/>
      <c r="AC537" s="188"/>
      <c r="AD537" s="187">
        <v>44795</v>
      </c>
    </row>
    <row r="538" spans="1:30">
      <c r="A538" s="318">
        <f>COUNTA($E$3:E538)</f>
        <v>536</v>
      </c>
      <c r="B538" s="318" t="s">
        <v>3726</v>
      </c>
      <c r="C538" s="318" t="s">
        <v>41</v>
      </c>
      <c r="D538" s="318" t="s">
        <v>1125</v>
      </c>
      <c r="E538" s="318" t="s">
        <v>3002</v>
      </c>
      <c r="F538" s="316">
        <v>44778.4730280324</v>
      </c>
      <c r="G538" s="316"/>
      <c r="H538" s="316"/>
      <c r="I538" s="316" t="s">
        <v>2</v>
      </c>
      <c r="J538" s="318" t="s">
        <v>2435</v>
      </c>
      <c r="K538" s="318" t="s">
        <v>20</v>
      </c>
      <c r="L538" s="14">
        <v>44795</v>
      </c>
      <c r="O538" s="179"/>
      <c r="Q538" t="s">
        <v>129</v>
      </c>
      <c r="T538" s="195"/>
      <c r="U538" s="195"/>
      <c r="V538" s="300"/>
      <c r="W538" s="201"/>
      <c r="X538" s="201"/>
      <c r="Y538" s="200"/>
      <c r="Z538" s="207"/>
      <c r="AA538" s="206"/>
      <c r="AB538" s="207"/>
      <c r="AC538" s="188"/>
      <c r="AD538" s="187"/>
    </row>
    <row r="539" spans="1:30">
      <c r="A539" s="318">
        <f>COUNTA($E$3:E539)</f>
        <v>537</v>
      </c>
      <c r="B539" s="318" t="s">
        <v>3615</v>
      </c>
      <c r="C539" s="318" t="s">
        <v>3616</v>
      </c>
      <c r="D539" s="318" t="s">
        <v>51</v>
      </c>
      <c r="E539" s="318" t="s">
        <v>3617</v>
      </c>
      <c r="F539" s="316">
        <v>44764</v>
      </c>
      <c r="G539" s="316"/>
      <c r="H539" s="316">
        <v>44781</v>
      </c>
      <c r="I539" s="316" t="s">
        <v>2</v>
      </c>
      <c r="J539" s="318" t="s">
        <v>1930</v>
      </c>
      <c r="K539" s="318" t="s">
        <v>287</v>
      </c>
      <c r="L539" s="14">
        <v>44795</v>
      </c>
      <c r="M539" t="s">
        <v>3801</v>
      </c>
      <c r="N539" s="174">
        <v>44795</v>
      </c>
      <c r="O539" s="179"/>
      <c r="Q539" t="s">
        <v>22</v>
      </c>
      <c r="T539" s="195"/>
      <c r="U539" s="195"/>
      <c r="V539" s="300"/>
      <c r="W539" s="201"/>
      <c r="X539" s="201"/>
      <c r="Y539" s="200"/>
      <c r="Z539" s="207"/>
      <c r="AA539" s="206"/>
      <c r="AB539" s="207"/>
      <c r="AC539" s="188"/>
      <c r="AD539" s="187">
        <v>44795</v>
      </c>
    </row>
    <row r="540" spans="1:30">
      <c r="A540" s="318">
        <f>COUNTA($E$3:E540)</f>
        <v>538</v>
      </c>
      <c r="B540" s="318" t="s">
        <v>3795</v>
      </c>
      <c r="C540" s="318" t="s">
        <v>41</v>
      </c>
      <c r="D540" s="318" t="s">
        <v>31</v>
      </c>
      <c r="E540" s="318" t="s">
        <v>3111</v>
      </c>
      <c r="F540" s="316">
        <v>44792</v>
      </c>
      <c r="G540" s="316"/>
      <c r="H540" s="316"/>
      <c r="I540" s="316" t="s">
        <v>3</v>
      </c>
      <c r="J540" s="318" t="s">
        <v>1093</v>
      </c>
      <c r="K540" s="318" t="s">
        <v>2032</v>
      </c>
      <c r="L540" s="14">
        <v>44795</v>
      </c>
      <c r="M540" t="s">
        <v>3802</v>
      </c>
      <c r="N540" s="174">
        <v>44844</v>
      </c>
      <c r="O540" s="179"/>
      <c r="Q540" t="s">
        <v>22</v>
      </c>
      <c r="T540" s="195"/>
      <c r="U540" s="195"/>
      <c r="V540" s="300"/>
      <c r="W540" s="201"/>
      <c r="X540" s="201"/>
      <c r="Y540" s="200"/>
      <c r="Z540" s="207"/>
      <c r="AA540" s="206"/>
      <c r="AB540" s="207"/>
      <c r="AC540" s="188"/>
      <c r="AD540" s="187">
        <v>44844</v>
      </c>
    </row>
    <row r="541" spans="1:30">
      <c r="A541" s="318">
        <f>COUNTA($E$3:E541)</f>
        <v>539</v>
      </c>
      <c r="B541" s="318" t="s">
        <v>3772</v>
      </c>
      <c r="C541" s="318" t="s">
        <v>1197</v>
      </c>
      <c r="D541" s="318" t="s">
        <v>38</v>
      </c>
      <c r="E541" s="318" t="s">
        <v>1222</v>
      </c>
      <c r="F541" s="316">
        <v>44785</v>
      </c>
      <c r="G541" s="316"/>
      <c r="H541" s="316"/>
      <c r="I541" s="316" t="s">
        <v>3</v>
      </c>
      <c r="J541" s="318" t="s">
        <v>3773</v>
      </c>
      <c r="K541" s="318"/>
      <c r="L541" s="14">
        <v>44795</v>
      </c>
      <c r="M541" t="s">
        <v>3803</v>
      </c>
      <c r="N541" s="174">
        <v>44803</v>
      </c>
      <c r="O541" s="179"/>
      <c r="Q541" t="s">
        <v>129</v>
      </c>
      <c r="T541" s="195"/>
      <c r="U541" s="195"/>
      <c r="V541" s="300"/>
      <c r="W541" s="201"/>
      <c r="X541" s="201"/>
      <c r="Y541" s="200"/>
      <c r="Z541" s="207"/>
      <c r="AA541" s="206"/>
      <c r="AB541" s="207"/>
      <c r="AC541" s="188"/>
      <c r="AD541" s="187">
        <v>44803</v>
      </c>
    </row>
    <row r="542" spans="1:30">
      <c r="A542" s="318">
        <f>COUNTA($E$3:E542)</f>
        <v>540</v>
      </c>
      <c r="B542" s="318" t="s">
        <v>3736</v>
      </c>
      <c r="C542" s="318" t="s">
        <v>37</v>
      </c>
      <c r="D542" s="318" t="s">
        <v>34</v>
      </c>
      <c r="E542" s="318" t="s">
        <v>1807</v>
      </c>
      <c r="F542" s="316">
        <v>44781</v>
      </c>
      <c r="G542" s="316"/>
      <c r="H542" s="316"/>
      <c r="I542" s="316" t="s">
        <v>2</v>
      </c>
      <c r="J542" s="318" t="s">
        <v>17</v>
      </c>
      <c r="K542" s="318" t="s">
        <v>125</v>
      </c>
      <c r="L542" s="14">
        <v>44788</v>
      </c>
      <c r="N542" s="174">
        <v>45051</v>
      </c>
      <c r="O542" s="179"/>
      <c r="Q542" t="s">
        <v>129</v>
      </c>
      <c r="T542" s="195"/>
      <c r="U542" s="195"/>
      <c r="V542" s="300"/>
      <c r="W542" s="201"/>
      <c r="X542" s="201"/>
      <c r="Y542" s="200"/>
      <c r="Z542" s="207"/>
      <c r="AA542" s="206"/>
      <c r="AB542" s="207"/>
      <c r="AC542" s="188"/>
      <c r="AD542" s="187">
        <v>45051</v>
      </c>
    </row>
    <row r="543" spans="1:30">
      <c r="A543" s="318">
        <f>COUNTA($E$3:E543)</f>
        <v>541</v>
      </c>
      <c r="B543" s="318" t="s">
        <v>3592</v>
      </c>
      <c r="C543" s="318" t="s">
        <v>41</v>
      </c>
      <c r="D543" s="318" t="s">
        <v>32</v>
      </c>
      <c r="E543" s="318" t="s">
        <v>2695</v>
      </c>
      <c r="F543" s="316">
        <v>44769</v>
      </c>
      <c r="G543" s="316"/>
      <c r="H543" s="316" t="s">
        <v>66</v>
      </c>
      <c r="I543" s="316" t="s">
        <v>2</v>
      </c>
      <c r="J543" s="318" t="s">
        <v>3593</v>
      </c>
      <c r="K543" s="318" t="s">
        <v>287</v>
      </c>
      <c r="L543" s="14">
        <v>44788</v>
      </c>
      <c r="M543" t="s">
        <v>3755</v>
      </c>
      <c r="N543" s="174">
        <v>44788</v>
      </c>
      <c r="O543" s="179"/>
      <c r="Q543" t="s">
        <v>22</v>
      </c>
      <c r="T543" s="195"/>
      <c r="U543" s="195"/>
      <c r="V543" s="300"/>
      <c r="W543" s="201"/>
      <c r="X543" s="201"/>
      <c r="Y543" s="200"/>
      <c r="Z543" s="207"/>
      <c r="AA543" s="206"/>
      <c r="AB543" s="207"/>
      <c r="AC543" s="188"/>
      <c r="AD543" s="187">
        <v>44788</v>
      </c>
    </row>
    <row r="544" spans="1:30">
      <c r="A544" s="318">
        <f>COUNTA($E$3:E544)</f>
        <v>542</v>
      </c>
      <c r="B544" s="318" t="s">
        <v>3568</v>
      </c>
      <c r="C544" s="318" t="s">
        <v>1113</v>
      </c>
      <c r="D544" s="318" t="s">
        <v>16</v>
      </c>
      <c r="E544" s="318" t="s">
        <v>3569</v>
      </c>
      <c r="F544" s="316">
        <v>44764</v>
      </c>
      <c r="G544" s="316"/>
      <c r="H544" s="316" t="s">
        <v>55</v>
      </c>
      <c r="I544" s="316" t="s">
        <v>2</v>
      </c>
      <c r="J544" s="318" t="s">
        <v>17</v>
      </c>
      <c r="K544" s="318" t="s">
        <v>287</v>
      </c>
      <c r="L544" s="14">
        <v>44788</v>
      </c>
      <c r="M544" t="s">
        <v>3758</v>
      </c>
      <c r="N544" s="174">
        <v>44788</v>
      </c>
      <c r="O544" s="179"/>
      <c r="Q544" t="s">
        <v>22</v>
      </c>
      <c r="T544" s="195"/>
      <c r="U544" s="195"/>
      <c r="V544" s="300"/>
      <c r="W544" s="201"/>
      <c r="X544" s="201"/>
      <c r="Y544" s="200"/>
      <c r="Z544" s="207"/>
      <c r="AA544" s="206"/>
      <c r="AB544" s="207"/>
      <c r="AC544" s="188"/>
      <c r="AD544" s="187">
        <v>44788</v>
      </c>
    </row>
    <row r="545" spans="1:30">
      <c r="A545" s="318">
        <f>COUNTA($E$3:E545)</f>
        <v>543</v>
      </c>
      <c r="B545" s="318" t="s">
        <v>3494</v>
      </c>
      <c r="C545" s="318" t="s">
        <v>37</v>
      </c>
      <c r="D545" s="318" t="s">
        <v>34</v>
      </c>
      <c r="E545" s="318" t="s">
        <v>1107</v>
      </c>
      <c r="F545" s="316">
        <v>44754.6527670949</v>
      </c>
      <c r="G545" s="316"/>
      <c r="H545" s="316"/>
      <c r="I545" s="316" t="s">
        <v>2</v>
      </c>
      <c r="J545" s="318" t="s">
        <v>17</v>
      </c>
      <c r="K545" s="318" t="s">
        <v>1274</v>
      </c>
      <c r="L545" s="14">
        <v>44788</v>
      </c>
      <c r="M545" t="s">
        <v>3757</v>
      </c>
      <c r="N545" s="174">
        <v>44827</v>
      </c>
      <c r="O545" s="179"/>
      <c r="Q545" t="s">
        <v>129</v>
      </c>
      <c r="T545" s="195"/>
      <c r="U545" s="195"/>
      <c r="V545" s="300"/>
      <c r="W545" s="201"/>
      <c r="X545" s="201"/>
      <c r="Y545" s="200"/>
      <c r="Z545" s="207"/>
      <c r="AA545" s="206"/>
      <c r="AB545" s="207"/>
      <c r="AC545" s="188"/>
      <c r="AD545" s="187">
        <v>44827</v>
      </c>
    </row>
    <row r="546" spans="1:30">
      <c r="A546" s="318">
        <f>COUNTA($E$3:E546)</f>
        <v>544</v>
      </c>
      <c r="B546" s="318" t="s">
        <v>3155</v>
      </c>
      <c r="C546" s="318" t="s">
        <v>21</v>
      </c>
      <c r="D546" s="318" t="s">
        <v>34</v>
      </c>
      <c r="E546" s="318" t="s">
        <v>3156</v>
      </c>
      <c r="F546" s="316">
        <v>44713</v>
      </c>
      <c r="G546" s="316"/>
      <c r="H546" s="316" t="s">
        <v>55</v>
      </c>
      <c r="I546" s="316" t="s">
        <v>2</v>
      </c>
      <c r="J546" s="318" t="s">
        <v>1657</v>
      </c>
      <c r="K546" s="318" t="s">
        <v>1296</v>
      </c>
      <c r="L546" s="14">
        <v>44788</v>
      </c>
      <c r="M546" t="s">
        <v>3764</v>
      </c>
      <c r="N546" s="174">
        <v>44795</v>
      </c>
      <c r="O546" s="179"/>
      <c r="Q546" t="s">
        <v>129</v>
      </c>
      <c r="T546" s="195"/>
      <c r="U546" s="195"/>
      <c r="V546" s="300"/>
      <c r="W546" s="201"/>
      <c r="X546" s="201"/>
      <c r="Y546" s="200"/>
      <c r="Z546" s="207"/>
      <c r="AA546" s="206"/>
      <c r="AB546" s="207"/>
      <c r="AC546" s="188"/>
      <c r="AD546" s="187">
        <v>44795</v>
      </c>
    </row>
    <row r="547" spans="1:30">
      <c r="A547" s="318">
        <f>COUNTA($E$3:E547)</f>
        <v>545</v>
      </c>
      <c r="B547" s="318" t="s">
        <v>3745</v>
      </c>
      <c r="C547" s="318" t="s">
        <v>2370</v>
      </c>
      <c r="D547" s="318" t="s">
        <v>1123</v>
      </c>
      <c r="E547" s="318" t="s">
        <v>1638</v>
      </c>
      <c r="F547" s="316">
        <v>44782</v>
      </c>
      <c r="G547" s="316"/>
      <c r="H547" s="316"/>
      <c r="I547" s="316" t="s">
        <v>3</v>
      </c>
      <c r="J547" s="318" t="s">
        <v>3477</v>
      </c>
      <c r="K547" s="318" t="s">
        <v>1294</v>
      </c>
      <c r="L547" s="14">
        <v>44788</v>
      </c>
      <c r="M547" t="s">
        <v>3758</v>
      </c>
      <c r="N547" s="174">
        <v>44784</v>
      </c>
      <c r="O547" s="179"/>
      <c r="Q547" t="s">
        <v>22</v>
      </c>
      <c r="T547" s="195"/>
      <c r="U547" s="195"/>
      <c r="V547" s="300"/>
      <c r="W547" s="201"/>
      <c r="X547" s="201"/>
      <c r="Y547" s="200"/>
      <c r="Z547" s="207"/>
      <c r="AA547" s="206"/>
      <c r="AB547" s="207"/>
      <c r="AC547" s="188"/>
      <c r="AD547" s="187">
        <v>44784</v>
      </c>
    </row>
    <row r="548" spans="1:30">
      <c r="A548" s="318">
        <f>COUNTA($E$3:E548)</f>
        <v>546</v>
      </c>
      <c r="B548" s="318" t="s">
        <v>3739</v>
      </c>
      <c r="C548" s="318" t="s">
        <v>41</v>
      </c>
      <c r="D548" s="318" t="s">
        <v>51</v>
      </c>
      <c r="E548" s="318" t="s">
        <v>3740</v>
      </c>
      <c r="F548" s="316">
        <v>44782</v>
      </c>
      <c r="G548" s="316"/>
      <c r="H548" s="316"/>
      <c r="I548" s="316" t="s">
        <v>3</v>
      </c>
      <c r="J548" s="318" t="s">
        <v>459</v>
      </c>
      <c r="K548" s="318" t="s">
        <v>2032</v>
      </c>
      <c r="L548" s="14">
        <v>44788</v>
      </c>
      <c r="M548" t="s">
        <v>3758</v>
      </c>
      <c r="N548" s="174">
        <v>44788</v>
      </c>
      <c r="O548" s="179"/>
      <c r="Q548" t="s">
        <v>22</v>
      </c>
      <c r="T548" s="195"/>
      <c r="U548" s="195"/>
      <c r="V548" s="300"/>
      <c r="W548" s="201"/>
      <c r="X548" s="201"/>
      <c r="Y548" s="200"/>
      <c r="Z548" s="207"/>
      <c r="AA548" s="206"/>
      <c r="AB548" s="207"/>
      <c r="AC548" s="188"/>
      <c r="AD548" s="187">
        <v>44788</v>
      </c>
    </row>
    <row r="549" spans="1:30">
      <c r="A549" s="318">
        <f>COUNTA($E$3:E549)</f>
        <v>547</v>
      </c>
      <c r="B549" s="318" t="s">
        <v>3737</v>
      </c>
      <c r="C549" s="318" t="s">
        <v>2767</v>
      </c>
      <c r="D549" s="318" t="s">
        <v>30</v>
      </c>
      <c r="E549" s="318" t="s">
        <v>3738</v>
      </c>
      <c r="F549" s="316">
        <v>44781</v>
      </c>
      <c r="G549" s="316"/>
      <c r="H549" s="316"/>
      <c r="I549" s="316" t="s">
        <v>3</v>
      </c>
      <c r="J549" s="318" t="s">
        <v>2153</v>
      </c>
      <c r="K549" s="318" t="s">
        <v>125</v>
      </c>
      <c r="L549" s="14">
        <v>44788</v>
      </c>
      <c r="M549" t="s">
        <v>3880</v>
      </c>
      <c r="N549" s="174">
        <v>44789</v>
      </c>
      <c r="O549" s="179"/>
      <c r="Q549" t="s">
        <v>129</v>
      </c>
      <c r="T549" s="195"/>
      <c r="U549" s="195"/>
      <c r="V549" s="300"/>
      <c r="W549" s="201"/>
      <c r="X549" s="201"/>
      <c r="Y549" s="200"/>
      <c r="Z549" s="207"/>
      <c r="AA549" s="206"/>
      <c r="AB549" s="207"/>
      <c r="AC549" s="188"/>
      <c r="AD549" s="187">
        <v>44789</v>
      </c>
    </row>
    <row r="550" spans="1:30">
      <c r="A550" s="318">
        <f>COUNTA($E$3:E550)</f>
        <v>548</v>
      </c>
      <c r="B550" s="318" t="s">
        <v>3723</v>
      </c>
      <c r="C550" s="318" t="s">
        <v>41</v>
      </c>
      <c r="D550" s="318" t="s">
        <v>51</v>
      </c>
      <c r="E550" s="318" t="s">
        <v>3024</v>
      </c>
      <c r="F550" s="316">
        <v>44777.755847685199</v>
      </c>
      <c r="G550" s="316"/>
      <c r="H550" s="316"/>
      <c r="I550" s="316" t="s">
        <v>3</v>
      </c>
      <c r="J550" s="318" t="s">
        <v>1677</v>
      </c>
      <c r="K550" s="318" t="s">
        <v>1295</v>
      </c>
      <c r="L550" s="14">
        <v>44788</v>
      </c>
      <c r="M550" t="s">
        <v>3755</v>
      </c>
      <c r="N550" s="174">
        <v>44788</v>
      </c>
      <c r="O550" s="179"/>
      <c r="Q550" t="s">
        <v>129</v>
      </c>
      <c r="T550" s="195"/>
      <c r="U550" s="195"/>
      <c r="V550" s="300"/>
      <c r="W550" s="201"/>
      <c r="X550" s="201"/>
      <c r="Y550" s="200"/>
      <c r="Z550" s="207"/>
      <c r="AA550" s="206"/>
      <c r="AB550" s="207"/>
      <c r="AC550" s="188"/>
      <c r="AD550" s="187">
        <v>44788</v>
      </c>
    </row>
    <row r="551" spans="1:30">
      <c r="A551" s="318">
        <f>COUNTA($E$3:E551)</f>
        <v>549</v>
      </c>
      <c r="B551" s="318" t="s">
        <v>3722</v>
      </c>
      <c r="C551" s="318" t="s">
        <v>40</v>
      </c>
      <c r="D551" s="318" t="s">
        <v>51</v>
      </c>
      <c r="E551" s="318" t="s">
        <v>1694</v>
      </c>
      <c r="F551" s="316">
        <v>44777</v>
      </c>
      <c r="G551" s="316"/>
      <c r="H551" s="316"/>
      <c r="I551" s="316" t="s">
        <v>3</v>
      </c>
      <c r="J551" s="318" t="s">
        <v>1649</v>
      </c>
      <c r="K551" s="318" t="s">
        <v>33</v>
      </c>
      <c r="L551" s="14">
        <v>44788</v>
      </c>
      <c r="M551" t="s">
        <v>3759</v>
      </c>
      <c r="N551" s="174">
        <v>44788</v>
      </c>
      <c r="O551" s="179"/>
      <c r="Q551" t="s">
        <v>129</v>
      </c>
      <c r="T551" s="195"/>
      <c r="U551" s="195"/>
      <c r="V551" s="300"/>
      <c r="W551" s="201"/>
      <c r="X551" s="201"/>
      <c r="Y551" s="200"/>
      <c r="Z551" s="207"/>
      <c r="AA551" s="206"/>
      <c r="AB551" s="207"/>
      <c r="AC551" s="188"/>
      <c r="AD551" s="187">
        <v>44788</v>
      </c>
    </row>
    <row r="552" spans="1:30">
      <c r="A552" s="318">
        <f>COUNTA($E$3:E552)</f>
        <v>550</v>
      </c>
      <c r="B552" s="318" t="s">
        <v>3719</v>
      </c>
      <c r="C552" s="318" t="s">
        <v>1171</v>
      </c>
      <c r="D552" s="318" t="s">
        <v>19</v>
      </c>
      <c r="E552" s="318" t="s">
        <v>3720</v>
      </c>
      <c r="F552" s="316">
        <v>44777</v>
      </c>
      <c r="G552" s="316"/>
      <c r="H552" s="316">
        <v>44777</v>
      </c>
      <c r="I552" s="316" t="s">
        <v>3</v>
      </c>
      <c r="J552" s="318" t="s">
        <v>1934</v>
      </c>
      <c r="K552" s="318" t="s">
        <v>1294</v>
      </c>
      <c r="L552" s="14">
        <v>44788</v>
      </c>
      <c r="M552" t="s">
        <v>3760</v>
      </c>
      <c r="N552" s="174">
        <v>44788</v>
      </c>
      <c r="O552" s="179"/>
      <c r="Q552" t="s">
        <v>22</v>
      </c>
      <c r="T552" s="195"/>
      <c r="U552" s="195"/>
      <c r="V552" s="300"/>
      <c r="W552" s="201"/>
      <c r="X552" s="201"/>
      <c r="Y552" s="200"/>
      <c r="Z552" s="207"/>
      <c r="AA552" s="206"/>
      <c r="AB552" s="207"/>
      <c r="AC552" s="188"/>
      <c r="AD552" s="187">
        <v>44788</v>
      </c>
    </row>
    <row r="553" spans="1:30">
      <c r="A553" s="318">
        <f>COUNTA($E$3:E553)</f>
        <v>551</v>
      </c>
      <c r="B553" s="318" t="s">
        <v>3716</v>
      </c>
      <c r="C553" s="318" t="s">
        <v>41</v>
      </c>
      <c r="D553" s="318" t="s">
        <v>1103</v>
      </c>
      <c r="E553" s="318" t="s">
        <v>3717</v>
      </c>
      <c r="F553" s="316">
        <v>44784.675908969897</v>
      </c>
      <c r="G553" s="316"/>
      <c r="H553" s="316"/>
      <c r="I553" s="316" t="s">
        <v>3</v>
      </c>
      <c r="J553" s="318" t="s">
        <v>3718</v>
      </c>
      <c r="K553" s="318" t="s">
        <v>1294</v>
      </c>
      <c r="L553" s="14">
        <v>44788</v>
      </c>
      <c r="M553" t="s">
        <v>3758</v>
      </c>
      <c r="N553" s="174">
        <v>44788</v>
      </c>
      <c r="O553" s="179"/>
      <c r="Q553" t="s">
        <v>22</v>
      </c>
      <c r="T553" s="195"/>
      <c r="U553" s="195"/>
      <c r="V553" s="300"/>
      <c r="W553" s="201"/>
      <c r="X553" s="201"/>
      <c r="Y553" s="200"/>
      <c r="Z553" s="207"/>
      <c r="AA553" s="206"/>
      <c r="AB553" s="207"/>
      <c r="AC553" s="188"/>
      <c r="AD553" s="187">
        <v>44788</v>
      </c>
    </row>
    <row r="554" spans="1:30">
      <c r="A554" s="318">
        <f>COUNTA($E$3:E554)</f>
        <v>552</v>
      </c>
      <c r="B554" s="318" t="s">
        <v>3633</v>
      </c>
      <c r="C554" s="318" t="s">
        <v>21</v>
      </c>
      <c r="D554" s="318" t="s">
        <v>34</v>
      </c>
      <c r="E554" s="318" t="s">
        <v>2059</v>
      </c>
      <c r="F554" s="316">
        <v>44776</v>
      </c>
      <c r="G554" s="316"/>
      <c r="H554" s="316"/>
      <c r="I554" s="316" t="s">
        <v>3</v>
      </c>
      <c r="J554" s="318" t="s">
        <v>17</v>
      </c>
      <c r="K554" s="318" t="s">
        <v>101</v>
      </c>
      <c r="L554" s="14">
        <v>44788</v>
      </c>
      <c r="M554" t="s">
        <v>3728</v>
      </c>
      <c r="N554" s="174">
        <v>44782</v>
      </c>
      <c r="O554" s="179"/>
      <c r="Q554" t="s">
        <v>129</v>
      </c>
      <c r="T554" s="195"/>
      <c r="U554" s="195"/>
      <c r="V554" s="300"/>
      <c r="W554" s="201"/>
      <c r="X554" s="201"/>
      <c r="Y554" s="200"/>
      <c r="Z554" s="207"/>
      <c r="AA554" s="206"/>
      <c r="AB554" s="207"/>
      <c r="AC554" s="188"/>
      <c r="AD554" s="187">
        <v>44782</v>
      </c>
    </row>
    <row r="555" spans="1:30">
      <c r="A555" s="318">
        <f>COUNTA($E$3:E555)</f>
        <v>553</v>
      </c>
      <c r="B555" s="318" t="s">
        <v>3628</v>
      </c>
      <c r="C555" s="318" t="s">
        <v>41</v>
      </c>
      <c r="D555" s="318" t="s">
        <v>1201</v>
      </c>
      <c r="E555" s="318" t="s">
        <v>3629</v>
      </c>
      <c r="F555" s="316">
        <v>44774</v>
      </c>
      <c r="G555" s="316"/>
      <c r="H555" s="316" t="s">
        <v>66</v>
      </c>
      <c r="I555" s="316" t="s">
        <v>3</v>
      </c>
      <c r="J555" s="318" t="s">
        <v>1666</v>
      </c>
      <c r="K555" s="318" t="s">
        <v>1295</v>
      </c>
      <c r="L555" s="14">
        <v>44788</v>
      </c>
      <c r="M555" t="s">
        <v>3756</v>
      </c>
      <c r="N555" s="174">
        <v>44819</v>
      </c>
      <c r="O555" s="179"/>
      <c r="Q555" t="s">
        <v>129</v>
      </c>
      <c r="T555" s="195"/>
      <c r="U555" s="195"/>
      <c r="V555" s="300"/>
      <c r="W555" s="201"/>
      <c r="X555" s="201"/>
      <c r="Y555" s="200"/>
      <c r="Z555" s="207"/>
      <c r="AA555" s="206"/>
      <c r="AB555" s="207"/>
      <c r="AC555" s="188"/>
      <c r="AD555" s="187">
        <v>44819</v>
      </c>
    </row>
    <row r="556" spans="1:30">
      <c r="A556" s="318">
        <f>COUNTA($E$3:E556)</f>
        <v>554</v>
      </c>
      <c r="B556" s="318" t="s">
        <v>3721</v>
      </c>
      <c r="C556" s="318" t="s">
        <v>37</v>
      </c>
      <c r="D556" s="318" t="s">
        <v>30</v>
      </c>
      <c r="E556" s="318" t="s">
        <v>1289</v>
      </c>
      <c r="F556" s="316">
        <v>44777</v>
      </c>
      <c r="G556" s="316"/>
      <c r="H556" s="316"/>
      <c r="I556" s="316" t="s">
        <v>2</v>
      </c>
      <c r="J556" s="318" t="s">
        <v>2656</v>
      </c>
      <c r="K556" s="318" t="s">
        <v>1120</v>
      </c>
      <c r="L556" s="14">
        <v>44781</v>
      </c>
      <c r="M556" t="s">
        <v>3732</v>
      </c>
      <c r="N556" s="174">
        <v>44782</v>
      </c>
      <c r="O556" s="179"/>
      <c r="Q556" t="s">
        <v>129</v>
      </c>
      <c r="T556" s="195"/>
      <c r="U556" s="195"/>
      <c r="V556" s="300"/>
      <c r="W556" s="201"/>
      <c r="X556" s="201"/>
      <c r="Y556" s="200"/>
      <c r="Z556" s="207"/>
      <c r="AA556" s="206"/>
      <c r="AB556" s="207"/>
      <c r="AC556" s="188"/>
      <c r="AD556" s="187">
        <v>44782</v>
      </c>
    </row>
    <row r="557" spans="1:30">
      <c r="A557" s="318">
        <f>COUNTA($E$3:E557)</f>
        <v>555</v>
      </c>
      <c r="B557" s="318" t="s">
        <v>3631</v>
      </c>
      <c r="C557" s="318" t="s">
        <v>41</v>
      </c>
      <c r="D557" s="318" t="s">
        <v>16</v>
      </c>
      <c r="E557" s="318" t="s">
        <v>1203</v>
      </c>
      <c r="F557" s="316">
        <v>44775</v>
      </c>
      <c r="G557" s="316"/>
      <c r="H557" s="316"/>
      <c r="I557" s="316" t="s">
        <v>2</v>
      </c>
      <c r="J557" s="318" t="s">
        <v>1664</v>
      </c>
      <c r="K557" s="318" t="s">
        <v>1287</v>
      </c>
      <c r="L557" s="14">
        <v>44781</v>
      </c>
      <c r="N557" s="174">
        <v>44781</v>
      </c>
      <c r="O557" s="179"/>
      <c r="Q557" t="s">
        <v>129</v>
      </c>
      <c r="T557" s="195"/>
      <c r="U557" s="195"/>
      <c r="V557" s="300"/>
      <c r="W557" s="201"/>
      <c r="X557" s="201"/>
      <c r="Y557" s="200"/>
      <c r="Z557" s="207"/>
      <c r="AA557" s="206"/>
      <c r="AB557" s="207"/>
      <c r="AC557" s="188"/>
      <c r="AD557" s="187">
        <v>44781</v>
      </c>
    </row>
    <row r="558" spans="1:30">
      <c r="A558" s="318">
        <f>COUNTA($E$3:E558)</f>
        <v>556</v>
      </c>
      <c r="B558" s="318" t="s">
        <v>3570</v>
      </c>
      <c r="C558" s="318" t="s">
        <v>1113</v>
      </c>
      <c r="D558" s="318" t="s">
        <v>58</v>
      </c>
      <c r="E558" s="318" t="s">
        <v>3571</v>
      </c>
      <c r="F558" s="316">
        <v>44764</v>
      </c>
      <c r="G558" s="316"/>
      <c r="H558" s="316"/>
      <c r="I558" s="316" t="s">
        <v>2</v>
      </c>
      <c r="J558" s="318" t="s">
        <v>17</v>
      </c>
      <c r="K558" s="318" t="s">
        <v>1294</v>
      </c>
      <c r="L558" s="14">
        <v>44781</v>
      </c>
      <c r="M558" t="s">
        <v>3727</v>
      </c>
      <c r="N558" s="174">
        <v>44781</v>
      </c>
      <c r="O558" s="179"/>
      <c r="Q558" t="s">
        <v>22</v>
      </c>
      <c r="T558" s="195"/>
      <c r="U558" s="195"/>
      <c r="V558" s="300"/>
      <c r="W558" s="201"/>
      <c r="X558" s="201"/>
      <c r="Y558" s="200"/>
      <c r="Z558" s="207"/>
      <c r="AA558" s="206"/>
      <c r="AB558" s="207"/>
      <c r="AC558" s="188"/>
      <c r="AD558" s="187">
        <v>44781</v>
      </c>
    </row>
    <row r="559" spans="1:30">
      <c r="A559" s="318">
        <f>COUNTA($E$3:E559)</f>
        <v>557</v>
      </c>
      <c r="B559" s="318" t="s">
        <v>3484</v>
      </c>
      <c r="C559" s="318" t="s">
        <v>41</v>
      </c>
      <c r="D559" s="318" t="s">
        <v>32</v>
      </c>
      <c r="E559" s="318" t="s">
        <v>1282</v>
      </c>
      <c r="F559" s="316">
        <v>44749</v>
      </c>
      <c r="G559" s="316"/>
      <c r="H559" s="316" t="s">
        <v>66</v>
      </c>
      <c r="I559" s="316" t="s">
        <v>2</v>
      </c>
      <c r="J559" s="318" t="s">
        <v>17</v>
      </c>
      <c r="K559" s="318" t="s">
        <v>2032</v>
      </c>
      <c r="L559" s="14">
        <v>44781</v>
      </c>
      <c r="M559" t="s">
        <v>3734</v>
      </c>
      <c r="N559" s="174">
        <v>44785</v>
      </c>
      <c r="O559" s="179"/>
      <c r="Q559" t="s">
        <v>129</v>
      </c>
      <c r="T559" s="195"/>
      <c r="U559" s="195"/>
      <c r="V559" s="300"/>
      <c r="W559" s="201"/>
      <c r="X559" s="201"/>
      <c r="Y559" s="200"/>
      <c r="Z559" s="207"/>
      <c r="AA559" s="206"/>
      <c r="AB559" s="207"/>
      <c r="AC559" s="188"/>
      <c r="AD559" s="187">
        <v>44785</v>
      </c>
    </row>
    <row r="560" spans="1:30">
      <c r="A560" s="318">
        <f>COUNTA($E$3:E560)</f>
        <v>558</v>
      </c>
      <c r="B560" s="318" t="s">
        <v>3448</v>
      </c>
      <c r="C560" s="318" t="s">
        <v>41</v>
      </c>
      <c r="D560" s="318" t="s">
        <v>16</v>
      </c>
      <c r="E560" s="318" t="s">
        <v>3449</v>
      </c>
      <c r="F560" s="316">
        <v>44743</v>
      </c>
      <c r="G560" s="316"/>
      <c r="H560" s="316" t="s">
        <v>66</v>
      </c>
      <c r="I560" s="316" t="s">
        <v>2</v>
      </c>
      <c r="J560" s="318" t="s">
        <v>1875</v>
      </c>
      <c r="K560" s="318" t="s">
        <v>1295</v>
      </c>
      <c r="L560" s="14">
        <v>44781</v>
      </c>
      <c r="M560" t="s">
        <v>3733</v>
      </c>
      <c r="N560" s="174">
        <v>44785</v>
      </c>
      <c r="O560" s="179"/>
      <c r="Q560" t="s">
        <v>129</v>
      </c>
      <c r="T560" s="195"/>
      <c r="U560" s="195"/>
      <c r="V560" s="300"/>
      <c r="W560" s="201"/>
      <c r="X560" s="201"/>
      <c r="Y560" s="200"/>
      <c r="Z560" s="207"/>
      <c r="AA560" s="206"/>
      <c r="AB560" s="207"/>
      <c r="AC560" s="188"/>
      <c r="AD560" s="187">
        <v>44785</v>
      </c>
    </row>
    <row r="561" spans="1:30">
      <c r="A561" s="318">
        <f>COUNTA($E$3:E561)</f>
        <v>559</v>
      </c>
      <c r="B561" s="318" t="s">
        <v>3630</v>
      </c>
      <c r="C561" s="318" t="s">
        <v>2370</v>
      </c>
      <c r="D561" s="318" t="s">
        <v>1220</v>
      </c>
      <c r="E561" s="318" t="s">
        <v>1221</v>
      </c>
      <c r="F561" s="316">
        <v>44774</v>
      </c>
      <c r="G561" s="316"/>
      <c r="H561" s="316"/>
      <c r="I561" s="316" t="s">
        <v>3</v>
      </c>
      <c r="J561" s="318" t="s">
        <v>1649</v>
      </c>
      <c r="K561" s="318" t="s">
        <v>2032</v>
      </c>
      <c r="L561" s="14">
        <v>44781</v>
      </c>
      <c r="M561" t="s">
        <v>3731</v>
      </c>
      <c r="N561" s="174">
        <v>44781</v>
      </c>
      <c r="O561" s="179"/>
      <c r="Q561" t="s">
        <v>22</v>
      </c>
      <c r="T561" s="195"/>
      <c r="U561" s="195"/>
      <c r="V561" s="300"/>
      <c r="W561" s="201"/>
      <c r="X561" s="201"/>
      <c r="Y561" s="200"/>
      <c r="Z561" s="207"/>
      <c r="AA561" s="206"/>
      <c r="AB561" s="207"/>
      <c r="AC561" s="188"/>
      <c r="AD561" s="187">
        <v>44781</v>
      </c>
    </row>
    <row r="562" spans="1:30">
      <c r="A562" s="318">
        <f>COUNTA($E$3:E562)</f>
        <v>560</v>
      </c>
      <c r="B562" s="318" t="s">
        <v>3600</v>
      </c>
      <c r="C562" s="318" t="s">
        <v>21</v>
      </c>
      <c r="D562" s="318" t="s">
        <v>34</v>
      </c>
      <c r="E562" s="318" t="s">
        <v>1682</v>
      </c>
      <c r="F562" s="316">
        <v>44769</v>
      </c>
      <c r="G562" s="316"/>
      <c r="H562" s="316"/>
      <c r="I562" s="316" t="s">
        <v>3</v>
      </c>
      <c r="J562" s="318" t="s">
        <v>1760</v>
      </c>
      <c r="K562" s="318" t="s">
        <v>1089</v>
      </c>
      <c r="L562" s="14">
        <v>44781</v>
      </c>
      <c r="M562" t="s">
        <v>3613</v>
      </c>
      <c r="N562" s="174">
        <v>44795</v>
      </c>
      <c r="O562" s="179"/>
      <c r="Q562" t="s">
        <v>129</v>
      </c>
      <c r="T562" s="195"/>
      <c r="U562" s="195"/>
      <c r="V562" s="300"/>
      <c r="W562" s="201"/>
      <c r="X562" s="201"/>
      <c r="Y562" s="200"/>
      <c r="Z562" s="207"/>
      <c r="AA562" s="206"/>
      <c r="AB562" s="207"/>
      <c r="AC562" s="188"/>
      <c r="AD562" s="187">
        <v>44795</v>
      </c>
    </row>
    <row r="563" spans="1:30">
      <c r="A563" s="318">
        <f>COUNTA($E$3:E563)</f>
        <v>561</v>
      </c>
      <c r="B563" s="318" t="s">
        <v>3598</v>
      </c>
      <c r="C563" s="318" t="s">
        <v>44</v>
      </c>
      <c r="D563" s="318" t="s">
        <v>1129</v>
      </c>
      <c r="E563" s="318" t="s">
        <v>1812</v>
      </c>
      <c r="F563" s="316">
        <v>44769.734977</v>
      </c>
      <c r="G563" s="316"/>
      <c r="H563" s="316"/>
      <c r="I563" s="316" t="s">
        <v>3</v>
      </c>
      <c r="J563" s="318" t="s">
        <v>1485</v>
      </c>
      <c r="K563" s="318" t="s">
        <v>1295</v>
      </c>
      <c r="L563" s="14">
        <v>44781</v>
      </c>
      <c r="M563" t="s">
        <v>3730</v>
      </c>
      <c r="N563" s="174">
        <v>44781</v>
      </c>
      <c r="O563" s="179"/>
      <c r="Q563" t="s">
        <v>129</v>
      </c>
      <c r="T563" s="195"/>
      <c r="U563" s="195"/>
      <c r="V563" s="300"/>
      <c r="W563" s="201"/>
      <c r="X563" s="201"/>
      <c r="Y563" s="200"/>
      <c r="Z563" s="207"/>
      <c r="AA563" s="206"/>
      <c r="AB563" s="207"/>
      <c r="AC563" s="188"/>
      <c r="AD563" s="187">
        <v>44781</v>
      </c>
    </row>
    <row r="564" spans="1:30">
      <c r="A564" s="318">
        <f>COUNTA($E$3:E564)</f>
        <v>562</v>
      </c>
      <c r="B564" s="318" t="s">
        <v>3596</v>
      </c>
      <c r="C564" s="318" t="s">
        <v>41</v>
      </c>
      <c r="D564" s="318" t="s">
        <v>3179</v>
      </c>
      <c r="E564" s="318" t="s">
        <v>3597</v>
      </c>
      <c r="F564" s="316">
        <v>44769.734281999998</v>
      </c>
      <c r="G564" s="316"/>
      <c r="H564" s="316"/>
      <c r="I564" s="316" t="s">
        <v>3</v>
      </c>
      <c r="J564" s="318" t="s">
        <v>1485</v>
      </c>
      <c r="K564" s="318" t="s">
        <v>1274</v>
      </c>
      <c r="L564" s="14">
        <v>44781</v>
      </c>
      <c r="M564" t="s">
        <v>3729</v>
      </c>
      <c r="N564" s="174">
        <v>44781</v>
      </c>
      <c r="O564" s="179"/>
      <c r="Q564" t="s">
        <v>129</v>
      </c>
      <c r="T564" s="195"/>
      <c r="U564" s="195"/>
      <c r="V564" s="300"/>
      <c r="W564" s="201"/>
      <c r="X564" s="201"/>
      <c r="Y564" s="200"/>
      <c r="Z564" s="207"/>
      <c r="AA564" s="206"/>
      <c r="AB564" s="207"/>
      <c r="AC564" s="188"/>
      <c r="AD564" s="187">
        <v>44781</v>
      </c>
    </row>
    <row r="565" spans="1:30">
      <c r="A565" s="318">
        <f>COUNTA($E$3:E565)</f>
        <v>563</v>
      </c>
      <c r="B565" s="318" t="s">
        <v>3577</v>
      </c>
      <c r="C565" s="318" t="s">
        <v>109</v>
      </c>
      <c r="D565" s="318" t="s">
        <v>58</v>
      </c>
      <c r="E565" s="318" t="s">
        <v>3578</v>
      </c>
      <c r="F565" s="316">
        <v>44769</v>
      </c>
      <c r="G565" s="316"/>
      <c r="H565" s="316"/>
      <c r="I565" s="316" t="s">
        <v>3</v>
      </c>
      <c r="J565" s="318" t="s">
        <v>2570</v>
      </c>
      <c r="K565" s="318" t="s">
        <v>33</v>
      </c>
      <c r="L565" s="14">
        <v>44781</v>
      </c>
      <c r="M565" t="s">
        <v>3728</v>
      </c>
      <c r="N565" s="174">
        <v>44781</v>
      </c>
      <c r="O565" s="179"/>
      <c r="Q565" t="s">
        <v>129</v>
      </c>
      <c r="T565" s="195"/>
      <c r="U565" s="195"/>
      <c r="V565" s="300"/>
      <c r="W565" s="201"/>
      <c r="X565" s="201"/>
      <c r="Y565" s="200"/>
      <c r="Z565" s="207"/>
      <c r="AA565" s="206"/>
      <c r="AB565" s="207"/>
      <c r="AC565" s="188"/>
      <c r="AD565" s="187">
        <v>44781</v>
      </c>
    </row>
    <row r="566" spans="1:30">
      <c r="A566" s="318">
        <f>COUNTA($E$3:E566)</f>
        <v>564</v>
      </c>
      <c r="B566" s="318" t="s">
        <v>2940</v>
      </c>
      <c r="C566" s="318" t="s">
        <v>44</v>
      </c>
      <c r="D566" s="318" t="s">
        <v>2941</v>
      </c>
      <c r="E566" s="318" t="s">
        <v>163</v>
      </c>
      <c r="F566" s="316">
        <v>44676</v>
      </c>
      <c r="G566" s="316"/>
      <c r="H566" s="316" t="s">
        <v>66</v>
      </c>
      <c r="I566" s="316" t="s">
        <v>3</v>
      </c>
      <c r="J566" s="318" t="s">
        <v>1664</v>
      </c>
      <c r="K566" s="318" t="s">
        <v>20</v>
      </c>
      <c r="L566" s="14">
        <v>44781</v>
      </c>
      <c r="N566" s="174">
        <v>44781</v>
      </c>
      <c r="O566" s="179"/>
      <c r="Q566" t="s">
        <v>129</v>
      </c>
      <c r="T566" s="195"/>
      <c r="U566" s="195"/>
      <c r="V566" s="300"/>
      <c r="W566" s="201"/>
      <c r="X566" s="201"/>
      <c r="Y566" s="200"/>
      <c r="Z566" s="207"/>
      <c r="AA566" s="206"/>
      <c r="AB566" s="207"/>
      <c r="AC566" s="188"/>
      <c r="AD566" s="187">
        <v>44781</v>
      </c>
    </row>
    <row r="567" spans="1:30">
      <c r="A567" s="318">
        <f>COUNTA($E$3:E567)</f>
        <v>565</v>
      </c>
      <c r="B567" s="318" t="s">
        <v>3590</v>
      </c>
      <c r="C567" s="318" t="s">
        <v>41</v>
      </c>
      <c r="D567" s="318" t="s">
        <v>49</v>
      </c>
      <c r="E567" s="318" t="s">
        <v>1143</v>
      </c>
      <c r="F567" s="316">
        <v>44769</v>
      </c>
      <c r="G567" s="316"/>
      <c r="H567" s="316"/>
      <c r="I567" s="316" t="s">
        <v>1110</v>
      </c>
      <c r="J567" s="318" t="s">
        <v>1485</v>
      </c>
      <c r="K567" s="318" t="s">
        <v>53</v>
      </c>
      <c r="L567" s="14">
        <v>44774</v>
      </c>
      <c r="M567" t="s">
        <v>3608</v>
      </c>
      <c r="N567" s="174">
        <v>44785</v>
      </c>
      <c r="O567" s="179"/>
      <c r="Q567" t="s">
        <v>129</v>
      </c>
      <c r="T567" s="195"/>
      <c r="U567" s="195"/>
      <c r="V567" s="300"/>
      <c r="W567" s="201"/>
      <c r="X567" s="201"/>
      <c r="Y567" s="200"/>
      <c r="Z567" s="207"/>
      <c r="AA567" s="206"/>
      <c r="AB567" s="207"/>
      <c r="AC567" s="188"/>
      <c r="AD567" s="187">
        <v>44785</v>
      </c>
    </row>
    <row r="568" spans="1:30">
      <c r="A568" s="318">
        <f>COUNTA($E$3:E568)</f>
        <v>566</v>
      </c>
      <c r="B568" s="318" t="s">
        <v>3601</v>
      </c>
      <c r="C568" s="318" t="s">
        <v>57</v>
      </c>
      <c r="D568" s="318" t="s">
        <v>16</v>
      </c>
      <c r="E568" s="318" t="s">
        <v>2893</v>
      </c>
      <c r="F568" s="316">
        <v>44769</v>
      </c>
      <c r="G568" s="316"/>
      <c r="H568" s="316"/>
      <c r="I568" s="316" t="s">
        <v>2</v>
      </c>
      <c r="J568" s="318" t="s">
        <v>2894</v>
      </c>
      <c r="K568" s="318" t="s">
        <v>24</v>
      </c>
      <c r="L568" s="14">
        <v>44774</v>
      </c>
      <c r="M568" t="s">
        <v>3606</v>
      </c>
      <c r="N568" s="174">
        <v>44774</v>
      </c>
      <c r="O568" s="179"/>
      <c r="Q568" t="s">
        <v>22</v>
      </c>
      <c r="T568" s="195"/>
      <c r="U568" s="195"/>
      <c r="V568" s="300"/>
      <c r="W568" s="201"/>
      <c r="X568" s="201"/>
      <c r="Y568" s="200"/>
      <c r="Z568" s="207"/>
      <c r="AA568" s="206"/>
      <c r="AB568" s="207"/>
      <c r="AC568" s="188"/>
      <c r="AD568" s="187">
        <v>44774</v>
      </c>
    </row>
    <row r="569" spans="1:30">
      <c r="A569" s="318">
        <f>COUNTA($E$3:E569)</f>
        <v>567</v>
      </c>
      <c r="B569" s="318" t="s">
        <v>3574</v>
      </c>
      <c r="C569" s="318" t="s">
        <v>57</v>
      </c>
      <c r="D569" s="318" t="s">
        <v>34</v>
      </c>
      <c r="E569" s="318" t="s">
        <v>2902</v>
      </c>
      <c r="F569" s="316">
        <v>44767</v>
      </c>
      <c r="G569" s="316"/>
      <c r="H569" s="316"/>
      <c r="I569" s="316" t="s">
        <v>2</v>
      </c>
      <c r="J569" s="318" t="s">
        <v>2903</v>
      </c>
      <c r="K569" s="318" t="s">
        <v>1294</v>
      </c>
      <c r="L569" s="14">
        <v>44774</v>
      </c>
      <c r="M569" t="s">
        <v>3604</v>
      </c>
      <c r="N569" s="174">
        <v>44774</v>
      </c>
      <c r="O569" s="179"/>
      <c r="Q569" t="s">
        <v>22</v>
      </c>
      <c r="T569" s="195"/>
      <c r="U569" s="195"/>
      <c r="V569" s="300"/>
      <c r="W569" s="201"/>
      <c r="X569" s="201"/>
      <c r="Y569" s="200"/>
      <c r="Z569" s="207"/>
      <c r="AA569" s="206"/>
      <c r="AB569" s="207"/>
      <c r="AC569" s="188"/>
      <c r="AD569" s="187">
        <v>44774</v>
      </c>
    </row>
    <row r="570" spans="1:30">
      <c r="A570" s="318">
        <f>COUNTA($E$3:E570)</f>
        <v>568</v>
      </c>
      <c r="B570" s="318" t="s">
        <v>3555</v>
      </c>
      <c r="C570" s="318" t="s">
        <v>37</v>
      </c>
      <c r="D570" s="318" t="s">
        <v>30</v>
      </c>
      <c r="E570" s="318" t="s">
        <v>3367</v>
      </c>
      <c r="F570" s="316">
        <v>44762.540179189797</v>
      </c>
      <c r="G570" s="316"/>
      <c r="H570" s="316"/>
      <c r="I570" s="316" t="s">
        <v>2</v>
      </c>
      <c r="J570" s="318" t="s">
        <v>1659</v>
      </c>
      <c r="K570" s="318"/>
      <c r="L570" s="14">
        <v>44774</v>
      </c>
      <c r="M570" t="s">
        <v>3621</v>
      </c>
      <c r="N570" s="174">
        <v>44782</v>
      </c>
      <c r="O570" s="179"/>
      <c r="Q570" t="s">
        <v>129</v>
      </c>
      <c r="T570" s="195"/>
      <c r="U570" s="195"/>
      <c r="V570" s="300"/>
      <c r="W570" s="201"/>
      <c r="X570" s="201"/>
      <c r="Y570" s="200"/>
      <c r="Z570" s="207"/>
      <c r="AA570" s="206"/>
      <c r="AB570" s="207"/>
      <c r="AC570" s="188"/>
      <c r="AD570" s="187">
        <v>44782</v>
      </c>
    </row>
    <row r="571" spans="1:30">
      <c r="A571" s="318">
        <f>COUNTA($E$3:E571)</f>
        <v>569</v>
      </c>
      <c r="B571" s="318" t="s">
        <v>2748</v>
      </c>
      <c r="C571" s="318" t="s">
        <v>37</v>
      </c>
      <c r="D571" s="318" t="s">
        <v>30</v>
      </c>
      <c r="E571" s="318" t="s">
        <v>2749</v>
      </c>
      <c r="F571" s="316">
        <v>44651</v>
      </c>
      <c r="G571" s="316"/>
      <c r="H571" s="316">
        <v>44691</v>
      </c>
      <c r="I571" s="316" t="s">
        <v>2</v>
      </c>
      <c r="J571" s="318" t="s">
        <v>1662</v>
      </c>
      <c r="K571" s="318" t="s">
        <v>1274</v>
      </c>
      <c r="L571" s="14">
        <v>44774</v>
      </c>
      <c r="N571" s="174">
        <v>45021</v>
      </c>
      <c r="O571" s="179"/>
      <c r="Q571" t="s">
        <v>129</v>
      </c>
      <c r="T571" s="195"/>
      <c r="U571" s="195"/>
      <c r="V571" s="300"/>
      <c r="W571" s="201"/>
      <c r="X571" s="201"/>
      <c r="Y571" s="200"/>
      <c r="Z571" s="207"/>
      <c r="AA571" s="206"/>
      <c r="AB571" s="207"/>
      <c r="AC571" s="188"/>
      <c r="AD571" s="187">
        <v>45021</v>
      </c>
    </row>
    <row r="572" spans="1:30">
      <c r="A572" s="318">
        <f>COUNTA($E$3:E572)</f>
        <v>570</v>
      </c>
      <c r="B572" s="318" t="s">
        <v>2633</v>
      </c>
      <c r="C572" s="318" t="s">
        <v>37</v>
      </c>
      <c r="D572" s="318" t="s">
        <v>30</v>
      </c>
      <c r="E572" s="318" t="s">
        <v>2634</v>
      </c>
      <c r="F572" s="316">
        <v>44636</v>
      </c>
      <c r="G572" s="316"/>
      <c r="H572" s="316">
        <v>44658</v>
      </c>
      <c r="I572" s="316" t="s">
        <v>2</v>
      </c>
      <c r="J572" s="318" t="s">
        <v>2705</v>
      </c>
      <c r="K572" s="318" t="s">
        <v>1296</v>
      </c>
      <c r="L572" s="14">
        <v>44774</v>
      </c>
      <c r="M572" t="s">
        <v>3604</v>
      </c>
      <c r="N572" s="174">
        <v>44774</v>
      </c>
      <c r="O572" s="179"/>
      <c r="Q572" t="s">
        <v>129</v>
      </c>
      <c r="T572" s="195"/>
      <c r="U572" s="195"/>
      <c r="V572" s="300"/>
      <c r="W572" s="201"/>
      <c r="X572" s="201"/>
      <c r="Y572" s="200"/>
      <c r="Z572" s="207"/>
      <c r="AA572" s="206"/>
      <c r="AB572" s="207"/>
      <c r="AC572" s="188"/>
      <c r="AD572" s="187">
        <v>44774</v>
      </c>
    </row>
    <row r="573" spans="1:30">
      <c r="A573" s="318">
        <f>COUNTA($E$3:E573)</f>
        <v>571</v>
      </c>
      <c r="B573" s="318" t="s">
        <v>2620</v>
      </c>
      <c r="C573" s="318" t="s">
        <v>1106</v>
      </c>
      <c r="D573" s="318" t="s">
        <v>58</v>
      </c>
      <c r="E573" s="318" t="s">
        <v>2621</v>
      </c>
      <c r="F573" s="316">
        <v>44634</v>
      </c>
      <c r="G573" s="316"/>
      <c r="H573" s="316">
        <v>44636</v>
      </c>
      <c r="I573" s="316" t="s">
        <v>2</v>
      </c>
      <c r="J573" s="318" t="s">
        <v>2622</v>
      </c>
      <c r="K573" s="318" t="s">
        <v>1295</v>
      </c>
      <c r="L573" s="14">
        <v>44774</v>
      </c>
      <c r="M573" t="s">
        <v>3603</v>
      </c>
      <c r="N573" s="174">
        <v>44760</v>
      </c>
      <c r="O573" s="179"/>
      <c r="Q573" t="s">
        <v>129</v>
      </c>
      <c r="T573" s="195"/>
      <c r="U573" s="195"/>
      <c r="V573" s="300"/>
      <c r="W573" s="201"/>
      <c r="X573" s="201"/>
      <c r="Y573" s="200"/>
      <c r="Z573" s="207"/>
      <c r="AA573" s="206"/>
      <c r="AB573" s="207"/>
      <c r="AC573" s="188"/>
      <c r="AD573" s="187">
        <v>44760</v>
      </c>
    </row>
    <row r="574" spans="1:30">
      <c r="A574" s="318">
        <f>COUNTA($E$3:E574)</f>
        <v>572</v>
      </c>
      <c r="B574" s="318" t="s">
        <v>2479</v>
      </c>
      <c r="C574" s="318" t="s">
        <v>2370</v>
      </c>
      <c r="D574" s="318" t="s">
        <v>1207</v>
      </c>
      <c r="E574" s="318" t="s">
        <v>1269</v>
      </c>
      <c r="F574" s="316">
        <v>44599</v>
      </c>
      <c r="G574" s="316"/>
      <c r="H574" s="316">
        <v>44603</v>
      </c>
      <c r="I574" s="316" t="s">
        <v>2</v>
      </c>
      <c r="J574" s="318" t="s">
        <v>2480</v>
      </c>
      <c r="K574" s="318" t="s">
        <v>287</v>
      </c>
      <c r="L574" s="14">
        <v>44774</v>
      </c>
      <c r="M574" t="s">
        <v>3602</v>
      </c>
      <c r="N574" s="174">
        <v>44774</v>
      </c>
      <c r="O574" s="179"/>
      <c r="Q574" t="s">
        <v>22</v>
      </c>
      <c r="T574" s="195"/>
      <c r="U574" s="195"/>
      <c r="V574" s="300"/>
      <c r="W574" s="201"/>
      <c r="X574" s="201"/>
      <c r="Y574" s="200"/>
      <c r="Z574" s="207"/>
      <c r="AA574" s="206"/>
      <c r="AB574" s="207"/>
      <c r="AC574" s="188"/>
      <c r="AD574" s="187">
        <v>44774</v>
      </c>
    </row>
    <row r="575" spans="1:30">
      <c r="A575" s="318">
        <f>COUNTA($E$3:E575)</f>
        <v>573</v>
      </c>
      <c r="B575" s="318" t="s">
        <v>3558</v>
      </c>
      <c r="C575" s="318" t="s">
        <v>21</v>
      </c>
      <c r="D575" s="318" t="s">
        <v>30</v>
      </c>
      <c r="E575" s="318" t="s">
        <v>3033</v>
      </c>
      <c r="F575" s="316">
        <v>44763.76489583333</v>
      </c>
      <c r="G575" s="316"/>
      <c r="H575" s="316"/>
      <c r="I575" s="316" t="s">
        <v>3</v>
      </c>
      <c r="J575" s="318" t="s">
        <v>1485</v>
      </c>
      <c r="K575" s="318" t="s">
        <v>1296</v>
      </c>
      <c r="L575" s="14">
        <v>44774</v>
      </c>
      <c r="M575" t="s">
        <v>3604</v>
      </c>
      <c r="N575" s="174">
        <v>44769</v>
      </c>
      <c r="O575" s="179"/>
      <c r="Q575" t="s">
        <v>129</v>
      </c>
      <c r="T575" s="195"/>
      <c r="U575" s="195"/>
      <c r="V575" s="300"/>
      <c r="W575" s="201"/>
      <c r="X575" s="201"/>
      <c r="Y575" s="200"/>
      <c r="Z575" s="207"/>
      <c r="AA575" s="206"/>
      <c r="AB575" s="207"/>
      <c r="AC575" s="188"/>
      <c r="AD575" s="187">
        <v>44769</v>
      </c>
    </row>
    <row r="576" spans="1:30">
      <c r="A576" s="318">
        <f>COUNTA($E$3:E576)</f>
        <v>574</v>
      </c>
      <c r="B576" s="318" t="s">
        <v>3274</v>
      </c>
      <c r="C576" s="318" t="s">
        <v>41</v>
      </c>
      <c r="D576" s="318" t="s">
        <v>1115</v>
      </c>
      <c r="E576" s="318" t="s">
        <v>3275</v>
      </c>
      <c r="F576" s="316">
        <v>44729</v>
      </c>
      <c r="G576" s="316"/>
      <c r="H576" s="316"/>
      <c r="I576" s="316" t="s">
        <v>3</v>
      </c>
      <c r="J576" s="318" t="s">
        <v>1666</v>
      </c>
      <c r="K576" s="318" t="s">
        <v>1295</v>
      </c>
      <c r="L576" s="14">
        <v>44774</v>
      </c>
      <c r="M576" t="s">
        <v>3604</v>
      </c>
      <c r="N576" s="174">
        <v>44774</v>
      </c>
      <c r="O576" s="179"/>
      <c r="Q576" t="s">
        <v>129</v>
      </c>
      <c r="T576" s="195"/>
      <c r="U576" s="195"/>
      <c r="V576" s="300"/>
      <c r="W576" s="201"/>
      <c r="X576" s="201"/>
      <c r="Y576" s="200"/>
      <c r="Z576" s="207"/>
      <c r="AA576" s="206"/>
      <c r="AB576" s="207"/>
      <c r="AC576" s="188"/>
      <c r="AD576" s="187">
        <v>44774</v>
      </c>
    </row>
    <row r="577" spans="1:30">
      <c r="A577" s="318">
        <f>COUNTA($E$3:E577)</f>
        <v>575</v>
      </c>
      <c r="B577" s="318" t="s">
        <v>3588</v>
      </c>
      <c r="C577" s="318" t="s">
        <v>41</v>
      </c>
      <c r="D577" s="318" t="s">
        <v>1181</v>
      </c>
      <c r="E577" s="318" t="s">
        <v>3589</v>
      </c>
      <c r="F577" s="316">
        <v>44769</v>
      </c>
      <c r="G577" s="316"/>
      <c r="H577" s="316"/>
      <c r="I577" s="316" t="s">
        <v>4</v>
      </c>
      <c r="J577" s="318" t="s">
        <v>2281</v>
      </c>
      <c r="K577" s="318" t="s">
        <v>53</v>
      </c>
      <c r="L577" s="14">
        <v>44774</v>
      </c>
      <c r="M577" t="s">
        <v>3608</v>
      </c>
      <c r="N577" s="174">
        <v>44774</v>
      </c>
      <c r="O577" s="179"/>
      <c r="Q577" t="s">
        <v>129</v>
      </c>
      <c r="T577" s="195"/>
      <c r="U577" s="195"/>
      <c r="V577" s="300"/>
      <c r="W577" s="201"/>
      <c r="X577" s="201"/>
      <c r="Y577" s="200"/>
      <c r="Z577" s="207"/>
      <c r="AA577" s="206"/>
      <c r="AB577" s="207"/>
      <c r="AC577" s="188"/>
      <c r="AD577" s="187">
        <v>44774</v>
      </c>
    </row>
    <row r="578" spans="1:30">
      <c r="A578" s="318">
        <f>COUNTA($E$3:E578)</f>
        <v>576</v>
      </c>
      <c r="B578" s="318" t="s">
        <v>3561</v>
      </c>
      <c r="C578" s="318" t="s">
        <v>37</v>
      </c>
      <c r="D578" s="318" t="s">
        <v>34</v>
      </c>
      <c r="E578" s="318" t="s">
        <v>3286</v>
      </c>
      <c r="F578" s="316">
        <v>44768</v>
      </c>
      <c r="G578" s="316"/>
      <c r="H578" s="316">
        <v>44748</v>
      </c>
      <c r="I578" s="316" t="s">
        <v>4</v>
      </c>
      <c r="J578" s="318" t="s">
        <v>1093</v>
      </c>
      <c r="K578" s="318"/>
      <c r="L578" s="14">
        <v>44774</v>
      </c>
      <c r="M578" t="s">
        <v>3605</v>
      </c>
      <c r="N578" s="174">
        <v>45000</v>
      </c>
      <c r="O578" s="179"/>
      <c r="Q578" t="s">
        <v>129</v>
      </c>
      <c r="T578" s="195"/>
      <c r="U578" s="195"/>
      <c r="V578" s="300"/>
      <c r="W578" s="201"/>
      <c r="X578" s="201"/>
      <c r="Y578" s="200"/>
      <c r="Z578" s="207"/>
      <c r="AA578" s="206"/>
      <c r="AB578" s="207"/>
      <c r="AC578" s="188"/>
      <c r="AD578" s="187">
        <v>45000</v>
      </c>
    </row>
    <row r="579" spans="1:30">
      <c r="A579" s="318">
        <f>COUNTA($E$3:E579)</f>
        <v>577</v>
      </c>
      <c r="B579" s="318" t="s">
        <v>3575</v>
      </c>
      <c r="C579" s="318" t="s">
        <v>37</v>
      </c>
      <c r="D579" s="318" t="s">
        <v>30</v>
      </c>
      <c r="E579" s="318" t="s">
        <v>3372</v>
      </c>
      <c r="F579" s="316">
        <v>44768</v>
      </c>
      <c r="G579" s="316"/>
      <c r="H579" s="316"/>
      <c r="I579" s="316" t="s">
        <v>2</v>
      </c>
      <c r="J579" s="318" t="s">
        <v>1659</v>
      </c>
      <c r="K579" s="318"/>
      <c r="L579" s="14">
        <v>44774</v>
      </c>
      <c r="M579" t="s">
        <v>3607</v>
      </c>
      <c r="N579" s="174">
        <v>45021</v>
      </c>
      <c r="O579" s="179"/>
      <c r="Q579" t="s">
        <v>129</v>
      </c>
      <c r="T579" s="195"/>
      <c r="U579" s="195"/>
      <c r="V579" s="300"/>
      <c r="W579" s="201"/>
      <c r="X579" s="201"/>
      <c r="Y579" s="200"/>
      <c r="Z579" s="207"/>
      <c r="AA579" s="206"/>
      <c r="AB579" s="207"/>
      <c r="AC579" s="188"/>
      <c r="AD579" s="187">
        <v>45021</v>
      </c>
    </row>
    <row r="580" spans="1:30">
      <c r="A580" s="318">
        <f>COUNTA($E$3:E580)</f>
        <v>578</v>
      </c>
      <c r="B580" s="318" t="s">
        <v>3557</v>
      </c>
      <c r="C580" s="318" t="s">
        <v>37</v>
      </c>
      <c r="D580" s="318" t="s">
        <v>34</v>
      </c>
      <c r="E580" s="318" t="s">
        <v>3374</v>
      </c>
      <c r="F580" s="316">
        <v>44762</v>
      </c>
      <c r="G580" s="316"/>
      <c r="H580" s="316"/>
      <c r="I580" s="316" t="s">
        <v>2</v>
      </c>
      <c r="J580" s="318" t="s">
        <v>1667</v>
      </c>
      <c r="K580" s="318" t="s">
        <v>20</v>
      </c>
      <c r="L580" s="14">
        <v>44765</v>
      </c>
      <c r="O580" s="179"/>
      <c r="Q580" t="s">
        <v>129</v>
      </c>
      <c r="T580" s="195"/>
      <c r="U580" s="195"/>
      <c r="V580" s="300"/>
      <c r="W580" s="201"/>
      <c r="X580" s="201"/>
      <c r="Y580" s="200"/>
      <c r="Z580" s="207"/>
      <c r="AA580" s="206"/>
      <c r="AB580" s="207"/>
      <c r="AC580" s="188"/>
      <c r="AD580" s="187"/>
    </row>
    <row r="581" spans="1:30">
      <c r="A581" s="318">
        <f>COUNTA($E$3:E581)</f>
        <v>579</v>
      </c>
      <c r="B581" s="318" t="s">
        <v>3556</v>
      </c>
      <c r="C581" s="318" t="s">
        <v>37</v>
      </c>
      <c r="D581" s="318" t="s">
        <v>34</v>
      </c>
      <c r="E581" s="318" t="s">
        <v>1263</v>
      </c>
      <c r="F581" s="316">
        <v>44762.540179189797</v>
      </c>
      <c r="G581" s="316"/>
      <c r="H581" s="316"/>
      <c r="I581" s="316" t="s">
        <v>2</v>
      </c>
      <c r="J581" s="318" t="s">
        <v>1485</v>
      </c>
      <c r="K581" s="318" t="s">
        <v>103</v>
      </c>
      <c r="L581" s="14">
        <v>44765</v>
      </c>
      <c r="O581" s="179"/>
      <c r="Q581" t="s">
        <v>129</v>
      </c>
      <c r="T581" s="195"/>
      <c r="U581" s="195"/>
      <c r="V581" s="300"/>
      <c r="W581" s="201"/>
      <c r="X581" s="201"/>
      <c r="Y581" s="200"/>
      <c r="Z581" s="207"/>
      <c r="AA581" s="206"/>
      <c r="AB581" s="207"/>
      <c r="AC581" s="188"/>
      <c r="AD581" s="187"/>
    </row>
    <row r="582" spans="1:30">
      <c r="A582" s="318">
        <f>COUNTA($E$3:E582)</f>
        <v>580</v>
      </c>
      <c r="B582" s="318" t="s">
        <v>3544</v>
      </c>
      <c r="C582" s="318" t="s">
        <v>37</v>
      </c>
      <c r="D582" s="318" t="s">
        <v>30</v>
      </c>
      <c r="E582" s="318" t="s">
        <v>1122</v>
      </c>
      <c r="F582" s="316">
        <v>44760</v>
      </c>
      <c r="G582" s="316"/>
      <c r="H582" s="316"/>
      <c r="I582" s="316" t="s">
        <v>2</v>
      </c>
      <c r="J582" s="318" t="s">
        <v>3545</v>
      </c>
      <c r="K582" s="318" t="s">
        <v>125</v>
      </c>
      <c r="L582" s="14">
        <v>44765</v>
      </c>
      <c r="O582" s="179"/>
      <c r="Q582" t="s">
        <v>129</v>
      </c>
      <c r="T582" s="195"/>
      <c r="U582" s="195"/>
      <c r="V582" s="300"/>
      <c r="W582" s="201"/>
      <c r="X582" s="201"/>
      <c r="Y582" s="200"/>
      <c r="Z582" s="207"/>
      <c r="AA582" s="206"/>
      <c r="AB582" s="207"/>
      <c r="AC582" s="188"/>
      <c r="AD582" s="187"/>
    </row>
    <row r="583" spans="1:30">
      <c r="A583" s="318">
        <f>COUNTA($E$3:E583)</f>
        <v>581</v>
      </c>
      <c r="B583" s="318" t="s">
        <v>3266</v>
      </c>
      <c r="C583" s="318" t="s">
        <v>57</v>
      </c>
      <c r="D583" s="318" t="s">
        <v>1103</v>
      </c>
      <c r="E583" s="318" t="s">
        <v>2899</v>
      </c>
      <c r="F583" s="316">
        <v>44763.559566631899</v>
      </c>
      <c r="G583" s="316"/>
      <c r="H583" s="316">
        <v>44676</v>
      </c>
      <c r="I583" s="316" t="s">
        <v>2</v>
      </c>
      <c r="J583" s="318" t="s">
        <v>2900</v>
      </c>
      <c r="K583" s="318" t="s">
        <v>1294</v>
      </c>
      <c r="L583" s="14">
        <v>44765</v>
      </c>
      <c r="M583" t="s">
        <v>3565</v>
      </c>
      <c r="N583" s="174">
        <v>44765</v>
      </c>
      <c r="O583" s="179"/>
      <c r="Q583" t="s">
        <v>22</v>
      </c>
      <c r="T583" s="195"/>
      <c r="U583" s="195"/>
      <c r="V583" s="300"/>
      <c r="W583" s="201"/>
      <c r="X583" s="201"/>
      <c r="Y583" s="200"/>
      <c r="Z583" s="207"/>
      <c r="AA583" s="206"/>
      <c r="AB583" s="207"/>
      <c r="AC583" s="188"/>
      <c r="AD583" s="187">
        <v>44765</v>
      </c>
    </row>
    <row r="584" spans="1:30">
      <c r="A584" s="318">
        <f>COUNTA($E$3:E584)</f>
        <v>582</v>
      </c>
      <c r="B584" s="318" t="s">
        <v>3173</v>
      </c>
      <c r="C584" s="318" t="s">
        <v>3041</v>
      </c>
      <c r="D584" s="318" t="s">
        <v>16</v>
      </c>
      <c r="E584" s="318" t="s">
        <v>3174</v>
      </c>
      <c r="F584" s="316">
        <v>44714</v>
      </c>
      <c r="G584" s="316"/>
      <c r="H584" s="316"/>
      <c r="I584" s="316" t="s">
        <v>2</v>
      </c>
      <c r="J584" s="318" t="s">
        <v>1724</v>
      </c>
      <c r="K584" s="318" t="s">
        <v>1296</v>
      </c>
      <c r="L584" s="14">
        <v>44765</v>
      </c>
      <c r="M584" t="s">
        <v>3564</v>
      </c>
      <c r="N584" s="174">
        <v>44768</v>
      </c>
      <c r="O584" s="179"/>
      <c r="Q584" t="s">
        <v>129</v>
      </c>
      <c r="T584" s="195"/>
      <c r="U584" s="195"/>
      <c r="V584" s="300"/>
      <c r="W584" s="201"/>
      <c r="X584" s="201"/>
      <c r="Y584" s="200"/>
      <c r="Z584" s="207"/>
      <c r="AA584" s="206"/>
      <c r="AB584" s="207"/>
      <c r="AC584" s="188"/>
      <c r="AD584" s="187">
        <v>44768</v>
      </c>
    </row>
    <row r="585" spans="1:30">
      <c r="A585" s="318">
        <f>COUNTA($E$3:E585)</f>
        <v>583</v>
      </c>
      <c r="B585" s="318" t="s">
        <v>3171</v>
      </c>
      <c r="C585" s="318" t="s">
        <v>3041</v>
      </c>
      <c r="D585" s="318" t="s">
        <v>16</v>
      </c>
      <c r="E585" s="318" t="s">
        <v>3172</v>
      </c>
      <c r="F585" s="316">
        <v>44714</v>
      </c>
      <c r="G585" s="316"/>
      <c r="H585" s="316"/>
      <c r="I585" s="316" t="s">
        <v>2</v>
      </c>
      <c r="J585" s="318" t="s">
        <v>1724</v>
      </c>
      <c r="K585" s="318" t="s">
        <v>1287</v>
      </c>
      <c r="L585" s="14">
        <v>44765</v>
      </c>
      <c r="M585" t="s">
        <v>3619</v>
      </c>
      <c r="N585" s="174">
        <v>44768</v>
      </c>
      <c r="O585" s="179"/>
      <c r="Q585" t="s">
        <v>129</v>
      </c>
      <c r="T585" s="195"/>
      <c r="U585" s="195"/>
      <c r="V585" s="300"/>
      <c r="W585" s="201"/>
      <c r="X585" s="201"/>
      <c r="Y585" s="200"/>
      <c r="Z585" s="207"/>
      <c r="AA585" s="206"/>
      <c r="AB585" s="207"/>
      <c r="AC585" s="188"/>
      <c r="AD585" s="187">
        <v>44768</v>
      </c>
    </row>
    <row r="586" spans="1:30">
      <c r="A586" s="318">
        <f>COUNTA($E$3:E586)</f>
        <v>584</v>
      </c>
      <c r="B586" s="318" t="s">
        <v>3104</v>
      </c>
      <c r="C586" s="318" t="s">
        <v>297</v>
      </c>
      <c r="D586" s="318" t="s">
        <v>3105</v>
      </c>
      <c r="E586" s="318" t="s">
        <v>3106</v>
      </c>
      <c r="F586" s="316">
        <v>44704</v>
      </c>
      <c r="G586" s="316"/>
      <c r="H586" s="316">
        <v>44711</v>
      </c>
      <c r="I586" s="316" t="s">
        <v>2</v>
      </c>
      <c r="J586" s="318" t="s">
        <v>3107</v>
      </c>
      <c r="K586" s="318" t="s">
        <v>24</v>
      </c>
      <c r="L586" s="14">
        <v>44765</v>
      </c>
      <c r="M586" t="s">
        <v>1761</v>
      </c>
      <c r="N586" s="174">
        <v>44765</v>
      </c>
      <c r="O586" s="179"/>
      <c r="Q586" t="s">
        <v>22</v>
      </c>
      <c r="T586" s="195"/>
      <c r="U586" s="195"/>
      <c r="V586" s="300"/>
      <c r="W586" s="201"/>
      <c r="X586" s="201"/>
      <c r="Y586" s="200"/>
      <c r="Z586" s="207"/>
      <c r="AA586" s="206"/>
      <c r="AB586" s="207"/>
      <c r="AC586" s="188"/>
      <c r="AD586" s="187">
        <v>44765</v>
      </c>
    </row>
    <row r="587" spans="1:30">
      <c r="A587" s="318">
        <f>COUNTA($E$3:E587)</f>
        <v>585</v>
      </c>
      <c r="B587" s="318" t="s">
        <v>2832</v>
      </c>
      <c r="C587" s="318" t="s">
        <v>71</v>
      </c>
      <c r="D587" s="318" t="s">
        <v>1080</v>
      </c>
      <c r="E587" s="318" t="s">
        <v>2833</v>
      </c>
      <c r="F587" s="316">
        <v>44666</v>
      </c>
      <c r="G587" s="316"/>
      <c r="H587" s="316"/>
      <c r="I587" s="316" t="s">
        <v>2</v>
      </c>
      <c r="J587" s="318" t="s">
        <v>17</v>
      </c>
      <c r="K587" s="318" t="s">
        <v>287</v>
      </c>
      <c r="L587" s="14">
        <v>44765</v>
      </c>
      <c r="M587" t="s">
        <v>3562</v>
      </c>
      <c r="N587" s="174">
        <v>44771</v>
      </c>
      <c r="O587" s="179"/>
      <c r="Q587" t="s">
        <v>129</v>
      </c>
      <c r="T587" s="195"/>
      <c r="U587" s="195"/>
      <c r="V587" s="300"/>
      <c r="W587" s="201"/>
      <c r="X587" s="201"/>
      <c r="Y587" s="200"/>
      <c r="Z587" s="207"/>
      <c r="AA587" s="206"/>
      <c r="AB587" s="207"/>
      <c r="AC587" s="188"/>
      <c r="AD587" s="187">
        <v>44771</v>
      </c>
    </row>
    <row r="588" spans="1:30">
      <c r="A588" s="318">
        <f>COUNTA($E$3:E588)</f>
        <v>586</v>
      </c>
      <c r="B588" s="318" t="s">
        <v>3551</v>
      </c>
      <c r="C588" s="318" t="s">
        <v>1171</v>
      </c>
      <c r="D588" s="318" t="s">
        <v>31</v>
      </c>
      <c r="E588" s="318" t="s">
        <v>3552</v>
      </c>
      <c r="F588" s="316">
        <v>44762</v>
      </c>
      <c r="G588" s="316"/>
      <c r="H588" s="316"/>
      <c r="I588" s="316" t="s">
        <v>3</v>
      </c>
      <c r="J588" s="318" t="s">
        <v>1485</v>
      </c>
      <c r="K588" s="318" t="s">
        <v>24</v>
      </c>
      <c r="L588" s="14">
        <v>44765</v>
      </c>
      <c r="M588" t="s">
        <v>3567</v>
      </c>
      <c r="N588" s="174">
        <v>44765</v>
      </c>
      <c r="O588" s="179"/>
      <c r="Q588" t="s">
        <v>22</v>
      </c>
      <c r="T588" s="195"/>
      <c r="U588" s="195"/>
      <c r="V588" s="300"/>
      <c r="W588" s="201"/>
      <c r="X588" s="201"/>
      <c r="Y588" s="200"/>
      <c r="Z588" s="207"/>
      <c r="AA588" s="206"/>
      <c r="AB588" s="207"/>
      <c r="AC588" s="188"/>
      <c r="AD588" s="187">
        <v>44765</v>
      </c>
    </row>
    <row r="589" spans="1:30">
      <c r="A589" s="318">
        <f>COUNTA($E$3:E589)</f>
        <v>587</v>
      </c>
      <c r="B589" s="318" t="s">
        <v>3546</v>
      </c>
      <c r="C589" s="318" t="s">
        <v>41</v>
      </c>
      <c r="D589" s="318" t="s">
        <v>30</v>
      </c>
      <c r="E589" s="318" t="s">
        <v>2970</v>
      </c>
      <c r="F589" s="316">
        <v>44760</v>
      </c>
      <c r="G589" s="316"/>
      <c r="H589" s="316"/>
      <c r="I589" s="316" t="s">
        <v>3</v>
      </c>
      <c r="J589" s="318" t="s">
        <v>1485</v>
      </c>
      <c r="K589" s="318" t="s">
        <v>1294</v>
      </c>
      <c r="L589" s="14">
        <v>44765</v>
      </c>
      <c r="M589" t="s">
        <v>3566</v>
      </c>
      <c r="N589" s="174">
        <v>44765</v>
      </c>
      <c r="O589" s="179"/>
      <c r="Q589" t="s">
        <v>22</v>
      </c>
      <c r="T589" s="195"/>
      <c r="U589" s="195"/>
      <c r="V589" s="300"/>
      <c r="W589" s="201"/>
      <c r="X589" s="201"/>
      <c r="Y589" s="200"/>
      <c r="Z589" s="207"/>
      <c r="AA589" s="206"/>
      <c r="AB589" s="207"/>
      <c r="AC589" s="188"/>
      <c r="AD589" s="187">
        <v>44765</v>
      </c>
    </row>
    <row r="590" spans="1:30">
      <c r="A590" s="318">
        <f>COUNTA($E$3:E590)</f>
        <v>588</v>
      </c>
      <c r="B590" s="318" t="s">
        <v>3543</v>
      </c>
      <c r="C590" s="318" t="s">
        <v>41</v>
      </c>
      <c r="D590" s="318" t="s">
        <v>30</v>
      </c>
      <c r="E590" s="318" t="s">
        <v>2982</v>
      </c>
      <c r="F590" s="316">
        <v>44760</v>
      </c>
      <c r="G590" s="316"/>
      <c r="H590" s="316"/>
      <c r="I590" s="316" t="s">
        <v>3</v>
      </c>
      <c r="J590" s="318" t="s">
        <v>1485</v>
      </c>
      <c r="K590" s="318" t="s">
        <v>1294</v>
      </c>
      <c r="L590" s="14">
        <v>44765</v>
      </c>
      <c r="M590" t="s">
        <v>3566</v>
      </c>
      <c r="N590" s="174">
        <v>44765</v>
      </c>
      <c r="O590" s="179"/>
      <c r="Q590" t="s">
        <v>22</v>
      </c>
      <c r="T590" s="195"/>
      <c r="U590" s="195"/>
      <c r="V590" s="300"/>
      <c r="W590" s="201"/>
      <c r="X590" s="201"/>
      <c r="Y590" s="200"/>
      <c r="Z590" s="207"/>
      <c r="AA590" s="206"/>
      <c r="AB590" s="207"/>
      <c r="AC590" s="188"/>
      <c r="AD590" s="187">
        <v>44765</v>
      </c>
    </row>
    <row r="591" spans="1:30">
      <c r="A591" s="318">
        <f>COUNTA($E$3:E591)</f>
        <v>589</v>
      </c>
      <c r="B591" s="318" t="s">
        <v>3026</v>
      </c>
      <c r="C591" s="318" t="s">
        <v>21</v>
      </c>
      <c r="D591" s="318" t="s">
        <v>30</v>
      </c>
      <c r="E591" s="318" t="s">
        <v>2023</v>
      </c>
      <c r="F591" s="316">
        <v>44692</v>
      </c>
      <c r="G591" s="316"/>
      <c r="H591" s="316">
        <v>44701</v>
      </c>
      <c r="I591" s="316" t="s">
        <v>3</v>
      </c>
      <c r="J591" s="318" t="s">
        <v>1723</v>
      </c>
      <c r="K591" s="318" t="s">
        <v>1296</v>
      </c>
      <c r="L591" s="14">
        <v>44765</v>
      </c>
      <c r="M591" t="s">
        <v>3562</v>
      </c>
      <c r="N591" s="174">
        <v>44742</v>
      </c>
      <c r="O591" s="179"/>
      <c r="Q591" t="s">
        <v>129</v>
      </c>
      <c r="T591" s="195"/>
      <c r="U591" s="195"/>
      <c r="V591" s="300"/>
      <c r="W591" s="201"/>
      <c r="X591" s="201"/>
      <c r="Y591" s="200"/>
      <c r="Z591" s="207"/>
      <c r="AA591" s="206"/>
      <c r="AB591" s="207"/>
      <c r="AC591" s="188"/>
      <c r="AD591" s="187">
        <v>44742</v>
      </c>
    </row>
    <row r="592" spans="1:30">
      <c r="A592" s="318">
        <f>COUNTA($E$3:E592)</f>
        <v>590</v>
      </c>
      <c r="B592" s="318" t="s">
        <v>3495</v>
      </c>
      <c r="C592" s="318" t="s">
        <v>37</v>
      </c>
      <c r="D592" s="318" t="s">
        <v>34</v>
      </c>
      <c r="E592" s="318" t="s">
        <v>1844</v>
      </c>
      <c r="F592" s="316">
        <v>44749.543322858801</v>
      </c>
      <c r="G592" s="316"/>
      <c r="H592" s="316"/>
      <c r="I592" s="316"/>
      <c r="J592" s="318" t="s">
        <v>1212</v>
      </c>
      <c r="K592" s="318" t="s">
        <v>1274</v>
      </c>
      <c r="L592" s="14">
        <v>44757</v>
      </c>
      <c r="M592" t="s">
        <v>3534</v>
      </c>
      <c r="N592" s="174">
        <v>44760</v>
      </c>
      <c r="O592" s="179"/>
      <c r="Q592" t="s">
        <v>129</v>
      </c>
      <c r="T592" s="195"/>
      <c r="U592" s="195"/>
      <c r="V592" s="300"/>
      <c r="W592" s="201"/>
      <c r="X592" s="201"/>
      <c r="Y592" s="200"/>
      <c r="Z592" s="207"/>
      <c r="AA592" s="206"/>
      <c r="AB592" s="207"/>
      <c r="AC592" s="188"/>
      <c r="AD592" s="187">
        <v>44760</v>
      </c>
    </row>
    <row r="593" spans="1:30">
      <c r="A593" s="318">
        <f>COUNTA($E$3:E593)</f>
        <v>591</v>
      </c>
      <c r="B593" s="318" t="s">
        <v>3020</v>
      </c>
      <c r="C593" s="318" t="s">
        <v>3021</v>
      </c>
      <c r="D593" s="318" t="s">
        <v>1080</v>
      </c>
      <c r="E593" s="318" t="s">
        <v>3022</v>
      </c>
      <c r="F593" s="316">
        <v>44691</v>
      </c>
      <c r="G593" s="316"/>
      <c r="H593" s="316"/>
      <c r="I593" s="316" t="s">
        <v>2</v>
      </c>
      <c r="J593" s="318" t="s">
        <v>17</v>
      </c>
      <c r="K593" s="318" t="s">
        <v>24</v>
      </c>
      <c r="L593" s="14">
        <v>44757</v>
      </c>
      <c r="M593" t="s">
        <v>3056</v>
      </c>
      <c r="N593" s="174">
        <v>44764</v>
      </c>
      <c r="O593" s="179"/>
      <c r="Q593" t="s">
        <v>22</v>
      </c>
      <c r="T593" s="195"/>
      <c r="U593" s="195"/>
      <c r="V593" s="300"/>
      <c r="W593" s="201"/>
      <c r="X593" s="201"/>
      <c r="Y593" s="200"/>
      <c r="Z593" s="207"/>
      <c r="AA593" s="206"/>
      <c r="AB593" s="207"/>
      <c r="AC593" s="188"/>
      <c r="AD593" s="187">
        <v>44764</v>
      </c>
    </row>
    <row r="594" spans="1:30">
      <c r="A594" s="318">
        <f>COUNTA($E$3:E594)</f>
        <v>592</v>
      </c>
      <c r="B594" s="318" t="s">
        <v>3508</v>
      </c>
      <c r="C594" s="318" t="s">
        <v>37</v>
      </c>
      <c r="D594" s="318" t="s">
        <v>30</v>
      </c>
      <c r="E594" s="318" t="s">
        <v>3370</v>
      </c>
      <c r="F594" s="316">
        <v>44754</v>
      </c>
      <c r="G594" s="316"/>
      <c r="H594" s="316"/>
      <c r="I594" s="316" t="s">
        <v>2</v>
      </c>
      <c r="J594" s="318" t="s">
        <v>2234</v>
      </c>
      <c r="K594" s="318" t="s">
        <v>20</v>
      </c>
      <c r="L594" s="14">
        <v>44757</v>
      </c>
      <c r="M594" t="s">
        <v>3535</v>
      </c>
      <c r="N594" s="174">
        <v>44760</v>
      </c>
      <c r="O594" s="179"/>
      <c r="Q594" t="s">
        <v>129</v>
      </c>
      <c r="T594" s="195"/>
      <c r="U594" s="195"/>
      <c r="V594" s="300"/>
      <c r="W594" s="201"/>
      <c r="X594" s="201"/>
      <c r="Y594" s="200"/>
      <c r="Z594" s="207"/>
      <c r="AA594" s="206"/>
      <c r="AB594" s="207"/>
      <c r="AC594" s="188"/>
      <c r="AD594" s="187">
        <v>44760</v>
      </c>
    </row>
    <row r="595" spans="1:30">
      <c r="A595" s="318">
        <f>COUNTA($E$3:E595)</f>
        <v>593</v>
      </c>
      <c r="B595" s="318" t="s">
        <v>3509</v>
      </c>
      <c r="C595" s="318" t="s">
        <v>37</v>
      </c>
      <c r="D595" s="318" t="s">
        <v>30</v>
      </c>
      <c r="E595" s="318" t="s">
        <v>3371</v>
      </c>
      <c r="F595" s="316">
        <v>44754</v>
      </c>
      <c r="G595" s="316"/>
      <c r="H595" s="316"/>
      <c r="I595" s="316" t="s">
        <v>2</v>
      </c>
      <c r="J595" s="318" t="s">
        <v>2234</v>
      </c>
      <c r="K595" s="318" t="s">
        <v>20</v>
      </c>
      <c r="L595" s="14">
        <v>44757</v>
      </c>
      <c r="M595" t="s">
        <v>3535</v>
      </c>
      <c r="N595" s="174">
        <v>45021</v>
      </c>
      <c r="O595" s="179"/>
      <c r="Q595" t="s">
        <v>129</v>
      </c>
      <c r="T595" s="195"/>
      <c r="U595" s="195"/>
      <c r="V595" s="300"/>
      <c r="W595" s="201"/>
      <c r="X595" s="201"/>
      <c r="Y595" s="200"/>
      <c r="Z595" s="207"/>
      <c r="AA595" s="206"/>
      <c r="AB595" s="207"/>
      <c r="AC595" s="188"/>
      <c r="AD595" s="187">
        <v>45021</v>
      </c>
    </row>
    <row r="596" spans="1:30">
      <c r="A596" s="318">
        <f>COUNTA($E$3:E596)</f>
        <v>594</v>
      </c>
      <c r="B596" s="318" t="s">
        <v>3429</v>
      </c>
      <c r="C596" s="318" t="s">
        <v>41</v>
      </c>
      <c r="D596" s="318" t="s">
        <v>58</v>
      </c>
      <c r="E596" s="318" t="s">
        <v>1173</v>
      </c>
      <c r="F596" s="316">
        <v>44741</v>
      </c>
      <c r="G596" s="316"/>
      <c r="H596" s="316"/>
      <c r="I596" s="316" t="s">
        <v>2</v>
      </c>
      <c r="J596" s="318" t="s">
        <v>1485</v>
      </c>
      <c r="K596" s="318" t="s">
        <v>1296</v>
      </c>
      <c r="L596" s="14">
        <v>44757</v>
      </c>
      <c r="M596" t="s">
        <v>3541</v>
      </c>
      <c r="N596" s="174">
        <v>44757</v>
      </c>
      <c r="O596" s="179"/>
      <c r="Q596" t="s">
        <v>129</v>
      </c>
      <c r="T596" s="195"/>
      <c r="U596" s="195"/>
      <c r="V596" s="300"/>
      <c r="W596" s="201"/>
      <c r="X596" s="201"/>
      <c r="Y596" s="200"/>
      <c r="Z596" s="207"/>
      <c r="AA596" s="206"/>
      <c r="AB596" s="207"/>
      <c r="AC596" s="188"/>
      <c r="AD596" s="187">
        <v>44757</v>
      </c>
    </row>
    <row r="597" spans="1:30">
      <c r="A597" s="318">
        <f>COUNTA($E$3:E597)</f>
        <v>595</v>
      </c>
      <c r="B597" s="318" t="s">
        <v>3510</v>
      </c>
      <c r="C597" s="318" t="s">
        <v>37</v>
      </c>
      <c r="D597" s="318" t="s">
        <v>34</v>
      </c>
      <c r="E597" s="318" t="s">
        <v>3379</v>
      </c>
      <c r="F597" s="316">
        <v>44753</v>
      </c>
      <c r="G597" s="316"/>
      <c r="H597" s="316"/>
      <c r="I597" s="316" t="s">
        <v>2</v>
      </c>
      <c r="J597" s="318" t="s">
        <v>3522</v>
      </c>
      <c r="K597" s="318" t="s">
        <v>103</v>
      </c>
      <c r="L597" s="14">
        <v>44757</v>
      </c>
      <c r="O597" s="179"/>
      <c r="Q597" t="s">
        <v>129</v>
      </c>
      <c r="T597" s="195"/>
      <c r="U597" s="195"/>
      <c r="V597" s="300"/>
      <c r="W597" s="201"/>
      <c r="X597" s="201"/>
      <c r="Y597" s="200"/>
      <c r="Z597" s="207"/>
      <c r="AA597" s="206"/>
      <c r="AB597" s="207"/>
      <c r="AC597" s="188"/>
      <c r="AD597" s="187"/>
    </row>
    <row r="598" spans="1:30">
      <c r="A598" s="318">
        <f>COUNTA($E$3:E598)</f>
        <v>596</v>
      </c>
      <c r="B598" s="318" t="s">
        <v>3518</v>
      </c>
      <c r="C598" s="318" t="s">
        <v>37</v>
      </c>
      <c r="D598" s="318" t="s">
        <v>30</v>
      </c>
      <c r="E598" s="318" t="s">
        <v>1109</v>
      </c>
      <c r="F598" s="316">
        <v>44755</v>
      </c>
      <c r="G598" s="316"/>
      <c r="H598" s="316"/>
      <c r="I598" s="316" t="s">
        <v>2</v>
      </c>
      <c r="J598" s="318" t="s">
        <v>1702</v>
      </c>
      <c r="K598" s="318" t="s">
        <v>24</v>
      </c>
      <c r="L598" s="14">
        <v>44757</v>
      </c>
      <c r="O598" s="179"/>
      <c r="Q598" t="s">
        <v>129</v>
      </c>
      <c r="T598" s="195"/>
      <c r="U598" s="195"/>
      <c r="V598" s="300"/>
      <c r="W598" s="201"/>
      <c r="X598" s="201"/>
      <c r="Y598" s="200"/>
      <c r="Z598" s="207"/>
      <c r="AA598" s="206"/>
      <c r="AB598" s="207"/>
      <c r="AC598" s="188"/>
      <c r="AD598" s="187"/>
    </row>
    <row r="599" spans="1:30">
      <c r="A599" s="318">
        <f>COUNTA($E$3:E599)</f>
        <v>597</v>
      </c>
      <c r="B599" s="318" t="s">
        <v>2747</v>
      </c>
      <c r="C599" s="318" t="s">
        <v>37</v>
      </c>
      <c r="D599" s="318" t="s">
        <v>34</v>
      </c>
      <c r="E599" s="318" t="s">
        <v>1646</v>
      </c>
      <c r="F599" s="316">
        <v>44651</v>
      </c>
      <c r="G599" s="316"/>
      <c r="H599" s="316">
        <v>44656</v>
      </c>
      <c r="I599" s="316" t="s">
        <v>2</v>
      </c>
      <c r="J599" s="318" t="s">
        <v>1485</v>
      </c>
      <c r="K599" s="318" t="s">
        <v>1287</v>
      </c>
      <c r="L599" s="14">
        <v>44757</v>
      </c>
      <c r="M599" t="s">
        <v>3540</v>
      </c>
      <c r="N599" s="174">
        <v>45021</v>
      </c>
      <c r="O599" s="179"/>
      <c r="Q599" t="s">
        <v>129</v>
      </c>
      <c r="T599" s="195"/>
      <c r="U599" s="195"/>
      <c r="V599" s="300"/>
      <c r="W599" s="201"/>
      <c r="X599" s="201"/>
      <c r="Y599" s="200"/>
      <c r="Z599" s="207"/>
      <c r="AA599" s="206"/>
      <c r="AB599" s="207"/>
      <c r="AC599" s="188"/>
      <c r="AD599" s="187">
        <v>45021</v>
      </c>
    </row>
    <row r="600" spans="1:30">
      <c r="A600" s="318">
        <f>COUNTA($E$3:E600)</f>
        <v>598</v>
      </c>
      <c r="B600" s="318" t="s">
        <v>3492</v>
      </c>
      <c r="C600" s="318" t="s">
        <v>37</v>
      </c>
      <c r="D600" s="318" t="s">
        <v>30</v>
      </c>
      <c r="E600" s="318" t="s">
        <v>3493</v>
      </c>
      <c r="F600" s="316">
        <v>44749.541262615698</v>
      </c>
      <c r="G600" s="316"/>
      <c r="H600" s="316"/>
      <c r="I600" s="316" t="s">
        <v>3</v>
      </c>
      <c r="J600" s="318" t="s">
        <v>1720</v>
      </c>
      <c r="K600" s="318" t="s">
        <v>1295</v>
      </c>
      <c r="L600" s="14">
        <v>44757</v>
      </c>
      <c r="M600" t="s">
        <v>3534</v>
      </c>
      <c r="N600" s="174">
        <v>44760</v>
      </c>
      <c r="O600" s="179"/>
      <c r="Q600" t="s">
        <v>129</v>
      </c>
      <c r="T600" s="195"/>
      <c r="U600" s="195"/>
      <c r="V600" s="300"/>
      <c r="W600" s="201"/>
      <c r="X600" s="201"/>
      <c r="Y600" s="200"/>
      <c r="Z600" s="207"/>
      <c r="AA600" s="206"/>
      <c r="AB600" s="207"/>
      <c r="AC600" s="188"/>
      <c r="AD600" s="187">
        <v>44760</v>
      </c>
    </row>
    <row r="601" spans="1:30">
      <c r="A601" s="318">
        <f>COUNTA($E$3:E601)</f>
        <v>599</v>
      </c>
      <c r="B601" s="318" t="s">
        <v>3480</v>
      </c>
      <c r="C601" s="318" t="s">
        <v>21</v>
      </c>
      <c r="D601" s="318" t="s">
        <v>30</v>
      </c>
      <c r="E601" s="318" t="s">
        <v>1252</v>
      </c>
      <c r="F601" s="316">
        <v>44748.802232523201</v>
      </c>
      <c r="G601" s="316"/>
      <c r="H601" s="316"/>
      <c r="I601" s="316" t="s">
        <v>3</v>
      </c>
      <c r="J601" s="318" t="s">
        <v>1720</v>
      </c>
      <c r="K601" s="318" t="s">
        <v>1295</v>
      </c>
      <c r="L601" s="14">
        <v>44757</v>
      </c>
      <c r="M601" t="s">
        <v>3534</v>
      </c>
      <c r="N601" s="174">
        <v>44769</v>
      </c>
      <c r="O601" s="179"/>
      <c r="Q601" t="s">
        <v>129</v>
      </c>
      <c r="T601" s="195"/>
      <c r="U601" s="195"/>
      <c r="V601" s="300"/>
      <c r="W601" s="201"/>
      <c r="X601" s="201"/>
      <c r="Y601" s="200"/>
      <c r="Z601" s="207"/>
      <c r="AA601" s="206"/>
      <c r="AB601" s="207"/>
      <c r="AC601" s="188"/>
      <c r="AD601" s="187">
        <v>44769</v>
      </c>
    </row>
    <row r="602" spans="1:30">
      <c r="A602" s="318">
        <f>COUNTA($E$3:E602)</f>
        <v>600</v>
      </c>
      <c r="B602" s="318" t="s">
        <v>3481</v>
      </c>
      <c r="C602" s="318" t="s">
        <v>21</v>
      </c>
      <c r="D602" s="318" t="s">
        <v>1169</v>
      </c>
      <c r="E602" s="318" t="s">
        <v>1170</v>
      </c>
      <c r="F602" s="316">
        <v>44748</v>
      </c>
      <c r="G602" s="316"/>
      <c r="H602" s="316"/>
      <c r="I602" s="316" t="s">
        <v>3</v>
      </c>
      <c r="J602" s="318" t="s">
        <v>1666</v>
      </c>
      <c r="K602" s="318" t="s">
        <v>1296</v>
      </c>
      <c r="L602" s="14">
        <v>44757</v>
      </c>
      <c r="M602" t="s">
        <v>3534</v>
      </c>
      <c r="N602" s="174">
        <v>44754</v>
      </c>
      <c r="O602" s="179"/>
      <c r="Q602" t="s">
        <v>129</v>
      </c>
      <c r="T602" s="195"/>
      <c r="U602" s="195"/>
      <c r="V602" s="300"/>
      <c r="W602" s="201"/>
      <c r="X602" s="201"/>
      <c r="Y602" s="200"/>
      <c r="Z602" s="207"/>
      <c r="AA602" s="206"/>
      <c r="AB602" s="207"/>
      <c r="AC602" s="188"/>
      <c r="AD602" s="187">
        <v>44754</v>
      </c>
    </row>
    <row r="603" spans="1:30">
      <c r="A603" s="318">
        <f>COUNTA($E$3:E603)</f>
        <v>601</v>
      </c>
      <c r="B603" s="318" t="s">
        <v>3483</v>
      </c>
      <c r="C603" s="318" t="s">
        <v>41</v>
      </c>
      <c r="D603" s="318" t="s">
        <v>34</v>
      </c>
      <c r="E603" s="318" t="s">
        <v>2461</v>
      </c>
      <c r="F603" s="316">
        <v>44749.503326539401</v>
      </c>
      <c r="G603" s="316"/>
      <c r="H603" s="316"/>
      <c r="I603" s="316" t="s">
        <v>3</v>
      </c>
      <c r="J603" s="318" t="s">
        <v>1720</v>
      </c>
      <c r="K603" s="318" t="s">
        <v>1295</v>
      </c>
      <c r="L603" s="14">
        <v>44757</v>
      </c>
      <c r="M603" t="s">
        <v>3534</v>
      </c>
      <c r="N603" s="174">
        <v>44757</v>
      </c>
      <c r="O603" s="179"/>
      <c r="Q603" t="s">
        <v>129</v>
      </c>
      <c r="T603" s="195"/>
      <c r="U603" s="195"/>
      <c r="V603" s="300"/>
      <c r="W603" s="201"/>
      <c r="X603" s="201"/>
      <c r="Y603" s="200"/>
      <c r="Z603" s="207"/>
      <c r="AA603" s="206"/>
      <c r="AB603" s="207"/>
      <c r="AC603" s="188"/>
      <c r="AD603" s="187">
        <v>44757</v>
      </c>
    </row>
    <row r="604" spans="1:30">
      <c r="A604" s="318">
        <f>COUNTA($E$3:E604)</f>
        <v>602</v>
      </c>
      <c r="B604" s="318" t="s">
        <v>3485</v>
      </c>
      <c r="C604" s="318" t="s">
        <v>37</v>
      </c>
      <c r="D604" s="318" t="s">
        <v>34</v>
      </c>
      <c r="E604" s="318" t="s">
        <v>3237</v>
      </c>
      <c r="F604" s="316">
        <v>44749.529483206003</v>
      </c>
      <c r="G604" s="316"/>
      <c r="H604" s="316"/>
      <c r="I604" s="316" t="s">
        <v>3</v>
      </c>
      <c r="J604" s="318" t="s">
        <v>1779</v>
      </c>
      <c r="K604" s="318" t="s">
        <v>1295</v>
      </c>
      <c r="L604" s="14">
        <v>44757</v>
      </c>
      <c r="M604" t="s">
        <v>3534</v>
      </c>
      <c r="N604" s="174">
        <v>44760</v>
      </c>
      <c r="O604" s="179"/>
      <c r="Q604" t="s">
        <v>129</v>
      </c>
      <c r="T604" s="195"/>
      <c r="U604" s="195"/>
      <c r="V604" s="300"/>
      <c r="W604" s="201"/>
      <c r="X604" s="201"/>
      <c r="Y604" s="200"/>
      <c r="Z604" s="207"/>
      <c r="AA604" s="206"/>
      <c r="AB604" s="207"/>
      <c r="AC604" s="188"/>
      <c r="AD604" s="187">
        <v>44760</v>
      </c>
    </row>
    <row r="605" spans="1:30">
      <c r="A605" s="318">
        <f>COUNTA($E$3:E605)</f>
        <v>603</v>
      </c>
      <c r="B605" s="318" t="s">
        <v>3486</v>
      </c>
      <c r="C605" s="318" t="s">
        <v>37</v>
      </c>
      <c r="D605" s="318" t="s">
        <v>30</v>
      </c>
      <c r="E605" s="318" t="s">
        <v>3487</v>
      </c>
      <c r="F605" s="316">
        <v>44749.531642222202</v>
      </c>
      <c r="G605" s="316"/>
      <c r="H605" s="316"/>
      <c r="I605" s="316" t="s">
        <v>3</v>
      </c>
      <c r="J605" s="318" t="s">
        <v>3531</v>
      </c>
      <c r="K605" s="318" t="s">
        <v>1295</v>
      </c>
      <c r="L605" s="14">
        <v>44757</v>
      </c>
      <c r="M605" t="s">
        <v>3534</v>
      </c>
      <c r="N605" s="174">
        <v>44760</v>
      </c>
      <c r="O605" s="179"/>
      <c r="Q605" t="s">
        <v>129</v>
      </c>
      <c r="T605" s="195"/>
      <c r="U605" s="195"/>
      <c r="V605" s="300"/>
      <c r="W605" s="201"/>
      <c r="X605" s="201"/>
      <c r="Y605" s="200"/>
      <c r="Z605" s="207"/>
      <c r="AA605" s="206"/>
      <c r="AB605" s="207"/>
      <c r="AC605" s="188"/>
      <c r="AD605" s="187">
        <v>44760</v>
      </c>
    </row>
    <row r="606" spans="1:30">
      <c r="A606" s="318">
        <f>COUNTA($E$3:E606)</f>
        <v>604</v>
      </c>
      <c r="B606" s="318" t="s">
        <v>3507</v>
      </c>
      <c r="C606" s="318" t="s">
        <v>37</v>
      </c>
      <c r="D606" s="318" t="s">
        <v>1704</v>
      </c>
      <c r="E606" s="318" t="s">
        <v>1705</v>
      </c>
      <c r="F606" s="316">
        <v>44753</v>
      </c>
      <c r="G606" s="316"/>
      <c r="H606" s="316"/>
      <c r="I606" s="316" t="s">
        <v>4</v>
      </c>
      <c r="J606" s="318" t="s">
        <v>1708</v>
      </c>
      <c r="K606" s="318" t="s">
        <v>1287</v>
      </c>
      <c r="L606" s="14">
        <v>44757</v>
      </c>
      <c r="M606" t="s">
        <v>3534</v>
      </c>
      <c r="N606" s="174">
        <v>44760</v>
      </c>
      <c r="O606" s="179"/>
      <c r="Q606" t="s">
        <v>129</v>
      </c>
      <c r="T606" s="195"/>
      <c r="U606" s="195"/>
      <c r="V606" s="300"/>
      <c r="W606" s="201"/>
      <c r="X606" s="201"/>
      <c r="Y606" s="200"/>
      <c r="Z606" s="207"/>
      <c r="AA606" s="206"/>
      <c r="AB606" s="207"/>
      <c r="AC606" s="188"/>
      <c r="AD606" s="187">
        <v>44760</v>
      </c>
    </row>
    <row r="607" spans="1:30">
      <c r="A607" s="318">
        <f>COUNTA($E$3:E607)</f>
        <v>605</v>
      </c>
      <c r="B607" s="318" t="s">
        <v>3511</v>
      </c>
      <c r="C607" s="318" t="s">
        <v>37</v>
      </c>
      <c r="D607" s="318" t="s">
        <v>27</v>
      </c>
      <c r="E607" s="318" t="s">
        <v>1947</v>
      </c>
      <c r="F607" s="316">
        <v>44754</v>
      </c>
      <c r="G607" s="316"/>
      <c r="H607" s="316"/>
      <c r="I607" s="316" t="s">
        <v>4</v>
      </c>
      <c r="J607" s="318" t="s">
        <v>1093</v>
      </c>
      <c r="K607" s="318" t="s">
        <v>1287</v>
      </c>
      <c r="L607" s="14">
        <v>44757</v>
      </c>
      <c r="M607" t="s">
        <v>3534</v>
      </c>
      <c r="N607" s="174">
        <v>44760</v>
      </c>
      <c r="O607" s="179"/>
      <c r="Q607" t="s">
        <v>129</v>
      </c>
      <c r="T607" s="195"/>
      <c r="U607" s="195"/>
      <c r="V607" s="300"/>
      <c r="W607" s="201"/>
      <c r="X607" s="201"/>
      <c r="Y607" s="200"/>
      <c r="Z607" s="207"/>
      <c r="AA607" s="206"/>
      <c r="AB607" s="207"/>
      <c r="AC607" s="188"/>
      <c r="AD607" s="187">
        <v>44760</v>
      </c>
    </row>
    <row r="608" spans="1:30">
      <c r="A608" s="318">
        <f>COUNTA($E$3:E608)</f>
        <v>606</v>
      </c>
      <c r="B608" s="318" t="s">
        <v>3490</v>
      </c>
      <c r="C608" s="318" t="s">
        <v>37</v>
      </c>
      <c r="D608" s="318" t="s">
        <v>30</v>
      </c>
      <c r="E608" s="318" t="s">
        <v>3491</v>
      </c>
      <c r="F608" s="316">
        <v>44749.540311712997</v>
      </c>
      <c r="G608" s="316"/>
      <c r="H608" s="316"/>
      <c r="I608" s="316" t="s">
        <v>4</v>
      </c>
      <c r="J608" s="318" t="s">
        <v>459</v>
      </c>
      <c r="K608" s="318" t="s">
        <v>1295</v>
      </c>
      <c r="L608" s="14">
        <v>44757</v>
      </c>
      <c r="M608" t="s">
        <v>3534</v>
      </c>
      <c r="N608" s="174">
        <v>44760</v>
      </c>
      <c r="O608" s="179"/>
      <c r="Q608" t="s">
        <v>129</v>
      </c>
      <c r="T608" s="195"/>
      <c r="U608" s="195"/>
      <c r="V608" s="300"/>
      <c r="W608" s="201"/>
      <c r="X608" s="201"/>
      <c r="Y608" s="200"/>
      <c r="Z608" s="207"/>
      <c r="AA608" s="206"/>
      <c r="AB608" s="207"/>
      <c r="AC608" s="188"/>
      <c r="AD608" s="187">
        <v>44760</v>
      </c>
    </row>
    <row r="609" spans="1:30">
      <c r="A609" s="318">
        <f>COUNTA($E$3:E609)</f>
        <v>607</v>
      </c>
      <c r="B609" s="318" t="s">
        <v>3461</v>
      </c>
      <c r="C609" s="318" t="s">
        <v>37</v>
      </c>
      <c r="D609" s="318" t="s">
        <v>30</v>
      </c>
      <c r="E609" s="318" t="s">
        <v>1248</v>
      </c>
      <c r="F609" s="316">
        <v>44747</v>
      </c>
      <c r="G609" s="316"/>
      <c r="H609" s="316"/>
      <c r="I609" s="316"/>
      <c r="J609" s="318" t="s">
        <v>3465</v>
      </c>
      <c r="K609" s="318" t="s">
        <v>1287</v>
      </c>
      <c r="L609" s="14">
        <v>44753</v>
      </c>
      <c r="O609" s="179"/>
      <c r="Q609" t="s">
        <v>129</v>
      </c>
      <c r="T609" s="195"/>
      <c r="U609" s="195"/>
      <c r="V609" s="300"/>
      <c r="W609" s="201"/>
      <c r="X609" s="201"/>
      <c r="Y609" s="200"/>
      <c r="Z609" s="207"/>
      <c r="AA609" s="206"/>
      <c r="AB609" s="207"/>
      <c r="AC609" s="188"/>
      <c r="AD609" s="187"/>
    </row>
    <row r="610" spans="1:30">
      <c r="A610" s="318">
        <f>COUNTA($E$3:E610)</f>
        <v>608</v>
      </c>
      <c r="B610" s="318" t="s">
        <v>3435</v>
      </c>
      <c r="C610" s="318" t="s">
        <v>37</v>
      </c>
      <c r="D610" s="318" t="s">
        <v>30</v>
      </c>
      <c r="E610" s="318" t="s">
        <v>1227</v>
      </c>
      <c r="F610" s="316">
        <v>44742</v>
      </c>
      <c r="G610" s="316"/>
      <c r="H610" s="316"/>
      <c r="I610" s="316" t="s">
        <v>2</v>
      </c>
      <c r="J610" s="318" t="s">
        <v>2234</v>
      </c>
      <c r="K610" s="318" t="s">
        <v>24</v>
      </c>
      <c r="L610" s="14">
        <v>44753</v>
      </c>
      <c r="M610" t="s">
        <v>3498</v>
      </c>
      <c r="N610" s="174">
        <v>44760</v>
      </c>
      <c r="O610" s="179"/>
      <c r="Q610" t="s">
        <v>129</v>
      </c>
      <c r="T610" s="195"/>
      <c r="U610" s="195"/>
      <c r="V610" s="300"/>
      <c r="W610" s="201"/>
      <c r="X610" s="201"/>
      <c r="Y610" s="200"/>
      <c r="Z610" s="207"/>
      <c r="AA610" s="206"/>
      <c r="AB610" s="207"/>
      <c r="AC610" s="188"/>
      <c r="AD610" s="187">
        <v>44760</v>
      </c>
    </row>
    <row r="611" spans="1:30">
      <c r="A611" s="318">
        <f>COUNTA($E$3:E611)</f>
        <v>609</v>
      </c>
      <c r="B611" s="318" t="s">
        <v>3130</v>
      </c>
      <c r="C611" s="318" t="s">
        <v>1119</v>
      </c>
      <c r="D611" s="318" t="s">
        <v>38</v>
      </c>
      <c r="E611" s="318" t="s">
        <v>3131</v>
      </c>
      <c r="F611" s="316">
        <v>44707</v>
      </c>
      <c r="G611" s="316">
        <v>44728</v>
      </c>
      <c r="H611" s="316">
        <v>44718</v>
      </c>
      <c r="I611" s="316" t="s">
        <v>2</v>
      </c>
      <c r="J611" s="318" t="s">
        <v>1679</v>
      </c>
      <c r="K611" s="318" t="s">
        <v>33</v>
      </c>
      <c r="L611" s="14">
        <v>44753</v>
      </c>
      <c r="M611" t="s">
        <v>3470</v>
      </c>
      <c r="N611" s="174">
        <v>44754</v>
      </c>
      <c r="O611" s="179"/>
      <c r="Q611" t="s">
        <v>129</v>
      </c>
      <c r="T611" s="195"/>
      <c r="U611" s="195"/>
      <c r="V611" s="300"/>
      <c r="W611" s="201"/>
      <c r="X611" s="201"/>
      <c r="Y611" s="200"/>
      <c r="Z611" s="207"/>
      <c r="AA611" s="206"/>
      <c r="AB611" s="207"/>
      <c r="AC611" s="188"/>
      <c r="AD611" s="187">
        <v>44754</v>
      </c>
    </row>
    <row r="612" spans="1:30">
      <c r="A612" s="318">
        <f>COUNTA($E$3:E612)</f>
        <v>610</v>
      </c>
      <c r="B612" s="318" t="s">
        <v>3424</v>
      </c>
      <c r="C612" s="318" t="s">
        <v>37</v>
      </c>
      <c r="D612" s="318" t="s">
        <v>30</v>
      </c>
      <c r="E612" s="318" t="s">
        <v>1669</v>
      </c>
      <c r="F612" s="316">
        <v>44739</v>
      </c>
      <c r="G612" s="316"/>
      <c r="H612" s="316"/>
      <c r="I612" s="316" t="s">
        <v>2</v>
      </c>
      <c r="J612" s="318" t="s">
        <v>1485</v>
      </c>
      <c r="K612" s="318" t="s">
        <v>3504</v>
      </c>
      <c r="L612" s="14">
        <v>44753</v>
      </c>
      <c r="M612" t="s">
        <v>3473</v>
      </c>
      <c r="N612" s="174">
        <v>44907</v>
      </c>
      <c r="O612" s="179"/>
      <c r="Q612" t="s">
        <v>129</v>
      </c>
      <c r="T612" s="195"/>
      <c r="U612" s="195"/>
      <c r="V612" s="300"/>
      <c r="W612" s="201"/>
      <c r="X612" s="201"/>
      <c r="Y612" s="200"/>
      <c r="Z612" s="207"/>
      <c r="AA612" s="206"/>
      <c r="AB612" s="207"/>
      <c r="AC612" s="188"/>
      <c r="AD612" s="187">
        <v>44907</v>
      </c>
    </row>
    <row r="613" spans="1:30">
      <c r="A613" s="318">
        <f>COUNTA($E$3:E613)</f>
        <v>611</v>
      </c>
      <c r="B613" s="318" t="s">
        <v>3432</v>
      </c>
      <c r="C613" s="318" t="s">
        <v>1113</v>
      </c>
      <c r="D613" s="318" t="s">
        <v>64</v>
      </c>
      <c r="E613" s="318" t="s">
        <v>3093</v>
      </c>
      <c r="F613" s="316">
        <v>44742</v>
      </c>
      <c r="G613" s="316"/>
      <c r="H613" s="316"/>
      <c r="I613" s="316" t="s">
        <v>2</v>
      </c>
      <c r="J613" s="318" t="s">
        <v>17</v>
      </c>
      <c r="K613" s="318" t="s">
        <v>24</v>
      </c>
      <c r="L613" s="14">
        <v>44753</v>
      </c>
      <c r="M613" t="s">
        <v>3498</v>
      </c>
      <c r="N613" s="174">
        <v>44769</v>
      </c>
      <c r="O613" s="179"/>
      <c r="Q613" t="s">
        <v>22</v>
      </c>
      <c r="T613" s="195"/>
      <c r="U613" s="195"/>
      <c r="V613" s="300"/>
      <c r="W613" s="201"/>
      <c r="X613" s="201"/>
      <c r="Y613" s="200"/>
      <c r="Z613" s="207"/>
      <c r="AA613" s="206"/>
      <c r="AB613" s="207"/>
      <c r="AC613" s="188"/>
      <c r="AD613" s="187">
        <v>44769</v>
      </c>
    </row>
    <row r="614" spans="1:30">
      <c r="A614" s="318">
        <f>COUNTA($E$3:E614)</f>
        <v>612</v>
      </c>
      <c r="B614" s="318" t="s">
        <v>3433</v>
      </c>
      <c r="C614" s="318" t="s">
        <v>1113</v>
      </c>
      <c r="D614" s="318" t="s">
        <v>64</v>
      </c>
      <c r="E614" s="318" t="s">
        <v>1728</v>
      </c>
      <c r="F614" s="316">
        <v>44742</v>
      </c>
      <c r="G614" s="316"/>
      <c r="H614" s="316"/>
      <c r="I614" s="316" t="s">
        <v>2</v>
      </c>
      <c r="J614" s="318" t="s">
        <v>1747</v>
      </c>
      <c r="K614" s="318" t="s">
        <v>20</v>
      </c>
      <c r="L614" s="14">
        <v>44753</v>
      </c>
      <c r="M614" t="s">
        <v>3497</v>
      </c>
      <c r="N614" s="174">
        <v>44769</v>
      </c>
      <c r="O614" s="179"/>
      <c r="Q614" t="s">
        <v>22</v>
      </c>
      <c r="T614" s="195"/>
      <c r="U614" s="195"/>
      <c r="V614" s="300"/>
      <c r="W614" s="201"/>
      <c r="X614" s="201"/>
      <c r="Y614" s="200"/>
      <c r="Z614" s="207"/>
      <c r="AA614" s="206"/>
      <c r="AB614" s="207"/>
      <c r="AC614" s="188"/>
      <c r="AD614" s="187">
        <v>44769</v>
      </c>
    </row>
    <row r="615" spans="1:30">
      <c r="A615" s="318">
        <f>COUNTA($E$3:E615)</f>
        <v>613</v>
      </c>
      <c r="B615" s="318" t="s">
        <v>3434</v>
      </c>
      <c r="C615" s="318" t="s">
        <v>37</v>
      </c>
      <c r="D615" s="318" t="s">
        <v>30</v>
      </c>
      <c r="E615" s="318" t="s">
        <v>3365</v>
      </c>
      <c r="F615" s="316">
        <v>44742.557962962965</v>
      </c>
      <c r="G615" s="316"/>
      <c r="H615" s="316"/>
      <c r="I615" s="316" t="s">
        <v>2</v>
      </c>
      <c r="J615" s="318" t="s">
        <v>1670</v>
      </c>
      <c r="K615" s="318" t="s">
        <v>20</v>
      </c>
      <c r="L615" s="14">
        <v>44753</v>
      </c>
      <c r="N615" s="174">
        <v>45122</v>
      </c>
      <c r="O615" s="179"/>
      <c r="Q615" t="s">
        <v>129</v>
      </c>
      <c r="T615" s="195"/>
      <c r="U615" s="195"/>
      <c r="V615" s="300"/>
      <c r="W615" s="201"/>
      <c r="X615" s="201"/>
      <c r="Y615" s="200"/>
      <c r="Z615" s="207"/>
      <c r="AA615" s="206"/>
      <c r="AB615" s="207"/>
      <c r="AC615" s="188"/>
      <c r="AD615" s="187"/>
    </row>
    <row r="616" spans="1:30">
      <c r="A616" s="318">
        <f>COUNTA($E$3:E616)</f>
        <v>614</v>
      </c>
      <c r="B616" s="318" t="s">
        <v>3458</v>
      </c>
      <c r="C616" s="318" t="s">
        <v>37</v>
      </c>
      <c r="D616" s="318" t="s">
        <v>34</v>
      </c>
      <c r="E616" s="318" t="s">
        <v>1676</v>
      </c>
      <c r="F616" s="316">
        <v>44747</v>
      </c>
      <c r="G616" s="316"/>
      <c r="H616" s="316"/>
      <c r="I616" s="316" t="s">
        <v>2</v>
      </c>
      <c r="J616" s="318" t="s">
        <v>1485</v>
      </c>
      <c r="K616" s="318" t="s">
        <v>1089</v>
      </c>
      <c r="L616" s="14">
        <v>44753</v>
      </c>
      <c r="N616" s="174">
        <v>45158</v>
      </c>
      <c r="O616" s="179"/>
      <c r="Q616" t="s">
        <v>129</v>
      </c>
      <c r="T616" s="195"/>
      <c r="U616" s="195"/>
      <c r="V616" s="300"/>
      <c r="W616" s="201"/>
      <c r="X616" s="201"/>
      <c r="Y616" s="200"/>
      <c r="Z616" s="207"/>
      <c r="AA616" s="206"/>
      <c r="AB616" s="207"/>
      <c r="AC616" s="188"/>
      <c r="AD616" s="187"/>
    </row>
    <row r="617" spans="1:30">
      <c r="A617" s="318">
        <f>COUNTA($E$3:E617)</f>
        <v>615</v>
      </c>
      <c r="B617" s="318" t="s">
        <v>3502</v>
      </c>
      <c r="C617" s="318" t="s">
        <v>37</v>
      </c>
      <c r="D617" s="318" t="s">
        <v>34</v>
      </c>
      <c r="E617" s="318" t="s">
        <v>1963</v>
      </c>
      <c r="F617" s="316">
        <v>44750</v>
      </c>
      <c r="G617" s="316"/>
      <c r="H617" s="316"/>
      <c r="I617" s="316" t="s">
        <v>3</v>
      </c>
      <c r="J617" s="318" t="s">
        <v>2070</v>
      </c>
      <c r="K617" s="318" t="s">
        <v>33</v>
      </c>
      <c r="L617" s="14">
        <v>44753</v>
      </c>
      <c r="N617" s="174">
        <v>45051</v>
      </c>
      <c r="O617" s="179"/>
      <c r="Q617" t="s">
        <v>129</v>
      </c>
      <c r="T617" s="195"/>
      <c r="U617" s="195"/>
      <c r="V617" s="300"/>
      <c r="W617" s="201"/>
      <c r="X617" s="201"/>
      <c r="Y617" s="200"/>
      <c r="Z617" s="207"/>
      <c r="AA617" s="206"/>
      <c r="AB617" s="207"/>
      <c r="AC617" s="188"/>
      <c r="AD617" s="187">
        <v>45051</v>
      </c>
    </row>
    <row r="618" spans="1:30">
      <c r="A618" s="318">
        <f>COUNTA($E$3:E618)</f>
        <v>616</v>
      </c>
      <c r="B618" s="318" t="s">
        <v>3014</v>
      </c>
      <c r="C618" s="318" t="s">
        <v>41</v>
      </c>
      <c r="D618" s="318" t="s">
        <v>32</v>
      </c>
      <c r="E618" s="318" t="s">
        <v>1159</v>
      </c>
      <c r="F618" s="316">
        <v>44690</v>
      </c>
      <c r="G618" s="316"/>
      <c r="H618" s="316"/>
      <c r="I618" s="316" t="s">
        <v>3</v>
      </c>
      <c r="J618" s="318" t="s">
        <v>3015</v>
      </c>
      <c r="K618" s="318"/>
      <c r="L618" s="14">
        <v>44753</v>
      </c>
      <c r="M618" t="s">
        <v>3505</v>
      </c>
      <c r="N618" s="174">
        <v>44770</v>
      </c>
      <c r="O618" s="179"/>
      <c r="Q618" t="s">
        <v>22</v>
      </c>
      <c r="T618" s="195"/>
      <c r="U618" s="195"/>
      <c r="V618" s="300"/>
      <c r="W618" s="201"/>
      <c r="X618" s="201"/>
      <c r="Y618" s="200"/>
      <c r="Z618" s="207"/>
      <c r="AA618" s="206"/>
      <c r="AB618" s="207"/>
      <c r="AC618" s="188"/>
      <c r="AD618" s="187">
        <v>44770</v>
      </c>
    </row>
    <row r="619" spans="1:30">
      <c r="A619" s="318">
        <f>COUNTA($E$3:E619)</f>
        <v>617</v>
      </c>
      <c r="B619" s="318" t="s">
        <v>4238</v>
      </c>
      <c r="C619" s="318" t="s">
        <v>21</v>
      </c>
      <c r="D619" s="318" t="s">
        <v>30</v>
      </c>
      <c r="E619" s="318" t="s">
        <v>2786</v>
      </c>
      <c r="F619" s="316">
        <v>44746</v>
      </c>
      <c r="G619" s="316"/>
      <c r="H619" s="316"/>
      <c r="I619" s="316" t="s">
        <v>3</v>
      </c>
      <c r="J619" s="318" t="s">
        <v>1212</v>
      </c>
      <c r="K619" s="318" t="s">
        <v>101</v>
      </c>
      <c r="L619" s="14">
        <v>44753</v>
      </c>
      <c r="M619" t="s">
        <v>4239</v>
      </c>
      <c r="N619" s="174">
        <v>44756</v>
      </c>
      <c r="O619" s="179"/>
      <c r="Q619" t="s">
        <v>129</v>
      </c>
      <c r="T619" s="195"/>
      <c r="U619" s="195"/>
      <c r="V619" s="300"/>
      <c r="W619" s="201"/>
      <c r="X619" s="201"/>
      <c r="Y619" s="200"/>
      <c r="Z619" s="207"/>
      <c r="AA619" s="206"/>
      <c r="AB619" s="207"/>
      <c r="AC619" s="188"/>
      <c r="AD619" s="187">
        <v>44756</v>
      </c>
    </row>
    <row r="620" spans="1:30">
      <c r="A620" s="318">
        <f>COUNTA($E$3:E620)</f>
        <v>618</v>
      </c>
      <c r="B620" s="318" t="s">
        <v>3460</v>
      </c>
      <c r="C620" s="318" t="s">
        <v>3466</v>
      </c>
      <c r="D620" s="318" t="s">
        <v>30</v>
      </c>
      <c r="E620" s="318" t="s">
        <v>3467</v>
      </c>
      <c r="F620" s="316">
        <v>44747</v>
      </c>
      <c r="G620" s="316"/>
      <c r="H620" s="316"/>
      <c r="I620" s="316" t="s">
        <v>3</v>
      </c>
      <c r="J620" s="318" t="s">
        <v>1643</v>
      </c>
      <c r="K620" s="318"/>
      <c r="L620" s="14">
        <v>44753</v>
      </c>
      <c r="M620" t="s">
        <v>3472</v>
      </c>
      <c r="N620" s="174">
        <v>44753</v>
      </c>
      <c r="O620" s="179"/>
      <c r="Q620" t="s">
        <v>22</v>
      </c>
      <c r="T620" s="195"/>
      <c r="U620" s="195"/>
      <c r="V620" s="300"/>
      <c r="W620" s="201"/>
      <c r="X620" s="201"/>
      <c r="Y620" s="200"/>
      <c r="Z620" s="207"/>
      <c r="AA620" s="206"/>
      <c r="AB620" s="207"/>
      <c r="AC620" s="188"/>
      <c r="AD620" s="187">
        <v>44753</v>
      </c>
    </row>
    <row r="621" spans="1:30">
      <c r="A621" s="318">
        <f>COUNTA($E$3:E621)</f>
        <v>619</v>
      </c>
      <c r="B621" s="318" t="s">
        <v>3475</v>
      </c>
      <c r="C621" s="318" t="s">
        <v>297</v>
      </c>
      <c r="D621" s="318" t="s">
        <v>3105</v>
      </c>
      <c r="E621" s="318" t="s">
        <v>3476</v>
      </c>
      <c r="F621" s="316">
        <v>44748</v>
      </c>
      <c r="G621" s="316"/>
      <c r="H621" s="316"/>
      <c r="I621" s="316" t="s">
        <v>3</v>
      </c>
      <c r="J621" s="318" t="s">
        <v>3477</v>
      </c>
      <c r="K621" s="318"/>
      <c r="L621" s="14">
        <v>44753</v>
      </c>
      <c r="M621" t="s">
        <v>3500</v>
      </c>
      <c r="N621" s="174">
        <v>44753</v>
      </c>
      <c r="O621" s="179"/>
      <c r="Q621" t="s">
        <v>22</v>
      </c>
      <c r="T621" s="195"/>
      <c r="U621" s="195"/>
      <c r="V621" s="300"/>
      <c r="W621" s="201"/>
      <c r="X621" s="201"/>
      <c r="Y621" s="200"/>
      <c r="Z621" s="207"/>
      <c r="AA621" s="206"/>
      <c r="AB621" s="207"/>
      <c r="AC621" s="188"/>
      <c r="AD621" s="187">
        <v>44753</v>
      </c>
    </row>
    <row r="622" spans="1:30">
      <c r="A622" s="318">
        <f>COUNTA($E$3:E622)</f>
        <v>620</v>
      </c>
      <c r="B622" s="318" t="s">
        <v>3421</v>
      </c>
      <c r="C622" s="318" t="s">
        <v>41</v>
      </c>
      <c r="D622" s="318" t="s">
        <v>1080</v>
      </c>
      <c r="E622" s="318" t="s">
        <v>3422</v>
      </c>
      <c r="F622" s="316">
        <v>44739</v>
      </c>
      <c r="G622" s="316"/>
      <c r="H622" s="316"/>
      <c r="I622" s="316" t="s">
        <v>3</v>
      </c>
      <c r="J622" s="318" t="s">
        <v>17</v>
      </c>
      <c r="K622" s="318" t="s">
        <v>33</v>
      </c>
      <c r="L622" s="14">
        <v>44753</v>
      </c>
      <c r="N622" s="174">
        <v>44753</v>
      </c>
      <c r="O622" s="179"/>
      <c r="Q622" t="s">
        <v>22</v>
      </c>
      <c r="T622" s="195"/>
      <c r="U622" s="195"/>
      <c r="V622" s="300"/>
      <c r="W622" s="201"/>
      <c r="X622" s="201"/>
      <c r="Y622" s="200"/>
      <c r="Z622" s="207"/>
      <c r="AA622" s="206"/>
      <c r="AB622" s="207"/>
      <c r="AC622" s="188"/>
      <c r="AD622" s="187">
        <v>44753</v>
      </c>
    </row>
    <row r="623" spans="1:30">
      <c r="A623" s="318">
        <f>COUNTA($E$3:E623)</f>
        <v>621</v>
      </c>
      <c r="B623" s="318" t="s">
        <v>3307</v>
      </c>
      <c r="C623" s="318" t="s">
        <v>41</v>
      </c>
      <c r="D623" s="318" t="s">
        <v>1124</v>
      </c>
      <c r="E623" s="318" t="s">
        <v>3308</v>
      </c>
      <c r="F623" s="316">
        <v>44733</v>
      </c>
      <c r="G623" s="316"/>
      <c r="H623" s="316"/>
      <c r="I623" s="316" t="s">
        <v>3</v>
      </c>
      <c r="J623" s="318" t="s">
        <v>1652</v>
      </c>
      <c r="K623" s="318" t="s">
        <v>20</v>
      </c>
      <c r="L623" s="14">
        <v>44753</v>
      </c>
      <c r="M623" t="s">
        <v>3501</v>
      </c>
      <c r="N623" s="174">
        <v>44753</v>
      </c>
      <c r="O623" s="179"/>
      <c r="Q623" t="s">
        <v>22</v>
      </c>
      <c r="T623" s="195"/>
      <c r="U623" s="195"/>
      <c r="V623" s="300"/>
      <c r="W623" s="201"/>
      <c r="X623" s="201"/>
      <c r="Y623" s="200"/>
      <c r="Z623" s="207"/>
      <c r="AA623" s="206"/>
      <c r="AB623" s="207"/>
      <c r="AC623" s="188"/>
      <c r="AD623" s="187">
        <v>44753</v>
      </c>
    </row>
    <row r="624" spans="1:30">
      <c r="A624" s="318">
        <f>COUNTA($E$3:E624)</f>
        <v>622</v>
      </c>
      <c r="B624" s="318" t="s">
        <v>3482</v>
      </c>
      <c r="C624" s="318" t="s">
        <v>21</v>
      </c>
      <c r="D624" s="318" t="s">
        <v>25</v>
      </c>
      <c r="E624" s="318" t="s">
        <v>298</v>
      </c>
      <c r="F624" s="316">
        <v>44748</v>
      </c>
      <c r="G624" s="316"/>
      <c r="H624" s="316"/>
      <c r="I624" s="316" t="s">
        <v>3</v>
      </c>
      <c r="J624" s="318" t="s">
        <v>1649</v>
      </c>
      <c r="K624" s="318" t="s">
        <v>1089</v>
      </c>
      <c r="L624" s="14">
        <v>44753</v>
      </c>
      <c r="M624" t="s">
        <v>3503</v>
      </c>
      <c r="N624" s="174">
        <v>44754</v>
      </c>
      <c r="O624" s="179"/>
      <c r="Q624" t="s">
        <v>129</v>
      </c>
      <c r="T624" s="195"/>
      <c r="U624" s="195"/>
      <c r="V624" s="300"/>
      <c r="W624" s="201"/>
      <c r="X624" s="201"/>
      <c r="Y624" s="200"/>
      <c r="Z624" s="207"/>
      <c r="AA624" s="206"/>
      <c r="AB624" s="207"/>
      <c r="AC624" s="188"/>
      <c r="AD624" s="187">
        <v>44754</v>
      </c>
    </row>
    <row r="625" spans="1:30">
      <c r="A625" s="318">
        <f>COUNTA($E$3:E625)</f>
        <v>623</v>
      </c>
      <c r="B625" s="318" t="s">
        <v>3445</v>
      </c>
      <c r="C625" s="318" t="s">
        <v>3446</v>
      </c>
      <c r="D625" s="318" t="s">
        <v>36</v>
      </c>
      <c r="E625" s="318" t="s">
        <v>3447</v>
      </c>
      <c r="F625" s="316">
        <v>44743</v>
      </c>
      <c r="G625" s="316"/>
      <c r="H625" s="316"/>
      <c r="I625" s="316" t="s">
        <v>3</v>
      </c>
      <c r="J625" s="318" t="s">
        <v>1760</v>
      </c>
      <c r="K625" s="318" t="s">
        <v>33</v>
      </c>
      <c r="L625" s="14">
        <v>44753</v>
      </c>
      <c r="M625" t="s">
        <v>3499</v>
      </c>
      <c r="N625" s="174">
        <v>44768</v>
      </c>
      <c r="O625" s="179"/>
      <c r="Q625" t="s">
        <v>129</v>
      </c>
      <c r="T625" s="195"/>
      <c r="U625" s="195"/>
      <c r="V625" s="300"/>
      <c r="W625" s="201"/>
      <c r="X625" s="201"/>
      <c r="Y625" s="200"/>
      <c r="Z625" s="207"/>
      <c r="AA625" s="206"/>
      <c r="AB625" s="207"/>
      <c r="AC625" s="188"/>
      <c r="AD625" s="187">
        <v>44768</v>
      </c>
    </row>
    <row r="626" spans="1:30">
      <c r="A626" s="318">
        <f>COUNTA($E$3:E626)</f>
        <v>624</v>
      </c>
      <c r="B626" s="318" t="s">
        <v>3426</v>
      </c>
      <c r="C626" s="318" t="s">
        <v>37</v>
      </c>
      <c r="D626" s="318" t="s">
        <v>30</v>
      </c>
      <c r="E626" s="318" t="s">
        <v>3376</v>
      </c>
      <c r="F626" s="316">
        <v>44741</v>
      </c>
      <c r="G626" s="316"/>
      <c r="H626" s="316"/>
      <c r="I626" s="316" t="s">
        <v>2</v>
      </c>
      <c r="J626" s="318" t="s">
        <v>3427</v>
      </c>
      <c r="K626" s="318" t="s">
        <v>287</v>
      </c>
      <c r="L626" s="14">
        <v>44745</v>
      </c>
      <c r="M626" t="s">
        <v>3452</v>
      </c>
      <c r="N626" s="174">
        <v>44754</v>
      </c>
      <c r="O626" s="179"/>
      <c r="Q626" t="s">
        <v>129</v>
      </c>
      <c r="T626" s="195"/>
      <c r="U626" s="195"/>
      <c r="V626" s="300"/>
      <c r="W626" s="201"/>
      <c r="X626" s="201"/>
      <c r="Y626" s="200"/>
      <c r="Z626" s="207"/>
      <c r="AA626" s="206"/>
      <c r="AB626" s="207"/>
      <c r="AC626" s="188"/>
      <c r="AD626" s="187">
        <v>44754</v>
      </c>
    </row>
    <row r="627" spans="1:30">
      <c r="A627" s="318">
        <f>COUNTA($E$3:E627)</f>
        <v>625</v>
      </c>
      <c r="B627" s="318" t="s">
        <v>3425</v>
      </c>
      <c r="C627" s="318" t="s">
        <v>37</v>
      </c>
      <c r="D627" s="318" t="s">
        <v>34</v>
      </c>
      <c r="E627" s="318" t="s">
        <v>296</v>
      </c>
      <c r="F627" s="316">
        <v>44740</v>
      </c>
      <c r="G627" s="316"/>
      <c r="H627" s="316"/>
      <c r="I627" s="316" t="s">
        <v>2</v>
      </c>
      <c r="J627" s="318" t="s">
        <v>1667</v>
      </c>
      <c r="K627" s="318" t="s">
        <v>1287</v>
      </c>
      <c r="L627" s="14">
        <v>44745</v>
      </c>
      <c r="M627" t="s">
        <v>3451</v>
      </c>
      <c r="N627" s="174">
        <v>44768</v>
      </c>
      <c r="O627" s="179"/>
      <c r="Q627" t="s">
        <v>129</v>
      </c>
      <c r="T627" s="195"/>
      <c r="U627" s="195"/>
      <c r="V627" s="300"/>
      <c r="W627" s="201"/>
      <c r="X627" s="201"/>
      <c r="Y627" s="200"/>
      <c r="Z627" s="207"/>
      <c r="AA627" s="206"/>
      <c r="AB627" s="207"/>
      <c r="AC627" s="188"/>
      <c r="AD627" s="187">
        <v>44768</v>
      </c>
    </row>
    <row r="628" spans="1:30">
      <c r="A628" s="318">
        <f>COUNTA($E$3:E628)</f>
        <v>626</v>
      </c>
      <c r="B628" s="318" t="s">
        <v>3423</v>
      </c>
      <c r="C628" s="318" t="s">
        <v>37</v>
      </c>
      <c r="D628" s="318" t="s">
        <v>34</v>
      </c>
      <c r="E628" s="318" t="s">
        <v>3366</v>
      </c>
      <c r="F628" s="316">
        <v>44739</v>
      </c>
      <c r="G628" s="316"/>
      <c r="H628" s="316"/>
      <c r="I628" s="316" t="s">
        <v>2</v>
      </c>
      <c r="J628" s="318" t="s">
        <v>1723</v>
      </c>
      <c r="K628" s="318" t="s">
        <v>1295</v>
      </c>
      <c r="L628" s="14">
        <v>44745</v>
      </c>
      <c r="N628" s="174">
        <v>45051</v>
      </c>
      <c r="O628" s="179"/>
      <c r="Q628" t="s">
        <v>129</v>
      </c>
      <c r="T628" s="195"/>
      <c r="U628" s="195"/>
      <c r="V628" s="300"/>
      <c r="W628" s="201"/>
      <c r="X628" s="201"/>
      <c r="Y628" s="200"/>
      <c r="Z628" s="207"/>
      <c r="AA628" s="206"/>
      <c r="AB628" s="207"/>
      <c r="AC628" s="188"/>
      <c r="AD628" s="187">
        <v>45051</v>
      </c>
    </row>
    <row r="629" spans="1:30">
      <c r="A629" s="318">
        <f>COUNTA($E$3:E629)</f>
        <v>627</v>
      </c>
      <c r="B629" s="318" t="s">
        <v>3420</v>
      </c>
      <c r="C629" s="318" t="s">
        <v>37</v>
      </c>
      <c r="D629" s="318" t="s">
        <v>34</v>
      </c>
      <c r="E629" s="318" t="s">
        <v>3369</v>
      </c>
      <c r="F629" s="316">
        <v>44739</v>
      </c>
      <c r="G629" s="316"/>
      <c r="H629" s="316"/>
      <c r="I629" s="316" t="s">
        <v>2</v>
      </c>
      <c r="J629" s="318" t="s">
        <v>1667</v>
      </c>
      <c r="K629" s="318" t="s">
        <v>1294</v>
      </c>
      <c r="L629" s="14">
        <v>44745</v>
      </c>
      <c r="M629" t="s">
        <v>3450</v>
      </c>
      <c r="N629" s="174">
        <v>44876</v>
      </c>
      <c r="O629" s="179"/>
      <c r="Q629" t="s">
        <v>129</v>
      </c>
      <c r="T629" s="195"/>
      <c r="U629" s="195"/>
      <c r="V629" s="300"/>
      <c r="W629" s="201"/>
      <c r="X629" s="201"/>
      <c r="Y629" s="200"/>
      <c r="Z629" s="207"/>
      <c r="AA629" s="206"/>
      <c r="AB629" s="207"/>
      <c r="AC629" s="188"/>
      <c r="AD629" s="187">
        <v>44876</v>
      </c>
    </row>
    <row r="630" spans="1:30">
      <c r="A630" s="318">
        <f>COUNTA($E$3:E630)</f>
        <v>628</v>
      </c>
      <c r="B630" s="318" t="s">
        <v>3418</v>
      </c>
      <c r="C630" s="318" t="s">
        <v>37</v>
      </c>
      <c r="D630" s="318" t="s">
        <v>34</v>
      </c>
      <c r="E630" s="318" t="s">
        <v>3375</v>
      </c>
      <c r="F630" s="316">
        <v>44739</v>
      </c>
      <c r="G630" s="316"/>
      <c r="H630" s="316"/>
      <c r="I630" s="316" t="s">
        <v>2</v>
      </c>
      <c r="J630" s="318" t="s">
        <v>3419</v>
      </c>
      <c r="K630" s="318" t="s">
        <v>1294</v>
      </c>
      <c r="L630" s="14">
        <v>44745</v>
      </c>
      <c r="M630" t="s">
        <v>3450</v>
      </c>
      <c r="N630" s="174">
        <v>44907</v>
      </c>
      <c r="O630" s="179"/>
      <c r="Q630" t="s">
        <v>129</v>
      </c>
      <c r="T630" s="195"/>
      <c r="U630" s="195"/>
      <c r="V630" s="300"/>
      <c r="W630" s="201"/>
      <c r="X630" s="201"/>
      <c r="Y630" s="200"/>
      <c r="Z630" s="207"/>
      <c r="AA630" s="206"/>
      <c r="AB630" s="207"/>
      <c r="AC630" s="188"/>
      <c r="AD630" s="187">
        <v>44907</v>
      </c>
    </row>
    <row r="631" spans="1:30">
      <c r="A631" s="318">
        <f>COUNTA($E$3:E631)</f>
        <v>629</v>
      </c>
      <c r="B631" s="318" t="s">
        <v>3287</v>
      </c>
      <c r="C631" s="318" t="s">
        <v>37</v>
      </c>
      <c r="D631" s="318" t="s">
        <v>30</v>
      </c>
      <c r="E631" s="318" t="s">
        <v>3288</v>
      </c>
      <c r="F631" s="316">
        <v>44735</v>
      </c>
      <c r="G631" s="316"/>
      <c r="H631" s="316"/>
      <c r="I631" s="316" t="s">
        <v>2</v>
      </c>
      <c r="J631" s="318" t="s">
        <v>1875</v>
      </c>
      <c r="K631" s="318" t="s">
        <v>2032</v>
      </c>
      <c r="L631" s="14">
        <v>44745</v>
      </c>
      <c r="O631" s="179"/>
      <c r="Q631" t="s">
        <v>129</v>
      </c>
      <c r="T631" s="195"/>
      <c r="U631" s="195"/>
      <c r="V631" s="300"/>
      <c r="W631" s="201"/>
      <c r="X631" s="201"/>
      <c r="Y631" s="200"/>
      <c r="Z631" s="207"/>
      <c r="AA631" s="206"/>
      <c r="AB631" s="207"/>
      <c r="AC631" s="188"/>
      <c r="AD631" s="187"/>
    </row>
    <row r="632" spans="1:30">
      <c r="A632" s="318">
        <f>COUNTA($E$3:E632)</f>
        <v>630</v>
      </c>
      <c r="B632" s="318" t="s">
        <v>3314</v>
      </c>
      <c r="C632" s="318" t="s">
        <v>21</v>
      </c>
      <c r="D632" s="318" t="s">
        <v>30</v>
      </c>
      <c r="E632" s="318" t="s">
        <v>3315</v>
      </c>
      <c r="F632" s="316">
        <v>44735.567478587996</v>
      </c>
      <c r="G632" s="316"/>
      <c r="H632" s="316"/>
      <c r="I632" s="316" t="s">
        <v>3</v>
      </c>
      <c r="J632" s="318" t="s">
        <v>3430</v>
      </c>
      <c r="K632" s="318" t="s">
        <v>1296</v>
      </c>
      <c r="L632" s="14">
        <v>44745</v>
      </c>
      <c r="M632" t="s">
        <v>3437</v>
      </c>
      <c r="N632" s="174">
        <v>44742</v>
      </c>
      <c r="O632" s="179"/>
      <c r="Q632" t="s">
        <v>129</v>
      </c>
      <c r="T632" s="195"/>
      <c r="U632" s="195"/>
      <c r="V632" s="300"/>
      <c r="W632" s="201"/>
      <c r="X632" s="201"/>
      <c r="Y632" s="200"/>
      <c r="Z632" s="207"/>
      <c r="AA632" s="206"/>
      <c r="AB632" s="207"/>
      <c r="AC632" s="188"/>
      <c r="AD632" s="187">
        <v>44742</v>
      </c>
    </row>
    <row r="633" spans="1:30">
      <c r="A633" s="318">
        <f>COUNTA($E$3:E633)</f>
        <v>631</v>
      </c>
      <c r="B633" s="318" t="s">
        <v>3313</v>
      </c>
      <c r="C633" s="318" t="s">
        <v>21</v>
      </c>
      <c r="D633" s="318" t="s">
        <v>30</v>
      </c>
      <c r="E633" s="318" t="s">
        <v>3030</v>
      </c>
      <c r="F633" s="316">
        <v>44733</v>
      </c>
      <c r="G633" s="316"/>
      <c r="H633" s="316">
        <v>44745</v>
      </c>
      <c r="I633" s="316" t="s">
        <v>3</v>
      </c>
      <c r="J633" s="318" t="s">
        <v>3132</v>
      </c>
      <c r="K633" s="318" t="s">
        <v>1089</v>
      </c>
      <c r="L633" s="14">
        <v>44745</v>
      </c>
      <c r="N633" s="174">
        <v>44747</v>
      </c>
      <c r="O633" s="179"/>
      <c r="Q633" t="s">
        <v>129</v>
      </c>
      <c r="T633" s="195"/>
      <c r="U633" s="195"/>
      <c r="V633" s="300"/>
      <c r="W633" s="201"/>
      <c r="X633" s="201"/>
      <c r="Y633" s="200"/>
      <c r="Z633" s="207"/>
      <c r="AA633" s="206"/>
      <c r="AB633" s="207"/>
      <c r="AC633" s="188"/>
      <c r="AD633" s="187">
        <v>44747</v>
      </c>
    </row>
    <row r="634" spans="1:30">
      <c r="A634" s="318">
        <f>COUNTA($E$3:E634)</f>
        <v>632</v>
      </c>
      <c r="B634" s="318" t="s">
        <v>3428</v>
      </c>
      <c r="C634" s="318" t="s">
        <v>37</v>
      </c>
      <c r="D634" s="318" t="s">
        <v>45</v>
      </c>
      <c r="E634" s="318" t="s">
        <v>1663</v>
      </c>
      <c r="F634" s="316">
        <v>46926</v>
      </c>
      <c r="G634" s="316"/>
      <c r="H634" s="316"/>
      <c r="I634" s="316" t="s">
        <v>4</v>
      </c>
      <c r="J634" s="318" t="s">
        <v>1834</v>
      </c>
      <c r="K634" s="318" t="s">
        <v>1089</v>
      </c>
      <c r="L634" s="14">
        <v>44745</v>
      </c>
      <c r="M634" t="s">
        <v>3453</v>
      </c>
      <c r="N634" s="174">
        <v>44742</v>
      </c>
      <c r="O634" s="179"/>
      <c r="Q634" t="s">
        <v>129</v>
      </c>
      <c r="T634" s="195"/>
      <c r="U634" s="195"/>
      <c r="V634" s="300"/>
      <c r="W634" s="201"/>
      <c r="X634" s="201"/>
      <c r="Y634" s="200"/>
      <c r="Z634" s="207"/>
      <c r="AA634" s="206"/>
      <c r="AB634" s="207"/>
      <c r="AC634" s="188"/>
      <c r="AD634" s="187">
        <v>44742</v>
      </c>
    </row>
    <row r="635" spans="1:30">
      <c r="A635" s="318">
        <f>COUNTA($E$3:E635)</f>
        <v>633</v>
      </c>
      <c r="B635" s="318" t="s">
        <v>2755</v>
      </c>
      <c r="C635" s="318" t="s">
        <v>37</v>
      </c>
      <c r="D635" s="318" t="s">
        <v>45</v>
      </c>
      <c r="E635" s="318" t="s">
        <v>2756</v>
      </c>
      <c r="F635" s="316">
        <v>44655</v>
      </c>
      <c r="G635" s="316"/>
      <c r="H635" s="316">
        <v>44658</v>
      </c>
      <c r="I635" s="316" t="s">
        <v>4</v>
      </c>
      <c r="J635" s="318" t="s">
        <v>1639</v>
      </c>
      <c r="K635" s="318" t="s">
        <v>1287</v>
      </c>
      <c r="L635" s="14">
        <v>44745</v>
      </c>
      <c r="M635" t="s">
        <v>3436</v>
      </c>
      <c r="N635" s="174">
        <v>44747</v>
      </c>
      <c r="O635" s="179"/>
      <c r="Q635" t="s">
        <v>129</v>
      </c>
      <c r="T635" s="195"/>
      <c r="U635" s="195"/>
      <c r="V635" s="300"/>
      <c r="W635" s="201"/>
      <c r="X635" s="201"/>
      <c r="Y635" s="200"/>
      <c r="Z635" s="207"/>
      <c r="AA635" s="206"/>
      <c r="AB635" s="207"/>
      <c r="AC635" s="188"/>
      <c r="AD635" s="187">
        <v>44747</v>
      </c>
    </row>
    <row r="636" spans="1:30">
      <c r="A636" s="318">
        <f>COUNTA($E$3:E636)</f>
        <v>634</v>
      </c>
      <c r="B636" s="318" t="s">
        <v>3318</v>
      </c>
      <c r="C636" s="318" t="s">
        <v>21</v>
      </c>
      <c r="D636" s="318" t="s">
        <v>30</v>
      </c>
      <c r="E636" s="318" t="s">
        <v>3033</v>
      </c>
      <c r="F636" s="316">
        <v>44735.558014467599</v>
      </c>
      <c r="G636" s="316"/>
      <c r="H636" s="316"/>
      <c r="I636" s="316" t="s">
        <v>3</v>
      </c>
      <c r="J636" s="318"/>
      <c r="K636" s="318" t="s">
        <v>3347</v>
      </c>
      <c r="L636" s="14">
        <v>44739</v>
      </c>
      <c r="M636" t="s">
        <v>3341</v>
      </c>
      <c r="N636" s="174">
        <v>44742</v>
      </c>
      <c r="O636" s="179"/>
      <c r="Q636" t="s">
        <v>129</v>
      </c>
      <c r="T636" s="195"/>
      <c r="U636" s="195"/>
      <c r="V636" s="300"/>
      <c r="W636" s="201"/>
      <c r="X636" s="201"/>
      <c r="Y636" s="200"/>
      <c r="Z636" s="207"/>
      <c r="AA636" s="206"/>
      <c r="AB636" s="207"/>
      <c r="AC636" s="188"/>
      <c r="AD636" s="187">
        <v>44742</v>
      </c>
    </row>
    <row r="637" spans="1:30">
      <c r="A637" s="318">
        <f>COUNTA($E$3:E637)</f>
        <v>635</v>
      </c>
      <c r="B637" s="318" t="s">
        <v>3322</v>
      </c>
      <c r="C637" s="318" t="s">
        <v>37</v>
      </c>
      <c r="D637" s="318" t="s">
        <v>34</v>
      </c>
      <c r="E637" s="318" t="s">
        <v>1782</v>
      </c>
      <c r="F637" s="316">
        <v>44734</v>
      </c>
      <c r="G637" s="316"/>
      <c r="H637" s="316"/>
      <c r="I637" s="316" t="s">
        <v>2</v>
      </c>
      <c r="J637" s="318" t="s">
        <v>17</v>
      </c>
      <c r="K637" s="318" t="s">
        <v>287</v>
      </c>
      <c r="L637" s="14">
        <v>44739</v>
      </c>
      <c r="O637" s="179"/>
      <c r="Q637" t="s">
        <v>129</v>
      </c>
      <c r="T637" s="195"/>
      <c r="U637" s="195"/>
      <c r="V637" s="300"/>
      <c r="W637" s="201"/>
      <c r="X637" s="201"/>
      <c r="Y637" s="200"/>
      <c r="Z637" s="207"/>
      <c r="AA637" s="206"/>
      <c r="AB637" s="207"/>
      <c r="AC637" s="188"/>
      <c r="AD637" s="187"/>
    </row>
    <row r="638" spans="1:30">
      <c r="A638" s="318">
        <f>COUNTA($E$3:E638)</f>
        <v>636</v>
      </c>
      <c r="B638" s="318" t="s">
        <v>3273</v>
      </c>
      <c r="C638" s="318" t="s">
        <v>41</v>
      </c>
      <c r="D638" s="318" t="s">
        <v>25</v>
      </c>
      <c r="E638" s="318" t="s">
        <v>1199</v>
      </c>
      <c r="F638" s="316">
        <v>44729</v>
      </c>
      <c r="G638" s="316"/>
      <c r="H638" s="316"/>
      <c r="I638" s="316" t="s">
        <v>2</v>
      </c>
      <c r="J638" s="318" t="s">
        <v>1678</v>
      </c>
      <c r="K638" s="318" t="s">
        <v>1296</v>
      </c>
      <c r="L638" s="14">
        <v>44739</v>
      </c>
      <c r="M638" t="s">
        <v>3345</v>
      </c>
      <c r="N638" s="174">
        <v>44769</v>
      </c>
      <c r="O638" s="179"/>
      <c r="Q638" t="s">
        <v>129</v>
      </c>
      <c r="T638" s="195"/>
      <c r="U638" s="195"/>
      <c r="V638" s="300"/>
      <c r="W638" s="201"/>
      <c r="X638" s="201"/>
      <c r="Y638" s="200"/>
      <c r="Z638" s="207"/>
      <c r="AA638" s="206"/>
      <c r="AB638" s="207"/>
      <c r="AC638" s="188"/>
      <c r="AD638" s="187">
        <v>44769</v>
      </c>
    </row>
    <row r="639" spans="1:30">
      <c r="A639" s="318">
        <f>COUNTA($E$3:E639)</f>
        <v>637</v>
      </c>
      <c r="B639" s="318" t="s">
        <v>2986</v>
      </c>
      <c r="C639" s="318" t="s">
        <v>286</v>
      </c>
      <c r="D639" s="318" t="s">
        <v>34</v>
      </c>
      <c r="E639" s="318" t="s">
        <v>2987</v>
      </c>
      <c r="F639" s="316">
        <v>44686</v>
      </c>
      <c r="G639" s="316"/>
      <c r="H639" s="316"/>
      <c r="I639" s="316" t="s">
        <v>2</v>
      </c>
      <c r="J639" s="318" t="s">
        <v>1679</v>
      </c>
      <c r="K639" s="318" t="s">
        <v>1295</v>
      </c>
      <c r="L639" s="14">
        <v>44739</v>
      </c>
      <c r="M639" t="s">
        <v>3338</v>
      </c>
      <c r="N639" s="174">
        <v>44739</v>
      </c>
      <c r="O639" s="179"/>
      <c r="Q639" t="s">
        <v>129</v>
      </c>
      <c r="T639" s="195"/>
      <c r="U639" s="195"/>
      <c r="V639" s="300"/>
      <c r="W639" s="201"/>
      <c r="X639" s="201"/>
      <c r="Y639" s="200"/>
      <c r="Z639" s="207"/>
      <c r="AA639" s="206"/>
      <c r="AB639" s="207"/>
      <c r="AC639" s="188"/>
      <c r="AD639" s="187">
        <v>44739</v>
      </c>
    </row>
    <row r="640" spans="1:30">
      <c r="A640" s="318">
        <f>COUNTA($E$3:E640)</f>
        <v>638</v>
      </c>
      <c r="B640" s="318" t="s">
        <v>2689</v>
      </c>
      <c r="C640" s="318" t="s">
        <v>41</v>
      </c>
      <c r="D640" s="318" t="s">
        <v>16</v>
      </c>
      <c r="E640" s="318" t="s">
        <v>2690</v>
      </c>
      <c r="F640" s="316">
        <v>44642</v>
      </c>
      <c r="G640" s="316"/>
      <c r="H640" s="316"/>
      <c r="I640" s="316" t="s">
        <v>2</v>
      </c>
      <c r="J640" s="318" t="s">
        <v>2655</v>
      </c>
      <c r="K640" s="318" t="s">
        <v>1294</v>
      </c>
      <c r="L640" s="14">
        <v>44739</v>
      </c>
      <c r="M640" t="s">
        <v>3337</v>
      </c>
      <c r="N640" s="174">
        <v>44739</v>
      </c>
      <c r="O640" s="179"/>
      <c r="Q640" t="s">
        <v>22</v>
      </c>
      <c r="T640" s="195"/>
      <c r="U640" s="195"/>
      <c r="V640" s="300"/>
      <c r="W640" s="201"/>
      <c r="X640" s="201"/>
      <c r="Y640" s="200"/>
      <c r="Z640" s="207"/>
      <c r="AA640" s="206"/>
      <c r="AB640" s="207"/>
      <c r="AC640" s="188"/>
      <c r="AD640" s="187">
        <v>44739</v>
      </c>
    </row>
    <row r="641" spans="1:30">
      <c r="A641" s="318">
        <f>COUNTA($E$3:E641)</f>
        <v>639</v>
      </c>
      <c r="B641" s="318" t="s">
        <v>2578</v>
      </c>
      <c r="C641" s="318" t="s">
        <v>1196</v>
      </c>
      <c r="D641" s="318" t="s">
        <v>36</v>
      </c>
      <c r="E641" s="318" t="s">
        <v>2579</v>
      </c>
      <c r="F641" s="316">
        <v>44622</v>
      </c>
      <c r="G641" s="316">
        <v>44725</v>
      </c>
      <c r="H641" s="316">
        <v>44628</v>
      </c>
      <c r="I641" s="316" t="s">
        <v>2</v>
      </c>
      <c r="J641" s="318" t="s">
        <v>1485</v>
      </c>
      <c r="K641" s="318" t="s">
        <v>287</v>
      </c>
      <c r="L641" s="14">
        <v>44739</v>
      </c>
      <c r="M641" t="s">
        <v>3336</v>
      </c>
      <c r="N641" s="174">
        <v>44739</v>
      </c>
      <c r="O641" s="179"/>
      <c r="Q641" t="s">
        <v>22</v>
      </c>
      <c r="T641" s="195"/>
      <c r="U641" s="195"/>
      <c r="V641" s="300"/>
      <c r="W641" s="201"/>
      <c r="X641" s="201"/>
      <c r="Y641" s="200"/>
      <c r="Z641" s="207"/>
      <c r="AA641" s="206"/>
      <c r="AB641" s="207"/>
      <c r="AC641" s="188"/>
      <c r="AD641" s="187">
        <v>44739</v>
      </c>
    </row>
    <row r="642" spans="1:30">
      <c r="A642" s="318">
        <f>COUNTA($E$3:E642)</f>
        <v>640</v>
      </c>
      <c r="B642" s="318" t="s">
        <v>3320</v>
      </c>
      <c r="C642" s="318" t="s">
        <v>105</v>
      </c>
      <c r="D642" s="318" t="s">
        <v>1124</v>
      </c>
      <c r="E642" s="318" t="s">
        <v>3321</v>
      </c>
      <c r="F642" s="316">
        <v>44733</v>
      </c>
      <c r="G642" s="316"/>
      <c r="H642" s="316"/>
      <c r="I642" s="316" t="s">
        <v>3</v>
      </c>
      <c r="J642" s="318" t="s">
        <v>1485</v>
      </c>
      <c r="K642" s="318" t="s">
        <v>1294</v>
      </c>
      <c r="L642" s="14">
        <v>44739</v>
      </c>
      <c r="M642" t="s">
        <v>3342</v>
      </c>
      <c r="N642" s="174">
        <v>44739</v>
      </c>
      <c r="O642" s="179"/>
      <c r="Q642" t="s">
        <v>22</v>
      </c>
      <c r="T642" s="195"/>
      <c r="U642" s="195"/>
      <c r="V642" s="300"/>
      <c r="W642" s="201"/>
      <c r="X642" s="201"/>
      <c r="Y642" s="200"/>
      <c r="Z642" s="207"/>
      <c r="AA642" s="206"/>
      <c r="AB642" s="207"/>
      <c r="AC642" s="188"/>
      <c r="AD642" s="187">
        <v>44739</v>
      </c>
    </row>
    <row r="643" spans="1:30">
      <c r="A643" s="318">
        <f>COUNTA($E$3:E643)</f>
        <v>641</v>
      </c>
      <c r="B643" s="318" t="s">
        <v>3305</v>
      </c>
      <c r="C643" s="318" t="s">
        <v>41</v>
      </c>
      <c r="D643" s="318" t="s">
        <v>51</v>
      </c>
      <c r="E643" s="318" t="s">
        <v>3306</v>
      </c>
      <c r="F643" s="316">
        <v>44733</v>
      </c>
      <c r="G643" s="316"/>
      <c r="H643" s="316"/>
      <c r="I643" s="316" t="s">
        <v>3</v>
      </c>
      <c r="J643" s="318" t="s">
        <v>1649</v>
      </c>
      <c r="K643" s="318" t="s">
        <v>1295</v>
      </c>
      <c r="L643" s="14">
        <v>44739</v>
      </c>
      <c r="M643" t="s">
        <v>3341</v>
      </c>
      <c r="N643" s="174">
        <v>44739</v>
      </c>
      <c r="O643" s="179"/>
      <c r="Q643" t="s">
        <v>129</v>
      </c>
      <c r="T643" s="195"/>
      <c r="U643" s="195"/>
      <c r="V643" s="300"/>
      <c r="W643" s="201"/>
      <c r="X643" s="201"/>
      <c r="Y643" s="200"/>
      <c r="Z643" s="207"/>
      <c r="AA643" s="206"/>
      <c r="AB643" s="207"/>
      <c r="AC643" s="188"/>
      <c r="AD643" s="187">
        <v>44739</v>
      </c>
    </row>
    <row r="644" spans="1:30">
      <c r="A644" s="318">
        <f>COUNTA($E$3:E644)</f>
        <v>642</v>
      </c>
      <c r="B644" s="318" t="s">
        <v>3258</v>
      </c>
      <c r="C644" s="318" t="s">
        <v>21</v>
      </c>
      <c r="D644" s="318" t="s">
        <v>30</v>
      </c>
      <c r="E644" s="318" t="s">
        <v>3028</v>
      </c>
      <c r="F644" s="316">
        <v>44726.538195532397</v>
      </c>
      <c r="G644" s="316"/>
      <c r="H644" s="316"/>
      <c r="I644" s="316" t="s">
        <v>3</v>
      </c>
      <c r="J644" s="318" t="s">
        <v>3132</v>
      </c>
      <c r="K644" s="318" t="s">
        <v>1295</v>
      </c>
      <c r="L644" s="14">
        <v>44739</v>
      </c>
      <c r="M644" t="s">
        <v>3341</v>
      </c>
      <c r="N644" s="174">
        <v>44712</v>
      </c>
      <c r="O644" s="179"/>
      <c r="Q644" t="s">
        <v>129</v>
      </c>
      <c r="T644" s="195"/>
      <c r="U644" s="195"/>
      <c r="V644" s="300"/>
      <c r="W644" s="201"/>
      <c r="X644" s="201"/>
      <c r="Y644" s="200"/>
      <c r="Z644" s="207"/>
      <c r="AA644" s="206"/>
      <c r="AB644" s="207"/>
      <c r="AC644" s="188"/>
      <c r="AD644" s="187">
        <v>44712</v>
      </c>
    </row>
    <row r="645" spans="1:30">
      <c r="A645" s="318">
        <f>COUNTA($E$3:E645)</f>
        <v>643</v>
      </c>
      <c r="B645" s="318" t="s">
        <v>3154</v>
      </c>
      <c r="C645" s="318" t="s">
        <v>21</v>
      </c>
      <c r="D645" s="318" t="s">
        <v>30</v>
      </c>
      <c r="E645" s="318" t="s">
        <v>2569</v>
      </c>
      <c r="F645" s="316">
        <v>44714.523193900503</v>
      </c>
      <c r="G645" s="316"/>
      <c r="H645" s="316"/>
      <c r="I645" s="316" t="s">
        <v>3</v>
      </c>
      <c r="J645" s="318" t="s">
        <v>1724</v>
      </c>
      <c r="K645" s="318" t="s">
        <v>1295</v>
      </c>
      <c r="L645" s="14">
        <v>44739</v>
      </c>
      <c r="M645" t="s">
        <v>3339</v>
      </c>
      <c r="N645" s="174">
        <v>44732</v>
      </c>
      <c r="O645" s="179"/>
      <c r="Q645" t="s">
        <v>129</v>
      </c>
      <c r="T645" s="195"/>
      <c r="U645" s="195"/>
      <c r="V645" s="300"/>
      <c r="W645" s="201"/>
      <c r="X645" s="201"/>
      <c r="Y645" s="200"/>
      <c r="Z645" s="207"/>
      <c r="AA645" s="206"/>
      <c r="AB645" s="207"/>
      <c r="AC645" s="188"/>
      <c r="AD645" s="187">
        <v>44732</v>
      </c>
    </row>
    <row r="646" spans="1:30">
      <c r="A646" s="318">
        <f>COUNTA($E$3:E646)</f>
        <v>644</v>
      </c>
      <c r="B646" s="318" t="s">
        <v>2891</v>
      </c>
      <c r="C646" s="318" t="s">
        <v>65</v>
      </c>
      <c r="D646" s="318" t="s">
        <v>1103</v>
      </c>
      <c r="E646" s="318" t="s">
        <v>2420</v>
      </c>
      <c r="F646" s="316">
        <v>44672</v>
      </c>
      <c r="G646" s="316"/>
      <c r="H646" s="316">
        <v>44676</v>
      </c>
      <c r="I646" s="316" t="s">
        <v>3</v>
      </c>
      <c r="J646" s="318" t="s">
        <v>1212</v>
      </c>
      <c r="K646" s="318" t="s">
        <v>2032</v>
      </c>
      <c r="L646" s="14">
        <v>44739</v>
      </c>
      <c r="M646" t="s">
        <v>3346</v>
      </c>
      <c r="N646" s="174">
        <v>44739</v>
      </c>
      <c r="O646" s="179"/>
      <c r="Q646" t="s">
        <v>22</v>
      </c>
      <c r="T646" s="195"/>
      <c r="U646" s="195"/>
      <c r="V646" s="300"/>
      <c r="W646" s="201"/>
      <c r="X646" s="201"/>
      <c r="Y646" s="200"/>
      <c r="Z646" s="207"/>
      <c r="AA646" s="206"/>
      <c r="AB646" s="207"/>
      <c r="AC646" s="188"/>
      <c r="AD646" s="187">
        <v>44739</v>
      </c>
    </row>
    <row r="647" spans="1:30">
      <c r="A647" s="318">
        <f>COUNTA($E$3:E647)</f>
        <v>645</v>
      </c>
      <c r="B647" s="318" t="s">
        <v>3265</v>
      </c>
      <c r="C647" s="318" t="s">
        <v>1279</v>
      </c>
      <c r="D647" s="318" t="s">
        <v>1103</v>
      </c>
      <c r="E647" s="318" t="s">
        <v>2770</v>
      </c>
      <c r="F647" s="316">
        <v>44728</v>
      </c>
      <c r="G647" s="316"/>
      <c r="H647" s="316">
        <v>44729</v>
      </c>
      <c r="I647" s="316" t="s">
        <v>2</v>
      </c>
      <c r="J647" s="318" t="s">
        <v>2202</v>
      </c>
      <c r="K647" s="318" t="s">
        <v>1102</v>
      </c>
      <c r="L647" s="14">
        <v>44729</v>
      </c>
      <c r="N647" s="174">
        <v>44840</v>
      </c>
      <c r="O647" s="179"/>
      <c r="Q647" t="s">
        <v>129</v>
      </c>
      <c r="T647" s="195"/>
      <c r="U647" s="195"/>
      <c r="V647" s="300"/>
      <c r="W647" s="201"/>
      <c r="X647" s="201"/>
      <c r="Y647" s="200"/>
      <c r="Z647" s="207"/>
      <c r="AA647" s="206"/>
      <c r="AB647" s="207"/>
      <c r="AC647" s="188"/>
      <c r="AD647" s="187">
        <v>44840</v>
      </c>
    </row>
    <row r="648" spans="1:30">
      <c r="A648" s="318">
        <f>COUNTA($E$3:E648)</f>
        <v>646</v>
      </c>
      <c r="B648" s="318" t="s">
        <v>3222</v>
      </c>
      <c r="C648" s="318" t="s">
        <v>37</v>
      </c>
      <c r="D648" s="318" t="s">
        <v>34</v>
      </c>
      <c r="E648" s="318" t="s">
        <v>3223</v>
      </c>
      <c r="F648" s="316">
        <v>44719</v>
      </c>
      <c r="G648" s="316"/>
      <c r="H648" s="316">
        <v>44728</v>
      </c>
      <c r="I648" s="316" t="s">
        <v>2</v>
      </c>
      <c r="J648" s="318" t="s">
        <v>1662</v>
      </c>
      <c r="K648" s="318" t="s">
        <v>1296</v>
      </c>
      <c r="L648" s="14">
        <v>44729</v>
      </c>
      <c r="M648" t="s">
        <v>1759</v>
      </c>
      <c r="O648" s="179"/>
      <c r="Q648" t="s">
        <v>129</v>
      </c>
      <c r="T648" s="195"/>
      <c r="U648" s="195"/>
      <c r="V648" s="300"/>
      <c r="W648" s="201"/>
      <c r="X648" s="201"/>
      <c r="Y648" s="200"/>
      <c r="Z648" s="207"/>
      <c r="AA648" s="206"/>
      <c r="AB648" s="207"/>
      <c r="AC648" s="188"/>
      <c r="AD648" s="187"/>
    </row>
    <row r="649" spans="1:30">
      <c r="A649" s="318">
        <f>COUNTA($E$3:E649)</f>
        <v>647</v>
      </c>
      <c r="B649" s="318" t="s">
        <v>3125</v>
      </c>
      <c r="C649" s="318" t="s">
        <v>41</v>
      </c>
      <c r="D649" s="318" t="s">
        <v>16</v>
      </c>
      <c r="E649" s="318" t="s">
        <v>1188</v>
      </c>
      <c r="F649" s="316">
        <v>44707</v>
      </c>
      <c r="G649" s="316"/>
      <c r="H649" s="316"/>
      <c r="I649" s="316" t="s">
        <v>2</v>
      </c>
      <c r="J649" s="318" t="s">
        <v>1093</v>
      </c>
      <c r="K649" s="318" t="s">
        <v>24</v>
      </c>
      <c r="L649" s="14">
        <v>44729</v>
      </c>
      <c r="M649" t="s">
        <v>3268</v>
      </c>
      <c r="N649" s="174">
        <v>44729</v>
      </c>
      <c r="O649" s="179"/>
      <c r="Q649" t="s">
        <v>22</v>
      </c>
      <c r="T649" s="195"/>
      <c r="U649" s="195"/>
      <c r="V649" s="300"/>
      <c r="W649" s="201"/>
      <c r="X649" s="201"/>
      <c r="Y649" s="200"/>
      <c r="Z649" s="207"/>
      <c r="AA649" s="206"/>
      <c r="AB649" s="207"/>
      <c r="AC649" s="188"/>
      <c r="AD649" s="187">
        <v>44729</v>
      </c>
    </row>
    <row r="650" spans="1:30">
      <c r="A650" s="318">
        <f>COUNTA($E$3:E650)</f>
        <v>648</v>
      </c>
      <c r="B650" s="318" t="s">
        <v>3249</v>
      </c>
      <c r="C650" s="318" t="s">
        <v>37</v>
      </c>
      <c r="D650" s="318" t="s">
        <v>34</v>
      </c>
      <c r="E650" s="318" t="s">
        <v>3262</v>
      </c>
      <c r="F650" s="316">
        <v>44726</v>
      </c>
      <c r="G650" s="316"/>
      <c r="H650" s="316"/>
      <c r="I650" s="316" t="s">
        <v>3</v>
      </c>
      <c r="J650" s="318" t="s">
        <v>1968</v>
      </c>
      <c r="K650" s="318" t="s">
        <v>1296</v>
      </c>
      <c r="L650" s="14">
        <v>44729</v>
      </c>
      <c r="M650" t="s">
        <v>3272</v>
      </c>
      <c r="N650" s="174">
        <v>44740</v>
      </c>
      <c r="O650" s="179"/>
      <c r="Q650" t="s">
        <v>129</v>
      </c>
      <c r="T650" s="195"/>
      <c r="U650" s="195"/>
      <c r="V650" s="300"/>
      <c r="W650" s="201"/>
      <c r="X650" s="201"/>
      <c r="Y650" s="200"/>
      <c r="Z650" s="207"/>
      <c r="AA650" s="206"/>
      <c r="AB650" s="207"/>
      <c r="AC650" s="188"/>
      <c r="AD650" s="187">
        <v>44740</v>
      </c>
    </row>
    <row r="651" spans="1:30">
      <c r="A651" s="318">
        <f>COUNTA($E$3:E651)</f>
        <v>649</v>
      </c>
      <c r="B651" s="318" t="s">
        <v>3250</v>
      </c>
      <c r="C651" s="318" t="s">
        <v>37</v>
      </c>
      <c r="D651" s="318" t="s">
        <v>34</v>
      </c>
      <c r="E651" s="318" t="s">
        <v>2731</v>
      </c>
      <c r="F651" s="316">
        <v>44726</v>
      </c>
      <c r="G651" s="316"/>
      <c r="H651" s="316"/>
      <c r="I651" s="316" t="s">
        <v>3</v>
      </c>
      <c r="J651" s="318" t="s">
        <v>1808</v>
      </c>
      <c r="K651" s="318" t="s">
        <v>1296</v>
      </c>
      <c r="L651" s="14">
        <v>44729</v>
      </c>
      <c r="M651" t="s">
        <v>3272</v>
      </c>
      <c r="N651" s="174">
        <v>44748</v>
      </c>
      <c r="O651" s="179"/>
      <c r="Q651" t="s">
        <v>129</v>
      </c>
      <c r="T651" s="195"/>
      <c r="U651" s="195"/>
      <c r="V651" s="300"/>
      <c r="W651" s="201"/>
      <c r="X651" s="201"/>
      <c r="Y651" s="200"/>
      <c r="Z651" s="207"/>
      <c r="AA651" s="206"/>
      <c r="AB651" s="207"/>
      <c r="AC651" s="188"/>
      <c r="AD651" s="187">
        <v>44748</v>
      </c>
    </row>
    <row r="652" spans="1:30">
      <c r="A652" s="318">
        <f>COUNTA($E$3:E652)</f>
        <v>650</v>
      </c>
      <c r="B652" s="318" t="s">
        <v>3248</v>
      </c>
      <c r="C652" s="318" t="s">
        <v>37</v>
      </c>
      <c r="D652" s="318" t="s">
        <v>30</v>
      </c>
      <c r="E652" s="318" t="s">
        <v>3259</v>
      </c>
      <c r="F652" s="316">
        <v>44725</v>
      </c>
      <c r="G652" s="316"/>
      <c r="H652" s="316"/>
      <c r="I652" s="316" t="s">
        <v>3</v>
      </c>
      <c r="J652" s="318" t="s">
        <v>3260</v>
      </c>
      <c r="K652" s="318" t="s">
        <v>1296</v>
      </c>
      <c r="L652" s="14">
        <v>44729</v>
      </c>
      <c r="M652" t="s">
        <v>3272</v>
      </c>
      <c r="N652" s="174">
        <v>44748</v>
      </c>
      <c r="O652" s="179"/>
      <c r="Q652" t="s">
        <v>129</v>
      </c>
      <c r="T652" s="195"/>
      <c r="U652" s="195"/>
      <c r="V652" s="300"/>
      <c r="W652" s="201"/>
      <c r="X652" s="201"/>
      <c r="Y652" s="200"/>
      <c r="Z652" s="207"/>
      <c r="AA652" s="206"/>
      <c r="AB652" s="207"/>
      <c r="AC652" s="188"/>
      <c r="AD652" s="187">
        <v>44748</v>
      </c>
    </row>
    <row r="653" spans="1:30">
      <c r="A653" s="318">
        <f>COUNTA($E$3:E653)</f>
        <v>651</v>
      </c>
      <c r="B653" s="318" t="s">
        <v>3257</v>
      </c>
      <c r="C653" s="318" t="s">
        <v>21</v>
      </c>
      <c r="D653" s="318" t="s">
        <v>1142</v>
      </c>
      <c r="E653" s="318" t="s">
        <v>1204</v>
      </c>
      <c r="F653" s="316">
        <v>44725.669222083299</v>
      </c>
      <c r="G653" s="316"/>
      <c r="H653" s="316"/>
      <c r="I653" s="316" t="s">
        <v>3</v>
      </c>
      <c r="J653" s="318" t="s">
        <v>3282</v>
      </c>
      <c r="K653" s="318"/>
      <c r="L653" s="14">
        <v>44729</v>
      </c>
      <c r="M653" t="s">
        <v>3284</v>
      </c>
      <c r="N653" s="174">
        <v>44732</v>
      </c>
      <c r="O653" s="179"/>
      <c r="Q653" t="s">
        <v>129</v>
      </c>
      <c r="T653" s="195"/>
      <c r="U653" s="195"/>
      <c r="V653" s="300"/>
      <c r="W653" s="201"/>
      <c r="X653" s="201"/>
      <c r="Y653" s="200"/>
      <c r="Z653" s="207"/>
      <c r="AA653" s="206"/>
      <c r="AB653" s="207"/>
      <c r="AC653" s="188"/>
      <c r="AD653" s="187">
        <v>44732</v>
      </c>
    </row>
    <row r="654" spans="1:30">
      <c r="A654" s="318">
        <f>COUNTA($E$3:E654)</f>
        <v>652</v>
      </c>
      <c r="B654" s="318" t="s">
        <v>3247</v>
      </c>
      <c r="C654" s="318" t="s">
        <v>21</v>
      </c>
      <c r="D654" s="318" t="s">
        <v>2539</v>
      </c>
      <c r="E654" s="318" t="s">
        <v>3256</v>
      </c>
      <c r="F654" s="316">
        <v>44725</v>
      </c>
      <c r="G654" s="316"/>
      <c r="H654" s="316"/>
      <c r="I654" s="316" t="s">
        <v>3</v>
      </c>
      <c r="J654" s="318" t="s">
        <v>1212</v>
      </c>
      <c r="K654" s="318" t="s">
        <v>1274</v>
      </c>
      <c r="L654" s="14">
        <v>44729</v>
      </c>
      <c r="M654" t="s">
        <v>3271</v>
      </c>
      <c r="N654" s="174">
        <v>44727</v>
      </c>
      <c r="O654" s="179"/>
      <c r="Q654" t="s">
        <v>129</v>
      </c>
      <c r="T654" s="195"/>
      <c r="U654" s="195"/>
      <c r="V654" s="300"/>
      <c r="W654" s="201"/>
      <c r="X654" s="201"/>
      <c r="Y654" s="200"/>
      <c r="Z654" s="207"/>
      <c r="AA654" s="206"/>
      <c r="AB654" s="207"/>
      <c r="AC654" s="188"/>
      <c r="AD654" s="187">
        <v>44727</v>
      </c>
    </row>
    <row r="655" spans="1:30">
      <c r="A655" s="318">
        <f>COUNTA($E$3:E655)</f>
        <v>653</v>
      </c>
      <c r="B655" s="318" t="s">
        <v>3219</v>
      </c>
      <c r="C655" s="318" t="s">
        <v>37</v>
      </c>
      <c r="D655" s="318" t="s">
        <v>34</v>
      </c>
      <c r="E655" s="318" t="s">
        <v>2443</v>
      </c>
      <c r="F655" s="316">
        <v>44719</v>
      </c>
      <c r="G655" s="316"/>
      <c r="H655" s="316"/>
      <c r="I655" s="316" t="s">
        <v>3</v>
      </c>
      <c r="J655" s="318" t="s">
        <v>1666</v>
      </c>
      <c r="K655" s="318"/>
      <c r="L655" s="14">
        <v>44729</v>
      </c>
      <c r="M655" t="s">
        <v>3270</v>
      </c>
      <c r="N655" s="174">
        <v>44726</v>
      </c>
      <c r="O655" s="179"/>
      <c r="Q655" t="s">
        <v>129</v>
      </c>
      <c r="T655" s="195"/>
      <c r="U655" s="195"/>
      <c r="V655" s="300"/>
      <c r="W655" s="201"/>
      <c r="X655" s="201"/>
      <c r="Y655" s="200"/>
      <c r="Z655" s="207"/>
      <c r="AA655" s="206"/>
      <c r="AB655" s="207"/>
      <c r="AC655" s="188"/>
      <c r="AD655" s="187">
        <v>44726</v>
      </c>
    </row>
    <row r="656" spans="1:30">
      <c r="A656" s="318">
        <f>COUNTA($E$3:E656)</f>
        <v>654</v>
      </c>
      <c r="B656" s="318" t="s">
        <v>3217</v>
      </c>
      <c r="C656" s="318" t="s">
        <v>37</v>
      </c>
      <c r="D656" s="318" t="s">
        <v>34</v>
      </c>
      <c r="E656" s="318" t="s">
        <v>3218</v>
      </c>
      <c r="F656" s="316">
        <v>44719</v>
      </c>
      <c r="G656" s="316"/>
      <c r="H656" s="316"/>
      <c r="I656" s="316" t="s">
        <v>3</v>
      </c>
      <c r="J656" s="318" t="s">
        <v>1666</v>
      </c>
      <c r="K656" s="318" t="s">
        <v>1274</v>
      </c>
      <c r="L656" s="14">
        <v>44729</v>
      </c>
      <c r="M656" t="s">
        <v>3269</v>
      </c>
      <c r="N656" s="174">
        <v>44726</v>
      </c>
      <c r="O656" s="179"/>
      <c r="Q656" t="s">
        <v>129</v>
      </c>
      <c r="T656" s="195"/>
      <c r="U656" s="195"/>
      <c r="V656" s="300"/>
      <c r="W656" s="201"/>
      <c r="X656" s="201"/>
      <c r="Y656" s="200"/>
      <c r="Z656" s="207"/>
      <c r="AA656" s="206"/>
      <c r="AB656" s="207"/>
      <c r="AC656" s="188"/>
      <c r="AD656" s="187">
        <v>44726</v>
      </c>
    </row>
    <row r="657" spans="1:30">
      <c r="A657" s="318">
        <f>COUNTA($E$3:E657)</f>
        <v>655</v>
      </c>
      <c r="B657" s="318" t="s">
        <v>3161</v>
      </c>
      <c r="C657" s="318" t="s">
        <v>21</v>
      </c>
      <c r="D657" s="318" t="s">
        <v>3071</v>
      </c>
      <c r="E657" s="318" t="s">
        <v>3162</v>
      </c>
      <c r="F657" s="316">
        <v>44713.523259409703</v>
      </c>
      <c r="G657" s="316"/>
      <c r="H657" s="316"/>
      <c r="I657" s="316" t="s">
        <v>3</v>
      </c>
      <c r="J657" s="318" t="s">
        <v>1652</v>
      </c>
      <c r="K657" s="318"/>
      <c r="L657" s="14">
        <v>44729</v>
      </c>
      <c r="M657" t="s">
        <v>3285</v>
      </c>
      <c r="N657" s="174">
        <v>44727</v>
      </c>
      <c r="O657" s="179"/>
      <c r="Q657" t="s">
        <v>129</v>
      </c>
      <c r="T657" s="195"/>
      <c r="U657" s="195"/>
      <c r="V657" s="300"/>
      <c r="W657" s="201"/>
      <c r="X657" s="201"/>
      <c r="Y657" s="200"/>
      <c r="Z657" s="207"/>
      <c r="AA657" s="206"/>
      <c r="AB657" s="207"/>
      <c r="AC657" s="188"/>
      <c r="AD657" s="187">
        <v>44727</v>
      </c>
    </row>
    <row r="658" spans="1:30">
      <c r="A658" s="318">
        <f>COUNTA($E$3:E658)</f>
        <v>656</v>
      </c>
      <c r="B658" s="318" t="s">
        <v>3207</v>
      </c>
      <c r="C658" s="318" t="s">
        <v>2370</v>
      </c>
      <c r="D658" s="318" t="s">
        <v>1220</v>
      </c>
      <c r="E658" s="318" t="s">
        <v>1221</v>
      </c>
      <c r="F658" s="316">
        <v>44719</v>
      </c>
      <c r="G658" s="316"/>
      <c r="H658" s="316"/>
      <c r="I658" s="316" t="s">
        <v>2</v>
      </c>
      <c r="J658" s="318" t="s">
        <v>2532</v>
      </c>
      <c r="K658" s="318" t="s">
        <v>1294</v>
      </c>
      <c r="L658" s="14">
        <v>44728</v>
      </c>
      <c r="M658" t="s">
        <v>3251</v>
      </c>
      <c r="N658" s="174">
        <v>44727</v>
      </c>
      <c r="O658" s="179"/>
      <c r="Q658" t="s">
        <v>22</v>
      </c>
      <c r="T658" s="195"/>
      <c r="U658" s="195"/>
      <c r="V658" s="300"/>
      <c r="W658" s="201"/>
      <c r="X658" s="201"/>
      <c r="Y658" s="200"/>
      <c r="Z658" s="207"/>
      <c r="AA658" s="206"/>
      <c r="AB658" s="207"/>
      <c r="AC658" s="188"/>
      <c r="AD658" s="187">
        <v>44727</v>
      </c>
    </row>
    <row r="659" spans="1:30">
      <c r="A659" s="318">
        <f>COUNTA($E$3:E659)</f>
        <v>657</v>
      </c>
      <c r="B659" s="318" t="s">
        <v>3000</v>
      </c>
      <c r="C659" s="318" t="s">
        <v>41</v>
      </c>
      <c r="D659" s="318" t="s">
        <v>1103</v>
      </c>
      <c r="E659" s="318" t="s">
        <v>1104</v>
      </c>
      <c r="F659" s="316">
        <v>44686</v>
      </c>
      <c r="G659" s="316"/>
      <c r="H659" s="316"/>
      <c r="I659" s="316" t="s">
        <v>2</v>
      </c>
      <c r="J659" s="318" t="s">
        <v>1485</v>
      </c>
      <c r="K659" s="318" t="s">
        <v>1287</v>
      </c>
      <c r="L659" s="14">
        <v>44728</v>
      </c>
      <c r="M659" t="s">
        <v>3251</v>
      </c>
      <c r="N659" s="174">
        <v>44729</v>
      </c>
      <c r="O659" s="179"/>
      <c r="Q659" t="s">
        <v>129</v>
      </c>
      <c r="T659" s="195"/>
      <c r="U659" s="195"/>
      <c r="V659" s="300"/>
      <c r="W659" s="201"/>
      <c r="X659" s="201"/>
      <c r="Y659" s="200"/>
      <c r="Z659" s="207"/>
      <c r="AA659" s="206"/>
      <c r="AB659" s="207"/>
      <c r="AC659" s="188"/>
      <c r="AD659" s="187">
        <v>44729</v>
      </c>
    </row>
    <row r="660" spans="1:30">
      <c r="A660" s="318">
        <f>COUNTA($E$3:E660)</f>
        <v>658</v>
      </c>
      <c r="B660" s="318" t="s">
        <v>3236</v>
      </c>
      <c r="C660" s="318" t="s">
        <v>37</v>
      </c>
      <c r="D660" s="318" t="s">
        <v>34</v>
      </c>
      <c r="E660" s="318" t="s">
        <v>3237</v>
      </c>
      <c r="F660" s="316">
        <v>44721</v>
      </c>
      <c r="G660" s="316"/>
      <c r="H660" s="316"/>
      <c r="I660" s="316" t="s">
        <v>3</v>
      </c>
      <c r="J660" s="318" t="s">
        <v>1485</v>
      </c>
      <c r="K660" s="318" t="s">
        <v>1274</v>
      </c>
      <c r="L660" s="14">
        <v>44728</v>
      </c>
      <c r="M660" t="s">
        <v>3251</v>
      </c>
      <c r="N660" s="174">
        <v>44721</v>
      </c>
      <c r="O660" s="179"/>
      <c r="Q660" t="s">
        <v>129</v>
      </c>
      <c r="T660" s="195"/>
      <c r="U660" s="195"/>
      <c r="V660" s="300"/>
      <c r="W660" s="201"/>
      <c r="X660" s="201"/>
      <c r="Y660" s="200"/>
      <c r="Z660" s="207"/>
      <c r="AA660" s="206"/>
      <c r="AB660" s="207"/>
      <c r="AC660" s="188"/>
      <c r="AD660" s="187">
        <v>44721</v>
      </c>
    </row>
    <row r="661" spans="1:30">
      <c r="A661" s="318">
        <f>COUNTA($E$3:E661)</f>
        <v>659</v>
      </c>
      <c r="B661" s="318" t="s">
        <v>3235</v>
      </c>
      <c r="C661" s="318" t="s">
        <v>37</v>
      </c>
      <c r="D661" s="318" t="s">
        <v>34</v>
      </c>
      <c r="E661" s="318" t="s">
        <v>2035</v>
      </c>
      <c r="F661" s="316">
        <v>44721</v>
      </c>
      <c r="G661" s="316"/>
      <c r="H661" s="316"/>
      <c r="I661" s="316" t="s">
        <v>3</v>
      </c>
      <c r="J661" s="318" t="s">
        <v>1649</v>
      </c>
      <c r="K661" s="318"/>
      <c r="L661" s="14">
        <v>44728</v>
      </c>
      <c r="M661" t="s">
        <v>3251</v>
      </c>
      <c r="N661" s="174">
        <v>44721</v>
      </c>
      <c r="O661" s="179"/>
      <c r="Q661" t="s">
        <v>129</v>
      </c>
      <c r="T661" s="195"/>
      <c r="U661" s="195"/>
      <c r="V661" s="300"/>
      <c r="W661" s="201"/>
      <c r="X661" s="201"/>
      <c r="Y661" s="200"/>
      <c r="Z661" s="207"/>
      <c r="AA661" s="206"/>
      <c r="AB661" s="207"/>
      <c r="AC661" s="188"/>
      <c r="AD661" s="187">
        <v>44721</v>
      </c>
    </row>
    <row r="662" spans="1:30">
      <c r="A662" s="318">
        <f>COUNTA($E$3:E662)</f>
        <v>660</v>
      </c>
      <c r="B662" s="318" t="s">
        <v>3226</v>
      </c>
      <c r="C662" s="318" t="s">
        <v>37</v>
      </c>
      <c r="D662" s="318" t="s">
        <v>34</v>
      </c>
      <c r="E662" s="318" t="s">
        <v>3227</v>
      </c>
      <c r="F662" s="316">
        <v>44719</v>
      </c>
      <c r="G662" s="316"/>
      <c r="H662" s="316"/>
      <c r="I662" s="316" t="s">
        <v>3</v>
      </c>
      <c r="J662" s="318" t="s">
        <v>1666</v>
      </c>
      <c r="K662" s="318" t="s">
        <v>1295</v>
      </c>
      <c r="L662" s="14">
        <v>44728</v>
      </c>
      <c r="M662" t="s">
        <v>3251</v>
      </c>
      <c r="N662" s="174">
        <v>44721</v>
      </c>
      <c r="O662" s="179"/>
      <c r="Q662" t="s">
        <v>129</v>
      </c>
      <c r="T662" s="195"/>
      <c r="U662" s="195"/>
      <c r="V662" s="300"/>
      <c r="W662" s="201"/>
      <c r="X662" s="201"/>
      <c r="Y662" s="200"/>
      <c r="Z662" s="207"/>
      <c r="AA662" s="206"/>
      <c r="AB662" s="207"/>
      <c r="AC662" s="188"/>
      <c r="AD662" s="187">
        <v>44721</v>
      </c>
    </row>
    <row r="663" spans="1:30">
      <c r="A663" s="318">
        <f>COUNTA($E$3:E663)</f>
        <v>661</v>
      </c>
      <c r="B663" s="318" t="s">
        <v>3209</v>
      </c>
      <c r="C663" s="318" t="s">
        <v>21</v>
      </c>
      <c r="D663" s="318" t="s">
        <v>34</v>
      </c>
      <c r="E663" s="318" t="s">
        <v>3035</v>
      </c>
      <c r="F663" s="316">
        <v>44719</v>
      </c>
      <c r="G663" s="316"/>
      <c r="H663" s="316"/>
      <c r="I663" s="316" t="s">
        <v>3</v>
      </c>
      <c r="J663" s="318" t="s">
        <v>1657</v>
      </c>
      <c r="K663" s="318" t="s">
        <v>1274</v>
      </c>
      <c r="L663" s="14">
        <v>44728</v>
      </c>
      <c r="M663" t="s">
        <v>3251</v>
      </c>
      <c r="N663" s="174">
        <v>44727</v>
      </c>
      <c r="O663" s="179"/>
      <c r="Q663" t="s">
        <v>129</v>
      </c>
      <c r="T663" s="195"/>
      <c r="U663" s="195"/>
      <c r="V663" s="300"/>
      <c r="W663" s="201"/>
      <c r="X663" s="201"/>
      <c r="Y663" s="200"/>
      <c r="Z663" s="207"/>
      <c r="AA663" s="206"/>
      <c r="AB663" s="207"/>
      <c r="AC663" s="188"/>
      <c r="AD663" s="187">
        <v>44727</v>
      </c>
    </row>
    <row r="664" spans="1:30">
      <c r="A664" s="318">
        <f>COUNTA($E$3:E664)</f>
        <v>662</v>
      </c>
      <c r="B664" s="318" t="s">
        <v>3208</v>
      </c>
      <c r="C664" s="318" t="s">
        <v>44</v>
      </c>
      <c r="D664" s="318" t="s">
        <v>45</v>
      </c>
      <c r="E664" s="318" t="s">
        <v>176</v>
      </c>
      <c r="F664" s="316">
        <v>44719</v>
      </c>
      <c r="G664" s="316"/>
      <c r="H664" s="316"/>
      <c r="I664" s="316" t="s">
        <v>3</v>
      </c>
      <c r="J664" s="318" t="s">
        <v>1750</v>
      </c>
      <c r="K664" s="318" t="s">
        <v>1274</v>
      </c>
      <c r="L664" s="14">
        <v>44728</v>
      </c>
      <c r="M664" t="s">
        <v>3251</v>
      </c>
      <c r="N664" s="174">
        <v>44729</v>
      </c>
      <c r="O664" s="179"/>
      <c r="Q664" t="s">
        <v>129</v>
      </c>
      <c r="T664" s="195"/>
      <c r="U664" s="195"/>
      <c r="V664" s="300"/>
      <c r="W664" s="201"/>
      <c r="X664" s="201"/>
      <c r="Y664" s="200"/>
      <c r="Z664" s="207"/>
      <c r="AA664" s="206"/>
      <c r="AB664" s="207"/>
      <c r="AC664" s="188"/>
      <c r="AD664" s="187">
        <v>44729</v>
      </c>
    </row>
    <row r="665" spans="1:30">
      <c r="A665" s="318">
        <f>COUNTA($E$3:E665)</f>
        <v>663</v>
      </c>
      <c r="B665" s="318" t="s">
        <v>3193</v>
      </c>
      <c r="C665" s="318" t="s">
        <v>41</v>
      </c>
      <c r="D665" s="318" t="s">
        <v>34</v>
      </c>
      <c r="E665" s="318" t="s">
        <v>1923</v>
      </c>
      <c r="F665" s="316">
        <v>44715</v>
      </c>
      <c r="G665" s="316"/>
      <c r="H665" s="316"/>
      <c r="I665" s="316" t="s">
        <v>3</v>
      </c>
      <c r="J665" s="318" t="s">
        <v>1720</v>
      </c>
      <c r="K665" s="318" t="s">
        <v>1296</v>
      </c>
      <c r="L665" s="14">
        <v>44728</v>
      </c>
      <c r="M665" t="s">
        <v>3252</v>
      </c>
      <c r="N665" s="174">
        <v>44729</v>
      </c>
      <c r="O665" s="179"/>
      <c r="Q665" t="s">
        <v>129</v>
      </c>
      <c r="T665" s="195"/>
      <c r="U665" s="195"/>
      <c r="V665" s="300"/>
      <c r="W665" s="201"/>
      <c r="X665" s="201"/>
      <c r="Y665" s="200"/>
      <c r="Z665" s="207"/>
      <c r="AA665" s="206"/>
      <c r="AB665" s="207"/>
      <c r="AC665" s="188"/>
      <c r="AD665" s="187">
        <v>44729</v>
      </c>
    </row>
    <row r="666" spans="1:30">
      <c r="A666" s="318">
        <f>COUNTA($E$3:E666)</f>
        <v>664</v>
      </c>
      <c r="B666" s="318" t="s">
        <v>3148</v>
      </c>
      <c r="C666" s="318" t="s">
        <v>2675</v>
      </c>
      <c r="D666" s="318" t="s">
        <v>38</v>
      </c>
      <c r="E666" s="318" t="s">
        <v>2676</v>
      </c>
      <c r="F666" s="316">
        <v>44712.6843972801</v>
      </c>
      <c r="G666" s="316"/>
      <c r="H666" s="316"/>
      <c r="I666" s="316" t="s">
        <v>3</v>
      </c>
      <c r="J666" s="318" t="s">
        <v>3242</v>
      </c>
      <c r="K666" s="318" t="s">
        <v>1296</v>
      </c>
      <c r="L666" s="14">
        <v>44728</v>
      </c>
      <c r="M666" t="s">
        <v>3251</v>
      </c>
      <c r="N666" s="174">
        <v>44727</v>
      </c>
      <c r="O666" s="179"/>
      <c r="Q666" t="s">
        <v>129</v>
      </c>
      <c r="T666" s="195"/>
      <c r="U666" s="195"/>
      <c r="V666" s="300"/>
      <c r="W666" s="201"/>
      <c r="X666" s="201"/>
      <c r="Y666" s="200"/>
      <c r="Z666" s="207"/>
      <c r="AA666" s="206"/>
      <c r="AB666" s="207"/>
      <c r="AC666" s="188"/>
      <c r="AD666" s="187">
        <v>44727</v>
      </c>
    </row>
    <row r="667" spans="1:30">
      <c r="A667" s="318">
        <f>COUNTA($E$3:E667)</f>
        <v>665</v>
      </c>
      <c r="B667" s="318" t="s">
        <v>2649</v>
      </c>
      <c r="C667" s="318" t="s">
        <v>2370</v>
      </c>
      <c r="D667" s="318" t="s">
        <v>34</v>
      </c>
      <c r="E667" s="318" t="s">
        <v>2650</v>
      </c>
      <c r="F667" s="316">
        <v>44636</v>
      </c>
      <c r="G667" s="316"/>
      <c r="H667" s="316">
        <v>44638</v>
      </c>
      <c r="I667" s="316" t="s">
        <v>2</v>
      </c>
      <c r="J667" s="318" t="s">
        <v>2666</v>
      </c>
      <c r="K667" s="318" t="s">
        <v>24</v>
      </c>
      <c r="L667" s="14">
        <v>44715</v>
      </c>
      <c r="M667" t="s">
        <v>3185</v>
      </c>
      <c r="N667" s="174">
        <v>44727</v>
      </c>
      <c r="O667" s="179"/>
      <c r="Q667" t="s">
        <v>22</v>
      </c>
      <c r="T667" s="195"/>
      <c r="U667" s="195"/>
      <c r="V667" s="300"/>
      <c r="W667" s="201"/>
      <c r="X667" s="201"/>
      <c r="Y667" s="200"/>
      <c r="Z667" s="207"/>
      <c r="AA667" s="206"/>
      <c r="AB667" s="207"/>
      <c r="AC667" s="188"/>
      <c r="AD667" s="187">
        <v>44727</v>
      </c>
    </row>
    <row r="668" spans="1:30">
      <c r="A668" s="318">
        <f>COUNTA($E$3:E668)</f>
        <v>666</v>
      </c>
      <c r="B668" s="318" t="s">
        <v>3192</v>
      </c>
      <c r="C668" s="318" t="s">
        <v>41</v>
      </c>
      <c r="D668" s="318" t="s">
        <v>45</v>
      </c>
      <c r="E668" s="318" t="s">
        <v>1215</v>
      </c>
      <c r="F668" s="316">
        <v>44714</v>
      </c>
      <c r="G668" s="316"/>
      <c r="H668" s="316"/>
      <c r="I668" s="316" t="s">
        <v>3</v>
      </c>
      <c r="J668" s="318" t="s">
        <v>1834</v>
      </c>
      <c r="K668" s="318" t="s">
        <v>33</v>
      </c>
      <c r="L668" s="14">
        <v>44715</v>
      </c>
      <c r="M668" t="s">
        <v>3189</v>
      </c>
      <c r="N668" s="174">
        <v>44729</v>
      </c>
      <c r="O668" s="179"/>
      <c r="Q668" t="s">
        <v>129</v>
      </c>
      <c r="T668" s="195"/>
      <c r="U668" s="195"/>
      <c r="V668" s="300"/>
      <c r="W668" s="201"/>
      <c r="X668" s="201"/>
      <c r="Y668" s="200"/>
      <c r="Z668" s="207"/>
      <c r="AA668" s="206"/>
      <c r="AB668" s="207"/>
      <c r="AC668" s="188"/>
      <c r="AD668" s="187">
        <v>44729</v>
      </c>
    </row>
    <row r="669" spans="1:30">
      <c r="A669" s="318">
        <f>COUNTA($E$3:E669)</f>
        <v>667</v>
      </c>
      <c r="B669" s="318" t="s">
        <v>3175</v>
      </c>
      <c r="C669" s="318" t="s">
        <v>3041</v>
      </c>
      <c r="D669" s="318" t="s">
        <v>58</v>
      </c>
      <c r="E669" s="318" t="s">
        <v>3176</v>
      </c>
      <c r="F669" s="316">
        <v>44714</v>
      </c>
      <c r="G669" s="316"/>
      <c r="H669" s="316"/>
      <c r="I669" s="316" t="s">
        <v>3</v>
      </c>
      <c r="J669" s="318" t="s">
        <v>1677</v>
      </c>
      <c r="K669" s="318" t="s">
        <v>125</v>
      </c>
      <c r="L669" s="14">
        <v>44715</v>
      </c>
      <c r="N669" s="174">
        <v>44715</v>
      </c>
      <c r="O669" s="179"/>
      <c r="Q669" t="s">
        <v>129</v>
      </c>
      <c r="T669" s="195"/>
      <c r="U669" s="195"/>
      <c r="V669" s="300"/>
      <c r="W669" s="201"/>
      <c r="X669" s="201"/>
      <c r="Y669" s="200"/>
      <c r="Z669" s="207"/>
      <c r="AA669" s="206"/>
      <c r="AB669" s="207"/>
      <c r="AC669" s="188"/>
      <c r="AD669" s="187">
        <v>44715</v>
      </c>
    </row>
    <row r="670" spans="1:30">
      <c r="A670" s="318">
        <f>COUNTA($E$3:E670)</f>
        <v>668</v>
      </c>
      <c r="B670" s="318" t="s">
        <v>3170</v>
      </c>
      <c r="C670" s="318" t="s">
        <v>21</v>
      </c>
      <c r="D670" s="318" t="s">
        <v>25</v>
      </c>
      <c r="E670" s="318" t="s">
        <v>298</v>
      </c>
      <c r="F670" s="316">
        <v>44713</v>
      </c>
      <c r="G670" s="316"/>
      <c r="H670" s="316"/>
      <c r="I670" s="316" t="s">
        <v>3</v>
      </c>
      <c r="J670" s="318" t="s">
        <v>1649</v>
      </c>
      <c r="K670" s="318" t="s">
        <v>1296</v>
      </c>
      <c r="L670" s="14">
        <v>44715</v>
      </c>
      <c r="M670" t="s">
        <v>3196</v>
      </c>
      <c r="N670" s="174">
        <v>44714</v>
      </c>
      <c r="O670" s="179"/>
      <c r="Q670" t="s">
        <v>129</v>
      </c>
      <c r="T670" s="195"/>
      <c r="U670" s="195"/>
      <c r="V670" s="300"/>
      <c r="W670" s="201"/>
      <c r="X670" s="201"/>
      <c r="Y670" s="200"/>
      <c r="Z670" s="207"/>
      <c r="AA670" s="206"/>
      <c r="AB670" s="207"/>
      <c r="AC670" s="188"/>
      <c r="AD670" s="187">
        <v>44714</v>
      </c>
    </row>
    <row r="671" spans="1:30">
      <c r="A671" s="318">
        <f>COUNTA($E$3:E671)</f>
        <v>669</v>
      </c>
      <c r="B671" s="318" t="s">
        <v>3163</v>
      </c>
      <c r="C671" s="318" t="s">
        <v>21</v>
      </c>
      <c r="D671" s="318" t="s">
        <v>30</v>
      </c>
      <c r="E671" s="318" t="s">
        <v>1252</v>
      </c>
      <c r="F671" s="316">
        <v>44713</v>
      </c>
      <c r="G671" s="316"/>
      <c r="H671" s="316"/>
      <c r="I671" s="316" t="s">
        <v>3</v>
      </c>
      <c r="J671" s="318" t="s">
        <v>1778</v>
      </c>
      <c r="K671" s="318" t="s">
        <v>1287</v>
      </c>
      <c r="L671" s="14">
        <v>44715</v>
      </c>
      <c r="M671" t="s">
        <v>3197</v>
      </c>
      <c r="N671" s="174">
        <v>44714</v>
      </c>
      <c r="O671" s="179"/>
      <c r="Q671" t="s">
        <v>129</v>
      </c>
      <c r="T671" s="195"/>
      <c r="U671" s="195"/>
      <c r="V671" s="300"/>
      <c r="W671" s="201"/>
      <c r="X671" s="201"/>
      <c r="Y671" s="200"/>
      <c r="Z671" s="207"/>
      <c r="AA671" s="206"/>
      <c r="AB671" s="207"/>
      <c r="AC671" s="188"/>
      <c r="AD671" s="187">
        <v>44714</v>
      </c>
    </row>
    <row r="672" spans="1:30">
      <c r="A672" s="318">
        <f>COUNTA($E$3:E672)</f>
        <v>670</v>
      </c>
      <c r="B672" s="318" t="s">
        <v>3151</v>
      </c>
      <c r="C672" s="318" t="s">
        <v>109</v>
      </c>
      <c r="D672" s="318" t="s">
        <v>16</v>
      </c>
      <c r="E672" s="318" t="s">
        <v>1130</v>
      </c>
      <c r="F672" s="316">
        <v>44712</v>
      </c>
      <c r="G672" s="316"/>
      <c r="H672" s="316"/>
      <c r="I672" s="316" t="s">
        <v>3</v>
      </c>
      <c r="J672" s="318" t="s">
        <v>1760</v>
      </c>
      <c r="K672" s="318" t="s">
        <v>1296</v>
      </c>
      <c r="L672" s="14">
        <v>44715</v>
      </c>
      <c r="M672" t="s">
        <v>3196</v>
      </c>
      <c r="N672" s="174">
        <v>44714</v>
      </c>
      <c r="O672" s="179"/>
      <c r="Q672" t="s">
        <v>129</v>
      </c>
      <c r="T672" s="195"/>
      <c r="U672" s="195"/>
      <c r="V672" s="300"/>
      <c r="W672" s="201"/>
      <c r="X672" s="201"/>
      <c r="Y672" s="200"/>
      <c r="Z672" s="207"/>
      <c r="AA672" s="206"/>
      <c r="AB672" s="207"/>
      <c r="AC672" s="188"/>
      <c r="AD672" s="187">
        <v>44714</v>
      </c>
    </row>
    <row r="673" spans="1:30">
      <c r="A673" s="318">
        <f>COUNTA($E$3:E673)</f>
        <v>671</v>
      </c>
      <c r="B673" s="318" t="s">
        <v>3032</v>
      </c>
      <c r="C673" s="318" t="s">
        <v>21</v>
      </c>
      <c r="D673" s="318" t="s">
        <v>30</v>
      </c>
      <c r="E673" s="318" t="s">
        <v>3033</v>
      </c>
      <c r="F673" s="316">
        <v>44692.744837962964</v>
      </c>
      <c r="G673" s="316"/>
      <c r="H673" s="316"/>
      <c r="I673" s="316" t="s">
        <v>3</v>
      </c>
      <c r="J673" s="318" t="s">
        <v>3132</v>
      </c>
      <c r="K673" s="318"/>
      <c r="L673" s="14">
        <v>44715</v>
      </c>
      <c r="M673" t="s">
        <v>3190</v>
      </c>
      <c r="N673" s="174">
        <v>44712</v>
      </c>
      <c r="O673" s="179"/>
      <c r="Q673" t="s">
        <v>129</v>
      </c>
      <c r="T673" s="195"/>
      <c r="U673" s="195"/>
      <c r="V673" s="300"/>
      <c r="W673" s="201"/>
      <c r="X673" s="201"/>
      <c r="Y673" s="200"/>
      <c r="Z673" s="207"/>
      <c r="AA673" s="206"/>
      <c r="AB673" s="207"/>
      <c r="AC673" s="188"/>
      <c r="AD673" s="187">
        <v>44712</v>
      </c>
    </row>
    <row r="674" spans="1:30">
      <c r="A674" s="318">
        <f>COUNTA($E$3:E674)</f>
        <v>672</v>
      </c>
      <c r="B674" s="318" t="s">
        <v>3031</v>
      </c>
      <c r="C674" s="318" t="s">
        <v>21</v>
      </c>
      <c r="D674" s="318" t="s">
        <v>1142</v>
      </c>
      <c r="E674" s="318" t="s">
        <v>1204</v>
      </c>
      <c r="F674" s="316">
        <v>44692.744259259256</v>
      </c>
      <c r="G674" s="316"/>
      <c r="H674" s="316"/>
      <c r="I674" s="316" t="s">
        <v>3</v>
      </c>
      <c r="J674" s="318" t="s">
        <v>3089</v>
      </c>
      <c r="K674" s="318"/>
      <c r="L674" s="14">
        <v>44715</v>
      </c>
      <c r="M674" t="s">
        <v>3190</v>
      </c>
      <c r="N674" s="174">
        <v>44712</v>
      </c>
      <c r="O674" s="179"/>
      <c r="Q674" t="s">
        <v>129</v>
      </c>
      <c r="T674" s="195"/>
      <c r="U674" s="195"/>
      <c r="V674" s="300"/>
      <c r="W674" s="201"/>
      <c r="X674" s="201"/>
      <c r="Y674" s="200"/>
      <c r="Z674" s="207"/>
      <c r="AA674" s="206"/>
      <c r="AB674" s="207"/>
      <c r="AC674" s="188"/>
      <c r="AD674" s="187">
        <v>44712</v>
      </c>
    </row>
    <row r="675" spans="1:30">
      <c r="A675" s="318">
        <f>COUNTA($E$3:E675)</f>
        <v>673</v>
      </c>
      <c r="B675" s="318" t="s">
        <v>3027</v>
      </c>
      <c r="C675" s="318" t="s">
        <v>21</v>
      </c>
      <c r="D675" s="318" t="s">
        <v>30</v>
      </c>
      <c r="E675" s="318" t="s">
        <v>3028</v>
      </c>
      <c r="F675" s="316">
        <v>44692.742835648147</v>
      </c>
      <c r="G675" s="316"/>
      <c r="H675" s="316"/>
      <c r="I675" s="316" t="s">
        <v>3</v>
      </c>
      <c r="J675" s="318" t="s">
        <v>3132</v>
      </c>
      <c r="K675" s="318"/>
      <c r="L675" s="14">
        <v>44715</v>
      </c>
      <c r="M675" t="s">
        <v>3190</v>
      </c>
      <c r="N675" s="174">
        <v>44706</v>
      </c>
      <c r="O675" s="179"/>
      <c r="Q675" t="s">
        <v>129</v>
      </c>
      <c r="T675" s="195"/>
      <c r="U675" s="195"/>
      <c r="V675" s="300"/>
      <c r="W675" s="201"/>
      <c r="X675" s="201"/>
      <c r="Y675" s="200"/>
      <c r="Z675" s="207"/>
      <c r="AA675" s="206"/>
      <c r="AB675" s="207"/>
      <c r="AC675" s="188"/>
      <c r="AD675" s="187">
        <v>44706</v>
      </c>
    </row>
    <row r="676" spans="1:30">
      <c r="A676" s="318">
        <f>COUNTA($E$3:E676)</f>
        <v>674</v>
      </c>
      <c r="B676" s="318" t="s">
        <v>2979</v>
      </c>
      <c r="C676" s="318" t="s">
        <v>2977</v>
      </c>
      <c r="D676" s="318" t="s">
        <v>25</v>
      </c>
      <c r="E676" s="318" t="s">
        <v>2980</v>
      </c>
      <c r="F676" s="316">
        <v>44685</v>
      </c>
      <c r="G676" s="316"/>
      <c r="H676" s="316"/>
      <c r="I676" s="316" t="s">
        <v>3</v>
      </c>
      <c r="J676" s="318" t="s">
        <v>1212</v>
      </c>
      <c r="K676" s="318" t="s">
        <v>1296</v>
      </c>
      <c r="L676" s="14">
        <v>44715</v>
      </c>
      <c r="M676" t="s">
        <v>3189</v>
      </c>
      <c r="N676" s="174">
        <v>44727</v>
      </c>
      <c r="O676" s="179"/>
      <c r="Q676" t="s">
        <v>129</v>
      </c>
      <c r="T676" s="195"/>
      <c r="U676" s="195"/>
      <c r="V676" s="300"/>
      <c r="W676" s="201"/>
      <c r="X676" s="201"/>
      <c r="Y676" s="200"/>
      <c r="Z676" s="207"/>
      <c r="AA676" s="206"/>
      <c r="AB676" s="207"/>
      <c r="AC676" s="188"/>
      <c r="AD676" s="187">
        <v>44727</v>
      </c>
    </row>
    <row r="677" spans="1:30">
      <c r="A677" s="318">
        <f>COUNTA($E$3:E677)</f>
        <v>675</v>
      </c>
      <c r="B677" s="318" t="s">
        <v>3108</v>
      </c>
      <c r="C677" s="318" t="s">
        <v>41</v>
      </c>
      <c r="D677" s="318" t="s">
        <v>1264</v>
      </c>
      <c r="E677" s="318" t="s">
        <v>3109</v>
      </c>
      <c r="F677" s="316">
        <v>44704</v>
      </c>
      <c r="G677" s="316"/>
      <c r="H677" s="316"/>
      <c r="I677" s="316" t="s">
        <v>1110</v>
      </c>
      <c r="J677" s="318" t="s">
        <v>1668</v>
      </c>
      <c r="K677" s="318" t="s">
        <v>1287</v>
      </c>
      <c r="L677" s="14">
        <v>44708</v>
      </c>
      <c r="M677" t="s">
        <v>3138</v>
      </c>
      <c r="N677" s="174">
        <v>44729</v>
      </c>
      <c r="O677" s="179"/>
      <c r="Q677" t="s">
        <v>129</v>
      </c>
      <c r="T677" s="195"/>
      <c r="U677" s="195"/>
      <c r="V677" s="300"/>
      <c r="W677" s="201"/>
      <c r="X677" s="201"/>
      <c r="Y677" s="200"/>
      <c r="Z677" s="207"/>
      <c r="AA677" s="206"/>
      <c r="AB677" s="207"/>
      <c r="AC677" s="188"/>
      <c r="AD677" s="187">
        <v>44729</v>
      </c>
    </row>
    <row r="678" spans="1:30">
      <c r="A678" s="318">
        <f>COUNTA($E$3:E678)</f>
        <v>676</v>
      </c>
      <c r="B678" s="318" t="s">
        <v>3127</v>
      </c>
      <c r="C678" s="318" t="s">
        <v>41</v>
      </c>
      <c r="D678" s="318" t="s">
        <v>16</v>
      </c>
      <c r="E678" s="318" t="s">
        <v>1203</v>
      </c>
      <c r="F678" s="316">
        <v>44707</v>
      </c>
      <c r="G678" s="316"/>
      <c r="H678" s="316"/>
      <c r="I678" s="316" t="s">
        <v>2</v>
      </c>
      <c r="J678" s="318" t="s">
        <v>1687</v>
      </c>
      <c r="K678" s="318" t="s">
        <v>33</v>
      </c>
      <c r="L678" s="14">
        <v>44708</v>
      </c>
      <c r="M678" t="s">
        <v>3139</v>
      </c>
      <c r="N678" s="174">
        <v>44729</v>
      </c>
      <c r="O678" s="179"/>
      <c r="Q678" t="s">
        <v>129</v>
      </c>
      <c r="T678" s="195"/>
      <c r="U678" s="195"/>
      <c r="V678" s="300"/>
      <c r="W678" s="201"/>
      <c r="X678" s="201"/>
      <c r="Y678" s="200"/>
      <c r="Z678" s="207"/>
      <c r="AA678" s="206"/>
      <c r="AB678" s="207"/>
      <c r="AC678" s="188"/>
      <c r="AD678" s="187">
        <v>44729</v>
      </c>
    </row>
    <row r="679" spans="1:30">
      <c r="A679" s="318">
        <f>COUNTA($E$3:E679)</f>
        <v>677</v>
      </c>
      <c r="B679" s="318" t="s">
        <v>3114</v>
      </c>
      <c r="C679" s="318" t="s">
        <v>41</v>
      </c>
      <c r="D679" s="318" t="s">
        <v>30</v>
      </c>
      <c r="E679" s="318" t="s">
        <v>1722</v>
      </c>
      <c r="F679" s="316">
        <v>44704</v>
      </c>
      <c r="G679" s="316"/>
      <c r="H679" s="316"/>
      <c r="I679" s="316" t="s">
        <v>2</v>
      </c>
      <c r="J679" s="318" t="s">
        <v>2234</v>
      </c>
      <c r="K679" s="318" t="s">
        <v>1287</v>
      </c>
      <c r="L679" s="14">
        <v>44708</v>
      </c>
      <c r="M679" t="s">
        <v>3144</v>
      </c>
      <c r="N679" s="174">
        <v>44729</v>
      </c>
      <c r="O679" s="179"/>
      <c r="Q679" t="s">
        <v>129</v>
      </c>
      <c r="T679" s="195"/>
      <c r="U679" s="195"/>
      <c r="V679" s="300"/>
      <c r="W679" s="201"/>
      <c r="X679" s="201"/>
      <c r="Y679" s="200"/>
      <c r="Z679" s="207"/>
      <c r="AA679" s="206"/>
      <c r="AB679" s="207"/>
      <c r="AC679" s="188"/>
      <c r="AD679" s="187">
        <v>44729</v>
      </c>
    </row>
    <row r="680" spans="1:30">
      <c r="A680" s="318">
        <f>COUNTA($E$3:E680)</f>
        <v>678</v>
      </c>
      <c r="B680" s="318" t="s">
        <v>3112</v>
      </c>
      <c r="C680" s="318" t="s">
        <v>41</v>
      </c>
      <c r="D680" s="318" t="s">
        <v>1124</v>
      </c>
      <c r="E680" s="318" t="s">
        <v>1138</v>
      </c>
      <c r="F680" s="316">
        <v>44707.701129942099</v>
      </c>
      <c r="G680" s="316"/>
      <c r="H680" s="316"/>
      <c r="I680" s="316" t="s">
        <v>2</v>
      </c>
      <c r="J680" s="318" t="s">
        <v>3113</v>
      </c>
      <c r="K680" s="318" t="s">
        <v>103</v>
      </c>
      <c r="L680" s="14">
        <v>44708</v>
      </c>
      <c r="M680" t="s">
        <v>3143</v>
      </c>
      <c r="N680" s="174">
        <v>44729</v>
      </c>
      <c r="O680" s="179"/>
      <c r="Q680" t="s">
        <v>22</v>
      </c>
      <c r="T680" s="195"/>
      <c r="U680" s="195"/>
      <c r="V680" s="300"/>
      <c r="W680" s="201"/>
      <c r="X680" s="201"/>
      <c r="Y680" s="200"/>
      <c r="Z680" s="207"/>
      <c r="AA680" s="206"/>
      <c r="AB680" s="207"/>
      <c r="AC680" s="188"/>
      <c r="AD680" s="187">
        <v>44729</v>
      </c>
    </row>
    <row r="681" spans="1:30">
      <c r="A681" s="318">
        <f>COUNTA($E$3:E681)</f>
        <v>679</v>
      </c>
      <c r="B681" s="318" t="s">
        <v>3110</v>
      </c>
      <c r="C681" s="318" t="s">
        <v>41</v>
      </c>
      <c r="D681" s="318" t="s">
        <v>31</v>
      </c>
      <c r="E681" s="318" t="s">
        <v>3111</v>
      </c>
      <c r="F681" s="316">
        <v>44704</v>
      </c>
      <c r="G681" s="316"/>
      <c r="H681" s="316" t="s">
        <v>66</v>
      </c>
      <c r="I681" s="316" t="s">
        <v>2</v>
      </c>
      <c r="J681" s="318" t="s">
        <v>2061</v>
      </c>
      <c r="K681" s="318" t="s">
        <v>1294</v>
      </c>
      <c r="L681" s="14">
        <v>44708</v>
      </c>
      <c r="N681" s="174">
        <v>44729</v>
      </c>
      <c r="O681" s="179"/>
      <c r="Q681" t="s">
        <v>22</v>
      </c>
      <c r="T681" s="195"/>
      <c r="U681" s="195"/>
      <c r="V681" s="300"/>
      <c r="W681" s="201"/>
      <c r="X681" s="201"/>
      <c r="Y681" s="200"/>
      <c r="Z681" s="207"/>
      <c r="AA681" s="206"/>
      <c r="AB681" s="207"/>
      <c r="AC681" s="188"/>
      <c r="AD681" s="187">
        <v>44729</v>
      </c>
    </row>
    <row r="682" spans="1:30">
      <c r="A682" s="318">
        <f>COUNTA($E$3:E682)</f>
        <v>680</v>
      </c>
      <c r="B682" s="318" t="s">
        <v>3069</v>
      </c>
      <c r="C682" s="318" t="s">
        <v>40</v>
      </c>
      <c r="D682" s="318" t="s">
        <v>51</v>
      </c>
      <c r="E682" s="318" t="s">
        <v>1697</v>
      </c>
      <c r="F682" s="316">
        <v>44700</v>
      </c>
      <c r="G682" s="316"/>
      <c r="H682" s="316"/>
      <c r="I682" s="316" t="s">
        <v>2</v>
      </c>
      <c r="J682" s="318" t="s">
        <v>1746</v>
      </c>
      <c r="K682" s="318" t="s">
        <v>1294</v>
      </c>
      <c r="L682" s="14">
        <v>44708</v>
      </c>
      <c r="M682" t="s">
        <v>3136</v>
      </c>
      <c r="N682" s="174">
        <v>44729</v>
      </c>
      <c r="O682" s="179"/>
      <c r="Q682" t="s">
        <v>22</v>
      </c>
      <c r="T682" s="195"/>
      <c r="U682" s="195"/>
      <c r="V682" s="300"/>
      <c r="W682" s="201"/>
      <c r="X682" s="201"/>
      <c r="Y682" s="200"/>
      <c r="Z682" s="207"/>
      <c r="AA682" s="206"/>
      <c r="AB682" s="207"/>
      <c r="AC682" s="188"/>
      <c r="AD682" s="187">
        <v>44729</v>
      </c>
    </row>
    <row r="683" spans="1:30">
      <c r="A683" s="318">
        <f>COUNTA($E$3:E683)</f>
        <v>681</v>
      </c>
      <c r="B683" s="318" t="s">
        <v>2949</v>
      </c>
      <c r="C683" s="318" t="s">
        <v>2345</v>
      </c>
      <c r="D683" s="318" t="s">
        <v>16</v>
      </c>
      <c r="E683" s="318" t="s">
        <v>2377</v>
      </c>
      <c r="F683" s="316">
        <v>44678</v>
      </c>
      <c r="G683" s="316"/>
      <c r="H683" s="316" t="s">
        <v>55</v>
      </c>
      <c r="I683" s="316" t="s">
        <v>2</v>
      </c>
      <c r="J683" s="318" t="s">
        <v>1664</v>
      </c>
      <c r="K683" s="318" t="s">
        <v>1296</v>
      </c>
      <c r="L683" s="14">
        <v>44708</v>
      </c>
      <c r="M683" t="s">
        <v>3135</v>
      </c>
      <c r="N683" s="174">
        <v>44713</v>
      </c>
      <c r="O683" s="179"/>
      <c r="Q683" t="s">
        <v>129</v>
      </c>
      <c r="T683" s="195"/>
      <c r="U683" s="195"/>
      <c r="V683" s="300"/>
      <c r="W683" s="201"/>
      <c r="X683" s="201"/>
      <c r="Y683" s="200"/>
      <c r="Z683" s="207"/>
      <c r="AA683" s="206"/>
      <c r="AB683" s="207"/>
      <c r="AC683" s="188"/>
      <c r="AD683" s="187">
        <v>44713</v>
      </c>
    </row>
    <row r="684" spans="1:30">
      <c r="A684" s="318">
        <f>COUNTA($E$3:E684)</f>
        <v>682</v>
      </c>
      <c r="B684" s="318" t="s">
        <v>2925</v>
      </c>
      <c r="C684" s="318" t="s">
        <v>1197</v>
      </c>
      <c r="D684" s="318" t="s">
        <v>38</v>
      </c>
      <c r="E684" s="318" t="s">
        <v>1222</v>
      </c>
      <c r="F684" s="316">
        <v>44627</v>
      </c>
      <c r="G684" s="316"/>
      <c r="H684" s="316">
        <v>44575</v>
      </c>
      <c r="I684" s="316" t="s">
        <v>2</v>
      </c>
      <c r="J684" s="318" t="s">
        <v>1485</v>
      </c>
      <c r="K684" s="318" t="s">
        <v>1294</v>
      </c>
      <c r="L684" s="14">
        <v>44708</v>
      </c>
      <c r="M684" t="s">
        <v>3134</v>
      </c>
      <c r="N684" s="174">
        <v>44713</v>
      </c>
      <c r="O684" s="179"/>
      <c r="Q684" t="s">
        <v>22</v>
      </c>
      <c r="T684" s="195"/>
      <c r="U684" s="195"/>
      <c r="V684" s="300"/>
      <c r="W684" s="201"/>
      <c r="X684" s="201"/>
      <c r="Y684" s="200"/>
      <c r="Z684" s="207"/>
      <c r="AA684" s="206"/>
      <c r="AB684" s="207"/>
      <c r="AC684" s="188"/>
      <c r="AD684" s="187">
        <v>44713</v>
      </c>
    </row>
    <row r="685" spans="1:30">
      <c r="A685" s="318">
        <f>COUNTA($E$3:E685)</f>
        <v>683</v>
      </c>
      <c r="B685" s="318" t="s">
        <v>2802</v>
      </c>
      <c r="C685" s="318" t="s">
        <v>41</v>
      </c>
      <c r="D685" s="318" t="s">
        <v>34</v>
      </c>
      <c r="E685" s="318" t="s">
        <v>2803</v>
      </c>
      <c r="F685" s="316">
        <v>44664</v>
      </c>
      <c r="G685" s="316"/>
      <c r="H685" s="316" t="s">
        <v>66</v>
      </c>
      <c r="I685" s="316" t="s">
        <v>3</v>
      </c>
      <c r="J685" s="318" t="s">
        <v>1212</v>
      </c>
      <c r="K685" s="318" t="s">
        <v>103</v>
      </c>
      <c r="L685" s="14">
        <v>44708</v>
      </c>
      <c r="M685" t="s">
        <v>3133</v>
      </c>
      <c r="N685" s="174">
        <v>44729</v>
      </c>
      <c r="O685" s="179"/>
      <c r="Q685" t="s">
        <v>22</v>
      </c>
      <c r="T685" s="195"/>
      <c r="U685" s="195"/>
      <c r="V685" s="300"/>
      <c r="W685" s="201"/>
      <c r="X685" s="201"/>
      <c r="Y685" s="200"/>
      <c r="Z685" s="207"/>
      <c r="AA685" s="206"/>
      <c r="AB685" s="207"/>
      <c r="AC685" s="188"/>
      <c r="AD685" s="187">
        <v>44729</v>
      </c>
    </row>
    <row r="686" spans="1:30">
      <c r="A686" s="318">
        <f>COUNTA($E$3:E686)</f>
        <v>684</v>
      </c>
      <c r="B686" s="318" t="s">
        <v>3115</v>
      </c>
      <c r="C686" s="318" t="s">
        <v>41</v>
      </c>
      <c r="D686" s="318" t="s">
        <v>1139</v>
      </c>
      <c r="E686" s="318" t="s">
        <v>3116</v>
      </c>
      <c r="F686" s="316">
        <v>44704</v>
      </c>
      <c r="G686" s="316"/>
      <c r="H686" s="316"/>
      <c r="I686" s="316" t="s">
        <v>3</v>
      </c>
      <c r="J686" s="318" t="s">
        <v>1485</v>
      </c>
      <c r="K686" s="318" t="s">
        <v>2032</v>
      </c>
      <c r="L686" s="14">
        <v>44708</v>
      </c>
      <c r="M686" t="s">
        <v>3140</v>
      </c>
      <c r="N686" s="174">
        <v>44729</v>
      </c>
      <c r="O686" s="179"/>
      <c r="Q686" t="s">
        <v>22</v>
      </c>
      <c r="T686" s="195"/>
      <c r="U686" s="195"/>
      <c r="V686" s="300"/>
      <c r="W686" s="201"/>
      <c r="X686" s="201"/>
      <c r="Y686" s="200"/>
      <c r="Z686" s="207"/>
      <c r="AA686" s="206"/>
      <c r="AB686" s="207"/>
      <c r="AC686" s="188"/>
      <c r="AD686" s="187">
        <v>44729</v>
      </c>
    </row>
    <row r="687" spans="1:30">
      <c r="A687" s="318">
        <f>COUNTA($E$3:E687)</f>
        <v>685</v>
      </c>
      <c r="B687" s="318" t="s">
        <v>3102</v>
      </c>
      <c r="C687" s="318" t="s">
        <v>41</v>
      </c>
      <c r="D687" s="318" t="s">
        <v>1126</v>
      </c>
      <c r="E687" s="318" t="s">
        <v>3103</v>
      </c>
      <c r="F687" s="316">
        <v>44704</v>
      </c>
      <c r="G687" s="316"/>
      <c r="H687" s="316"/>
      <c r="I687" s="316" t="s">
        <v>3</v>
      </c>
      <c r="J687" s="318" t="s">
        <v>1668</v>
      </c>
      <c r="K687" s="318" t="s">
        <v>1287</v>
      </c>
      <c r="L687" s="14">
        <v>44708</v>
      </c>
      <c r="M687" t="s">
        <v>3138</v>
      </c>
      <c r="N687" s="174">
        <v>44729</v>
      </c>
      <c r="O687" s="179"/>
      <c r="Q687" t="s">
        <v>129</v>
      </c>
      <c r="T687" s="195"/>
      <c r="U687" s="195"/>
      <c r="V687" s="300"/>
      <c r="W687" s="201"/>
      <c r="X687" s="201"/>
      <c r="Y687" s="200"/>
      <c r="Z687" s="207"/>
      <c r="AA687" s="206"/>
      <c r="AB687" s="207"/>
      <c r="AC687" s="188"/>
      <c r="AD687" s="187">
        <v>44729</v>
      </c>
    </row>
    <row r="688" spans="1:30">
      <c r="A688" s="318">
        <f>COUNTA($E$3:E688)</f>
        <v>686</v>
      </c>
      <c r="B688" s="318" t="s">
        <v>3087</v>
      </c>
      <c r="C688" s="318" t="s">
        <v>41</v>
      </c>
      <c r="D688" s="318" t="s">
        <v>1139</v>
      </c>
      <c r="E688" s="318" t="s">
        <v>1140</v>
      </c>
      <c r="F688" s="316">
        <v>44701</v>
      </c>
      <c r="G688" s="316"/>
      <c r="H688" s="316"/>
      <c r="I688" s="316" t="s">
        <v>3</v>
      </c>
      <c r="J688" s="318" t="s">
        <v>17</v>
      </c>
      <c r="K688" s="318" t="s">
        <v>1287</v>
      </c>
      <c r="L688" s="14">
        <v>44708</v>
      </c>
      <c r="M688" t="s">
        <v>3137</v>
      </c>
      <c r="N688" s="174">
        <v>44729</v>
      </c>
      <c r="O688" s="179"/>
      <c r="Q688" t="s">
        <v>129</v>
      </c>
      <c r="T688" s="195"/>
      <c r="U688" s="195"/>
      <c r="V688" s="300"/>
      <c r="W688" s="201"/>
      <c r="X688" s="201"/>
      <c r="Y688" s="200"/>
      <c r="Z688" s="207"/>
      <c r="AA688" s="206"/>
      <c r="AB688" s="207"/>
      <c r="AC688" s="188"/>
      <c r="AD688" s="187">
        <v>44729</v>
      </c>
    </row>
    <row r="689" spans="1:30">
      <c r="A689" s="318">
        <f>COUNTA($E$3:E689)</f>
        <v>687</v>
      </c>
      <c r="B689" s="318" t="s">
        <v>3040</v>
      </c>
      <c r="C689" s="318" t="s">
        <v>3041</v>
      </c>
      <c r="D689" s="318" t="s">
        <v>104</v>
      </c>
      <c r="E689" s="318" t="s">
        <v>3042</v>
      </c>
      <c r="F689" s="316">
        <v>44693.506863425922</v>
      </c>
      <c r="G689" s="316"/>
      <c r="H689" s="316"/>
      <c r="I689" s="316" t="s">
        <v>3</v>
      </c>
      <c r="J689" s="318" t="s">
        <v>1212</v>
      </c>
      <c r="K689" s="318" t="s">
        <v>1295</v>
      </c>
      <c r="L689" s="14">
        <v>44708</v>
      </c>
      <c r="M689" t="s">
        <v>2959</v>
      </c>
      <c r="N689" s="174">
        <v>44712</v>
      </c>
      <c r="O689" s="179"/>
      <c r="Q689" t="s">
        <v>129</v>
      </c>
      <c r="T689" s="195"/>
      <c r="U689" s="195"/>
      <c r="V689" s="300"/>
      <c r="W689" s="201"/>
      <c r="X689" s="201"/>
      <c r="Y689" s="200"/>
      <c r="Z689" s="207"/>
      <c r="AA689" s="206"/>
      <c r="AB689" s="207"/>
      <c r="AC689" s="188"/>
      <c r="AD689" s="187">
        <v>44712</v>
      </c>
    </row>
    <row r="690" spans="1:30">
      <c r="A690" s="318">
        <f>COUNTA($E$3:E690)</f>
        <v>688</v>
      </c>
      <c r="B690" s="318" t="s">
        <v>3036</v>
      </c>
      <c r="C690" s="318" t="s">
        <v>21</v>
      </c>
      <c r="D690" s="318" t="s">
        <v>34</v>
      </c>
      <c r="E690" s="318" t="s">
        <v>2059</v>
      </c>
      <c r="F690" s="316">
        <v>44692.746712962966</v>
      </c>
      <c r="G690" s="316"/>
      <c r="H690" s="316"/>
      <c r="I690" s="316" t="s">
        <v>3</v>
      </c>
      <c r="J690" s="318" t="s">
        <v>2435</v>
      </c>
      <c r="K690" s="318" t="s">
        <v>1295</v>
      </c>
      <c r="L690" s="14">
        <v>44708</v>
      </c>
      <c r="M690" t="s">
        <v>3136</v>
      </c>
      <c r="N690" s="174">
        <v>44712</v>
      </c>
      <c r="O690" s="179"/>
      <c r="Q690" t="s">
        <v>129</v>
      </c>
      <c r="T690" s="195"/>
      <c r="U690" s="195"/>
      <c r="V690" s="300"/>
      <c r="W690" s="201"/>
      <c r="X690" s="201"/>
      <c r="Y690" s="200"/>
      <c r="Z690" s="207"/>
      <c r="AA690" s="206"/>
      <c r="AB690" s="207"/>
      <c r="AC690" s="188"/>
      <c r="AD690" s="187">
        <v>44712</v>
      </c>
    </row>
    <row r="691" spans="1:30">
      <c r="A691" s="318">
        <f>COUNTA($E$3:E691)</f>
        <v>689</v>
      </c>
      <c r="B691" s="318" t="s">
        <v>3067</v>
      </c>
      <c r="C691" s="318" t="s">
        <v>41</v>
      </c>
      <c r="D691" s="318" t="s">
        <v>56</v>
      </c>
      <c r="E691" s="318" t="s">
        <v>3068</v>
      </c>
      <c r="F691" s="316">
        <v>44699</v>
      </c>
      <c r="G691" s="316"/>
      <c r="H691" s="316"/>
      <c r="I691" s="316" t="s">
        <v>2</v>
      </c>
      <c r="J691" s="318" t="s">
        <v>1671</v>
      </c>
      <c r="K691" s="318" t="s">
        <v>33</v>
      </c>
      <c r="L691" s="14">
        <v>44701</v>
      </c>
      <c r="M691" t="s">
        <v>3084</v>
      </c>
      <c r="N691" s="174">
        <v>44701</v>
      </c>
      <c r="O691" s="179"/>
      <c r="Q691" t="s">
        <v>129</v>
      </c>
      <c r="T691" s="195"/>
      <c r="U691" s="195"/>
      <c r="V691" s="300"/>
      <c r="W691" s="201"/>
      <c r="X691" s="201"/>
      <c r="Y691" s="200"/>
      <c r="Z691" s="207"/>
      <c r="AA691" s="206"/>
      <c r="AB691" s="207"/>
      <c r="AC691" s="188"/>
      <c r="AD691" s="187">
        <v>44701</v>
      </c>
    </row>
    <row r="692" spans="1:30">
      <c r="A692" s="318">
        <f>COUNTA($E$3:E692)</f>
        <v>690</v>
      </c>
      <c r="B692" s="318" t="s">
        <v>3066</v>
      </c>
      <c r="C692" s="318" t="s">
        <v>41</v>
      </c>
      <c r="D692" s="318" t="s">
        <v>30</v>
      </c>
      <c r="E692" s="318" t="s">
        <v>1640</v>
      </c>
      <c r="F692" s="316">
        <v>44699</v>
      </c>
      <c r="G692" s="316"/>
      <c r="H692" s="316"/>
      <c r="I692" s="316" t="s">
        <v>2</v>
      </c>
      <c r="J692" s="318" t="s">
        <v>1671</v>
      </c>
      <c r="K692" s="318" t="s">
        <v>1089</v>
      </c>
      <c r="L692" s="14">
        <v>44701</v>
      </c>
      <c r="M692" t="s">
        <v>3084</v>
      </c>
      <c r="N692" s="174">
        <v>44702</v>
      </c>
      <c r="O692" s="179"/>
      <c r="Q692" t="s">
        <v>129</v>
      </c>
      <c r="T692" s="195"/>
      <c r="U692" s="195"/>
      <c r="V692" s="300"/>
      <c r="W692" s="201"/>
      <c r="X692" s="201"/>
      <c r="Y692" s="200"/>
      <c r="Z692" s="207"/>
      <c r="AA692" s="206"/>
      <c r="AB692" s="207"/>
      <c r="AC692" s="188"/>
      <c r="AD692" s="187">
        <v>44702</v>
      </c>
    </row>
    <row r="693" spans="1:30">
      <c r="A693" s="318">
        <f>COUNTA($E$3:E693)</f>
        <v>691</v>
      </c>
      <c r="B693" s="318" t="s">
        <v>3063</v>
      </c>
      <c r="C693" s="318" t="s">
        <v>41</v>
      </c>
      <c r="D693" s="318" t="s">
        <v>1123</v>
      </c>
      <c r="E693" s="318" t="s">
        <v>3064</v>
      </c>
      <c r="F693" s="316">
        <v>44698</v>
      </c>
      <c r="G693" s="316"/>
      <c r="H693" s="316"/>
      <c r="I693" s="316" t="s">
        <v>2</v>
      </c>
      <c r="J693" s="318" t="s">
        <v>17</v>
      </c>
      <c r="K693" s="318" t="s">
        <v>1287</v>
      </c>
      <c r="L693" s="14">
        <v>44701</v>
      </c>
      <c r="M693" t="s">
        <v>3091</v>
      </c>
      <c r="N693" s="174">
        <v>44703</v>
      </c>
      <c r="O693" s="179"/>
      <c r="Q693" t="s">
        <v>129</v>
      </c>
      <c r="T693" s="195"/>
      <c r="U693" s="195"/>
      <c r="V693" s="300"/>
      <c r="W693" s="201"/>
      <c r="X693" s="201"/>
      <c r="Y693" s="200"/>
      <c r="Z693" s="207"/>
      <c r="AA693" s="206"/>
      <c r="AB693" s="207"/>
      <c r="AC693" s="188"/>
      <c r="AD693" s="187">
        <v>44703</v>
      </c>
    </row>
    <row r="694" spans="1:30">
      <c r="A694" s="318">
        <f>COUNTA($E$3:E694)</f>
        <v>692</v>
      </c>
      <c r="B694" s="318" t="s">
        <v>3043</v>
      </c>
      <c r="C694" s="318" t="s">
        <v>41</v>
      </c>
      <c r="D694" s="318" t="s">
        <v>51</v>
      </c>
      <c r="E694" s="318" t="s">
        <v>1694</v>
      </c>
      <c r="F694" s="316">
        <v>44693</v>
      </c>
      <c r="G694" s="316"/>
      <c r="H694" s="316"/>
      <c r="I694" s="316" t="s">
        <v>2</v>
      </c>
      <c r="J694" s="318" t="s">
        <v>1485</v>
      </c>
      <c r="K694" s="318" t="s">
        <v>1294</v>
      </c>
      <c r="L694" s="14">
        <v>44701</v>
      </c>
      <c r="M694" t="s">
        <v>3083</v>
      </c>
      <c r="N694" s="174">
        <v>44704</v>
      </c>
      <c r="O694" s="179"/>
      <c r="Q694" t="s">
        <v>22</v>
      </c>
      <c r="T694" s="195"/>
      <c r="U694" s="195"/>
      <c r="V694" s="300"/>
      <c r="W694" s="201"/>
      <c r="X694" s="201"/>
      <c r="Y694" s="200"/>
      <c r="Z694" s="207"/>
      <c r="AA694" s="206"/>
      <c r="AB694" s="207"/>
      <c r="AC694" s="188"/>
      <c r="AD694" s="187">
        <v>44704</v>
      </c>
    </row>
    <row r="695" spans="1:30">
      <c r="A695" s="318">
        <f>COUNTA($E$3:E695)</f>
        <v>693</v>
      </c>
      <c r="B695" s="318" t="s">
        <v>2964</v>
      </c>
      <c r="C695" s="318" t="s">
        <v>41</v>
      </c>
      <c r="D695" s="318" t="s">
        <v>32</v>
      </c>
      <c r="E695" s="318" t="s">
        <v>1190</v>
      </c>
      <c r="F695" s="316">
        <v>44678</v>
      </c>
      <c r="G695" s="316"/>
      <c r="H695" s="316"/>
      <c r="I695" s="316" t="s">
        <v>2</v>
      </c>
      <c r="J695" s="318" t="s">
        <v>2435</v>
      </c>
      <c r="K695" s="318" t="s">
        <v>287</v>
      </c>
      <c r="L695" s="14">
        <v>44701</v>
      </c>
      <c r="M695" t="s">
        <v>3080</v>
      </c>
      <c r="N695" s="174">
        <v>44705</v>
      </c>
      <c r="O695" s="179"/>
      <c r="Q695" t="s">
        <v>22</v>
      </c>
      <c r="T695" s="195"/>
      <c r="U695" s="195"/>
      <c r="V695" s="300"/>
      <c r="W695" s="201"/>
      <c r="X695" s="201"/>
      <c r="Y695" s="200"/>
      <c r="Z695" s="207"/>
      <c r="AA695" s="206"/>
      <c r="AB695" s="207"/>
      <c r="AC695" s="188"/>
      <c r="AD695" s="187">
        <v>44705</v>
      </c>
    </row>
    <row r="696" spans="1:30">
      <c r="A696" s="318">
        <f>COUNTA($E$3:E696)</f>
        <v>694</v>
      </c>
      <c r="B696" s="318" t="s">
        <v>2494</v>
      </c>
      <c r="C696" s="318" t="s">
        <v>1106</v>
      </c>
      <c r="D696" s="318" t="s">
        <v>58</v>
      </c>
      <c r="E696" s="318" t="s">
        <v>2495</v>
      </c>
      <c r="F696" s="316">
        <v>44600</v>
      </c>
      <c r="G696" s="316"/>
      <c r="H696" s="316">
        <v>44627</v>
      </c>
      <c r="I696" s="316" t="s">
        <v>2</v>
      </c>
      <c r="J696" s="318" t="s">
        <v>2496</v>
      </c>
      <c r="K696" s="318" t="s">
        <v>1296</v>
      </c>
      <c r="L696" s="14">
        <v>44701</v>
      </c>
      <c r="M696" t="s">
        <v>3078</v>
      </c>
      <c r="N696" s="174">
        <v>44696</v>
      </c>
      <c r="O696" s="179"/>
      <c r="Q696" t="s">
        <v>129</v>
      </c>
      <c r="T696" s="195"/>
      <c r="U696" s="195"/>
      <c r="V696" s="300"/>
      <c r="W696" s="201"/>
      <c r="X696" s="201"/>
      <c r="Y696" s="200"/>
      <c r="Z696" s="207"/>
      <c r="AA696" s="206"/>
      <c r="AB696" s="207"/>
      <c r="AC696" s="188"/>
      <c r="AD696" s="187">
        <v>44696</v>
      </c>
    </row>
    <row r="697" spans="1:30">
      <c r="A697" s="318">
        <f>COUNTA($E$3:E697)</f>
        <v>695</v>
      </c>
      <c r="B697" s="318" t="s">
        <v>3085</v>
      </c>
      <c r="C697" s="318" t="s">
        <v>41</v>
      </c>
      <c r="D697" s="318" t="s">
        <v>34</v>
      </c>
      <c r="E697" s="318" t="s">
        <v>1923</v>
      </c>
      <c r="F697" s="316">
        <v>44700</v>
      </c>
      <c r="G697" s="316"/>
      <c r="H697" s="316"/>
      <c r="I697" s="316" t="s">
        <v>3</v>
      </c>
      <c r="J697" s="318" t="s">
        <v>3086</v>
      </c>
      <c r="K697" s="318" t="s">
        <v>1120</v>
      </c>
      <c r="L697" s="14">
        <v>44701</v>
      </c>
      <c r="M697" t="s">
        <v>3081</v>
      </c>
      <c r="N697" s="174">
        <v>44701</v>
      </c>
      <c r="O697" s="179"/>
      <c r="Q697" t="s">
        <v>129</v>
      </c>
      <c r="T697" s="195"/>
      <c r="U697" s="195"/>
      <c r="V697" s="300"/>
      <c r="W697" s="201"/>
      <c r="X697" s="201"/>
      <c r="Y697" s="200"/>
      <c r="Z697" s="207"/>
      <c r="AA697" s="206"/>
      <c r="AB697" s="207"/>
      <c r="AC697" s="188"/>
      <c r="AD697" s="187">
        <v>44701</v>
      </c>
    </row>
    <row r="698" spans="1:30">
      <c r="A698" s="318">
        <f>COUNTA($E$3:E698)</f>
        <v>696</v>
      </c>
      <c r="B698" s="318" t="s">
        <v>3074</v>
      </c>
      <c r="C698" s="318" t="s">
        <v>41</v>
      </c>
      <c r="D698" s="318" t="s">
        <v>19</v>
      </c>
      <c r="E698" s="318" t="s">
        <v>3075</v>
      </c>
      <c r="F698" s="316">
        <v>44700</v>
      </c>
      <c r="G698" s="316"/>
      <c r="H698" s="316"/>
      <c r="I698" s="316" t="s">
        <v>3</v>
      </c>
      <c r="J698" s="318" t="s">
        <v>2560</v>
      </c>
      <c r="K698" s="318" t="s">
        <v>103</v>
      </c>
      <c r="L698" s="14">
        <v>44701</v>
      </c>
      <c r="M698" t="s">
        <v>3954</v>
      </c>
      <c r="N698" s="174">
        <v>44813</v>
      </c>
      <c r="O698" s="179"/>
      <c r="Q698" t="s">
        <v>22</v>
      </c>
      <c r="T698" s="195"/>
      <c r="U698" s="195"/>
      <c r="V698" s="300"/>
      <c r="W698" s="201"/>
      <c r="X698" s="201"/>
      <c r="Y698" s="200"/>
      <c r="Z698" s="207"/>
      <c r="AA698" s="206"/>
      <c r="AB698" s="207"/>
      <c r="AC698" s="188"/>
      <c r="AD698" s="187">
        <v>44813</v>
      </c>
    </row>
    <row r="699" spans="1:30">
      <c r="A699" s="318">
        <f>COUNTA($E$3:E699)</f>
        <v>697</v>
      </c>
      <c r="B699" s="318" t="s">
        <v>3065</v>
      </c>
      <c r="C699" s="318" t="s">
        <v>286</v>
      </c>
      <c r="D699" s="318" t="s">
        <v>34</v>
      </c>
      <c r="E699" s="318" t="s">
        <v>1250</v>
      </c>
      <c r="F699" s="316">
        <v>44699</v>
      </c>
      <c r="G699" s="316"/>
      <c r="H699" s="316"/>
      <c r="I699" s="316" t="s">
        <v>3</v>
      </c>
      <c r="J699" s="318" t="s">
        <v>1485</v>
      </c>
      <c r="K699" s="318" t="s">
        <v>24</v>
      </c>
      <c r="L699" s="14">
        <v>44701</v>
      </c>
      <c r="M699" t="s">
        <v>3081</v>
      </c>
      <c r="N699" s="174">
        <v>44701</v>
      </c>
      <c r="O699" s="179"/>
      <c r="Q699" t="s">
        <v>22</v>
      </c>
      <c r="T699" s="195"/>
      <c r="U699" s="195"/>
      <c r="V699" s="300"/>
      <c r="W699" s="201"/>
      <c r="X699" s="201"/>
      <c r="Y699" s="200"/>
      <c r="Z699" s="207"/>
      <c r="AA699" s="206"/>
      <c r="AB699" s="207"/>
      <c r="AC699" s="188"/>
      <c r="AD699" s="187">
        <v>44701</v>
      </c>
    </row>
    <row r="700" spans="1:30">
      <c r="A700" s="318">
        <f>COUNTA($E$3:E700)</f>
        <v>698</v>
      </c>
      <c r="B700" s="318" t="s">
        <v>3061</v>
      </c>
      <c r="C700" s="318" t="s">
        <v>297</v>
      </c>
      <c r="D700" s="318" t="s">
        <v>56</v>
      </c>
      <c r="E700" s="318" t="s">
        <v>3062</v>
      </c>
      <c r="F700" s="316">
        <v>44697</v>
      </c>
      <c r="G700" s="316"/>
      <c r="H700" s="316"/>
      <c r="I700" s="316" t="s">
        <v>3</v>
      </c>
      <c r="J700" s="318" t="s">
        <v>1641</v>
      </c>
      <c r="K700" s="318" t="s">
        <v>1294</v>
      </c>
      <c r="L700" s="14">
        <v>44701</v>
      </c>
      <c r="M700" t="s">
        <v>3083</v>
      </c>
      <c r="N700" s="174">
        <v>44698</v>
      </c>
      <c r="O700" s="179"/>
      <c r="Q700" t="s">
        <v>22</v>
      </c>
      <c r="T700" s="195"/>
      <c r="U700" s="195"/>
      <c r="V700" s="300"/>
      <c r="W700" s="201"/>
      <c r="X700" s="201"/>
      <c r="Y700" s="200"/>
      <c r="Z700" s="207"/>
      <c r="AA700" s="206"/>
      <c r="AB700" s="207"/>
      <c r="AC700" s="188"/>
      <c r="AD700" s="187">
        <v>44698</v>
      </c>
    </row>
    <row r="701" spans="1:30">
      <c r="A701" s="318">
        <f>COUNTA($E$3:E701)</f>
        <v>699</v>
      </c>
      <c r="B701" s="318" t="s">
        <v>3038</v>
      </c>
      <c r="C701" s="318" t="s">
        <v>37</v>
      </c>
      <c r="D701" s="318" t="s">
        <v>30</v>
      </c>
      <c r="E701" s="318" t="s">
        <v>3039</v>
      </c>
      <c r="F701" s="316">
        <v>44692.747534722221</v>
      </c>
      <c r="G701" s="316"/>
      <c r="H701" s="316"/>
      <c r="I701" s="316" t="s">
        <v>3</v>
      </c>
      <c r="J701" s="318" t="s">
        <v>1249</v>
      </c>
      <c r="K701" s="318" t="s">
        <v>1274</v>
      </c>
      <c r="L701" s="14">
        <v>44701</v>
      </c>
      <c r="M701" t="s">
        <v>3083</v>
      </c>
      <c r="N701" s="174">
        <v>44718</v>
      </c>
      <c r="O701" s="179"/>
      <c r="Q701" t="s">
        <v>129</v>
      </c>
      <c r="T701" s="195"/>
      <c r="U701" s="195"/>
      <c r="V701" s="300"/>
      <c r="W701" s="201"/>
      <c r="X701" s="201"/>
      <c r="Y701" s="200"/>
      <c r="Z701" s="207"/>
      <c r="AA701" s="206"/>
      <c r="AB701" s="207"/>
      <c r="AC701" s="188"/>
      <c r="AD701" s="187">
        <v>44718</v>
      </c>
    </row>
    <row r="702" spans="1:30">
      <c r="A702" s="318">
        <f>COUNTA($E$3:E702)</f>
        <v>700</v>
      </c>
      <c r="B702" s="318" t="s">
        <v>3037</v>
      </c>
      <c r="C702" s="318" t="s">
        <v>37</v>
      </c>
      <c r="D702" s="318" t="s">
        <v>30</v>
      </c>
      <c r="E702" s="318" t="s">
        <v>2273</v>
      </c>
      <c r="F702" s="316">
        <v>44692.747106481482</v>
      </c>
      <c r="G702" s="316"/>
      <c r="H702" s="316"/>
      <c r="I702" s="316" t="s">
        <v>3</v>
      </c>
      <c r="J702" s="318" t="s">
        <v>1875</v>
      </c>
      <c r="K702" s="318" t="s">
        <v>1295</v>
      </c>
      <c r="L702" s="14">
        <v>44701</v>
      </c>
      <c r="M702" t="s">
        <v>3082</v>
      </c>
      <c r="N702" s="174">
        <v>44709</v>
      </c>
      <c r="O702" s="179"/>
      <c r="Q702" t="s">
        <v>129</v>
      </c>
      <c r="T702" s="195"/>
      <c r="U702" s="195"/>
      <c r="V702" s="300"/>
      <c r="W702" s="201"/>
      <c r="X702" s="201"/>
      <c r="Y702" s="200"/>
      <c r="Z702" s="207"/>
      <c r="AA702" s="206"/>
      <c r="AB702" s="207"/>
      <c r="AC702" s="188"/>
      <c r="AD702" s="187">
        <v>44709</v>
      </c>
    </row>
    <row r="703" spans="1:30">
      <c r="A703" s="318">
        <f>COUNTA($E$3:E703)</f>
        <v>701</v>
      </c>
      <c r="B703" s="318" t="s">
        <v>3034</v>
      </c>
      <c r="C703" s="318" t="s">
        <v>21</v>
      </c>
      <c r="D703" s="318" t="s">
        <v>34</v>
      </c>
      <c r="E703" s="318" t="s">
        <v>3035</v>
      </c>
      <c r="F703" s="316">
        <v>44692.746203703704</v>
      </c>
      <c r="G703" s="316"/>
      <c r="H703" s="316"/>
      <c r="I703" s="316" t="s">
        <v>3</v>
      </c>
      <c r="J703" s="318" t="s">
        <v>3076</v>
      </c>
      <c r="K703" s="318" t="s">
        <v>1274</v>
      </c>
      <c r="L703" s="14">
        <v>44701</v>
      </c>
      <c r="M703" t="s">
        <v>3080</v>
      </c>
      <c r="N703" s="174">
        <v>44700</v>
      </c>
      <c r="O703" s="179"/>
      <c r="Q703" t="s">
        <v>129</v>
      </c>
      <c r="T703" s="195"/>
      <c r="U703" s="195"/>
      <c r="V703" s="300"/>
      <c r="W703" s="201"/>
      <c r="X703" s="201"/>
      <c r="Y703" s="200"/>
      <c r="Z703" s="207"/>
      <c r="AA703" s="206"/>
      <c r="AB703" s="207"/>
      <c r="AC703" s="188"/>
      <c r="AD703" s="187">
        <v>44700</v>
      </c>
    </row>
    <row r="704" spans="1:30">
      <c r="A704" s="318">
        <f>COUNTA($E$3:E704)</f>
        <v>702</v>
      </c>
      <c r="B704" s="318" t="s">
        <v>2757</v>
      </c>
      <c r="C704" s="318" t="s">
        <v>37</v>
      </c>
      <c r="D704" s="318" t="s">
        <v>27</v>
      </c>
      <c r="E704" s="318" t="s">
        <v>2758</v>
      </c>
      <c r="F704" s="316">
        <v>44655</v>
      </c>
      <c r="G704" s="316"/>
      <c r="H704" s="316">
        <v>44658</v>
      </c>
      <c r="I704" s="316" t="s">
        <v>3</v>
      </c>
      <c r="J704" s="318" t="s">
        <v>1093</v>
      </c>
      <c r="K704" s="318" t="s">
        <v>1296</v>
      </c>
      <c r="L704" s="14">
        <v>44701</v>
      </c>
      <c r="N704" s="174">
        <v>44701</v>
      </c>
      <c r="O704" s="179"/>
      <c r="Q704" t="s">
        <v>129</v>
      </c>
      <c r="T704" s="195"/>
      <c r="U704" s="195"/>
      <c r="V704" s="300"/>
      <c r="W704" s="201"/>
      <c r="X704" s="201"/>
      <c r="Y704" s="200"/>
      <c r="Z704" s="207"/>
      <c r="AA704" s="206"/>
      <c r="AB704" s="207"/>
      <c r="AC704" s="188"/>
      <c r="AD704" s="187">
        <v>44701</v>
      </c>
    </row>
    <row r="705" spans="1:30">
      <c r="A705" s="318">
        <f>COUNTA($E$3:E705)</f>
        <v>703</v>
      </c>
      <c r="B705" s="318" t="s">
        <v>3003</v>
      </c>
      <c r="C705" s="318" t="s">
        <v>41</v>
      </c>
      <c r="D705" s="318" t="s">
        <v>45</v>
      </c>
      <c r="E705" s="318" t="s">
        <v>1955</v>
      </c>
      <c r="F705" s="316">
        <v>44687.089756944442</v>
      </c>
      <c r="G705" s="316"/>
      <c r="H705" s="316"/>
      <c r="I705" s="316"/>
      <c r="J705" s="318" t="s">
        <v>1707</v>
      </c>
      <c r="K705" s="318" t="s">
        <v>1296</v>
      </c>
      <c r="L705" s="14">
        <v>44697</v>
      </c>
      <c r="M705" t="s">
        <v>3045</v>
      </c>
      <c r="N705" s="174">
        <v>44701</v>
      </c>
      <c r="O705" s="179"/>
      <c r="Q705" t="s">
        <v>129</v>
      </c>
      <c r="T705" s="195"/>
      <c r="U705" s="195"/>
      <c r="V705" s="300"/>
      <c r="W705" s="201"/>
      <c r="X705" s="201"/>
      <c r="Y705" s="200"/>
      <c r="Z705" s="207"/>
      <c r="AA705" s="206"/>
      <c r="AB705" s="207"/>
      <c r="AC705" s="188"/>
      <c r="AD705" s="187">
        <v>44701</v>
      </c>
    </row>
    <row r="706" spans="1:30">
      <c r="A706" s="318">
        <f>COUNTA($E$3:E706)</f>
        <v>704</v>
      </c>
      <c r="B706" s="318" t="s">
        <v>3018</v>
      </c>
      <c r="C706" s="318" t="s">
        <v>44</v>
      </c>
      <c r="D706" s="318" t="s">
        <v>27</v>
      </c>
      <c r="E706" s="318" t="s">
        <v>3019</v>
      </c>
      <c r="F706" s="316">
        <v>44691.733912037038</v>
      </c>
      <c r="G706" s="316"/>
      <c r="H706" s="316"/>
      <c r="I706" s="316" t="s">
        <v>1110</v>
      </c>
      <c r="J706" s="318" t="s">
        <v>2194</v>
      </c>
      <c r="K706" s="318"/>
      <c r="L706" s="14">
        <v>44697</v>
      </c>
      <c r="M706" t="s">
        <v>3054</v>
      </c>
      <c r="N706" s="174">
        <v>44701</v>
      </c>
      <c r="O706" s="179"/>
      <c r="Q706" t="s">
        <v>129</v>
      </c>
      <c r="T706" s="195"/>
      <c r="U706" s="195"/>
      <c r="V706" s="300"/>
      <c r="W706" s="201"/>
      <c r="X706" s="201"/>
      <c r="Y706" s="200"/>
      <c r="Z706" s="207"/>
      <c r="AA706" s="206"/>
      <c r="AB706" s="207"/>
      <c r="AC706" s="188"/>
      <c r="AD706" s="187">
        <v>44701</v>
      </c>
    </row>
    <row r="707" spans="1:30">
      <c r="A707" s="318">
        <f>COUNTA($E$3:E707)</f>
        <v>705</v>
      </c>
      <c r="B707" s="318" t="s">
        <v>3047</v>
      </c>
      <c r="C707" s="318" t="s">
        <v>41</v>
      </c>
      <c r="D707" s="318" t="s">
        <v>56</v>
      </c>
      <c r="E707" s="318" t="s">
        <v>1229</v>
      </c>
      <c r="F707" s="316">
        <v>44693</v>
      </c>
      <c r="G707" s="316"/>
      <c r="H707" s="316"/>
      <c r="I707" s="316" t="s">
        <v>2</v>
      </c>
      <c r="J707" s="318" t="s">
        <v>1858</v>
      </c>
      <c r="K707" s="318" t="s">
        <v>33</v>
      </c>
      <c r="L707" s="14">
        <v>44697</v>
      </c>
      <c r="M707" t="s">
        <v>3055</v>
      </c>
      <c r="N707" s="174">
        <v>44701</v>
      </c>
      <c r="O707" s="179"/>
      <c r="Q707" t="s">
        <v>129</v>
      </c>
      <c r="T707" s="195"/>
      <c r="U707" s="195"/>
      <c r="V707" s="300"/>
      <c r="W707" s="201"/>
      <c r="X707" s="201"/>
      <c r="Y707" s="200"/>
      <c r="Z707" s="207"/>
      <c r="AA707" s="206"/>
      <c r="AB707" s="207"/>
      <c r="AC707" s="188"/>
      <c r="AD707" s="187">
        <v>44701</v>
      </c>
    </row>
    <row r="708" spans="1:30">
      <c r="A708" s="318">
        <f>COUNTA($E$3:E708)</f>
        <v>706</v>
      </c>
      <c r="B708" s="318" t="s">
        <v>3023</v>
      </c>
      <c r="C708" s="318" t="s">
        <v>41</v>
      </c>
      <c r="D708" s="318" t="s">
        <v>51</v>
      </c>
      <c r="E708" s="318" t="s">
        <v>3024</v>
      </c>
      <c r="F708" s="316">
        <v>44692</v>
      </c>
      <c r="G708" s="316"/>
      <c r="H708" s="316"/>
      <c r="I708" s="316" t="s">
        <v>2</v>
      </c>
      <c r="J708" s="318" t="s">
        <v>3025</v>
      </c>
      <c r="K708" s="318" t="s">
        <v>1294</v>
      </c>
      <c r="L708" s="14">
        <v>44697</v>
      </c>
      <c r="M708" t="s">
        <v>3045</v>
      </c>
      <c r="N708" s="174">
        <v>44701</v>
      </c>
      <c r="O708" s="179"/>
      <c r="Q708" t="s">
        <v>22</v>
      </c>
      <c r="T708" s="195"/>
      <c r="U708" s="195"/>
      <c r="V708" s="300"/>
      <c r="W708" s="201"/>
      <c r="X708" s="201"/>
      <c r="Y708" s="200"/>
      <c r="Z708" s="207"/>
      <c r="AA708" s="206"/>
      <c r="AB708" s="207"/>
      <c r="AC708" s="188"/>
      <c r="AD708" s="187">
        <v>44701</v>
      </c>
    </row>
    <row r="709" spans="1:30">
      <c r="A709" s="318">
        <f>COUNTA($E$3:E709)</f>
        <v>707</v>
      </c>
      <c r="B709" s="318" t="s">
        <v>3016</v>
      </c>
      <c r="C709" s="318" t="s">
        <v>2327</v>
      </c>
      <c r="D709" s="318" t="s">
        <v>56</v>
      </c>
      <c r="E709" s="318" t="s">
        <v>2328</v>
      </c>
      <c r="F709" s="316">
        <v>44690</v>
      </c>
      <c r="G709" s="316"/>
      <c r="H709" s="316"/>
      <c r="I709" s="316" t="s">
        <v>2</v>
      </c>
      <c r="J709" s="318" t="s">
        <v>17</v>
      </c>
      <c r="K709" s="318"/>
      <c r="L709" s="14">
        <v>44697</v>
      </c>
      <c r="O709" s="179"/>
      <c r="Q709" t="s">
        <v>129</v>
      </c>
      <c r="T709" s="195"/>
      <c r="U709" s="195"/>
      <c r="V709" s="300"/>
      <c r="W709" s="201"/>
      <c r="X709" s="201"/>
      <c r="Y709" s="200"/>
      <c r="Z709" s="207"/>
      <c r="AA709" s="206"/>
      <c r="AB709" s="207"/>
      <c r="AC709" s="188"/>
      <c r="AD709" s="187"/>
    </row>
    <row r="710" spans="1:30">
      <c r="A710" s="318">
        <f>COUNTA($E$3:E710)</f>
        <v>708</v>
      </c>
      <c r="B710" s="318" t="s">
        <v>3029</v>
      </c>
      <c r="C710" s="318" t="s">
        <v>21</v>
      </c>
      <c r="D710" s="318" t="s">
        <v>30</v>
      </c>
      <c r="E710" s="318" t="s">
        <v>3030</v>
      </c>
      <c r="F710" s="316">
        <v>44692.743449074071</v>
      </c>
      <c r="G710" s="316"/>
      <c r="H710" s="316"/>
      <c r="I710" s="316" t="s">
        <v>3</v>
      </c>
      <c r="J710" s="318" t="s">
        <v>3051</v>
      </c>
      <c r="K710" s="318" t="s">
        <v>1274</v>
      </c>
      <c r="L710" s="14">
        <v>44697</v>
      </c>
      <c r="M710" t="s">
        <v>3053</v>
      </c>
      <c r="N710" s="174">
        <v>44700</v>
      </c>
      <c r="O710" s="179"/>
      <c r="Q710" t="s">
        <v>129</v>
      </c>
      <c r="T710" s="195"/>
      <c r="U710" s="195"/>
      <c r="V710" s="300"/>
      <c r="W710" s="201"/>
      <c r="X710" s="201"/>
      <c r="Y710" s="200"/>
      <c r="Z710" s="207"/>
      <c r="AA710" s="206"/>
      <c r="AB710" s="207"/>
      <c r="AC710" s="188"/>
      <c r="AD710" s="187">
        <v>44700</v>
      </c>
    </row>
    <row r="711" spans="1:30">
      <c r="A711" s="318">
        <f>COUNTA($E$3:E711)</f>
        <v>709</v>
      </c>
      <c r="B711" s="318" t="s">
        <v>3017</v>
      </c>
      <c r="C711" s="318" t="s">
        <v>41</v>
      </c>
      <c r="D711" s="318" t="s">
        <v>23</v>
      </c>
      <c r="E711" s="318" t="s">
        <v>1272</v>
      </c>
      <c r="F711" s="316">
        <v>44691</v>
      </c>
      <c r="G711" s="316"/>
      <c r="H711" s="316"/>
      <c r="I711" s="316" t="s">
        <v>3</v>
      </c>
      <c r="J711" s="318" t="s">
        <v>1921</v>
      </c>
      <c r="K711" s="318" t="s">
        <v>2032</v>
      </c>
      <c r="L711" s="14">
        <v>44697</v>
      </c>
      <c r="M711" t="s">
        <v>3046</v>
      </c>
      <c r="N711" s="174">
        <v>44701</v>
      </c>
      <c r="O711" s="179"/>
      <c r="Q711" t="s">
        <v>22</v>
      </c>
      <c r="T711" s="195"/>
      <c r="U711" s="195"/>
      <c r="V711" s="300"/>
      <c r="W711" s="201"/>
      <c r="X711" s="201"/>
      <c r="Y711" s="200"/>
      <c r="Z711" s="207"/>
      <c r="AA711" s="206"/>
      <c r="AB711" s="207"/>
      <c r="AC711" s="188"/>
      <c r="AD711" s="187">
        <v>44701</v>
      </c>
    </row>
    <row r="712" spans="1:30">
      <c r="A712" s="318">
        <f>COUNTA($E$3:E712)</f>
        <v>710</v>
      </c>
      <c r="B712" s="318" t="s">
        <v>2526</v>
      </c>
      <c r="C712" s="318" t="s">
        <v>40</v>
      </c>
      <c r="D712" s="318" t="s">
        <v>1264</v>
      </c>
      <c r="E712" s="318" t="s">
        <v>2003</v>
      </c>
      <c r="F712" s="316">
        <v>44610</v>
      </c>
      <c r="G712" s="316"/>
      <c r="H712" s="316" t="s">
        <v>55</v>
      </c>
      <c r="I712" s="316" t="s">
        <v>4</v>
      </c>
      <c r="J712" s="318" t="s">
        <v>1093</v>
      </c>
      <c r="K712" s="318" t="s">
        <v>1287</v>
      </c>
      <c r="L712" s="14">
        <v>44697</v>
      </c>
      <c r="M712" t="s">
        <v>3044</v>
      </c>
      <c r="N712" s="174">
        <v>44700</v>
      </c>
      <c r="O712" s="179"/>
      <c r="Q712" t="s">
        <v>129</v>
      </c>
      <c r="T712" s="195"/>
      <c r="U712" s="195"/>
      <c r="V712" s="300"/>
      <c r="W712" s="201"/>
      <c r="X712" s="201"/>
      <c r="Y712" s="200"/>
      <c r="Z712" s="207"/>
      <c r="AA712" s="206"/>
      <c r="AB712" s="207"/>
      <c r="AC712" s="188"/>
      <c r="AD712" s="187">
        <v>44700</v>
      </c>
    </row>
    <row r="713" spans="1:30">
      <c r="A713" s="318">
        <f>COUNTA($E$3:E713)</f>
        <v>711</v>
      </c>
      <c r="B713" s="318" t="s">
        <v>2825</v>
      </c>
      <c r="C713" s="318" t="s">
        <v>1106</v>
      </c>
      <c r="D713" s="318" t="s">
        <v>1098</v>
      </c>
      <c r="E713" s="318" t="s">
        <v>2826</v>
      </c>
      <c r="F713" s="316">
        <v>44666.517303993103</v>
      </c>
      <c r="G713" s="316"/>
      <c r="H713" s="316"/>
      <c r="I713" s="316" t="s">
        <v>1110</v>
      </c>
      <c r="J713" s="318" t="s">
        <v>1093</v>
      </c>
      <c r="K713" s="318" t="s">
        <v>1287</v>
      </c>
      <c r="L713" s="14">
        <v>44689</v>
      </c>
      <c r="M713" t="s">
        <v>3008</v>
      </c>
      <c r="N713" s="174">
        <v>44679</v>
      </c>
      <c r="O713" s="179"/>
      <c r="Q713" t="s">
        <v>129</v>
      </c>
      <c r="T713" s="195"/>
      <c r="U713" s="195"/>
      <c r="V713" s="300"/>
      <c r="W713" s="201"/>
      <c r="X713" s="201"/>
      <c r="Y713" s="200"/>
      <c r="Z713" s="207"/>
      <c r="AA713" s="206"/>
      <c r="AB713" s="207"/>
      <c r="AC713" s="188"/>
      <c r="AD713" s="187">
        <v>44679</v>
      </c>
    </row>
    <row r="714" spans="1:30">
      <c r="A714" s="318">
        <f>COUNTA($E$3:E714)</f>
        <v>712</v>
      </c>
      <c r="B714" s="318" t="s">
        <v>2995</v>
      </c>
      <c r="C714" s="318" t="s">
        <v>2330</v>
      </c>
      <c r="D714" s="318" t="s">
        <v>1080</v>
      </c>
      <c r="E714" s="318" t="s">
        <v>2331</v>
      </c>
      <c r="F714" s="316">
        <v>44686</v>
      </c>
      <c r="G714" s="316"/>
      <c r="H714" s="316"/>
      <c r="I714" s="316" t="s">
        <v>2</v>
      </c>
      <c r="J714" s="318" t="s">
        <v>1723</v>
      </c>
      <c r="K714" s="318" t="s">
        <v>287</v>
      </c>
      <c r="L714" s="14">
        <v>44689</v>
      </c>
      <c r="M714" t="s">
        <v>3007</v>
      </c>
      <c r="N714" s="174">
        <v>44705</v>
      </c>
      <c r="O714" s="179"/>
      <c r="Q714" t="s">
        <v>22</v>
      </c>
      <c r="T714" s="195"/>
      <c r="U714" s="195"/>
      <c r="V714" s="300"/>
      <c r="W714" s="201"/>
      <c r="X714" s="201"/>
      <c r="Y714" s="200"/>
      <c r="Z714" s="207"/>
      <c r="AA714" s="206"/>
      <c r="AB714" s="207"/>
      <c r="AC714" s="188"/>
      <c r="AD714" s="187">
        <v>44705</v>
      </c>
    </row>
    <row r="715" spans="1:30">
      <c r="A715" s="318">
        <f>COUNTA($E$3:E715)</f>
        <v>713</v>
      </c>
      <c r="B715" s="318" t="s">
        <v>2971</v>
      </c>
      <c r="C715" s="318" t="s">
        <v>41</v>
      </c>
      <c r="D715" s="318" t="s">
        <v>30</v>
      </c>
      <c r="E715" s="318" t="s">
        <v>2970</v>
      </c>
      <c r="F715" s="316">
        <v>44678</v>
      </c>
      <c r="G715" s="316"/>
      <c r="H715" s="316"/>
      <c r="I715" s="316" t="s">
        <v>2</v>
      </c>
      <c r="J715" s="318" t="s">
        <v>2996</v>
      </c>
      <c r="K715" s="318" t="s">
        <v>1294</v>
      </c>
      <c r="L715" s="14">
        <v>44689</v>
      </c>
      <c r="M715" t="s">
        <v>3004</v>
      </c>
      <c r="N715" s="174">
        <v>44689</v>
      </c>
      <c r="O715" s="179"/>
      <c r="Q715" t="s">
        <v>22</v>
      </c>
      <c r="T715" s="195"/>
      <c r="U715" s="195"/>
      <c r="V715" s="300"/>
      <c r="W715" s="201"/>
      <c r="X715" s="201"/>
      <c r="Y715" s="200"/>
      <c r="Z715" s="207"/>
      <c r="AA715" s="206"/>
      <c r="AB715" s="207"/>
      <c r="AC715" s="188"/>
      <c r="AD715" s="187">
        <v>44689</v>
      </c>
    </row>
    <row r="716" spans="1:30">
      <c r="A716" s="318">
        <f>COUNTA($E$3:E716)</f>
        <v>714</v>
      </c>
      <c r="B716" s="318" t="s">
        <v>2993</v>
      </c>
      <c r="C716" s="318" t="s">
        <v>37</v>
      </c>
      <c r="D716" s="318" t="s">
        <v>30</v>
      </c>
      <c r="E716" s="318" t="s">
        <v>2994</v>
      </c>
      <c r="F716" s="316">
        <v>44686</v>
      </c>
      <c r="G716" s="316"/>
      <c r="H716" s="316"/>
      <c r="I716" s="316" t="s">
        <v>3</v>
      </c>
      <c r="J716" s="318" t="s">
        <v>1643</v>
      </c>
      <c r="K716" s="318" t="s">
        <v>1287</v>
      </c>
      <c r="L716" s="14">
        <v>44689</v>
      </c>
      <c r="M716" t="s">
        <v>3006</v>
      </c>
      <c r="N716" s="174">
        <v>44692</v>
      </c>
      <c r="O716" s="179"/>
      <c r="Q716" t="s">
        <v>129</v>
      </c>
      <c r="T716" s="195"/>
      <c r="U716" s="195"/>
      <c r="V716" s="300"/>
      <c r="W716" s="201"/>
      <c r="X716" s="201"/>
      <c r="Y716" s="200"/>
      <c r="Z716" s="207"/>
      <c r="AA716" s="206"/>
      <c r="AB716" s="207"/>
      <c r="AC716" s="188"/>
      <c r="AD716" s="187">
        <v>44692</v>
      </c>
    </row>
    <row r="717" spans="1:30">
      <c r="A717" s="318">
        <f>COUNTA($E$3:E717)</f>
        <v>715</v>
      </c>
      <c r="B717" s="318" t="s">
        <v>2985</v>
      </c>
      <c r="C717" s="318" t="s">
        <v>37</v>
      </c>
      <c r="D717" s="318" t="s">
        <v>30</v>
      </c>
      <c r="E717" s="318" t="s">
        <v>1288</v>
      </c>
      <c r="F717" s="316">
        <v>44685</v>
      </c>
      <c r="G717" s="316"/>
      <c r="H717" s="316"/>
      <c r="I717" s="316" t="s">
        <v>3</v>
      </c>
      <c r="J717" s="318" t="s">
        <v>1249</v>
      </c>
      <c r="K717" s="318" t="s">
        <v>1287</v>
      </c>
      <c r="L717" s="14">
        <v>44689</v>
      </c>
      <c r="M717" t="s">
        <v>3005</v>
      </c>
      <c r="N717" s="174">
        <v>44692</v>
      </c>
      <c r="O717" s="179"/>
      <c r="Q717" t="s">
        <v>129</v>
      </c>
      <c r="T717" s="195"/>
      <c r="U717" s="195"/>
      <c r="V717" s="300"/>
      <c r="W717" s="201"/>
      <c r="X717" s="201"/>
      <c r="Y717" s="200"/>
      <c r="Z717" s="207"/>
      <c r="AA717" s="206"/>
      <c r="AB717" s="207"/>
      <c r="AC717" s="188"/>
      <c r="AD717" s="187">
        <v>44692</v>
      </c>
    </row>
    <row r="718" spans="1:30">
      <c r="A718" s="318">
        <f>COUNTA($E$3:E718)</f>
        <v>716</v>
      </c>
      <c r="B718" s="318" t="s">
        <v>2984</v>
      </c>
      <c r="C718" s="318" t="s">
        <v>37</v>
      </c>
      <c r="D718" s="318" t="s">
        <v>34</v>
      </c>
      <c r="E718" s="318" t="s">
        <v>1107</v>
      </c>
      <c r="F718" s="316">
        <v>44685</v>
      </c>
      <c r="G718" s="316"/>
      <c r="H718" s="316"/>
      <c r="I718" s="316" t="s">
        <v>3</v>
      </c>
      <c r="J718" s="318" t="s">
        <v>1212</v>
      </c>
      <c r="K718" s="318" t="s">
        <v>1287</v>
      </c>
      <c r="L718" s="14">
        <v>44689</v>
      </c>
      <c r="M718" t="s">
        <v>3005</v>
      </c>
      <c r="N718" s="174">
        <v>44692</v>
      </c>
      <c r="O718" s="179"/>
      <c r="Q718" t="s">
        <v>129</v>
      </c>
      <c r="T718" s="195"/>
      <c r="U718" s="195"/>
      <c r="V718" s="300"/>
      <c r="W718" s="201"/>
      <c r="X718" s="201"/>
      <c r="Y718" s="200"/>
      <c r="Z718" s="207"/>
      <c r="AA718" s="206"/>
      <c r="AB718" s="207"/>
      <c r="AC718" s="188"/>
      <c r="AD718" s="187">
        <v>44692</v>
      </c>
    </row>
    <row r="719" spans="1:30">
      <c r="A719" s="318">
        <f>COUNTA($E$3:E719)</f>
        <v>717</v>
      </c>
      <c r="B719" s="318" t="s">
        <v>2983</v>
      </c>
      <c r="C719" s="318" t="s">
        <v>37</v>
      </c>
      <c r="D719" s="318" t="s">
        <v>34</v>
      </c>
      <c r="E719" s="318" t="s">
        <v>1844</v>
      </c>
      <c r="F719" s="316">
        <v>44685</v>
      </c>
      <c r="G719" s="316"/>
      <c r="H719" s="316"/>
      <c r="I719" s="316" t="s">
        <v>3</v>
      </c>
      <c r="J719" s="318" t="s">
        <v>1212</v>
      </c>
      <c r="K719" s="318" t="s">
        <v>1287</v>
      </c>
      <c r="L719" s="14">
        <v>44689</v>
      </c>
      <c r="M719" t="s">
        <v>3005</v>
      </c>
      <c r="N719" s="174">
        <v>44692</v>
      </c>
      <c r="O719" s="179"/>
      <c r="Q719" t="s">
        <v>129</v>
      </c>
      <c r="T719" s="195"/>
      <c r="U719" s="195"/>
      <c r="V719" s="300"/>
      <c r="W719" s="201"/>
      <c r="X719" s="201"/>
      <c r="Y719" s="200"/>
      <c r="Z719" s="207"/>
      <c r="AA719" s="206"/>
      <c r="AB719" s="207"/>
      <c r="AC719" s="188"/>
      <c r="AD719" s="187">
        <v>44692</v>
      </c>
    </row>
    <row r="720" spans="1:30">
      <c r="A720" s="318">
        <f>COUNTA($E$3:E720)</f>
        <v>718</v>
      </c>
      <c r="B720" s="318" t="s">
        <v>2981</v>
      </c>
      <c r="C720" s="318" t="s">
        <v>41</v>
      </c>
      <c r="D720" s="318" t="s">
        <v>30</v>
      </c>
      <c r="E720" s="318" t="s">
        <v>2982</v>
      </c>
      <c r="F720" s="316">
        <v>44685.742858796293</v>
      </c>
      <c r="G720" s="316"/>
      <c r="H720" s="316"/>
      <c r="I720" s="316" t="s">
        <v>3</v>
      </c>
      <c r="J720" s="318" t="s">
        <v>1212</v>
      </c>
      <c r="K720" s="318" t="s">
        <v>2032</v>
      </c>
      <c r="L720" s="14">
        <v>44689</v>
      </c>
      <c r="M720" t="s">
        <v>3009</v>
      </c>
      <c r="N720" s="174">
        <v>44701</v>
      </c>
      <c r="O720" s="179"/>
      <c r="Q720" t="s">
        <v>22</v>
      </c>
      <c r="T720" s="195"/>
      <c r="U720" s="195"/>
      <c r="V720" s="300"/>
      <c r="W720" s="201"/>
      <c r="X720" s="201"/>
      <c r="Y720" s="200"/>
      <c r="Z720" s="207"/>
      <c r="AA720" s="206"/>
      <c r="AB720" s="207"/>
      <c r="AC720" s="188"/>
      <c r="AD720" s="187">
        <v>44701</v>
      </c>
    </row>
    <row r="721" spans="1:30">
      <c r="A721" s="318">
        <f>COUNTA($E$3:E721)</f>
        <v>719</v>
      </c>
      <c r="B721" s="318" t="s">
        <v>2942</v>
      </c>
      <c r="C721" s="318" t="s">
        <v>44</v>
      </c>
      <c r="D721" s="318" t="s">
        <v>51</v>
      </c>
      <c r="E721" s="318" t="s">
        <v>259</v>
      </c>
      <c r="F721" s="316">
        <v>44676.793408888901</v>
      </c>
      <c r="G721" s="316"/>
      <c r="H721" s="316"/>
      <c r="I721" s="316" t="s">
        <v>3</v>
      </c>
      <c r="J721" s="318" t="s">
        <v>2963</v>
      </c>
      <c r="K721" s="318" t="s">
        <v>1295</v>
      </c>
      <c r="L721" s="14">
        <v>44689</v>
      </c>
      <c r="M721" t="s">
        <v>2998</v>
      </c>
      <c r="N721" s="174">
        <v>44701</v>
      </c>
      <c r="O721" s="179"/>
      <c r="Q721" t="s">
        <v>129</v>
      </c>
      <c r="T721" s="195"/>
      <c r="U721" s="195"/>
      <c r="V721" s="300"/>
      <c r="W721" s="201"/>
      <c r="X721" s="201"/>
      <c r="Y721" s="200"/>
      <c r="Z721" s="207"/>
      <c r="AA721" s="206"/>
      <c r="AB721" s="207"/>
      <c r="AC721" s="188"/>
      <c r="AD721" s="187">
        <v>44701</v>
      </c>
    </row>
    <row r="722" spans="1:30">
      <c r="A722" s="318">
        <f>COUNTA($E$3:E722)</f>
        <v>720</v>
      </c>
      <c r="B722" s="318" t="s">
        <v>2943</v>
      </c>
      <c r="C722" s="318" t="s">
        <v>2340</v>
      </c>
      <c r="D722" s="318" t="s">
        <v>2341</v>
      </c>
      <c r="E722" s="318" t="s">
        <v>2910</v>
      </c>
      <c r="F722" s="316">
        <v>44678</v>
      </c>
      <c r="G722" s="316"/>
      <c r="H722" s="316"/>
      <c r="I722" s="316" t="s">
        <v>2</v>
      </c>
      <c r="J722" s="318" t="s">
        <v>2944</v>
      </c>
      <c r="K722" s="318" t="s">
        <v>20</v>
      </c>
      <c r="L722" s="14">
        <v>44685</v>
      </c>
      <c r="M722" t="s">
        <v>2969</v>
      </c>
      <c r="N722" s="174">
        <v>44685</v>
      </c>
      <c r="O722" s="179"/>
      <c r="Q722" t="s">
        <v>22</v>
      </c>
      <c r="T722" s="195"/>
      <c r="U722" s="195"/>
      <c r="V722" s="300"/>
      <c r="W722" s="201"/>
      <c r="X722" s="201"/>
      <c r="Y722" s="200"/>
      <c r="Z722" s="207"/>
      <c r="AA722" s="206"/>
      <c r="AB722" s="207"/>
      <c r="AC722" s="188"/>
      <c r="AD722" s="187">
        <v>44685</v>
      </c>
    </row>
    <row r="723" spans="1:30">
      <c r="A723" s="318">
        <f>COUNTA($E$3:E723)</f>
        <v>721</v>
      </c>
      <c r="B723" s="318" t="s">
        <v>2939</v>
      </c>
      <c r="C723" s="318" t="s">
        <v>21</v>
      </c>
      <c r="D723" s="318" t="s">
        <v>23</v>
      </c>
      <c r="E723" s="318" t="s">
        <v>1653</v>
      </c>
      <c r="F723" s="316">
        <v>44676</v>
      </c>
      <c r="G723" s="316"/>
      <c r="H723" s="316"/>
      <c r="I723" s="316" t="s">
        <v>3</v>
      </c>
      <c r="J723" s="318" t="s">
        <v>1485</v>
      </c>
      <c r="K723" s="318" t="s">
        <v>1296</v>
      </c>
      <c r="L723" s="14">
        <v>44685</v>
      </c>
      <c r="M723" t="s">
        <v>2968</v>
      </c>
      <c r="N723" s="174">
        <v>44690</v>
      </c>
      <c r="O723" s="179"/>
      <c r="Q723" t="s">
        <v>129</v>
      </c>
      <c r="T723" s="195"/>
      <c r="U723" s="195"/>
      <c r="V723" s="300"/>
      <c r="W723" s="201"/>
      <c r="X723" s="201"/>
      <c r="Y723" s="200"/>
      <c r="Z723" s="207"/>
      <c r="AA723" s="206"/>
      <c r="AB723" s="207"/>
      <c r="AC723" s="188"/>
      <c r="AD723" s="187">
        <v>44690</v>
      </c>
    </row>
    <row r="724" spans="1:30">
      <c r="A724" s="318">
        <f>COUNTA($E$3:E724)</f>
        <v>722</v>
      </c>
      <c r="B724" s="318" t="s">
        <v>2938</v>
      </c>
      <c r="C724" s="318" t="s">
        <v>21</v>
      </c>
      <c r="D724" s="318" t="s">
        <v>34</v>
      </c>
      <c r="E724" s="318" t="s">
        <v>1256</v>
      </c>
      <c r="F724" s="316">
        <v>44676</v>
      </c>
      <c r="G724" s="316"/>
      <c r="H724" s="316"/>
      <c r="I724" s="316" t="s">
        <v>3</v>
      </c>
      <c r="J724" s="318" t="s">
        <v>1485</v>
      </c>
      <c r="K724" s="318" t="s">
        <v>1180</v>
      </c>
      <c r="L724" s="14">
        <v>44685</v>
      </c>
      <c r="M724" t="s">
        <v>2967</v>
      </c>
      <c r="N724" s="174">
        <v>44690</v>
      </c>
      <c r="O724" s="179"/>
      <c r="Q724" t="s">
        <v>129</v>
      </c>
      <c r="T724" s="195"/>
      <c r="U724" s="195"/>
      <c r="V724" s="300"/>
      <c r="W724" s="201"/>
      <c r="X724" s="201"/>
      <c r="Y724" s="200"/>
      <c r="Z724" s="207"/>
      <c r="AA724" s="206"/>
      <c r="AB724" s="207"/>
      <c r="AC724" s="188"/>
      <c r="AD724" s="187">
        <v>44690</v>
      </c>
    </row>
    <row r="725" spans="1:30">
      <c r="A725" s="318">
        <f>COUNTA($E$3:E725)</f>
        <v>723</v>
      </c>
      <c r="B725" s="318" t="s">
        <v>2937</v>
      </c>
      <c r="C725" s="318" t="s">
        <v>21</v>
      </c>
      <c r="D725" s="318" t="s">
        <v>30</v>
      </c>
      <c r="E725" s="318" t="s">
        <v>1252</v>
      </c>
      <c r="F725" s="316">
        <v>44676</v>
      </c>
      <c r="G725" s="316"/>
      <c r="H725" s="316"/>
      <c r="I725" s="316" t="s">
        <v>3</v>
      </c>
      <c r="J725" s="318" t="s">
        <v>1212</v>
      </c>
      <c r="K725" s="318" t="s">
        <v>1296</v>
      </c>
      <c r="L725" s="14">
        <v>44685</v>
      </c>
      <c r="M725" t="s">
        <v>2966</v>
      </c>
      <c r="N725" s="174">
        <v>44690</v>
      </c>
      <c r="O725" s="179"/>
      <c r="Q725" t="s">
        <v>129</v>
      </c>
      <c r="T725" s="195"/>
      <c r="U725" s="195"/>
      <c r="V725" s="300"/>
      <c r="W725" s="201"/>
      <c r="X725" s="201"/>
      <c r="Y725" s="200"/>
      <c r="Z725" s="207"/>
      <c r="AA725" s="206"/>
      <c r="AB725" s="207"/>
      <c r="AC725" s="188"/>
      <c r="AD725" s="187">
        <v>44690</v>
      </c>
    </row>
    <row r="726" spans="1:30">
      <c r="A726" s="318">
        <f>COUNTA($E$3:E726)</f>
        <v>724</v>
      </c>
      <c r="B726" s="318" t="s">
        <v>2935</v>
      </c>
      <c r="C726" s="318" t="s">
        <v>21</v>
      </c>
      <c r="D726" s="318" t="s">
        <v>30</v>
      </c>
      <c r="E726" s="318" t="s">
        <v>2704</v>
      </c>
      <c r="F726" s="316">
        <v>44676</v>
      </c>
      <c r="G726" s="316"/>
      <c r="H726" s="316"/>
      <c r="I726" s="316" t="s">
        <v>3</v>
      </c>
      <c r="J726" s="318" t="s">
        <v>2936</v>
      </c>
      <c r="K726" s="318" t="s">
        <v>1296</v>
      </c>
      <c r="L726" s="14">
        <v>44685</v>
      </c>
      <c r="M726" t="s">
        <v>2966</v>
      </c>
      <c r="N726" s="174">
        <v>44690</v>
      </c>
      <c r="O726" s="179"/>
      <c r="Q726" t="s">
        <v>129</v>
      </c>
      <c r="T726" s="195"/>
      <c r="U726" s="195"/>
      <c r="V726" s="300"/>
      <c r="W726" s="201"/>
      <c r="X726" s="201"/>
      <c r="Y726" s="200"/>
      <c r="Z726" s="207"/>
      <c r="AA726" s="206"/>
      <c r="AB726" s="207"/>
      <c r="AC726" s="188"/>
      <c r="AD726" s="187">
        <v>44690</v>
      </c>
    </row>
    <row r="727" spans="1:30">
      <c r="A727" s="318">
        <f>COUNTA($E$3:E727)</f>
        <v>725</v>
      </c>
      <c r="B727" s="318" t="s">
        <v>2930</v>
      </c>
      <c r="C727" s="318" t="s">
        <v>65</v>
      </c>
      <c r="D727" s="318" t="s">
        <v>31</v>
      </c>
      <c r="E727" s="318" t="s">
        <v>1226</v>
      </c>
      <c r="F727" s="316">
        <v>44676</v>
      </c>
      <c r="G727" s="316"/>
      <c r="H727" s="316"/>
      <c r="I727" s="316" t="s">
        <v>3</v>
      </c>
      <c r="J727" s="318" t="s">
        <v>2931</v>
      </c>
      <c r="K727" s="318" t="s">
        <v>1294</v>
      </c>
      <c r="L727" s="14">
        <v>44685</v>
      </c>
      <c r="M727" t="s">
        <v>2965</v>
      </c>
      <c r="N727" s="174">
        <v>44705</v>
      </c>
      <c r="O727" s="179"/>
      <c r="Q727" t="s">
        <v>22</v>
      </c>
      <c r="T727" s="195"/>
      <c r="U727" s="195"/>
      <c r="V727" s="300"/>
      <c r="W727" s="201"/>
      <c r="X727" s="201"/>
      <c r="Y727" s="200"/>
      <c r="Z727" s="207"/>
      <c r="AA727" s="206"/>
      <c r="AB727" s="207"/>
      <c r="AC727" s="188"/>
      <c r="AD727" s="187">
        <v>44705</v>
      </c>
    </row>
    <row r="728" spans="1:30">
      <c r="A728" s="318">
        <f>COUNTA($E$3:E728)</f>
        <v>726</v>
      </c>
      <c r="B728" s="318" t="s">
        <v>2880</v>
      </c>
      <c r="C728" s="318" t="s">
        <v>286</v>
      </c>
      <c r="D728" s="318" t="s">
        <v>34</v>
      </c>
      <c r="E728" s="318" t="s">
        <v>1250</v>
      </c>
      <c r="F728" s="316">
        <v>44672</v>
      </c>
      <c r="G728" s="316"/>
      <c r="H728" s="316"/>
      <c r="I728" s="316" t="s">
        <v>3</v>
      </c>
      <c r="J728" s="318" t="s">
        <v>1760</v>
      </c>
      <c r="K728" s="318" t="s">
        <v>2032</v>
      </c>
      <c r="L728" s="14">
        <v>44685</v>
      </c>
      <c r="M728" t="s">
        <v>2953</v>
      </c>
      <c r="N728" s="174">
        <v>44685</v>
      </c>
      <c r="O728" s="179"/>
      <c r="Q728" t="s">
        <v>22</v>
      </c>
      <c r="T728" s="195"/>
      <c r="U728" s="195"/>
      <c r="V728" s="300"/>
      <c r="W728" s="201"/>
      <c r="X728" s="201"/>
      <c r="Y728" s="200"/>
      <c r="Z728" s="207"/>
      <c r="AA728" s="206"/>
      <c r="AB728" s="207"/>
      <c r="AC728" s="188"/>
      <c r="AD728" s="187">
        <v>44685</v>
      </c>
    </row>
    <row r="729" spans="1:30">
      <c r="A729" s="318">
        <f>COUNTA($E$3:E729)</f>
        <v>727</v>
      </c>
      <c r="B729" s="318" t="s">
        <v>2945</v>
      </c>
      <c r="C729" s="318" t="s">
        <v>2431</v>
      </c>
      <c r="D729" s="318" t="s">
        <v>1098</v>
      </c>
      <c r="E729" s="318" t="s">
        <v>2432</v>
      </c>
      <c r="F729" s="316">
        <v>44678</v>
      </c>
      <c r="G729" s="316"/>
      <c r="H729" s="316"/>
      <c r="I729" s="316" t="s">
        <v>4</v>
      </c>
      <c r="J729" s="318" t="s">
        <v>1707</v>
      </c>
      <c r="K729" s="318" t="s">
        <v>287</v>
      </c>
      <c r="L729" s="14">
        <v>44685</v>
      </c>
      <c r="M729" t="s">
        <v>2969</v>
      </c>
      <c r="N729" s="174">
        <v>44691</v>
      </c>
      <c r="O729" s="179"/>
      <c r="Q729" t="s">
        <v>129</v>
      </c>
      <c r="T729" s="195"/>
      <c r="U729" s="195"/>
      <c r="V729" s="300"/>
      <c r="W729" s="201"/>
      <c r="X729" s="201"/>
      <c r="Y729" s="200"/>
      <c r="Z729" s="207"/>
      <c r="AA729" s="206"/>
      <c r="AB729" s="207"/>
      <c r="AC729" s="188"/>
      <c r="AD729" s="187">
        <v>44691</v>
      </c>
    </row>
    <row r="730" spans="1:30">
      <c r="A730" s="318">
        <f>COUNTA($E$3:E730)</f>
        <v>728</v>
      </c>
      <c r="B730" s="318" t="s">
        <v>2819</v>
      </c>
      <c r="C730" s="318" t="s">
        <v>44</v>
      </c>
      <c r="D730" s="318" t="s">
        <v>45</v>
      </c>
      <c r="E730" s="318" t="s">
        <v>2820</v>
      </c>
      <c r="F730" s="316">
        <v>44666</v>
      </c>
      <c r="G730" s="316"/>
      <c r="H730" s="316"/>
      <c r="I730" s="316" t="s">
        <v>1110</v>
      </c>
      <c r="J730" s="318" t="s">
        <v>2194</v>
      </c>
      <c r="K730" s="318" t="s">
        <v>1295</v>
      </c>
      <c r="L730" s="14">
        <v>44673</v>
      </c>
      <c r="M730" t="s">
        <v>2888</v>
      </c>
      <c r="N730" s="174">
        <v>44673</v>
      </c>
      <c r="O730" s="179"/>
      <c r="Q730" t="s">
        <v>129</v>
      </c>
      <c r="T730" s="195"/>
      <c r="U730" s="195"/>
      <c r="V730" s="300"/>
      <c r="W730" s="201"/>
      <c r="X730" s="201"/>
      <c r="Y730" s="200"/>
      <c r="Z730" s="207"/>
      <c r="AA730" s="206"/>
      <c r="AB730" s="207"/>
      <c r="AC730" s="188"/>
      <c r="AD730" s="187">
        <v>44673</v>
      </c>
    </row>
    <row r="731" spans="1:30">
      <c r="A731" s="318">
        <f>COUNTA($E$3:E731)</f>
        <v>729</v>
      </c>
      <c r="B731" s="318" t="s">
        <v>2836</v>
      </c>
      <c r="C731" s="318" t="s">
        <v>1804</v>
      </c>
      <c r="D731" s="318" t="s">
        <v>1805</v>
      </c>
      <c r="E731" s="318" t="s">
        <v>1806</v>
      </c>
      <c r="F731" s="316">
        <v>44669</v>
      </c>
      <c r="G731" s="316"/>
      <c r="H731" s="316"/>
      <c r="I731" s="316" t="s">
        <v>2</v>
      </c>
      <c r="J731" s="318" t="s">
        <v>1855</v>
      </c>
      <c r="K731" s="318" t="s">
        <v>24</v>
      </c>
      <c r="L731" s="14">
        <v>44673</v>
      </c>
      <c r="N731" s="174">
        <v>44701</v>
      </c>
      <c r="O731" s="179"/>
      <c r="Q731" t="s">
        <v>22</v>
      </c>
      <c r="T731" s="195"/>
      <c r="U731" s="195"/>
      <c r="V731" s="300"/>
      <c r="W731" s="201"/>
      <c r="X731" s="201"/>
      <c r="Y731" s="200"/>
      <c r="Z731" s="207"/>
      <c r="AA731" s="206"/>
      <c r="AB731" s="207"/>
      <c r="AC731" s="188"/>
      <c r="AD731" s="187">
        <v>44701</v>
      </c>
    </row>
    <row r="732" spans="1:30">
      <c r="A732" s="318">
        <f>COUNTA($E$3:E732)</f>
        <v>730</v>
      </c>
      <c r="B732" s="318" t="s">
        <v>2807</v>
      </c>
      <c r="C732" s="318" t="s">
        <v>41</v>
      </c>
      <c r="D732" s="318" t="s">
        <v>38</v>
      </c>
      <c r="E732" s="318" t="s">
        <v>2808</v>
      </c>
      <c r="F732" s="316">
        <v>44665.451366527799</v>
      </c>
      <c r="G732" s="316"/>
      <c r="H732" s="316"/>
      <c r="I732" s="316" t="s">
        <v>2</v>
      </c>
      <c r="J732" s="318" t="s">
        <v>2790</v>
      </c>
      <c r="K732" s="318" t="s">
        <v>2032</v>
      </c>
      <c r="L732" s="14">
        <v>44673</v>
      </c>
      <c r="M732" t="s">
        <v>2887</v>
      </c>
      <c r="N732" s="174">
        <v>44673</v>
      </c>
      <c r="O732" s="179"/>
      <c r="Q732" t="s">
        <v>22</v>
      </c>
      <c r="T732" s="195"/>
      <c r="U732" s="195"/>
      <c r="V732" s="300"/>
      <c r="W732" s="201"/>
      <c r="X732" s="201"/>
      <c r="Y732" s="200"/>
      <c r="Z732" s="207"/>
      <c r="AA732" s="206"/>
      <c r="AB732" s="207"/>
      <c r="AC732" s="188"/>
      <c r="AD732" s="187">
        <v>44673</v>
      </c>
    </row>
    <row r="733" spans="1:30">
      <c r="A733" s="318">
        <f>COUNTA($E$3:E733)</f>
        <v>731</v>
      </c>
      <c r="B733" s="318" t="s">
        <v>2481</v>
      </c>
      <c r="C733" s="318" t="s">
        <v>1077</v>
      </c>
      <c r="D733" s="318" t="s">
        <v>58</v>
      </c>
      <c r="E733" s="318" t="s">
        <v>2482</v>
      </c>
      <c r="F733" s="316">
        <v>44600</v>
      </c>
      <c r="G733" s="316"/>
      <c r="H733" s="316">
        <v>44602</v>
      </c>
      <c r="I733" s="316" t="s">
        <v>2</v>
      </c>
      <c r="J733" s="318" t="s">
        <v>1667</v>
      </c>
      <c r="K733" s="318" t="s">
        <v>1294</v>
      </c>
      <c r="L733" s="14">
        <v>44673</v>
      </c>
      <c r="M733" t="s">
        <v>2886</v>
      </c>
      <c r="N733" s="174">
        <v>44819</v>
      </c>
      <c r="O733" s="179"/>
      <c r="Q733" t="s">
        <v>22</v>
      </c>
      <c r="T733" s="195"/>
      <c r="U733" s="195"/>
      <c r="V733" s="300"/>
      <c r="W733" s="201"/>
      <c r="X733" s="201"/>
      <c r="Y733" s="200"/>
      <c r="Z733" s="207"/>
      <c r="AA733" s="206"/>
      <c r="AB733" s="207"/>
      <c r="AC733" s="188"/>
      <c r="AD733" s="187">
        <v>44819</v>
      </c>
    </row>
    <row r="734" spans="1:30">
      <c r="A734" s="318">
        <f>COUNTA($E$3:E734)</f>
        <v>732</v>
      </c>
      <c r="B734" s="318" t="s">
        <v>2873</v>
      </c>
      <c r="C734" s="318" t="s">
        <v>2400</v>
      </c>
      <c r="D734" s="318" t="s">
        <v>1124</v>
      </c>
      <c r="E734" s="318" t="s">
        <v>2874</v>
      </c>
      <c r="F734" s="316">
        <v>44672</v>
      </c>
      <c r="G734" s="316"/>
      <c r="H734" s="316"/>
      <c r="I734" s="316" t="s">
        <v>3</v>
      </c>
      <c r="J734" s="318" t="s">
        <v>2875</v>
      </c>
      <c r="K734" s="318" t="s">
        <v>1294</v>
      </c>
      <c r="L734" s="14">
        <v>44673</v>
      </c>
      <c r="M734" t="s">
        <v>2909</v>
      </c>
      <c r="N734" s="174">
        <v>44676</v>
      </c>
      <c r="O734" s="179"/>
      <c r="Q734" t="s">
        <v>22</v>
      </c>
      <c r="T734" s="195"/>
      <c r="U734" s="195"/>
      <c r="V734" s="300"/>
      <c r="W734" s="201"/>
      <c r="X734" s="201"/>
      <c r="Y734" s="200"/>
      <c r="Z734" s="207"/>
      <c r="AA734" s="206"/>
      <c r="AB734" s="207"/>
      <c r="AC734" s="188"/>
      <c r="AD734" s="187">
        <v>44676</v>
      </c>
    </row>
    <row r="735" spans="1:30">
      <c r="A735" s="318">
        <f>COUNTA($E$3:E735)</f>
        <v>733</v>
      </c>
      <c r="B735" s="318" t="s">
        <v>2851</v>
      </c>
      <c r="C735" s="318" t="s">
        <v>40</v>
      </c>
      <c r="D735" s="318" t="s">
        <v>1123</v>
      </c>
      <c r="E735" s="318" t="s">
        <v>2852</v>
      </c>
      <c r="F735" s="316">
        <v>44671</v>
      </c>
      <c r="G735" s="316"/>
      <c r="H735" s="316"/>
      <c r="I735" s="316" t="s">
        <v>3</v>
      </c>
      <c r="J735" s="318" t="s">
        <v>1485</v>
      </c>
      <c r="K735" s="318" t="s">
        <v>1296</v>
      </c>
      <c r="L735" s="14">
        <v>44673</v>
      </c>
      <c r="M735" t="s">
        <v>2909</v>
      </c>
      <c r="N735" s="174">
        <v>44676</v>
      </c>
      <c r="O735" s="179"/>
      <c r="Q735" t="s">
        <v>129</v>
      </c>
      <c r="T735" s="195"/>
      <c r="U735" s="195"/>
      <c r="V735" s="300"/>
      <c r="W735" s="201"/>
      <c r="X735" s="201"/>
      <c r="Y735" s="200"/>
      <c r="Z735" s="207"/>
      <c r="AA735" s="206"/>
      <c r="AB735" s="207"/>
      <c r="AC735" s="188"/>
      <c r="AD735" s="187">
        <v>44676</v>
      </c>
    </row>
    <row r="736" spans="1:30">
      <c r="A736" s="318">
        <f>COUNTA($E$3:E736)</f>
        <v>734</v>
      </c>
      <c r="B736" s="318" t="s">
        <v>2846</v>
      </c>
      <c r="C736" s="318" t="s">
        <v>1106</v>
      </c>
      <c r="D736" s="318" t="s">
        <v>16</v>
      </c>
      <c r="E736" s="318" t="s">
        <v>2847</v>
      </c>
      <c r="F736" s="316">
        <v>44670</v>
      </c>
      <c r="G736" s="316"/>
      <c r="H736" s="316"/>
      <c r="I736" s="316" t="s">
        <v>3</v>
      </c>
      <c r="J736" s="318" t="s">
        <v>2848</v>
      </c>
      <c r="K736" s="318" t="s">
        <v>1287</v>
      </c>
      <c r="L736" s="14">
        <v>44673</v>
      </c>
      <c r="M736" t="s">
        <v>2889</v>
      </c>
      <c r="N736" s="174">
        <v>44760</v>
      </c>
      <c r="O736" s="179"/>
      <c r="Q736" t="s">
        <v>129</v>
      </c>
      <c r="T736" s="195"/>
      <c r="U736" s="195"/>
      <c r="V736" s="300"/>
      <c r="W736" s="201"/>
      <c r="X736" s="201"/>
      <c r="Y736" s="200"/>
      <c r="Z736" s="207"/>
      <c r="AA736" s="206"/>
      <c r="AB736" s="207"/>
      <c r="AC736" s="188"/>
      <c r="AD736" s="187">
        <v>44760</v>
      </c>
    </row>
    <row r="737" spans="1:30">
      <c r="A737" s="318">
        <f>COUNTA($E$3:E737)</f>
        <v>735</v>
      </c>
      <c r="B737" s="318" t="s">
        <v>2822</v>
      </c>
      <c r="C737" s="318" t="s">
        <v>44</v>
      </c>
      <c r="D737" s="318" t="s">
        <v>34</v>
      </c>
      <c r="E737" s="318" t="s">
        <v>126</v>
      </c>
      <c r="F737" s="316">
        <v>44666.446438055602</v>
      </c>
      <c r="G737" s="316"/>
      <c r="H737" s="316"/>
      <c r="I737" s="316" t="s">
        <v>3</v>
      </c>
      <c r="J737" s="318" t="s">
        <v>1212</v>
      </c>
      <c r="K737" s="318" t="s">
        <v>1295</v>
      </c>
      <c r="L737" s="14">
        <v>44673</v>
      </c>
      <c r="M737" t="s">
        <v>2911</v>
      </c>
      <c r="N737" s="174">
        <v>44675</v>
      </c>
      <c r="O737" s="179"/>
      <c r="Q737" t="s">
        <v>129</v>
      </c>
      <c r="T737" s="195"/>
      <c r="U737" s="195"/>
      <c r="V737" s="300"/>
      <c r="W737" s="201"/>
      <c r="X737" s="201"/>
      <c r="Y737" s="200"/>
      <c r="Z737" s="207"/>
      <c r="AA737" s="206"/>
      <c r="AB737" s="207"/>
      <c r="AC737" s="188"/>
      <c r="AD737" s="187">
        <v>44675</v>
      </c>
    </row>
    <row r="738" spans="1:30">
      <c r="A738" s="318">
        <f>COUNTA($E$3:E738)</f>
        <v>736</v>
      </c>
      <c r="B738" s="318" t="s">
        <v>2849</v>
      </c>
      <c r="C738" s="318" t="s">
        <v>44</v>
      </c>
      <c r="D738" s="318" t="s">
        <v>45</v>
      </c>
      <c r="E738" s="318" t="s">
        <v>127</v>
      </c>
      <c r="F738" s="316">
        <v>44671</v>
      </c>
      <c r="G738" s="316"/>
      <c r="H738" s="316"/>
      <c r="I738" s="316" t="s">
        <v>4</v>
      </c>
      <c r="J738" s="318" t="s">
        <v>2850</v>
      </c>
      <c r="K738" s="318" t="s">
        <v>1295</v>
      </c>
      <c r="L738" s="14">
        <v>44673</v>
      </c>
      <c r="M738" t="s">
        <v>2890</v>
      </c>
      <c r="N738" s="174">
        <v>44675</v>
      </c>
      <c r="O738" s="179"/>
      <c r="Q738" t="s">
        <v>129</v>
      </c>
      <c r="T738" s="195"/>
      <c r="U738" s="195"/>
      <c r="V738" s="300"/>
      <c r="W738" s="201"/>
      <c r="X738" s="201"/>
      <c r="Y738" s="200"/>
      <c r="Z738" s="207"/>
      <c r="AA738" s="206"/>
      <c r="AB738" s="207"/>
      <c r="AC738" s="188"/>
      <c r="AD738" s="187">
        <v>44675</v>
      </c>
    </row>
    <row r="739" spans="1:30">
      <c r="A739" s="318">
        <f>COUNTA($E$3:E739)</f>
        <v>737</v>
      </c>
      <c r="B739" s="318" t="s">
        <v>2837</v>
      </c>
      <c r="C739" s="318" t="s">
        <v>37</v>
      </c>
      <c r="D739" s="318" t="s">
        <v>2838</v>
      </c>
      <c r="E739" s="318" t="s">
        <v>2839</v>
      </c>
      <c r="F739" s="316">
        <v>44672.624144000001</v>
      </c>
      <c r="G739" s="316"/>
      <c r="H739" s="316"/>
      <c r="I739" s="316" t="s">
        <v>4</v>
      </c>
      <c r="J739" s="318" t="s">
        <v>2840</v>
      </c>
      <c r="K739" s="318" t="s">
        <v>1287</v>
      </c>
      <c r="L739" s="14">
        <v>44673</v>
      </c>
      <c r="M739" t="s">
        <v>2889</v>
      </c>
      <c r="N739" s="174">
        <v>44803</v>
      </c>
      <c r="O739" s="179"/>
      <c r="Q739" t="s">
        <v>129</v>
      </c>
      <c r="T739" s="195"/>
      <c r="U739" s="195"/>
      <c r="V739" s="300"/>
      <c r="W739" s="201"/>
      <c r="X739" s="201"/>
      <c r="Y739" s="200"/>
      <c r="Z739" s="207"/>
      <c r="AA739" s="206"/>
      <c r="AB739" s="207"/>
      <c r="AC739" s="188"/>
      <c r="AD739" s="187">
        <v>44803</v>
      </c>
    </row>
    <row r="740" spans="1:30">
      <c r="A740" s="318">
        <f>COUNTA($E$3:E740)</f>
        <v>738</v>
      </c>
      <c r="B740" s="318" t="s">
        <v>2806</v>
      </c>
      <c r="C740" s="318" t="s">
        <v>44</v>
      </c>
      <c r="D740" s="318" t="s">
        <v>30</v>
      </c>
      <c r="E740" s="318" t="s">
        <v>110</v>
      </c>
      <c r="F740" s="316">
        <v>44665</v>
      </c>
      <c r="G740" s="316"/>
      <c r="H740" s="316"/>
      <c r="I740" s="316" t="s">
        <v>2</v>
      </c>
      <c r="J740" s="318" t="s">
        <v>2156</v>
      </c>
      <c r="K740" s="318" t="s">
        <v>20</v>
      </c>
      <c r="L740" s="14">
        <v>44666</v>
      </c>
      <c r="M740" t="s">
        <v>2818</v>
      </c>
      <c r="N740" s="174">
        <v>44666</v>
      </c>
      <c r="O740" s="179"/>
      <c r="Q740" t="s">
        <v>22</v>
      </c>
      <c r="T740" s="195"/>
      <c r="U740" s="195"/>
      <c r="V740" s="300"/>
      <c r="W740" s="201"/>
      <c r="X740" s="201"/>
      <c r="Y740" s="200"/>
      <c r="Z740" s="207"/>
      <c r="AA740" s="206"/>
      <c r="AB740" s="207"/>
      <c r="AC740" s="188"/>
      <c r="AD740" s="187">
        <v>44666</v>
      </c>
    </row>
    <row r="741" spans="1:30">
      <c r="A741" s="318">
        <f>COUNTA($E$3:E741)</f>
        <v>739</v>
      </c>
      <c r="B741" s="318" t="s">
        <v>2801</v>
      </c>
      <c r="C741" s="318" t="s">
        <v>41</v>
      </c>
      <c r="D741" s="318" t="s">
        <v>1124</v>
      </c>
      <c r="E741" s="318" t="s">
        <v>1184</v>
      </c>
      <c r="F741" s="316">
        <v>44664</v>
      </c>
      <c r="G741" s="316"/>
      <c r="H741" s="316"/>
      <c r="I741" s="316" t="s">
        <v>2</v>
      </c>
      <c r="J741" s="318" t="s">
        <v>1667</v>
      </c>
      <c r="K741" s="318" t="s">
        <v>33</v>
      </c>
      <c r="L741" s="14">
        <v>44666</v>
      </c>
      <c r="M741" t="s">
        <v>2817</v>
      </c>
      <c r="N741" s="174">
        <v>44666</v>
      </c>
      <c r="O741" s="179"/>
      <c r="Q741" t="s">
        <v>129</v>
      </c>
      <c r="T741" s="195"/>
      <c r="U741" s="195"/>
      <c r="V741" s="300"/>
      <c r="W741" s="201"/>
      <c r="X741" s="201"/>
      <c r="Y741" s="200"/>
      <c r="Z741" s="207"/>
      <c r="AA741" s="206"/>
      <c r="AB741" s="207"/>
      <c r="AC741" s="188"/>
      <c r="AD741" s="187">
        <v>44666</v>
      </c>
    </row>
    <row r="742" spans="1:30">
      <c r="A742" s="318">
        <f>COUNTA($E$3:E742)</f>
        <v>740</v>
      </c>
      <c r="B742" s="318" t="s">
        <v>2798</v>
      </c>
      <c r="C742" s="318" t="s">
        <v>1253</v>
      </c>
      <c r="D742" s="318" t="s">
        <v>124</v>
      </c>
      <c r="E742" s="318" t="s">
        <v>123</v>
      </c>
      <c r="F742" s="316">
        <v>44663</v>
      </c>
      <c r="G742" s="316"/>
      <c r="H742" s="316"/>
      <c r="I742" s="316" t="s">
        <v>2</v>
      </c>
      <c r="J742" s="318" t="s">
        <v>357</v>
      </c>
      <c r="K742" s="318" t="s">
        <v>125</v>
      </c>
      <c r="L742" s="14">
        <v>44666</v>
      </c>
      <c r="M742" t="s">
        <v>2816</v>
      </c>
      <c r="N742" s="174">
        <v>44729</v>
      </c>
      <c r="O742" s="179"/>
      <c r="Q742" t="s">
        <v>129</v>
      </c>
      <c r="T742" s="195"/>
      <c r="U742" s="195"/>
      <c r="V742" s="300"/>
      <c r="W742" s="201"/>
      <c r="X742" s="201"/>
      <c r="Y742" s="200"/>
      <c r="Z742" s="207"/>
      <c r="AA742" s="206"/>
      <c r="AB742" s="207"/>
      <c r="AC742" s="188"/>
      <c r="AD742" s="187">
        <v>44729</v>
      </c>
    </row>
    <row r="743" spans="1:30">
      <c r="A743" s="318">
        <f>COUNTA($E$3:E743)</f>
        <v>741</v>
      </c>
      <c r="B743" s="318" t="s">
        <v>2623</v>
      </c>
      <c r="C743" s="318" t="s">
        <v>2624</v>
      </c>
      <c r="D743" s="318" t="s">
        <v>16</v>
      </c>
      <c r="E743" s="318" t="s">
        <v>2625</v>
      </c>
      <c r="F743" s="316">
        <v>44635</v>
      </c>
      <c r="G743" s="316"/>
      <c r="H743" s="316">
        <v>44636</v>
      </c>
      <c r="I743" s="316" t="s">
        <v>2</v>
      </c>
      <c r="J743" s="318" t="s">
        <v>2626</v>
      </c>
      <c r="K743" s="318" t="s">
        <v>1295</v>
      </c>
      <c r="L743" s="14">
        <v>44666</v>
      </c>
      <c r="M743" t="s">
        <v>3954</v>
      </c>
      <c r="N743" s="174">
        <v>44672</v>
      </c>
      <c r="O743" s="179"/>
      <c r="Q743" t="s">
        <v>129</v>
      </c>
      <c r="T743" s="195"/>
      <c r="U743" s="195"/>
      <c r="V743" s="300"/>
      <c r="W743" s="201"/>
      <c r="X743" s="201"/>
      <c r="Y743" s="200"/>
      <c r="Z743" s="207"/>
      <c r="AA743" s="206"/>
      <c r="AB743" s="207"/>
      <c r="AC743" s="188"/>
      <c r="AD743" s="187">
        <v>44672</v>
      </c>
    </row>
    <row r="744" spans="1:30">
      <c r="A744" s="318">
        <f>COUNTA($E$3:E744)</f>
        <v>742</v>
      </c>
      <c r="B744" s="318" t="s">
        <v>2483</v>
      </c>
      <c r="C744" s="318" t="s">
        <v>2484</v>
      </c>
      <c r="D744" s="318" t="s">
        <v>64</v>
      </c>
      <c r="E744" s="318" t="s">
        <v>1160</v>
      </c>
      <c r="F744" s="316">
        <v>44600</v>
      </c>
      <c r="G744" s="316"/>
      <c r="H744" s="316">
        <v>44602</v>
      </c>
      <c r="I744" s="316" t="s">
        <v>2</v>
      </c>
      <c r="J744" s="318" t="s">
        <v>1485</v>
      </c>
      <c r="K744" s="318" t="s">
        <v>1294</v>
      </c>
      <c r="L744" s="14">
        <v>44666</v>
      </c>
      <c r="M744" t="s">
        <v>2810</v>
      </c>
      <c r="N744" s="174">
        <v>44705</v>
      </c>
      <c r="O744" s="179"/>
      <c r="Q744" t="s">
        <v>22</v>
      </c>
      <c r="T744" s="195"/>
      <c r="U744" s="195"/>
      <c r="V744" s="300"/>
      <c r="W744" s="201"/>
      <c r="X744" s="201"/>
      <c r="Y744" s="200"/>
      <c r="Z744" s="207"/>
      <c r="AA744" s="206"/>
      <c r="AB744" s="207"/>
      <c r="AC744" s="188"/>
      <c r="AD744" s="187">
        <v>44705</v>
      </c>
    </row>
    <row r="745" spans="1:30">
      <c r="A745" s="318">
        <f>COUNTA($E$3:E745)</f>
        <v>743</v>
      </c>
      <c r="B745" s="318" t="s">
        <v>2805</v>
      </c>
      <c r="C745" s="318" t="s">
        <v>2370</v>
      </c>
      <c r="D745" s="318" t="s">
        <v>1123</v>
      </c>
      <c r="E745" s="318" t="s">
        <v>1638</v>
      </c>
      <c r="F745" s="316">
        <v>44664</v>
      </c>
      <c r="G745" s="316"/>
      <c r="H745" s="316"/>
      <c r="I745" s="316" t="s">
        <v>3</v>
      </c>
      <c r="J745" s="318" t="s">
        <v>1485</v>
      </c>
      <c r="K745" s="318" t="s">
        <v>24</v>
      </c>
      <c r="L745" s="14">
        <v>44666</v>
      </c>
      <c r="M745" t="s">
        <v>2811</v>
      </c>
      <c r="N745" s="174">
        <v>44665</v>
      </c>
      <c r="O745" s="179"/>
      <c r="Q745" t="s">
        <v>22</v>
      </c>
      <c r="T745" s="195"/>
      <c r="U745" s="195"/>
      <c r="V745" s="300"/>
      <c r="W745" s="201"/>
      <c r="X745" s="201"/>
      <c r="Y745" s="200"/>
      <c r="Z745" s="207"/>
      <c r="AA745" s="206"/>
      <c r="AB745" s="207"/>
      <c r="AC745" s="188"/>
      <c r="AD745" s="187">
        <v>44665</v>
      </c>
    </row>
    <row r="746" spans="1:30">
      <c r="A746" s="318">
        <f>COUNTA($E$3:E746)</f>
        <v>744</v>
      </c>
      <c r="B746" s="318" t="s">
        <v>2799</v>
      </c>
      <c r="C746" s="318" t="s">
        <v>41</v>
      </c>
      <c r="D746" s="318" t="s">
        <v>1115</v>
      </c>
      <c r="E746" s="318" t="s">
        <v>1228</v>
      </c>
      <c r="F746" s="316">
        <v>44664</v>
      </c>
      <c r="G746" s="316"/>
      <c r="H746" s="316"/>
      <c r="I746" s="316" t="s">
        <v>3</v>
      </c>
      <c r="J746" s="318" t="s">
        <v>1485</v>
      </c>
      <c r="K746" s="318" t="s">
        <v>1294</v>
      </c>
      <c r="L746" s="14">
        <v>44666</v>
      </c>
      <c r="M746" t="s">
        <v>2811</v>
      </c>
      <c r="N746" s="174">
        <v>44666</v>
      </c>
      <c r="O746" s="179"/>
      <c r="Q746" t="s">
        <v>22</v>
      </c>
      <c r="T746" s="195"/>
      <c r="U746" s="195"/>
      <c r="V746" s="300"/>
      <c r="W746" s="201"/>
      <c r="X746" s="201"/>
      <c r="Y746" s="200"/>
      <c r="Z746" s="207"/>
      <c r="AA746" s="206"/>
      <c r="AB746" s="207"/>
      <c r="AC746" s="188"/>
      <c r="AD746" s="187">
        <v>44666</v>
      </c>
    </row>
    <row r="747" spans="1:30">
      <c r="A747" s="318">
        <f>COUNTA($E$3:E747)</f>
        <v>745</v>
      </c>
      <c r="B747" s="318" t="s">
        <v>4240</v>
      </c>
      <c r="C747" s="318" t="s">
        <v>21</v>
      </c>
      <c r="D747" s="318" t="s">
        <v>30</v>
      </c>
      <c r="E747" s="318" t="s">
        <v>2786</v>
      </c>
      <c r="F747" s="316">
        <v>44659.568214652798</v>
      </c>
      <c r="G747" s="316"/>
      <c r="H747" s="316"/>
      <c r="I747" s="316" t="s">
        <v>3</v>
      </c>
      <c r="J747" s="318" t="s">
        <v>1760</v>
      </c>
      <c r="K747" s="318" t="s">
        <v>1295</v>
      </c>
      <c r="L747" s="14">
        <v>44666</v>
      </c>
      <c r="M747" t="s">
        <v>4241</v>
      </c>
      <c r="N747" s="174">
        <v>44690</v>
      </c>
      <c r="O747" s="179"/>
      <c r="Q747" t="s">
        <v>129</v>
      </c>
      <c r="T747" s="195"/>
      <c r="U747" s="195"/>
      <c r="V747" s="300"/>
      <c r="W747" s="201"/>
      <c r="X747" s="201"/>
      <c r="Y747" s="200"/>
      <c r="Z747" s="207"/>
      <c r="AA747" s="206"/>
      <c r="AB747" s="207"/>
      <c r="AC747" s="188"/>
      <c r="AD747" s="187">
        <v>44690</v>
      </c>
    </row>
    <row r="748" spans="1:30">
      <c r="A748" s="318">
        <f>COUNTA($E$3:E748)</f>
        <v>746</v>
      </c>
      <c r="B748" s="318" t="s">
        <v>2785</v>
      </c>
      <c r="C748" s="318" t="s">
        <v>1106</v>
      </c>
      <c r="D748" s="318" t="s">
        <v>58</v>
      </c>
      <c r="E748" s="318" t="s">
        <v>1644</v>
      </c>
      <c r="F748" s="316">
        <v>44659</v>
      </c>
      <c r="G748" s="316"/>
      <c r="H748" s="316"/>
      <c r="I748" s="316" t="s">
        <v>3</v>
      </c>
      <c r="J748" s="318" t="s">
        <v>1666</v>
      </c>
      <c r="K748" s="318" t="s">
        <v>1296</v>
      </c>
      <c r="L748" s="14">
        <v>44666</v>
      </c>
      <c r="M748" t="s">
        <v>2814</v>
      </c>
      <c r="N748" s="174">
        <v>44664</v>
      </c>
      <c r="O748" s="179"/>
      <c r="Q748" t="s">
        <v>129</v>
      </c>
      <c r="T748" s="195"/>
      <c r="U748" s="195"/>
      <c r="V748" s="300"/>
      <c r="W748" s="201"/>
      <c r="X748" s="201"/>
      <c r="Y748" s="200"/>
      <c r="Z748" s="207"/>
      <c r="AA748" s="206"/>
      <c r="AB748" s="207"/>
      <c r="AC748" s="188"/>
      <c r="AD748" s="187">
        <v>44664</v>
      </c>
    </row>
    <row r="749" spans="1:30">
      <c r="A749" s="318">
        <f>COUNTA($E$3:E749)</f>
        <v>747</v>
      </c>
      <c r="B749" s="318" t="s">
        <v>2778</v>
      </c>
      <c r="C749" s="318" t="s">
        <v>41</v>
      </c>
      <c r="D749" s="318" t="s">
        <v>23</v>
      </c>
      <c r="E749" s="318" t="s">
        <v>1044</v>
      </c>
      <c r="F749" s="316">
        <v>44658.561952999997</v>
      </c>
      <c r="G749" s="316"/>
      <c r="H749" s="316"/>
      <c r="I749" s="316" t="s">
        <v>3</v>
      </c>
      <c r="J749" s="318" t="s">
        <v>1485</v>
      </c>
      <c r="K749" s="318" t="s">
        <v>1296</v>
      </c>
      <c r="L749" s="14">
        <v>44666</v>
      </c>
      <c r="M749" t="s">
        <v>2814</v>
      </c>
      <c r="N749" s="174">
        <v>44666</v>
      </c>
      <c r="O749" s="179"/>
      <c r="Q749" t="s">
        <v>129</v>
      </c>
      <c r="T749" s="195"/>
      <c r="U749" s="195"/>
      <c r="V749" s="300"/>
      <c r="W749" s="201"/>
      <c r="X749" s="201"/>
      <c r="Y749" s="200"/>
      <c r="Z749" s="207"/>
      <c r="AA749" s="206"/>
      <c r="AB749" s="207"/>
      <c r="AC749" s="188"/>
      <c r="AD749" s="187">
        <v>44666</v>
      </c>
    </row>
    <row r="750" spans="1:30">
      <c r="A750" s="318">
        <f>COUNTA($E$3:E750)</f>
        <v>748</v>
      </c>
      <c r="B750" s="318" t="s">
        <v>2769</v>
      </c>
      <c r="C750" s="318" t="s">
        <v>1279</v>
      </c>
      <c r="D750" s="318" t="s">
        <v>1103</v>
      </c>
      <c r="E750" s="318" t="s">
        <v>2770</v>
      </c>
      <c r="F750" s="316">
        <v>44656.475727999998</v>
      </c>
      <c r="G750" s="316"/>
      <c r="H750" s="316"/>
      <c r="I750" s="316" t="s">
        <v>3</v>
      </c>
      <c r="J750" s="318" t="s">
        <v>1723</v>
      </c>
      <c r="K750" s="318" t="s">
        <v>1274</v>
      </c>
      <c r="L750" s="14">
        <v>44666</v>
      </c>
      <c r="M750">
        <v>0</v>
      </c>
      <c r="N750" s="174">
        <v>44669</v>
      </c>
      <c r="O750" s="179"/>
      <c r="Q750" t="s">
        <v>129</v>
      </c>
      <c r="T750" s="195"/>
      <c r="U750" s="195"/>
      <c r="V750" s="300"/>
      <c r="W750" s="201"/>
      <c r="X750" s="201"/>
      <c r="Y750" s="200"/>
      <c r="Z750" s="207"/>
      <c r="AA750" s="206"/>
      <c r="AB750" s="207"/>
      <c r="AC750" s="188"/>
      <c r="AD750" s="187">
        <v>44669</v>
      </c>
    </row>
    <row r="751" spans="1:30">
      <c r="A751" s="318">
        <f>COUNTA($E$3:E751)</f>
        <v>749</v>
      </c>
      <c r="B751" s="318" t="s">
        <v>2691</v>
      </c>
      <c r="C751" s="318" t="s">
        <v>1113</v>
      </c>
      <c r="D751" s="318" t="s">
        <v>38</v>
      </c>
      <c r="E751" s="318" t="s">
        <v>2692</v>
      </c>
      <c r="F751" s="316">
        <v>44642</v>
      </c>
      <c r="G751" s="316"/>
      <c r="H751" s="316">
        <v>44652</v>
      </c>
      <c r="I751" s="316" t="s">
        <v>3</v>
      </c>
      <c r="J751" s="318" t="s">
        <v>1666</v>
      </c>
      <c r="K751" s="318" t="s">
        <v>287</v>
      </c>
      <c r="L751" s="14">
        <v>44666</v>
      </c>
      <c r="M751" t="s">
        <v>2811</v>
      </c>
      <c r="N751" s="174">
        <v>44670</v>
      </c>
      <c r="O751" s="179"/>
      <c r="Q751" t="s">
        <v>22</v>
      </c>
      <c r="T751" s="195"/>
      <c r="U751" s="195"/>
      <c r="V751" s="300"/>
      <c r="W751" s="201"/>
      <c r="X751" s="201"/>
      <c r="Y751" s="200"/>
      <c r="Z751" s="207"/>
      <c r="AA751" s="206"/>
      <c r="AB751" s="207"/>
      <c r="AC751" s="188"/>
      <c r="AD751" s="187">
        <v>44670</v>
      </c>
    </row>
    <row r="752" spans="1:30">
      <c r="A752" s="318">
        <f>COUNTA($E$3:E752)</f>
        <v>750</v>
      </c>
      <c r="B752" s="318" t="s">
        <v>2771</v>
      </c>
      <c r="C752" s="318" t="s">
        <v>1279</v>
      </c>
      <c r="D752" s="318" t="s">
        <v>16</v>
      </c>
      <c r="E752" s="318" t="s">
        <v>2772</v>
      </c>
      <c r="F752" s="316">
        <v>44656</v>
      </c>
      <c r="G752" s="316"/>
      <c r="H752" s="316"/>
      <c r="I752" s="316" t="s">
        <v>2</v>
      </c>
      <c r="J752" s="318" t="s">
        <v>2209</v>
      </c>
      <c r="K752" s="318" t="s">
        <v>1274</v>
      </c>
      <c r="L752" s="14">
        <v>44659</v>
      </c>
      <c r="M752" t="s">
        <v>2783</v>
      </c>
      <c r="N752" s="174">
        <v>44669</v>
      </c>
      <c r="O752" s="179"/>
      <c r="Q752" t="s">
        <v>129</v>
      </c>
      <c r="T752" s="195"/>
      <c r="U752" s="195"/>
      <c r="V752" s="300"/>
      <c r="W752" s="201"/>
      <c r="X752" s="201"/>
      <c r="Y752" s="200"/>
      <c r="Z752" s="207"/>
      <c r="AA752" s="206"/>
      <c r="AB752" s="207"/>
      <c r="AC752" s="188"/>
      <c r="AD752" s="187">
        <v>44669</v>
      </c>
    </row>
    <row r="753" spans="1:30">
      <c r="A753" s="318">
        <f>COUNTA($E$3:E753)</f>
        <v>751</v>
      </c>
      <c r="B753" s="318" t="s">
        <v>2718</v>
      </c>
      <c r="C753" s="318" t="s">
        <v>41</v>
      </c>
      <c r="D753" s="318" t="s">
        <v>49</v>
      </c>
      <c r="E753" s="318" t="s">
        <v>2719</v>
      </c>
      <c r="F753" s="316">
        <v>44649</v>
      </c>
      <c r="G753" s="316"/>
      <c r="H753" s="316" t="s">
        <v>66</v>
      </c>
      <c r="I753" s="316" t="s">
        <v>2</v>
      </c>
      <c r="J753" s="318" t="s">
        <v>2720</v>
      </c>
      <c r="K753" s="318" t="s">
        <v>1294</v>
      </c>
      <c r="L753" s="14">
        <v>44659</v>
      </c>
      <c r="M753" t="s">
        <v>2783</v>
      </c>
      <c r="N753" s="174">
        <v>44659</v>
      </c>
      <c r="O753" s="179"/>
      <c r="Q753" t="s">
        <v>22</v>
      </c>
      <c r="T753" s="195"/>
      <c r="U753" s="195"/>
      <c r="V753" s="300"/>
      <c r="W753" s="201"/>
      <c r="X753" s="201"/>
      <c r="Y753" s="200"/>
      <c r="Z753" s="207"/>
      <c r="AA753" s="206"/>
      <c r="AB753" s="207"/>
      <c r="AC753" s="188"/>
      <c r="AD753" s="187">
        <v>44659</v>
      </c>
    </row>
    <row r="754" spans="1:30">
      <c r="A754" s="318">
        <f>COUNTA($E$3:E754)</f>
        <v>752</v>
      </c>
      <c r="B754" s="318" t="s">
        <v>2698</v>
      </c>
      <c r="C754" s="318" t="s">
        <v>41</v>
      </c>
      <c r="D754" s="318" t="s">
        <v>1131</v>
      </c>
      <c r="E754" s="318" t="s">
        <v>1132</v>
      </c>
      <c r="F754" s="316">
        <v>44644</v>
      </c>
      <c r="G754" s="316"/>
      <c r="H754" s="316" t="s">
        <v>66</v>
      </c>
      <c r="I754" s="316" t="s">
        <v>2</v>
      </c>
      <c r="J754" s="318" t="s">
        <v>1724</v>
      </c>
      <c r="K754" s="318"/>
      <c r="L754" s="14">
        <v>44659</v>
      </c>
      <c r="M754" t="s">
        <v>2783</v>
      </c>
      <c r="N754" s="174">
        <v>44659</v>
      </c>
      <c r="O754" s="179"/>
      <c r="Q754" t="s">
        <v>129</v>
      </c>
      <c r="T754" s="195"/>
      <c r="U754" s="195"/>
      <c r="V754" s="300"/>
      <c r="W754" s="201"/>
      <c r="X754" s="201"/>
      <c r="Y754" s="200"/>
      <c r="Z754" s="207"/>
      <c r="AA754" s="206"/>
      <c r="AB754" s="207"/>
      <c r="AC754" s="188"/>
      <c r="AD754" s="187">
        <v>44659</v>
      </c>
    </row>
    <row r="755" spans="1:30">
      <c r="A755" s="318">
        <f>COUNTA($E$3:E755)</f>
        <v>753</v>
      </c>
      <c r="B755" s="318" t="s">
        <v>2598</v>
      </c>
      <c r="C755" s="318" t="s">
        <v>1113</v>
      </c>
      <c r="D755" s="318" t="s">
        <v>64</v>
      </c>
      <c r="E755" s="318" t="s">
        <v>2599</v>
      </c>
      <c r="F755" s="316">
        <v>44628</v>
      </c>
      <c r="G755" s="316"/>
      <c r="H755" s="316">
        <v>44629</v>
      </c>
      <c r="I755" s="316" t="s">
        <v>2</v>
      </c>
      <c r="J755" s="318" t="s">
        <v>2600</v>
      </c>
      <c r="K755" s="318"/>
      <c r="L755" s="14">
        <v>44659</v>
      </c>
      <c r="M755" t="s">
        <v>2781</v>
      </c>
      <c r="N755" s="174">
        <v>44666</v>
      </c>
      <c r="O755" s="179"/>
      <c r="Q755" t="s">
        <v>22</v>
      </c>
      <c r="T755" s="195"/>
      <c r="U755" s="195"/>
      <c r="V755" s="300"/>
      <c r="W755" s="201"/>
      <c r="X755" s="201"/>
      <c r="Y755" s="200"/>
      <c r="Z755" s="207"/>
      <c r="AA755" s="206"/>
      <c r="AB755" s="207"/>
      <c r="AC755" s="188"/>
      <c r="AD755" s="187">
        <v>44666</v>
      </c>
    </row>
    <row r="756" spans="1:30">
      <c r="A756" s="318">
        <f>COUNTA($E$3:E756)</f>
        <v>754</v>
      </c>
      <c r="B756" s="318" t="s">
        <v>2775</v>
      </c>
      <c r="C756" s="318" t="s">
        <v>2776</v>
      </c>
      <c r="D756" s="318" t="s">
        <v>1124</v>
      </c>
      <c r="E756" s="318" t="s">
        <v>2777</v>
      </c>
      <c r="F756" s="316">
        <v>44657</v>
      </c>
      <c r="G756" s="316"/>
      <c r="H756" s="316"/>
      <c r="I756" s="316" t="s">
        <v>3</v>
      </c>
      <c r="J756" s="318" t="s">
        <v>1643</v>
      </c>
      <c r="K756" s="318"/>
      <c r="L756" s="14">
        <v>44659</v>
      </c>
      <c r="M756" t="s">
        <v>2783</v>
      </c>
      <c r="N756" s="174">
        <v>44666</v>
      </c>
      <c r="O756" s="179"/>
      <c r="Q756" t="s">
        <v>22</v>
      </c>
      <c r="T756" s="195"/>
      <c r="U756" s="195"/>
      <c r="V756" s="300"/>
      <c r="W756" s="201"/>
      <c r="X756" s="201"/>
      <c r="Y756" s="200"/>
      <c r="Z756" s="207"/>
      <c r="AA756" s="206"/>
      <c r="AB756" s="207"/>
      <c r="AC756" s="188"/>
      <c r="AD756" s="187">
        <v>44666</v>
      </c>
    </row>
    <row r="757" spans="1:30">
      <c r="A757" s="318">
        <f>COUNTA($E$3:E757)</f>
        <v>755</v>
      </c>
      <c r="B757" s="318" t="s">
        <v>2746</v>
      </c>
      <c r="C757" s="318" t="s">
        <v>37</v>
      </c>
      <c r="D757" s="318" t="s">
        <v>34</v>
      </c>
      <c r="E757" s="318" t="s">
        <v>1107</v>
      </c>
      <c r="F757" s="316">
        <v>44651</v>
      </c>
      <c r="G757" s="316"/>
      <c r="H757" s="316"/>
      <c r="I757" s="316" t="s">
        <v>3</v>
      </c>
      <c r="J757" s="318" t="s">
        <v>1760</v>
      </c>
      <c r="K757" s="318" t="s">
        <v>1274</v>
      </c>
      <c r="L757" s="14">
        <v>44659</v>
      </c>
      <c r="M757" t="s">
        <v>2783</v>
      </c>
      <c r="N757" s="174">
        <v>44657</v>
      </c>
      <c r="O757" s="179"/>
      <c r="Q757" t="s">
        <v>129</v>
      </c>
      <c r="T757" s="195"/>
      <c r="U757" s="195"/>
      <c r="V757" s="300"/>
      <c r="W757" s="201"/>
      <c r="X757" s="201"/>
      <c r="Y757" s="200"/>
      <c r="Z757" s="207"/>
      <c r="AA757" s="206"/>
      <c r="AB757" s="207"/>
      <c r="AC757" s="188"/>
      <c r="AD757" s="187">
        <v>44657</v>
      </c>
    </row>
    <row r="758" spans="1:30">
      <c r="A758" s="318">
        <f>COUNTA($E$3:E758)</f>
        <v>756</v>
      </c>
      <c r="B758" s="318" t="s">
        <v>2744</v>
      </c>
      <c r="C758" s="318" t="s">
        <v>41</v>
      </c>
      <c r="D758" s="318" t="s">
        <v>1169</v>
      </c>
      <c r="E758" s="318" t="s">
        <v>2745</v>
      </c>
      <c r="F758" s="316">
        <v>44651</v>
      </c>
      <c r="G758" s="316"/>
      <c r="H758" s="316"/>
      <c r="I758" s="316" t="s">
        <v>3</v>
      </c>
      <c r="J758" s="318" t="s">
        <v>1647</v>
      </c>
      <c r="K758" s="318" t="s">
        <v>2032</v>
      </c>
      <c r="L758" s="14">
        <v>44659</v>
      </c>
      <c r="M758" t="s">
        <v>2784</v>
      </c>
      <c r="N758" s="174">
        <v>44659</v>
      </c>
      <c r="O758" s="179"/>
      <c r="Q758" t="s">
        <v>22</v>
      </c>
      <c r="T758" s="195"/>
      <c r="U758" s="195"/>
      <c r="V758" s="300"/>
      <c r="W758" s="201"/>
      <c r="X758" s="201"/>
      <c r="Y758" s="200"/>
      <c r="Z758" s="207"/>
      <c r="AA758" s="206"/>
      <c r="AB758" s="207"/>
      <c r="AC758" s="188"/>
      <c r="AD758" s="187">
        <v>44659</v>
      </c>
    </row>
    <row r="759" spans="1:30">
      <c r="A759" s="318">
        <f>COUNTA($E$3:E759)</f>
        <v>757</v>
      </c>
      <c r="B759" s="318" t="s">
        <v>2734</v>
      </c>
      <c r="C759" s="318" t="s">
        <v>21</v>
      </c>
      <c r="D759" s="318" t="s">
        <v>30</v>
      </c>
      <c r="E759" s="318" t="s">
        <v>2023</v>
      </c>
      <c r="F759" s="316">
        <v>44651.636255960701</v>
      </c>
      <c r="G759" s="316"/>
      <c r="H759" s="316"/>
      <c r="I759" s="316" t="s">
        <v>3</v>
      </c>
      <c r="J759" s="318" t="s">
        <v>17</v>
      </c>
      <c r="K759" s="318" t="s">
        <v>1287</v>
      </c>
      <c r="L759" s="14">
        <v>44659</v>
      </c>
      <c r="M759" t="s">
        <v>2783</v>
      </c>
      <c r="N759" s="174">
        <v>44657</v>
      </c>
      <c r="O759" s="179"/>
      <c r="Q759" t="s">
        <v>129</v>
      </c>
      <c r="T759" s="195"/>
      <c r="U759" s="195"/>
      <c r="V759" s="300"/>
      <c r="W759" s="201"/>
      <c r="X759" s="201"/>
      <c r="Y759" s="200"/>
      <c r="Z759" s="207"/>
      <c r="AA759" s="206"/>
      <c r="AB759" s="207"/>
      <c r="AC759" s="188"/>
      <c r="AD759" s="187">
        <v>44657</v>
      </c>
    </row>
    <row r="760" spans="1:30">
      <c r="A760" s="318">
        <f>COUNTA($E$3:E760)</f>
        <v>758</v>
      </c>
      <c r="B760" s="318" t="s">
        <v>2730</v>
      </c>
      <c r="C760" s="318" t="s">
        <v>37</v>
      </c>
      <c r="D760" s="318" t="s">
        <v>34</v>
      </c>
      <c r="E760" s="318" t="s">
        <v>2731</v>
      </c>
      <c r="F760" s="316">
        <v>44651.483223368101</v>
      </c>
      <c r="G760" s="316"/>
      <c r="H760" s="316"/>
      <c r="I760" s="316" t="s">
        <v>3</v>
      </c>
      <c r="J760" s="318" t="s">
        <v>1666</v>
      </c>
      <c r="K760" s="318" t="s">
        <v>1296</v>
      </c>
      <c r="L760" s="14">
        <v>44659</v>
      </c>
      <c r="M760" t="s">
        <v>2783</v>
      </c>
      <c r="N760" s="174">
        <v>44657</v>
      </c>
      <c r="O760" s="179"/>
      <c r="Q760" t="s">
        <v>129</v>
      </c>
      <c r="T760" s="195"/>
      <c r="U760" s="195"/>
      <c r="V760" s="300"/>
      <c r="W760" s="201"/>
      <c r="X760" s="201"/>
      <c r="Y760" s="200"/>
      <c r="Z760" s="207"/>
      <c r="AA760" s="206"/>
      <c r="AB760" s="207"/>
      <c r="AC760" s="188"/>
      <c r="AD760" s="187">
        <v>44657</v>
      </c>
    </row>
    <row r="761" spans="1:30">
      <c r="A761" s="318">
        <f>COUNTA($E$3:E761)</f>
        <v>759</v>
      </c>
      <c r="B761" s="318" t="s">
        <v>2601</v>
      </c>
      <c r="C761" s="318" t="s">
        <v>2602</v>
      </c>
      <c r="D761" s="318" t="s">
        <v>1145</v>
      </c>
      <c r="E761" s="318" t="s">
        <v>2603</v>
      </c>
      <c r="F761" s="316">
        <v>44629</v>
      </c>
      <c r="G761" s="316"/>
      <c r="H761" s="316">
        <v>44629</v>
      </c>
      <c r="I761" s="316" t="s">
        <v>3</v>
      </c>
      <c r="J761" s="318" t="s">
        <v>1677</v>
      </c>
      <c r="K761" s="318" t="s">
        <v>2032</v>
      </c>
      <c r="L761" s="14">
        <v>44659</v>
      </c>
      <c r="M761" t="s">
        <v>2782</v>
      </c>
      <c r="N761" s="174">
        <v>44729</v>
      </c>
      <c r="O761" s="179"/>
      <c r="Q761" t="s">
        <v>22</v>
      </c>
      <c r="T761" s="195"/>
      <c r="U761" s="195"/>
      <c r="V761" s="300"/>
      <c r="W761" s="201"/>
      <c r="X761" s="201"/>
      <c r="Y761" s="200"/>
      <c r="Z761" s="207"/>
      <c r="AA761" s="206"/>
      <c r="AB761" s="207"/>
      <c r="AC761" s="188"/>
      <c r="AD761" s="187">
        <v>44729</v>
      </c>
    </row>
    <row r="762" spans="1:30">
      <c r="A762" s="318">
        <f>COUNTA($E$3:E762)</f>
        <v>760</v>
      </c>
      <c r="B762" s="318" t="s">
        <v>2753</v>
      </c>
      <c r="C762" s="318" t="s">
        <v>37</v>
      </c>
      <c r="D762" s="318" t="s">
        <v>45</v>
      </c>
      <c r="E762" s="318" t="s">
        <v>2754</v>
      </c>
      <c r="F762" s="316">
        <v>44655</v>
      </c>
      <c r="G762" s="316"/>
      <c r="H762" s="316"/>
      <c r="I762" s="316" t="s">
        <v>4</v>
      </c>
      <c r="J762" s="318" t="s">
        <v>1750</v>
      </c>
      <c r="K762" s="318" t="s">
        <v>1287</v>
      </c>
      <c r="L762" s="14">
        <v>44659</v>
      </c>
      <c r="M762" t="s">
        <v>2783</v>
      </c>
      <c r="N762" s="174">
        <v>44657</v>
      </c>
      <c r="O762" s="179"/>
      <c r="Q762" t="s">
        <v>129</v>
      </c>
      <c r="T762" s="195"/>
      <c r="U762" s="195"/>
      <c r="V762" s="300"/>
      <c r="W762" s="201"/>
      <c r="X762" s="201"/>
      <c r="Y762" s="200"/>
      <c r="Z762" s="207"/>
      <c r="AA762" s="206"/>
      <c r="AB762" s="207"/>
      <c r="AC762" s="188"/>
      <c r="AD762" s="187">
        <v>44657</v>
      </c>
    </row>
    <row r="763" spans="1:30">
      <c r="A763" s="318">
        <f>COUNTA($E$3:E763)</f>
        <v>761</v>
      </c>
      <c r="B763" s="318" t="s">
        <v>2485</v>
      </c>
      <c r="C763" s="318" t="s">
        <v>1197</v>
      </c>
      <c r="D763" s="318" t="s">
        <v>64</v>
      </c>
      <c r="E763" s="318" t="s">
        <v>2486</v>
      </c>
      <c r="F763" s="316">
        <v>44600</v>
      </c>
      <c r="G763" s="316"/>
      <c r="H763" s="316">
        <v>44602</v>
      </c>
      <c r="I763" s="316" t="s">
        <v>2</v>
      </c>
      <c r="J763" s="318" t="s">
        <v>2487</v>
      </c>
      <c r="K763" s="318" t="s">
        <v>24</v>
      </c>
      <c r="L763" s="14">
        <v>44651</v>
      </c>
      <c r="M763" t="s">
        <v>1762</v>
      </c>
      <c r="N763" s="174">
        <v>44666</v>
      </c>
      <c r="O763" s="179"/>
      <c r="Q763" t="s">
        <v>22</v>
      </c>
      <c r="T763" s="195"/>
      <c r="U763" s="195"/>
      <c r="V763" s="300"/>
      <c r="W763" s="201"/>
      <c r="X763" s="201"/>
      <c r="Y763" s="200"/>
      <c r="Z763" s="207"/>
      <c r="AA763" s="206"/>
      <c r="AB763" s="207"/>
      <c r="AC763" s="188"/>
      <c r="AD763" s="187">
        <v>44666</v>
      </c>
    </row>
    <row r="764" spans="1:30">
      <c r="A764" s="318">
        <f>COUNTA($E$3:E764)</f>
        <v>762</v>
      </c>
      <c r="B764" s="318" t="s">
        <v>2721</v>
      </c>
      <c r="C764" s="318" t="s">
        <v>1865</v>
      </c>
      <c r="D764" s="318" t="s">
        <v>16</v>
      </c>
      <c r="E764" s="318" t="s">
        <v>1866</v>
      </c>
      <c r="F764" s="316">
        <v>44649.625694444447</v>
      </c>
      <c r="G764" s="316"/>
      <c r="H764" s="316"/>
      <c r="I764" s="316" t="s">
        <v>3</v>
      </c>
      <c r="J764" s="318" t="s">
        <v>1723</v>
      </c>
      <c r="K764" s="318" t="s">
        <v>1296</v>
      </c>
      <c r="L764" s="14">
        <v>44651</v>
      </c>
      <c r="M764" t="s">
        <v>2741</v>
      </c>
      <c r="N764" s="174">
        <v>44729</v>
      </c>
      <c r="O764" s="179"/>
      <c r="Q764" t="s">
        <v>129</v>
      </c>
      <c r="T764" s="195"/>
      <c r="U764" s="195"/>
      <c r="V764" s="300"/>
      <c r="W764" s="201"/>
      <c r="X764" s="201"/>
      <c r="Y764" s="200"/>
      <c r="Z764" s="207"/>
      <c r="AA764" s="206"/>
      <c r="AB764" s="207"/>
      <c r="AC764" s="188"/>
      <c r="AD764" s="187">
        <v>44729</v>
      </c>
    </row>
    <row r="765" spans="1:30">
      <c r="A765" s="318">
        <f>COUNTA($E$3:E765)</f>
        <v>763</v>
      </c>
      <c r="B765" s="318" t="s">
        <v>2694</v>
      </c>
      <c r="C765" s="318" t="s">
        <v>41</v>
      </c>
      <c r="D765" s="318" t="s">
        <v>32</v>
      </c>
      <c r="E765" s="318" t="s">
        <v>2695</v>
      </c>
      <c r="F765" s="316">
        <v>44643.549790844903</v>
      </c>
      <c r="G765" s="316"/>
      <c r="H765" s="316"/>
      <c r="I765" s="316" t="s">
        <v>3</v>
      </c>
      <c r="J765" s="318" t="s">
        <v>17</v>
      </c>
      <c r="K765" s="318" t="s">
        <v>1287</v>
      </c>
      <c r="L765" s="14">
        <v>44651</v>
      </c>
      <c r="M765" t="s">
        <v>2740</v>
      </c>
      <c r="N765" s="174">
        <v>44651</v>
      </c>
      <c r="O765" s="179"/>
      <c r="Q765" t="s">
        <v>129</v>
      </c>
      <c r="T765" s="195"/>
      <c r="U765" s="195"/>
      <c r="V765" s="300"/>
      <c r="W765" s="201"/>
      <c r="X765" s="201"/>
      <c r="Y765" s="200"/>
      <c r="Z765" s="207"/>
      <c r="AA765" s="206"/>
      <c r="AB765" s="207"/>
      <c r="AC765" s="188"/>
      <c r="AD765" s="187">
        <v>44651</v>
      </c>
    </row>
    <row r="766" spans="1:30">
      <c r="A766" s="318">
        <f>COUNTA($E$3:E766)</f>
        <v>764</v>
      </c>
      <c r="B766" s="318" t="s">
        <v>2693</v>
      </c>
      <c r="C766" s="318" t="s">
        <v>44</v>
      </c>
      <c r="D766" s="318" t="s">
        <v>30</v>
      </c>
      <c r="E766" s="318" t="s">
        <v>85</v>
      </c>
      <c r="F766" s="316">
        <v>44643.544649178199</v>
      </c>
      <c r="G766" s="316"/>
      <c r="H766" s="316"/>
      <c r="I766" s="316" t="s">
        <v>3</v>
      </c>
      <c r="J766" s="318" t="s">
        <v>1649</v>
      </c>
      <c r="K766" s="318" t="s">
        <v>1287</v>
      </c>
      <c r="L766" s="14">
        <v>44651</v>
      </c>
      <c r="M766" t="s">
        <v>2740</v>
      </c>
      <c r="N766" s="174">
        <v>44651</v>
      </c>
      <c r="O766" s="179"/>
      <c r="Q766" t="s">
        <v>129</v>
      </c>
      <c r="T766" s="195"/>
      <c r="U766" s="195"/>
      <c r="V766" s="300"/>
      <c r="W766" s="201"/>
      <c r="X766" s="201"/>
      <c r="Y766" s="200"/>
      <c r="Z766" s="207"/>
      <c r="AA766" s="206"/>
      <c r="AB766" s="207"/>
      <c r="AC766" s="188"/>
      <c r="AD766" s="187">
        <v>44651</v>
      </c>
    </row>
    <row r="767" spans="1:30">
      <c r="A767" s="318">
        <f>COUNTA($E$3:E767)</f>
        <v>765</v>
      </c>
      <c r="B767" s="318" t="s">
        <v>2728</v>
      </c>
      <c r="C767" s="318" t="s">
        <v>2726</v>
      </c>
      <c r="D767" s="318" t="s">
        <v>1181</v>
      </c>
      <c r="E767" s="318" t="s">
        <v>2729</v>
      </c>
      <c r="F767" s="316">
        <v>44650.801111111112</v>
      </c>
      <c r="G767" s="316"/>
      <c r="H767" s="316"/>
      <c r="I767" s="316" t="s">
        <v>4</v>
      </c>
      <c r="J767" s="318" t="s">
        <v>2194</v>
      </c>
      <c r="K767" s="318" t="s">
        <v>2358</v>
      </c>
      <c r="L767" s="14">
        <v>44651</v>
      </c>
      <c r="M767" t="s">
        <v>2958</v>
      </c>
      <c r="N767" s="174">
        <v>44651</v>
      </c>
      <c r="O767" s="179"/>
      <c r="Q767" t="s">
        <v>22</v>
      </c>
      <c r="T767" s="195"/>
      <c r="U767" s="195"/>
      <c r="V767" s="300"/>
      <c r="W767" s="201"/>
      <c r="X767" s="201"/>
      <c r="Y767" s="200"/>
      <c r="Z767" s="207"/>
      <c r="AA767" s="206"/>
      <c r="AB767" s="207"/>
      <c r="AC767" s="188"/>
      <c r="AD767" s="187">
        <v>44651</v>
      </c>
    </row>
    <row r="768" spans="1:30">
      <c r="A768" s="318">
        <f>COUNTA($E$3:E768)</f>
        <v>766</v>
      </c>
      <c r="B768" s="318" t="s">
        <v>2725</v>
      </c>
      <c r="C768" s="318" t="s">
        <v>2726</v>
      </c>
      <c r="D768" s="318" t="s">
        <v>1181</v>
      </c>
      <c r="E768" s="318" t="s">
        <v>2727</v>
      </c>
      <c r="F768" s="316">
        <v>44650.797164351854</v>
      </c>
      <c r="G768" s="316"/>
      <c r="H768" s="316"/>
      <c r="I768" s="316" t="s">
        <v>4</v>
      </c>
      <c r="J768" s="318" t="s">
        <v>2194</v>
      </c>
      <c r="K768" s="318" t="s">
        <v>2358</v>
      </c>
      <c r="L768" s="14">
        <v>44651</v>
      </c>
      <c r="M768" t="s">
        <v>2958</v>
      </c>
      <c r="N768" s="174">
        <v>44651</v>
      </c>
      <c r="O768" s="179"/>
      <c r="Q768" t="s">
        <v>22</v>
      </c>
      <c r="T768" s="195"/>
      <c r="U768" s="195"/>
      <c r="V768" s="300"/>
      <c r="W768" s="201"/>
      <c r="X768" s="201"/>
      <c r="Y768" s="200"/>
      <c r="Z768" s="207"/>
      <c r="AA768" s="206"/>
      <c r="AB768" s="207"/>
      <c r="AC768" s="188"/>
      <c r="AD768" s="187">
        <v>44651</v>
      </c>
    </row>
    <row r="769" spans="1:30">
      <c r="A769" s="318">
        <f>COUNTA($E$3:E769)</f>
        <v>767</v>
      </c>
      <c r="B769" s="318" t="s">
        <v>2722</v>
      </c>
      <c r="C769" s="318" t="s">
        <v>2723</v>
      </c>
      <c r="D769" s="318" t="s">
        <v>1181</v>
      </c>
      <c r="E769" s="318" t="s">
        <v>2724</v>
      </c>
      <c r="F769" s="316">
        <v>44650.792581018519</v>
      </c>
      <c r="G769" s="316"/>
      <c r="H769" s="316"/>
      <c r="I769" s="316" t="s">
        <v>4</v>
      </c>
      <c r="J769" s="318" t="s">
        <v>2194</v>
      </c>
      <c r="K769" s="318" t="s">
        <v>2358</v>
      </c>
      <c r="L769" s="14">
        <v>44651</v>
      </c>
      <c r="M769" t="s">
        <v>2958</v>
      </c>
      <c r="N769" s="174">
        <v>44651</v>
      </c>
      <c r="O769" s="179"/>
      <c r="Q769" t="s">
        <v>22</v>
      </c>
      <c r="T769" s="195"/>
      <c r="U769" s="195"/>
      <c r="V769" s="300"/>
      <c r="W769" s="201"/>
      <c r="X769" s="201"/>
      <c r="Y769" s="200"/>
      <c r="Z769" s="207"/>
      <c r="AA769" s="206"/>
      <c r="AB769" s="207"/>
      <c r="AC769" s="188"/>
      <c r="AD769" s="187">
        <v>44651</v>
      </c>
    </row>
    <row r="770" spans="1:30">
      <c r="A770" s="318">
        <f>COUNTA($E$3:E770)</f>
        <v>768</v>
      </c>
      <c r="B770" s="318" t="s">
        <v>2688</v>
      </c>
      <c r="C770" s="318" t="s">
        <v>2489</v>
      </c>
      <c r="D770" s="318" t="s">
        <v>1103</v>
      </c>
      <c r="E770" s="318" t="s">
        <v>1219</v>
      </c>
      <c r="F770" s="316">
        <v>44642.42796296296</v>
      </c>
      <c r="G770" s="316"/>
      <c r="H770" s="316"/>
      <c r="I770" s="316" t="s">
        <v>2</v>
      </c>
      <c r="J770" s="318" t="s">
        <v>1723</v>
      </c>
      <c r="K770" s="318" t="s">
        <v>1089</v>
      </c>
      <c r="L770" s="14">
        <v>44645</v>
      </c>
      <c r="M770" t="s">
        <v>2717</v>
      </c>
      <c r="N770" s="174">
        <v>44642</v>
      </c>
      <c r="O770" s="179"/>
      <c r="Q770" t="s">
        <v>129</v>
      </c>
      <c r="T770" s="195"/>
      <c r="U770" s="195"/>
      <c r="V770" s="300"/>
      <c r="W770" s="201"/>
      <c r="X770" s="201"/>
      <c r="Y770" s="200"/>
      <c r="Z770" s="207"/>
      <c r="AA770" s="206"/>
      <c r="AB770" s="207"/>
      <c r="AC770" s="188"/>
      <c r="AD770" s="187">
        <v>44642</v>
      </c>
    </row>
    <row r="771" spans="1:30">
      <c r="A771" s="318">
        <f>COUNTA($E$3:E771)</f>
        <v>769</v>
      </c>
      <c r="B771" s="318" t="s">
        <v>2703</v>
      </c>
      <c r="C771" s="318" t="s">
        <v>21</v>
      </c>
      <c r="D771" s="318" t="s">
        <v>30</v>
      </c>
      <c r="E771" s="318" t="s">
        <v>2704</v>
      </c>
      <c r="F771" s="316">
        <v>44644.6662853241</v>
      </c>
      <c r="G771" s="316"/>
      <c r="H771" s="316"/>
      <c r="I771" s="316" t="s">
        <v>3</v>
      </c>
      <c r="J771" s="318" t="s">
        <v>17</v>
      </c>
      <c r="K771" s="318" t="s">
        <v>1287</v>
      </c>
      <c r="L771" s="14">
        <v>44645</v>
      </c>
      <c r="M771" t="s">
        <v>2716</v>
      </c>
      <c r="N771" s="174">
        <v>44657</v>
      </c>
      <c r="O771" s="179"/>
      <c r="Q771" t="s">
        <v>129</v>
      </c>
      <c r="T771" s="195"/>
      <c r="U771" s="195"/>
      <c r="V771" s="300"/>
      <c r="W771" s="201"/>
      <c r="X771" s="201"/>
      <c r="Y771" s="200"/>
      <c r="Z771" s="207"/>
      <c r="AA771" s="206"/>
      <c r="AB771" s="207"/>
      <c r="AC771" s="188"/>
      <c r="AD771" s="187">
        <v>44657</v>
      </c>
    </row>
    <row r="772" spans="1:30">
      <c r="A772" s="318">
        <f>COUNTA($E$3:E772)</f>
        <v>770</v>
      </c>
      <c r="B772" s="318" t="s">
        <v>2700</v>
      </c>
      <c r="C772" s="318" t="s">
        <v>21</v>
      </c>
      <c r="D772" s="318" t="s">
        <v>30</v>
      </c>
      <c r="E772" s="318" t="s">
        <v>1252</v>
      </c>
      <c r="F772" s="316">
        <v>44644.515428240738</v>
      </c>
      <c r="G772" s="316"/>
      <c r="H772" s="316"/>
      <c r="I772" s="316" t="s">
        <v>3</v>
      </c>
      <c r="J772" s="318" t="s">
        <v>1485</v>
      </c>
      <c r="K772" s="318" t="s">
        <v>1287</v>
      </c>
      <c r="L772" s="14">
        <v>44645</v>
      </c>
      <c r="M772" t="s">
        <v>2715</v>
      </c>
      <c r="N772" s="174">
        <v>44657</v>
      </c>
      <c r="O772" s="179"/>
      <c r="Q772" t="s">
        <v>129</v>
      </c>
      <c r="T772" s="195"/>
      <c r="U772" s="195"/>
      <c r="V772" s="300"/>
      <c r="W772" s="201"/>
      <c r="X772" s="201"/>
      <c r="Y772" s="200"/>
      <c r="Z772" s="207"/>
      <c r="AA772" s="206"/>
      <c r="AB772" s="207"/>
      <c r="AC772" s="188"/>
      <c r="AD772" s="187">
        <v>44657</v>
      </c>
    </row>
    <row r="773" spans="1:30">
      <c r="A773" s="318">
        <f>COUNTA($E$3:E773)</f>
        <v>771</v>
      </c>
      <c r="B773" s="318" t="s">
        <v>2699</v>
      </c>
      <c r="C773" s="318" t="s">
        <v>21</v>
      </c>
      <c r="D773" s="318" t="s">
        <v>1142</v>
      </c>
      <c r="E773" s="318" t="s">
        <v>1204</v>
      </c>
      <c r="F773" s="316">
        <v>44644.43105324074</v>
      </c>
      <c r="G773" s="316"/>
      <c r="H773" s="316"/>
      <c r="I773" s="316" t="s">
        <v>3</v>
      </c>
      <c r="J773" s="318" t="s">
        <v>1666</v>
      </c>
      <c r="K773" s="318" t="s">
        <v>1287</v>
      </c>
      <c r="L773" s="14">
        <v>44645</v>
      </c>
      <c r="M773" t="s">
        <v>2715</v>
      </c>
      <c r="N773" s="174">
        <v>44657</v>
      </c>
      <c r="O773" s="179"/>
      <c r="Q773" t="s">
        <v>129</v>
      </c>
      <c r="T773" s="195"/>
      <c r="U773" s="195"/>
      <c r="V773" s="300"/>
      <c r="W773" s="201"/>
      <c r="X773" s="201"/>
      <c r="Y773" s="200"/>
      <c r="Z773" s="207"/>
      <c r="AA773" s="206"/>
      <c r="AB773" s="207"/>
      <c r="AC773" s="188"/>
      <c r="AD773" s="187">
        <v>44657</v>
      </c>
    </row>
    <row r="774" spans="1:30">
      <c r="A774" s="318">
        <f>COUNTA($E$3:E774)</f>
        <v>772</v>
      </c>
      <c r="B774" s="318" t="s">
        <v>2696</v>
      </c>
      <c r="C774" s="318" t="s">
        <v>2370</v>
      </c>
      <c r="D774" s="318" t="s">
        <v>56</v>
      </c>
      <c r="E774" s="318" t="s">
        <v>2697</v>
      </c>
      <c r="F774" s="316">
        <v>44643.807743055557</v>
      </c>
      <c r="G774" s="316"/>
      <c r="H774" s="316"/>
      <c r="I774" s="316" t="s">
        <v>3</v>
      </c>
      <c r="J774" s="318" t="s">
        <v>1921</v>
      </c>
      <c r="K774" s="318" t="s">
        <v>1294</v>
      </c>
      <c r="L774" s="14">
        <v>44645</v>
      </c>
      <c r="M774" t="s">
        <v>2715</v>
      </c>
      <c r="N774" s="174">
        <v>44645</v>
      </c>
      <c r="O774" s="179"/>
      <c r="Q774" t="s">
        <v>22</v>
      </c>
      <c r="T774" s="195"/>
      <c r="U774" s="195"/>
      <c r="V774" s="300"/>
      <c r="W774" s="201"/>
      <c r="X774" s="201"/>
      <c r="Y774" s="200"/>
      <c r="Z774" s="207"/>
      <c r="AA774" s="206"/>
      <c r="AB774" s="207"/>
      <c r="AC774" s="188"/>
      <c r="AD774" s="187">
        <v>44645</v>
      </c>
    </row>
    <row r="775" spans="1:30">
      <c r="A775" s="318">
        <f>COUNTA($E$3:E775)</f>
        <v>773</v>
      </c>
      <c r="B775" s="318" t="s">
        <v>2682</v>
      </c>
      <c r="C775" s="318" t="s">
        <v>2675</v>
      </c>
      <c r="D775" s="318" t="s">
        <v>2683</v>
      </c>
      <c r="E775" s="318" t="s">
        <v>2684</v>
      </c>
      <c r="F775" s="316">
        <v>44638.827384259261</v>
      </c>
      <c r="G775" s="316"/>
      <c r="H775" s="316"/>
      <c r="I775" s="316" t="s">
        <v>3</v>
      </c>
      <c r="J775" s="318" t="s">
        <v>1968</v>
      </c>
      <c r="K775" s="318" t="s">
        <v>1287</v>
      </c>
      <c r="L775" s="14">
        <v>44645</v>
      </c>
      <c r="M775" t="s">
        <v>2706</v>
      </c>
      <c r="N775" s="174">
        <v>44729</v>
      </c>
      <c r="O775" s="179"/>
      <c r="Q775" t="s">
        <v>129</v>
      </c>
      <c r="T775" s="195"/>
      <c r="U775" s="195"/>
      <c r="V775" s="300"/>
      <c r="W775" s="201"/>
      <c r="X775" s="201"/>
      <c r="Y775" s="200"/>
      <c r="Z775" s="207"/>
      <c r="AA775" s="206"/>
      <c r="AB775" s="207"/>
      <c r="AC775" s="188"/>
      <c r="AD775" s="187">
        <v>44729</v>
      </c>
    </row>
    <row r="776" spans="1:30">
      <c r="A776" s="318">
        <f>COUNTA($E$3:E776)</f>
        <v>774</v>
      </c>
      <c r="B776" s="318" t="s">
        <v>2680</v>
      </c>
      <c r="C776" s="318" t="s">
        <v>40</v>
      </c>
      <c r="D776" s="318" t="s">
        <v>34</v>
      </c>
      <c r="E776" s="318" t="s">
        <v>2681</v>
      </c>
      <c r="F776" s="316">
        <v>44644.581787789401</v>
      </c>
      <c r="G776" s="316"/>
      <c r="H776" s="316"/>
      <c r="I776" s="316" t="s">
        <v>3</v>
      </c>
      <c r="J776" s="318" t="s">
        <v>1485</v>
      </c>
      <c r="K776" s="318" t="s">
        <v>1296</v>
      </c>
      <c r="L776" s="14">
        <v>44645</v>
      </c>
      <c r="M776" t="s">
        <v>2955</v>
      </c>
      <c r="N776" s="174">
        <v>44676</v>
      </c>
      <c r="O776" s="179"/>
      <c r="Q776" t="s">
        <v>129</v>
      </c>
      <c r="T776" s="195"/>
      <c r="U776" s="195"/>
      <c r="V776" s="300"/>
      <c r="W776" s="201"/>
      <c r="X776" s="201"/>
      <c r="Y776" s="200"/>
      <c r="Z776" s="207"/>
      <c r="AA776" s="206"/>
      <c r="AB776" s="207"/>
      <c r="AC776" s="188"/>
      <c r="AD776" s="187">
        <v>44676</v>
      </c>
    </row>
    <row r="777" spans="1:30">
      <c r="A777" s="318">
        <f>COUNTA($E$3:E777)</f>
        <v>775</v>
      </c>
      <c r="B777" s="318" t="s">
        <v>2674</v>
      </c>
      <c r="C777" s="318" t="s">
        <v>2675</v>
      </c>
      <c r="D777" s="318" t="s">
        <v>38</v>
      </c>
      <c r="E777" s="318" t="s">
        <v>2676</v>
      </c>
      <c r="F777" s="316">
        <v>44638.764722222222</v>
      </c>
      <c r="G777" s="316"/>
      <c r="H777" s="316"/>
      <c r="I777" s="316" t="s">
        <v>3</v>
      </c>
      <c r="J777" s="318" t="s">
        <v>2677</v>
      </c>
      <c r="K777" s="318" t="s">
        <v>1295</v>
      </c>
      <c r="L777" s="14">
        <v>44645</v>
      </c>
      <c r="M777" t="s">
        <v>2715</v>
      </c>
      <c r="N777" s="174">
        <v>44729</v>
      </c>
      <c r="O777" s="179"/>
      <c r="Q777" t="s">
        <v>129</v>
      </c>
      <c r="T777" s="195"/>
      <c r="U777" s="195"/>
      <c r="V777" s="300"/>
      <c r="W777" s="201"/>
      <c r="X777" s="201"/>
      <c r="Y777" s="200"/>
      <c r="Z777" s="207"/>
      <c r="AA777" s="206"/>
      <c r="AB777" s="207"/>
      <c r="AC777" s="188"/>
      <c r="AD777" s="187">
        <v>44729</v>
      </c>
    </row>
    <row r="778" spans="1:30">
      <c r="A778" s="318">
        <f>COUNTA($E$3:E778)</f>
        <v>776</v>
      </c>
      <c r="B778" s="318" t="s">
        <v>2647</v>
      </c>
      <c r="C778" s="318" t="s">
        <v>41</v>
      </c>
      <c r="D778" s="318" t="s">
        <v>1125</v>
      </c>
      <c r="E778" s="318" t="s">
        <v>2648</v>
      </c>
      <c r="F778" s="316">
        <v>44636.537519999998</v>
      </c>
      <c r="G778" s="316"/>
      <c r="H778" s="316"/>
      <c r="I778" s="316" t="s">
        <v>3</v>
      </c>
      <c r="J778" s="318" t="s">
        <v>1485</v>
      </c>
      <c r="K778" s="318" t="s">
        <v>1295</v>
      </c>
      <c r="L778" s="14">
        <v>44645</v>
      </c>
      <c r="M778" t="s">
        <v>2707</v>
      </c>
      <c r="N778" s="174">
        <v>44645</v>
      </c>
      <c r="O778" s="179"/>
      <c r="Q778" t="s">
        <v>129</v>
      </c>
      <c r="T778" s="195"/>
      <c r="U778" s="195"/>
      <c r="V778" s="300"/>
      <c r="W778" s="201"/>
      <c r="X778" s="201"/>
      <c r="Y778" s="200"/>
      <c r="Z778" s="207"/>
      <c r="AA778" s="206"/>
      <c r="AB778" s="207"/>
      <c r="AC778" s="188"/>
      <c r="AD778" s="187">
        <v>44645</v>
      </c>
    </row>
    <row r="779" spans="1:30">
      <c r="A779" s="318">
        <f>COUNTA($E$3:E779)</f>
        <v>777</v>
      </c>
      <c r="B779" s="318" t="s">
        <v>2645</v>
      </c>
      <c r="C779" s="318" t="s">
        <v>41</v>
      </c>
      <c r="D779" s="318" t="s">
        <v>282</v>
      </c>
      <c r="E779" s="318" t="s">
        <v>2646</v>
      </c>
      <c r="F779" s="316">
        <v>44636.532685999999</v>
      </c>
      <c r="G779" s="316"/>
      <c r="H779" s="316"/>
      <c r="I779" s="316" t="s">
        <v>3</v>
      </c>
      <c r="J779" s="318" t="s">
        <v>2480</v>
      </c>
      <c r="K779" s="318" t="s">
        <v>1295</v>
      </c>
      <c r="L779" s="14">
        <v>44645</v>
      </c>
      <c r="M779" t="s">
        <v>2706</v>
      </c>
      <c r="N779" s="174">
        <v>44645</v>
      </c>
      <c r="O779" s="179"/>
      <c r="Q779" t="s">
        <v>129</v>
      </c>
      <c r="T779" s="195"/>
      <c r="U779" s="195"/>
      <c r="V779" s="300"/>
      <c r="W779" s="201"/>
      <c r="X779" s="201"/>
      <c r="Y779" s="200"/>
      <c r="Z779" s="207"/>
      <c r="AA779" s="206"/>
      <c r="AB779" s="207"/>
      <c r="AC779" s="188"/>
      <c r="AD779" s="187">
        <v>44645</v>
      </c>
    </row>
    <row r="780" spans="1:30">
      <c r="A780" s="318">
        <f>COUNTA($E$3:E780)</f>
        <v>778</v>
      </c>
      <c r="B780" s="318" t="s">
        <v>2635</v>
      </c>
      <c r="C780" s="318" t="s">
        <v>21</v>
      </c>
      <c r="D780" s="318" t="s">
        <v>34</v>
      </c>
      <c r="E780" s="318" t="s">
        <v>2059</v>
      </c>
      <c r="F780" s="316">
        <v>44636.525734000003</v>
      </c>
      <c r="G780" s="316"/>
      <c r="H780" s="316"/>
      <c r="I780" s="316" t="s">
        <v>3</v>
      </c>
      <c r="J780" s="318" t="s">
        <v>1723</v>
      </c>
      <c r="K780" s="318" t="s">
        <v>1295</v>
      </c>
      <c r="L780" s="14">
        <v>44645</v>
      </c>
      <c r="M780" t="s">
        <v>2715</v>
      </c>
      <c r="N780" s="174">
        <v>44657</v>
      </c>
      <c r="O780" s="179"/>
      <c r="Q780" t="s">
        <v>129</v>
      </c>
      <c r="T780" s="195"/>
      <c r="U780" s="195"/>
      <c r="V780" s="300"/>
      <c r="W780" s="201"/>
      <c r="X780" s="201"/>
      <c r="Y780" s="200"/>
      <c r="Z780" s="207"/>
      <c r="AA780" s="206"/>
      <c r="AB780" s="207"/>
      <c r="AC780" s="188"/>
      <c r="AD780" s="187">
        <v>44657</v>
      </c>
    </row>
    <row r="781" spans="1:30">
      <c r="A781" s="318">
        <f>COUNTA($E$3:E781)</f>
        <v>779</v>
      </c>
      <c r="B781" s="318" t="s">
        <v>2701</v>
      </c>
      <c r="C781" s="318" t="s">
        <v>37</v>
      </c>
      <c r="D781" s="318" t="s">
        <v>27</v>
      </c>
      <c r="E781" s="318" t="s">
        <v>2702</v>
      </c>
      <c r="F781" s="316">
        <v>44644.65185185185</v>
      </c>
      <c r="G781" s="316"/>
      <c r="H781" s="316"/>
      <c r="I781" s="316" t="s">
        <v>4</v>
      </c>
      <c r="J781" s="318" t="s">
        <v>1093</v>
      </c>
      <c r="K781" s="318" t="s">
        <v>1287</v>
      </c>
      <c r="L781" s="14">
        <v>44645</v>
      </c>
      <c r="M781" t="s">
        <v>2716</v>
      </c>
      <c r="N781" s="174">
        <v>44651</v>
      </c>
      <c r="O781" s="179"/>
      <c r="Q781" t="s">
        <v>129</v>
      </c>
      <c r="T781" s="195"/>
      <c r="U781" s="195"/>
      <c r="V781" s="300"/>
      <c r="W781" s="201"/>
      <c r="X781" s="201"/>
      <c r="Y781" s="200"/>
      <c r="Z781" s="207"/>
      <c r="AA781" s="206"/>
      <c r="AB781" s="207"/>
      <c r="AC781" s="188"/>
      <c r="AD781" s="187">
        <v>44651</v>
      </c>
    </row>
    <row r="782" spans="1:30">
      <c r="A782" s="318">
        <f>COUNTA($E$3:E782)</f>
        <v>780</v>
      </c>
      <c r="B782" s="318" t="s">
        <v>2664</v>
      </c>
      <c r="C782" s="318" t="s">
        <v>44</v>
      </c>
      <c r="D782" s="318" t="s">
        <v>30</v>
      </c>
      <c r="E782" s="318" t="s">
        <v>81</v>
      </c>
      <c r="F782" s="316">
        <v>44637</v>
      </c>
      <c r="G782" s="316"/>
      <c r="H782" s="316"/>
      <c r="I782" s="316" t="s">
        <v>2</v>
      </c>
      <c r="J782" s="318" t="s">
        <v>2208</v>
      </c>
      <c r="K782" s="318" t="s">
        <v>33</v>
      </c>
      <c r="L782" s="14">
        <v>44638</v>
      </c>
      <c r="M782" t="s">
        <v>2660</v>
      </c>
      <c r="N782" s="174">
        <v>44638</v>
      </c>
      <c r="O782" s="179"/>
      <c r="Q782" t="s">
        <v>129</v>
      </c>
      <c r="T782" s="195"/>
      <c r="U782" s="195"/>
      <c r="V782" s="300"/>
      <c r="W782" s="201"/>
      <c r="X782" s="201"/>
      <c r="Y782" s="200"/>
      <c r="Z782" s="207"/>
      <c r="AA782" s="206"/>
      <c r="AB782" s="207"/>
      <c r="AC782" s="188"/>
      <c r="AD782" s="187">
        <v>44638</v>
      </c>
    </row>
    <row r="783" spans="1:30">
      <c r="A783" s="318">
        <f>COUNTA($E$3:E783)</f>
        <v>781</v>
      </c>
      <c r="B783" s="318" t="s">
        <v>2651</v>
      </c>
      <c r="C783" s="318" t="s">
        <v>44</v>
      </c>
      <c r="D783" s="318" t="s">
        <v>30</v>
      </c>
      <c r="E783" s="318" t="s">
        <v>59</v>
      </c>
      <c r="F783" s="316">
        <v>44636</v>
      </c>
      <c r="G783" s="316"/>
      <c r="H783" s="316">
        <v>44638</v>
      </c>
      <c r="I783" s="316" t="s">
        <v>2</v>
      </c>
      <c r="J783" s="318" t="s">
        <v>1667</v>
      </c>
      <c r="K783" s="318" t="s">
        <v>1274</v>
      </c>
      <c r="L783" s="14">
        <v>44638</v>
      </c>
      <c r="N783" s="174">
        <v>44638</v>
      </c>
      <c r="O783" s="179"/>
      <c r="Q783" t="s">
        <v>129</v>
      </c>
      <c r="T783" s="195"/>
      <c r="U783" s="195"/>
      <c r="V783" s="300"/>
      <c r="W783" s="201"/>
      <c r="X783" s="201"/>
      <c r="Y783" s="200"/>
      <c r="Z783" s="207"/>
      <c r="AA783" s="206"/>
      <c r="AB783" s="207"/>
      <c r="AC783" s="188"/>
      <c r="AD783" s="187">
        <v>44638</v>
      </c>
    </row>
    <row r="784" spans="1:30">
      <c r="A784" s="318">
        <f>COUNTA($E$3:E784)</f>
        <v>782</v>
      </c>
      <c r="B784" s="318" t="s">
        <v>2627</v>
      </c>
      <c r="C784" s="318" t="s">
        <v>2628</v>
      </c>
      <c r="D784" s="318" t="s">
        <v>31</v>
      </c>
      <c r="E784" s="318" t="s">
        <v>2629</v>
      </c>
      <c r="F784" s="316">
        <v>44635.740045999999</v>
      </c>
      <c r="G784" s="316"/>
      <c r="H784" s="316"/>
      <c r="I784" s="316" t="s">
        <v>2</v>
      </c>
      <c r="J784" s="318" t="s">
        <v>2630</v>
      </c>
      <c r="K784" s="318" t="s">
        <v>2032</v>
      </c>
      <c r="L784" s="14">
        <v>44638</v>
      </c>
      <c r="M784" t="s">
        <v>2668</v>
      </c>
      <c r="N784" s="174">
        <v>44637</v>
      </c>
      <c r="O784" s="179"/>
      <c r="Q784" t="s">
        <v>22</v>
      </c>
      <c r="T784" s="195"/>
      <c r="U784" s="195"/>
      <c r="V784" s="300"/>
      <c r="W784" s="201"/>
      <c r="X784" s="201"/>
      <c r="Y784" s="200"/>
      <c r="Z784" s="207"/>
      <c r="AA784" s="206"/>
      <c r="AB784" s="207"/>
      <c r="AC784" s="188"/>
      <c r="AD784" s="187">
        <v>44637</v>
      </c>
    </row>
    <row r="785" spans="1:30">
      <c r="A785" s="318">
        <f>COUNTA($E$3:E785)</f>
        <v>783</v>
      </c>
      <c r="B785" s="318" t="s">
        <v>2434</v>
      </c>
      <c r="C785" s="318" t="s">
        <v>2370</v>
      </c>
      <c r="D785" s="318" t="s">
        <v>1145</v>
      </c>
      <c r="E785" s="318" t="s">
        <v>1163</v>
      </c>
      <c r="F785" s="316">
        <v>44578</v>
      </c>
      <c r="G785" s="316"/>
      <c r="H785" s="316">
        <v>44579</v>
      </c>
      <c r="I785" s="316" t="s">
        <v>2</v>
      </c>
      <c r="J785" s="318" t="s">
        <v>2435</v>
      </c>
      <c r="K785" s="318" t="s">
        <v>24</v>
      </c>
      <c r="L785" s="14">
        <v>44638</v>
      </c>
      <c r="M785" t="s">
        <v>2663</v>
      </c>
      <c r="N785" s="174">
        <v>44669</v>
      </c>
      <c r="O785" s="179"/>
      <c r="Q785" t="s">
        <v>22</v>
      </c>
      <c r="T785" s="195"/>
      <c r="U785" s="195"/>
      <c r="V785" s="300"/>
      <c r="W785" s="201"/>
      <c r="X785" s="201"/>
      <c r="Y785" s="200"/>
      <c r="Z785" s="207"/>
      <c r="AA785" s="206"/>
      <c r="AB785" s="207"/>
      <c r="AC785" s="188"/>
      <c r="AD785" s="187">
        <v>44669</v>
      </c>
    </row>
    <row r="786" spans="1:30">
      <c r="A786" s="318">
        <f>COUNTA($E$3:E786)</f>
        <v>784</v>
      </c>
      <c r="B786" s="318" t="s">
        <v>2641</v>
      </c>
      <c r="C786" s="318" t="s">
        <v>44</v>
      </c>
      <c r="D786" s="318" t="s">
        <v>1129</v>
      </c>
      <c r="E786" s="318" t="s">
        <v>1812</v>
      </c>
      <c r="F786" s="316">
        <v>44636.530741000002</v>
      </c>
      <c r="G786" s="316"/>
      <c r="H786" s="316"/>
      <c r="I786" s="316" t="s">
        <v>3</v>
      </c>
      <c r="J786" s="318" t="s">
        <v>2642</v>
      </c>
      <c r="K786" s="318" t="s">
        <v>1295</v>
      </c>
      <c r="L786" s="14">
        <v>44638</v>
      </c>
      <c r="M786" t="s">
        <v>2956</v>
      </c>
      <c r="N786" s="174">
        <v>44657</v>
      </c>
      <c r="O786" s="179"/>
      <c r="Q786" t="s">
        <v>129</v>
      </c>
      <c r="T786" s="195"/>
      <c r="U786" s="195"/>
      <c r="V786" s="300"/>
      <c r="W786" s="201"/>
      <c r="X786" s="201"/>
      <c r="Y786" s="200"/>
      <c r="Z786" s="207"/>
      <c r="AA786" s="206"/>
      <c r="AB786" s="207"/>
      <c r="AC786" s="188"/>
      <c r="AD786" s="187">
        <v>44657</v>
      </c>
    </row>
    <row r="787" spans="1:30">
      <c r="A787" s="318">
        <f>COUNTA($E$3:E787)</f>
        <v>785</v>
      </c>
      <c r="B787" s="318" t="s">
        <v>2639</v>
      </c>
      <c r="C787" s="318" t="s">
        <v>21</v>
      </c>
      <c r="D787" s="318" t="s">
        <v>30</v>
      </c>
      <c r="E787" s="318" t="s">
        <v>2640</v>
      </c>
      <c r="F787" s="316">
        <v>44636.529435999997</v>
      </c>
      <c r="G787" s="316"/>
      <c r="H787" s="316"/>
      <c r="I787" s="316" t="s">
        <v>3</v>
      </c>
      <c r="J787" s="318" t="s">
        <v>1485</v>
      </c>
      <c r="K787" s="318" t="s">
        <v>1295</v>
      </c>
      <c r="L787" s="14">
        <v>44638</v>
      </c>
      <c r="M787" t="s">
        <v>2667</v>
      </c>
      <c r="N787" s="174">
        <v>44643</v>
      </c>
      <c r="O787" s="179"/>
      <c r="Q787" t="s">
        <v>129</v>
      </c>
      <c r="T787" s="195"/>
      <c r="U787" s="195"/>
      <c r="V787" s="300"/>
      <c r="W787" s="201"/>
      <c r="X787" s="201"/>
      <c r="Y787" s="200"/>
      <c r="Z787" s="207"/>
      <c r="AA787" s="206"/>
      <c r="AB787" s="207"/>
      <c r="AC787" s="188"/>
      <c r="AD787" s="187">
        <v>44643</v>
      </c>
    </row>
    <row r="788" spans="1:30">
      <c r="A788" s="318">
        <f>COUNTA($E$3:E788)</f>
        <v>786</v>
      </c>
      <c r="B788" s="318" t="s">
        <v>2636</v>
      </c>
      <c r="C788" s="318" t="s">
        <v>21</v>
      </c>
      <c r="D788" s="318" t="s">
        <v>16</v>
      </c>
      <c r="E788" s="318" t="s">
        <v>2637</v>
      </c>
      <c r="F788" s="316">
        <v>44636.527234000001</v>
      </c>
      <c r="G788" s="316"/>
      <c r="H788" s="316"/>
      <c r="I788" s="316" t="s">
        <v>3</v>
      </c>
      <c r="J788" s="318" t="s">
        <v>2638</v>
      </c>
      <c r="K788" s="318" t="s">
        <v>1295</v>
      </c>
      <c r="L788" s="14">
        <v>44638</v>
      </c>
      <c r="M788" t="s">
        <v>2661</v>
      </c>
      <c r="N788" s="174">
        <v>44643</v>
      </c>
      <c r="O788" s="179"/>
      <c r="Q788" t="s">
        <v>129</v>
      </c>
      <c r="T788" s="195"/>
      <c r="U788" s="195"/>
      <c r="V788" s="300"/>
      <c r="W788" s="201"/>
      <c r="X788" s="201"/>
      <c r="Y788" s="200"/>
      <c r="Z788" s="207"/>
      <c r="AA788" s="206"/>
      <c r="AB788" s="207"/>
      <c r="AC788" s="188"/>
      <c r="AD788" s="187">
        <v>44643</v>
      </c>
    </row>
    <row r="789" spans="1:30">
      <c r="A789" s="318">
        <f>COUNTA($E$3:E789)</f>
        <v>787</v>
      </c>
      <c r="B789" s="318" t="s">
        <v>2631</v>
      </c>
      <c r="C789" s="318" t="s">
        <v>37</v>
      </c>
      <c r="D789" s="318" t="s">
        <v>1201</v>
      </c>
      <c r="E789" s="318" t="s">
        <v>2632</v>
      </c>
      <c r="F789" s="316">
        <v>44636.493841000003</v>
      </c>
      <c r="G789" s="316"/>
      <c r="H789" s="316"/>
      <c r="I789" s="316" t="s">
        <v>3</v>
      </c>
      <c r="J789" s="318" t="s">
        <v>2665</v>
      </c>
      <c r="K789" s="318" t="s">
        <v>1274</v>
      </c>
      <c r="L789" s="14">
        <v>44638</v>
      </c>
      <c r="M789" t="s">
        <v>2667</v>
      </c>
      <c r="N789" s="174">
        <v>44651</v>
      </c>
      <c r="O789" s="179"/>
      <c r="Q789" t="s">
        <v>129</v>
      </c>
      <c r="T789" s="195"/>
      <c r="U789" s="195"/>
      <c r="V789" s="300"/>
      <c r="W789" s="201"/>
      <c r="X789" s="201"/>
      <c r="Y789" s="200"/>
      <c r="Z789" s="207"/>
      <c r="AA789" s="206"/>
      <c r="AB789" s="207"/>
      <c r="AC789" s="188"/>
      <c r="AD789" s="187">
        <v>44651</v>
      </c>
    </row>
    <row r="790" spans="1:30">
      <c r="A790" s="318">
        <f>COUNTA($E$3:E790)</f>
        <v>788</v>
      </c>
      <c r="B790" s="318" t="s">
        <v>2573</v>
      </c>
      <c r="C790" s="318" t="s">
        <v>44</v>
      </c>
      <c r="D790" s="318" t="s">
        <v>30</v>
      </c>
      <c r="E790" s="318" t="s">
        <v>116</v>
      </c>
      <c r="F790" s="316">
        <v>44623.676684398102</v>
      </c>
      <c r="G790" s="316"/>
      <c r="H790" s="316"/>
      <c r="I790" s="316" t="s">
        <v>3</v>
      </c>
      <c r="J790" s="318" t="s">
        <v>2574</v>
      </c>
      <c r="K790" s="318" t="s">
        <v>2032</v>
      </c>
      <c r="L790" s="14">
        <v>44638</v>
      </c>
      <c r="M790" t="s">
        <v>2667</v>
      </c>
      <c r="N790" s="174">
        <v>44638</v>
      </c>
      <c r="O790" s="179"/>
      <c r="Q790" t="s">
        <v>22</v>
      </c>
      <c r="T790" s="195"/>
      <c r="U790" s="195"/>
      <c r="V790" s="300"/>
      <c r="W790" s="201"/>
      <c r="X790" s="201"/>
      <c r="Y790" s="200"/>
      <c r="Z790" s="207"/>
      <c r="AA790" s="206"/>
      <c r="AB790" s="207"/>
      <c r="AC790" s="188"/>
      <c r="AD790" s="187">
        <v>44638</v>
      </c>
    </row>
    <row r="791" spans="1:30">
      <c r="A791" s="318">
        <f>COUNTA($E$3:E791)</f>
        <v>789</v>
      </c>
      <c r="B791" s="318" t="s">
        <v>2568</v>
      </c>
      <c r="C791" s="318" t="s">
        <v>21</v>
      </c>
      <c r="D791" s="318" t="s">
        <v>1142</v>
      </c>
      <c r="E791" s="318" t="s">
        <v>2569</v>
      </c>
      <c r="F791" s="316">
        <v>44620</v>
      </c>
      <c r="G791" s="316"/>
      <c r="H791" s="316">
        <v>44627</v>
      </c>
      <c r="I791" s="316" t="s">
        <v>3</v>
      </c>
      <c r="J791" s="318" t="s">
        <v>2570</v>
      </c>
      <c r="K791" s="318" t="s">
        <v>1274</v>
      </c>
      <c r="L791" s="14">
        <v>44638</v>
      </c>
      <c r="M791" t="s">
        <v>2658</v>
      </c>
      <c r="N791" s="174">
        <v>44636</v>
      </c>
      <c r="O791" s="179"/>
      <c r="Q791" t="s">
        <v>129</v>
      </c>
      <c r="T791" s="195"/>
      <c r="U791" s="195"/>
      <c r="V791" s="300"/>
      <c r="W791" s="201"/>
      <c r="X791" s="201"/>
      <c r="Y791" s="200"/>
      <c r="Z791" s="207"/>
      <c r="AA791" s="206"/>
      <c r="AB791" s="207"/>
      <c r="AC791" s="188"/>
      <c r="AD791" s="187">
        <v>44636</v>
      </c>
    </row>
    <row r="792" spans="1:30">
      <c r="A792" s="318">
        <f>COUNTA($E$3:E792)</f>
        <v>790</v>
      </c>
      <c r="B792" s="318" t="s">
        <v>2619</v>
      </c>
      <c r="C792" s="318" t="s">
        <v>1261</v>
      </c>
      <c r="D792" s="318" t="s">
        <v>45</v>
      </c>
      <c r="E792" s="318" t="s">
        <v>1773</v>
      </c>
      <c r="F792" s="316">
        <v>44634.714155000001</v>
      </c>
      <c r="G792" s="316"/>
      <c r="H792" s="316"/>
      <c r="I792" s="316" t="s">
        <v>4</v>
      </c>
      <c r="J792" s="318" t="s">
        <v>1774</v>
      </c>
      <c r="K792" s="318" t="s">
        <v>1295</v>
      </c>
      <c r="L792" s="14">
        <v>44638</v>
      </c>
      <c r="M792" t="s">
        <v>2659</v>
      </c>
      <c r="N792" s="174">
        <v>44664</v>
      </c>
      <c r="O792" s="179"/>
      <c r="Q792" t="s">
        <v>129</v>
      </c>
      <c r="T792" s="195"/>
      <c r="U792" s="195"/>
      <c r="V792" s="300"/>
      <c r="W792" s="201"/>
      <c r="X792" s="201"/>
      <c r="Y792" s="200"/>
      <c r="Z792" s="207"/>
      <c r="AA792" s="206"/>
      <c r="AB792" s="207"/>
      <c r="AC792" s="188"/>
      <c r="AD792" s="187">
        <v>44664</v>
      </c>
    </row>
    <row r="793" spans="1:30">
      <c r="A793" s="318">
        <f>COUNTA($E$3:E793)</f>
        <v>791</v>
      </c>
      <c r="B793" s="318" t="s">
        <v>2567</v>
      </c>
      <c r="C793" s="318" t="s">
        <v>21</v>
      </c>
      <c r="D793" s="318" t="s">
        <v>34</v>
      </c>
      <c r="E793" s="318" t="s">
        <v>1256</v>
      </c>
      <c r="F793" s="316">
        <v>44620</v>
      </c>
      <c r="G793" s="316"/>
      <c r="H793" s="316">
        <v>44627</v>
      </c>
      <c r="I793" s="316" t="s">
        <v>2</v>
      </c>
      <c r="J793" s="318" t="s">
        <v>1212</v>
      </c>
      <c r="K793" s="318" t="s">
        <v>1295</v>
      </c>
      <c r="L793" s="14">
        <v>44631</v>
      </c>
      <c r="M793" t="s">
        <v>2613</v>
      </c>
      <c r="N793" s="174">
        <v>44636</v>
      </c>
      <c r="O793" s="179"/>
      <c r="Q793" t="s">
        <v>129</v>
      </c>
      <c r="T793" s="195"/>
      <c r="U793" s="195"/>
      <c r="V793" s="300"/>
      <c r="W793" s="201"/>
      <c r="X793" s="201"/>
      <c r="Y793" s="200"/>
      <c r="Z793" s="207"/>
      <c r="AA793" s="206"/>
      <c r="AB793" s="207"/>
      <c r="AC793" s="188"/>
      <c r="AD793" s="187">
        <v>44636</v>
      </c>
    </row>
    <row r="794" spans="1:30">
      <c r="A794" s="318">
        <f>COUNTA($E$3:E794)</f>
        <v>792</v>
      </c>
      <c r="B794" s="318" t="s">
        <v>2596</v>
      </c>
      <c r="C794" s="318" t="s">
        <v>1100</v>
      </c>
      <c r="D794" s="318" t="s">
        <v>30</v>
      </c>
      <c r="E794" s="318" t="s">
        <v>1648</v>
      </c>
      <c r="F794" s="316">
        <v>44627.527337962965</v>
      </c>
      <c r="G794" s="316"/>
      <c r="H794" s="316"/>
      <c r="I794" s="316" t="s">
        <v>3</v>
      </c>
      <c r="J794" s="318" t="s">
        <v>2597</v>
      </c>
      <c r="K794" s="318" t="s">
        <v>1295</v>
      </c>
      <c r="L794" s="14">
        <v>44631</v>
      </c>
      <c r="M794" t="s">
        <v>2954</v>
      </c>
      <c r="N794" s="174">
        <v>44638</v>
      </c>
      <c r="O794" s="179"/>
      <c r="Q794" t="s">
        <v>129</v>
      </c>
      <c r="T794" s="195"/>
      <c r="U794" s="195"/>
      <c r="V794" s="300"/>
      <c r="W794" s="201"/>
      <c r="X794" s="201"/>
      <c r="Y794" s="200"/>
      <c r="Z794" s="207"/>
      <c r="AA794" s="206"/>
      <c r="AB794" s="207"/>
      <c r="AC794" s="188"/>
      <c r="AD794" s="187">
        <v>44638</v>
      </c>
    </row>
    <row r="795" spans="1:30">
      <c r="A795" s="318">
        <f>COUNTA($E$3:E795)</f>
        <v>793</v>
      </c>
      <c r="B795" s="318" t="s">
        <v>2562</v>
      </c>
      <c r="C795" s="318" t="s">
        <v>21</v>
      </c>
      <c r="D795" s="318" t="s">
        <v>1169</v>
      </c>
      <c r="E795" s="318" t="s">
        <v>1170</v>
      </c>
      <c r="F795" s="316">
        <v>44620.429340277777</v>
      </c>
      <c r="G795" s="316"/>
      <c r="H795" s="316"/>
      <c r="I795" s="316" t="s">
        <v>3</v>
      </c>
      <c r="J795" s="318" t="s">
        <v>2563</v>
      </c>
      <c r="K795" s="318" t="s">
        <v>1296</v>
      </c>
      <c r="L795" s="14">
        <v>44631</v>
      </c>
      <c r="M795" t="s">
        <v>2612</v>
      </c>
      <c r="N795" s="174">
        <v>44643</v>
      </c>
      <c r="O795" s="179"/>
      <c r="Q795" t="s">
        <v>129</v>
      </c>
      <c r="T795" s="195"/>
      <c r="U795" s="195"/>
      <c r="V795" s="300"/>
      <c r="W795" s="201"/>
      <c r="X795" s="201"/>
      <c r="Y795" s="200"/>
      <c r="Z795" s="207"/>
      <c r="AA795" s="206"/>
      <c r="AB795" s="207"/>
      <c r="AC795" s="188"/>
      <c r="AD795" s="187">
        <v>44643</v>
      </c>
    </row>
    <row r="796" spans="1:30">
      <c r="A796" s="318">
        <f>COUNTA($E$3:E796)</f>
        <v>794</v>
      </c>
      <c r="B796" s="318" t="s">
        <v>2561</v>
      </c>
      <c r="C796" s="318" t="s">
        <v>44</v>
      </c>
      <c r="D796" s="318" t="s">
        <v>45</v>
      </c>
      <c r="E796" s="318" t="s">
        <v>152</v>
      </c>
      <c r="F796" s="316">
        <v>44620.428974294002</v>
      </c>
      <c r="G796" s="316"/>
      <c r="H796" s="316"/>
      <c r="I796" s="316" t="s">
        <v>4</v>
      </c>
      <c r="J796" s="318" t="s">
        <v>1639</v>
      </c>
      <c r="K796" s="318" t="s">
        <v>1287</v>
      </c>
      <c r="L796" s="14">
        <v>44631</v>
      </c>
      <c r="M796" t="s">
        <v>2956</v>
      </c>
      <c r="N796" s="174">
        <v>44631</v>
      </c>
      <c r="O796" s="179"/>
      <c r="Q796" t="s">
        <v>129</v>
      </c>
      <c r="T796" s="195"/>
      <c r="U796" s="195"/>
      <c r="V796" s="300"/>
      <c r="W796" s="201"/>
      <c r="X796" s="201"/>
      <c r="Y796" s="200"/>
      <c r="Z796" s="207"/>
      <c r="AA796" s="206"/>
      <c r="AB796" s="207"/>
      <c r="AC796" s="188"/>
      <c r="AD796" s="187">
        <v>44631</v>
      </c>
    </row>
    <row r="797" spans="1:30">
      <c r="A797" s="318">
        <f>COUNTA($E$3:E797)</f>
        <v>795</v>
      </c>
      <c r="B797" s="318" t="s">
        <v>2521</v>
      </c>
      <c r="C797" s="318" t="s">
        <v>44</v>
      </c>
      <c r="D797" s="318" t="s">
        <v>34</v>
      </c>
      <c r="E797" s="318" t="s">
        <v>126</v>
      </c>
      <c r="F797" s="316">
        <v>44610.571323055599</v>
      </c>
      <c r="G797" s="316"/>
      <c r="H797" s="316"/>
      <c r="I797" s="316" t="s">
        <v>2</v>
      </c>
      <c r="J797" s="318" t="s">
        <v>2435</v>
      </c>
      <c r="K797" s="318" t="s">
        <v>1287</v>
      </c>
      <c r="L797" s="14">
        <v>44627</v>
      </c>
      <c r="M797" t="s">
        <v>2587</v>
      </c>
      <c r="N797" s="174">
        <v>44627</v>
      </c>
      <c r="O797" s="179"/>
      <c r="Q797" t="s">
        <v>129</v>
      </c>
      <c r="T797" s="195"/>
      <c r="U797" s="195"/>
      <c r="V797" s="300"/>
      <c r="W797" s="201"/>
      <c r="X797" s="201"/>
      <c r="Y797" s="200"/>
      <c r="Z797" s="207"/>
      <c r="AA797" s="206"/>
      <c r="AB797" s="207"/>
      <c r="AC797" s="188"/>
      <c r="AD797" s="187">
        <v>44627</v>
      </c>
    </row>
    <row r="798" spans="1:30">
      <c r="A798" s="318">
        <f>COUNTA($E$3:E798)</f>
        <v>796</v>
      </c>
      <c r="B798" s="318" t="s">
        <v>2557</v>
      </c>
      <c r="C798" s="318" t="s">
        <v>37</v>
      </c>
      <c r="D798" s="318" t="s">
        <v>30</v>
      </c>
      <c r="E798" s="318" t="s">
        <v>2558</v>
      </c>
      <c r="F798" s="316">
        <v>44617.480717592596</v>
      </c>
      <c r="G798" s="316"/>
      <c r="H798" s="316"/>
      <c r="I798" s="316" t="s">
        <v>3</v>
      </c>
      <c r="J798" s="318" t="s">
        <v>1249</v>
      </c>
      <c r="K798" s="318" t="s">
        <v>1287</v>
      </c>
      <c r="L798" s="14">
        <v>44627</v>
      </c>
      <c r="M798" t="s">
        <v>2587</v>
      </c>
      <c r="N798" s="174">
        <v>44636</v>
      </c>
      <c r="O798" s="179"/>
      <c r="Q798" t="s">
        <v>129</v>
      </c>
      <c r="T798" s="195"/>
      <c r="U798" s="195"/>
      <c r="V798" s="300"/>
      <c r="W798" s="201"/>
      <c r="X798" s="201"/>
      <c r="Y798" s="200"/>
      <c r="Z798" s="207"/>
      <c r="AA798" s="206"/>
      <c r="AB798" s="207"/>
      <c r="AC798" s="188"/>
      <c r="AD798" s="187">
        <v>44636</v>
      </c>
    </row>
    <row r="799" spans="1:30">
      <c r="A799" s="318">
        <f>COUNTA($E$3:E799)</f>
        <v>797</v>
      </c>
      <c r="B799" s="318" t="s">
        <v>2535</v>
      </c>
      <c r="C799" s="318" t="s">
        <v>41</v>
      </c>
      <c r="D799" s="318" t="s">
        <v>49</v>
      </c>
      <c r="E799" s="318" t="s">
        <v>1143</v>
      </c>
      <c r="F799" s="316">
        <v>44616.542691770803</v>
      </c>
      <c r="G799" s="316"/>
      <c r="H799" s="316"/>
      <c r="I799" s="316" t="s">
        <v>3</v>
      </c>
      <c r="J799" s="318" t="s">
        <v>1649</v>
      </c>
      <c r="K799" s="318" t="s">
        <v>1287</v>
      </c>
      <c r="L799" s="14">
        <v>44627</v>
      </c>
      <c r="M799" t="s">
        <v>2588</v>
      </c>
      <c r="N799" s="174">
        <v>44627</v>
      </c>
      <c r="O799" s="179"/>
      <c r="Q799" t="s">
        <v>129</v>
      </c>
      <c r="T799" s="195"/>
      <c r="U799" s="195"/>
      <c r="V799" s="300"/>
      <c r="W799" s="201"/>
      <c r="X799" s="201"/>
      <c r="Y799" s="200"/>
      <c r="Z799" s="207"/>
      <c r="AA799" s="206"/>
      <c r="AB799" s="207"/>
      <c r="AC799" s="188"/>
      <c r="AD799" s="187">
        <v>44627</v>
      </c>
    </row>
    <row r="800" spans="1:30">
      <c r="A800" s="318">
        <f>COUNTA($E$3:E800)</f>
        <v>798</v>
      </c>
      <c r="B800" s="318" t="s">
        <v>2534</v>
      </c>
      <c r="C800" s="318" t="s">
        <v>41</v>
      </c>
      <c r="D800" s="318" t="s">
        <v>49</v>
      </c>
      <c r="E800" s="318" t="s">
        <v>1144</v>
      </c>
      <c r="F800" s="316">
        <v>44616.542210648149</v>
      </c>
      <c r="G800" s="316"/>
      <c r="H800" s="316"/>
      <c r="I800" s="316" t="s">
        <v>3</v>
      </c>
      <c r="J800" s="318" t="s">
        <v>1643</v>
      </c>
      <c r="K800" s="318"/>
      <c r="L800" s="14">
        <v>44617</v>
      </c>
      <c r="M800" t="s">
        <v>2543</v>
      </c>
      <c r="N800" s="174">
        <v>44617</v>
      </c>
      <c r="O800" s="179"/>
      <c r="Q800" t="s">
        <v>129</v>
      </c>
      <c r="T800" s="195"/>
      <c r="U800" s="195"/>
      <c r="V800" s="300"/>
      <c r="W800" s="201"/>
      <c r="X800" s="201"/>
      <c r="Y800" s="200"/>
      <c r="Z800" s="207"/>
      <c r="AA800" s="206"/>
      <c r="AB800" s="207"/>
      <c r="AC800" s="188"/>
      <c r="AD800" s="187">
        <v>44617</v>
      </c>
    </row>
    <row r="801" spans="1:30">
      <c r="A801" s="318">
        <f>COUNTA($E$3:E801)</f>
        <v>799</v>
      </c>
      <c r="B801" s="318" t="s">
        <v>2515</v>
      </c>
      <c r="C801" s="318" t="s">
        <v>41</v>
      </c>
      <c r="D801" s="318" t="s">
        <v>1124</v>
      </c>
      <c r="E801" s="318" t="s">
        <v>1185</v>
      </c>
      <c r="F801" s="316">
        <v>44610.458923611113</v>
      </c>
      <c r="G801" s="316"/>
      <c r="H801" s="316"/>
      <c r="I801" s="316" t="s">
        <v>2</v>
      </c>
      <c r="J801" s="318" t="s">
        <v>2516</v>
      </c>
      <c r="K801" s="318" t="s">
        <v>1294</v>
      </c>
      <c r="L801" s="14">
        <v>44617</v>
      </c>
      <c r="M801" t="s">
        <v>2543</v>
      </c>
      <c r="N801" s="174">
        <v>44621</v>
      </c>
      <c r="O801" s="179"/>
      <c r="Q801" t="s">
        <v>22</v>
      </c>
      <c r="T801" s="195"/>
      <c r="U801" s="195"/>
      <c r="V801" s="300"/>
      <c r="W801" s="201"/>
      <c r="X801" s="201"/>
      <c r="Y801" s="200"/>
      <c r="Z801" s="207"/>
      <c r="AA801" s="206"/>
      <c r="AB801" s="207"/>
      <c r="AC801" s="188"/>
      <c r="AD801" s="187">
        <v>44621</v>
      </c>
    </row>
    <row r="802" spans="1:30">
      <c r="A802" s="318">
        <f>COUNTA($E$3:E802)</f>
        <v>800</v>
      </c>
      <c r="B802" s="318" t="s">
        <v>2533</v>
      </c>
      <c r="C802" s="318" t="s">
        <v>44</v>
      </c>
      <c r="D802" s="318" t="s">
        <v>51</v>
      </c>
      <c r="E802" s="318" t="s">
        <v>257</v>
      </c>
      <c r="F802" s="316">
        <v>44616.54184027778</v>
      </c>
      <c r="G802" s="316"/>
      <c r="H802" s="316"/>
      <c r="I802" s="316" t="s">
        <v>3</v>
      </c>
      <c r="J802" s="318" t="s">
        <v>1643</v>
      </c>
      <c r="K802" s="318"/>
      <c r="L802" s="14">
        <v>44617</v>
      </c>
      <c r="M802" t="s">
        <v>2543</v>
      </c>
      <c r="N802" s="174">
        <v>44617</v>
      </c>
      <c r="O802" s="179"/>
      <c r="Q802" t="s">
        <v>129</v>
      </c>
      <c r="T802" s="195"/>
      <c r="U802" s="195"/>
      <c r="V802" s="300"/>
      <c r="W802" s="201"/>
      <c r="X802" s="201"/>
      <c r="Y802" s="200"/>
      <c r="Z802" s="207"/>
      <c r="AA802" s="206"/>
      <c r="AB802" s="207"/>
      <c r="AC802" s="188"/>
      <c r="AD802" s="187">
        <v>44617</v>
      </c>
    </row>
    <row r="803" spans="1:30">
      <c r="A803" s="318">
        <f>COUNTA($E$3:E803)</f>
        <v>801</v>
      </c>
      <c r="B803" s="318" t="s">
        <v>2530</v>
      </c>
      <c r="C803" s="318" t="s">
        <v>44</v>
      </c>
      <c r="D803" s="318" t="s">
        <v>30</v>
      </c>
      <c r="E803" s="318" t="s">
        <v>86</v>
      </c>
      <c r="F803" s="316">
        <v>44615.510879629626</v>
      </c>
      <c r="G803" s="316"/>
      <c r="H803" s="316"/>
      <c r="I803" s="316" t="s">
        <v>3</v>
      </c>
      <c r="J803" s="318" t="s">
        <v>1720</v>
      </c>
      <c r="K803" s="318" t="s">
        <v>1287</v>
      </c>
      <c r="L803" s="14">
        <v>44617</v>
      </c>
      <c r="M803" t="s">
        <v>2543</v>
      </c>
      <c r="N803" s="174">
        <v>44617</v>
      </c>
      <c r="O803" s="179"/>
      <c r="Q803" t="s">
        <v>129</v>
      </c>
      <c r="T803" s="195"/>
      <c r="U803" s="195"/>
      <c r="V803" s="300"/>
      <c r="W803" s="201"/>
      <c r="X803" s="201"/>
      <c r="Y803" s="200"/>
      <c r="Z803" s="207"/>
      <c r="AA803" s="206"/>
      <c r="AB803" s="207"/>
      <c r="AC803" s="188"/>
      <c r="AD803" s="187">
        <v>44617</v>
      </c>
    </row>
    <row r="804" spans="1:30">
      <c r="A804" s="318">
        <f>COUNTA($E$3:E804)</f>
        <v>802</v>
      </c>
      <c r="B804" s="318" t="s">
        <v>2528</v>
      </c>
      <c r="C804" s="318" t="s">
        <v>41</v>
      </c>
      <c r="D804" s="318" t="s">
        <v>16</v>
      </c>
      <c r="E804" s="318" t="s">
        <v>1188</v>
      </c>
      <c r="F804" s="316">
        <v>44615.493402777778</v>
      </c>
      <c r="G804" s="316"/>
      <c r="H804" s="316"/>
      <c r="I804" s="316" t="s">
        <v>3</v>
      </c>
      <c r="J804" s="318" t="s">
        <v>1649</v>
      </c>
      <c r="K804" s="318" t="s">
        <v>1287</v>
      </c>
      <c r="L804" s="14">
        <v>44617</v>
      </c>
      <c r="M804" t="s">
        <v>2543</v>
      </c>
      <c r="N804" s="174">
        <v>44617</v>
      </c>
      <c r="O804" s="179"/>
      <c r="Q804" t="s">
        <v>129</v>
      </c>
      <c r="T804" s="195"/>
      <c r="U804" s="195"/>
      <c r="V804" s="300"/>
      <c r="W804" s="201"/>
      <c r="X804" s="201"/>
      <c r="Y804" s="200"/>
      <c r="Z804" s="207"/>
      <c r="AA804" s="206"/>
      <c r="AB804" s="207"/>
      <c r="AC804" s="188"/>
      <c r="AD804" s="187">
        <v>44617</v>
      </c>
    </row>
    <row r="805" spans="1:30">
      <c r="A805" s="318">
        <f>COUNTA($E$3:E805)</f>
        <v>803</v>
      </c>
      <c r="B805" s="318" t="s">
        <v>2507</v>
      </c>
      <c r="C805" s="318" t="s">
        <v>37</v>
      </c>
      <c r="D805" s="318" t="s">
        <v>34</v>
      </c>
      <c r="E805" s="318" t="s">
        <v>1646</v>
      </c>
      <c r="F805" s="316">
        <v>44609.470866000003</v>
      </c>
      <c r="G805" s="316"/>
      <c r="H805" s="316"/>
      <c r="I805" s="316" t="s">
        <v>3</v>
      </c>
      <c r="J805" s="318" t="s">
        <v>2541</v>
      </c>
      <c r="K805" s="318" t="s">
        <v>1295</v>
      </c>
      <c r="L805" s="14">
        <v>44617</v>
      </c>
      <c r="M805" t="s">
        <v>2543</v>
      </c>
      <c r="N805" s="174">
        <v>44617</v>
      </c>
      <c r="O805" s="179"/>
      <c r="Q805" t="s">
        <v>129</v>
      </c>
      <c r="T805" s="195"/>
      <c r="U805" s="195"/>
      <c r="V805" s="300"/>
      <c r="W805" s="201"/>
      <c r="X805" s="201"/>
      <c r="Y805" s="200"/>
      <c r="Z805" s="207"/>
      <c r="AA805" s="206"/>
      <c r="AB805" s="207"/>
      <c r="AC805" s="188"/>
      <c r="AD805" s="187">
        <v>44617</v>
      </c>
    </row>
    <row r="806" spans="1:30">
      <c r="A806" s="318">
        <f>COUNTA($E$3:E806)</f>
        <v>804</v>
      </c>
      <c r="B806" s="318" t="s">
        <v>2223</v>
      </c>
      <c r="C806" s="318" t="s">
        <v>37</v>
      </c>
      <c r="D806" s="318" t="s">
        <v>34</v>
      </c>
      <c r="E806" s="318" t="s">
        <v>1963</v>
      </c>
      <c r="F806" s="316">
        <v>44519.485042222201</v>
      </c>
      <c r="G806" s="316">
        <v>44523.628796296303</v>
      </c>
      <c r="H806" s="316"/>
      <c r="I806" s="316" t="s">
        <v>3</v>
      </c>
      <c r="J806" s="318" t="s">
        <v>1212</v>
      </c>
      <c r="K806" s="318"/>
      <c r="L806" s="14">
        <v>44617</v>
      </c>
      <c r="M806" t="s">
        <v>2553</v>
      </c>
      <c r="N806" s="174">
        <v>44617</v>
      </c>
      <c r="O806" s="179"/>
      <c r="Q806" t="s">
        <v>129</v>
      </c>
      <c r="T806" s="195"/>
      <c r="U806" s="195"/>
      <c r="V806" s="300"/>
      <c r="W806" s="201"/>
      <c r="X806" s="201"/>
      <c r="Y806" s="200"/>
      <c r="Z806" s="207"/>
      <c r="AA806" s="206"/>
      <c r="AB806" s="207"/>
      <c r="AC806" s="188"/>
      <c r="AD806" s="187">
        <v>44617</v>
      </c>
    </row>
    <row r="807" spans="1:30">
      <c r="A807" s="318">
        <f>COUNTA($E$3:E807)</f>
        <v>805</v>
      </c>
      <c r="B807" s="318" t="s">
        <v>2457</v>
      </c>
      <c r="C807" s="318" t="s">
        <v>2458</v>
      </c>
      <c r="D807" s="318" t="s">
        <v>16</v>
      </c>
      <c r="E807" s="318" t="s">
        <v>2459</v>
      </c>
      <c r="F807" s="316">
        <v>44589</v>
      </c>
      <c r="G807" s="316"/>
      <c r="H807" s="316">
        <v>44603</v>
      </c>
      <c r="I807" s="316" t="s">
        <v>2</v>
      </c>
      <c r="J807" s="318" t="s">
        <v>17</v>
      </c>
      <c r="K807" s="318" t="s">
        <v>1295</v>
      </c>
      <c r="L807" s="14">
        <v>44617</v>
      </c>
      <c r="M807" t="s">
        <v>2543</v>
      </c>
      <c r="N807" s="174">
        <v>44617</v>
      </c>
      <c r="O807" s="179"/>
      <c r="Q807" t="s">
        <v>129</v>
      </c>
      <c r="T807" s="195"/>
      <c r="U807" s="195"/>
      <c r="V807" s="300"/>
      <c r="W807" s="201"/>
      <c r="X807" s="201"/>
      <c r="Y807" s="200"/>
      <c r="Z807" s="207"/>
      <c r="AA807" s="206"/>
      <c r="AB807" s="207"/>
      <c r="AC807" s="188"/>
      <c r="AD807" s="187">
        <v>44617</v>
      </c>
    </row>
    <row r="808" spans="1:30">
      <c r="A808" s="318">
        <f>COUNTA($E$3:E808)</f>
        <v>806</v>
      </c>
      <c r="B808" s="318" t="s">
        <v>2290</v>
      </c>
      <c r="C808" s="318" t="s">
        <v>286</v>
      </c>
      <c r="D808" s="318" t="s">
        <v>34</v>
      </c>
      <c r="E808" s="318" t="s">
        <v>1250</v>
      </c>
      <c r="F808" s="316">
        <v>44547</v>
      </c>
      <c r="G808" s="316"/>
      <c r="H808" s="316"/>
      <c r="I808" s="316" t="s">
        <v>3</v>
      </c>
      <c r="J808" s="318" t="s">
        <v>1212</v>
      </c>
      <c r="K808" s="318" t="s">
        <v>2032</v>
      </c>
      <c r="L808" s="14">
        <v>44610</v>
      </c>
      <c r="M808" t="s">
        <v>2511</v>
      </c>
      <c r="N808" s="174">
        <v>44610</v>
      </c>
      <c r="O808" s="179"/>
      <c r="Q808" t="s">
        <v>22</v>
      </c>
      <c r="T808" s="195"/>
      <c r="U808" s="195"/>
      <c r="V808" s="300"/>
      <c r="W808" s="201"/>
      <c r="X808" s="201"/>
      <c r="Y808" s="200"/>
      <c r="Z808" s="207"/>
      <c r="AA808" s="206"/>
      <c r="AB808" s="207"/>
      <c r="AC808" s="188"/>
      <c r="AD808" s="187">
        <v>44610</v>
      </c>
    </row>
    <row r="809" spans="1:30">
      <c r="A809" s="318">
        <f>COUNTA($E$3:E809)</f>
        <v>807</v>
      </c>
      <c r="B809" s="318" t="s">
        <v>2491</v>
      </c>
      <c r="C809" s="318" t="s">
        <v>1078</v>
      </c>
      <c r="D809" s="318" t="s">
        <v>1264</v>
      </c>
      <c r="E809" s="318" t="s">
        <v>1688</v>
      </c>
      <c r="F809" s="316">
        <v>44600</v>
      </c>
      <c r="G809" s="316"/>
      <c r="H809" s="316">
        <v>44603</v>
      </c>
      <c r="I809" s="316" t="s">
        <v>4</v>
      </c>
      <c r="J809" s="318" t="s">
        <v>1707</v>
      </c>
      <c r="K809" s="318" t="s">
        <v>287</v>
      </c>
      <c r="L809" s="14">
        <v>44610</v>
      </c>
      <c r="M809" t="s">
        <v>2512</v>
      </c>
      <c r="N809" s="174">
        <v>44613</v>
      </c>
      <c r="O809" s="179"/>
      <c r="Q809" t="s">
        <v>22</v>
      </c>
      <c r="T809" s="195"/>
      <c r="U809" s="195"/>
      <c r="V809" s="300"/>
      <c r="W809" s="201"/>
      <c r="X809" s="201"/>
      <c r="Y809" s="200"/>
      <c r="Z809" s="207"/>
      <c r="AA809" s="206"/>
      <c r="AB809" s="207"/>
      <c r="AC809" s="188"/>
      <c r="AD809" s="187">
        <v>44613</v>
      </c>
    </row>
    <row r="810" spans="1:30">
      <c r="A810" s="318">
        <f>COUNTA($E$3:E810)</f>
        <v>808</v>
      </c>
      <c r="B810" s="318" t="s">
        <v>2492</v>
      </c>
      <c r="C810" s="318" t="s">
        <v>1078</v>
      </c>
      <c r="D810" s="318" t="s">
        <v>1126</v>
      </c>
      <c r="E810" s="318" t="s">
        <v>2493</v>
      </c>
      <c r="F810" s="316">
        <v>44600</v>
      </c>
      <c r="G810" s="316"/>
      <c r="H810" s="316">
        <v>44603</v>
      </c>
      <c r="I810" s="316" t="s">
        <v>4</v>
      </c>
      <c r="J810" s="318" t="s">
        <v>2501</v>
      </c>
      <c r="K810" s="318" t="s">
        <v>287</v>
      </c>
      <c r="L810" s="14">
        <v>44610</v>
      </c>
      <c r="M810" t="s">
        <v>2512</v>
      </c>
      <c r="N810" s="174">
        <v>44613</v>
      </c>
      <c r="O810" s="179"/>
      <c r="Q810" t="s">
        <v>22</v>
      </c>
      <c r="T810" s="195"/>
      <c r="U810" s="195"/>
      <c r="V810" s="300"/>
      <c r="W810" s="201"/>
      <c r="X810" s="201"/>
      <c r="Y810" s="200"/>
      <c r="Z810" s="207"/>
      <c r="AA810" s="206"/>
      <c r="AB810" s="207"/>
      <c r="AC810" s="188"/>
      <c r="AD810" s="187">
        <v>44613</v>
      </c>
    </row>
    <row r="811" spans="1:30">
      <c r="A811" s="318">
        <f>COUNTA($E$3:E811)</f>
        <v>809</v>
      </c>
      <c r="B811" s="318" t="s">
        <v>2500</v>
      </c>
      <c r="C811" s="318" t="s">
        <v>37</v>
      </c>
      <c r="D811" s="318" t="s">
        <v>34</v>
      </c>
      <c r="E811" s="318" t="s">
        <v>1146</v>
      </c>
      <c r="F811" s="316">
        <v>44603.512870370374</v>
      </c>
      <c r="G811" s="316"/>
      <c r="H811" s="316"/>
      <c r="I811" s="316" t="s">
        <v>3</v>
      </c>
      <c r="J811" s="318" t="s">
        <v>1666</v>
      </c>
      <c r="K811" s="318" t="s">
        <v>1287</v>
      </c>
      <c r="L811" s="14">
        <v>44610</v>
      </c>
      <c r="M811" t="s">
        <v>2513</v>
      </c>
      <c r="N811" s="174">
        <v>44610</v>
      </c>
      <c r="O811" s="179"/>
      <c r="Q811" t="s">
        <v>129</v>
      </c>
      <c r="T811" s="195"/>
      <c r="U811" s="195"/>
      <c r="V811" s="300"/>
      <c r="W811" s="201"/>
      <c r="X811" s="201"/>
      <c r="Y811" s="200"/>
      <c r="Z811" s="207"/>
      <c r="AA811" s="206"/>
      <c r="AB811" s="207"/>
      <c r="AC811" s="188"/>
      <c r="AD811" s="187">
        <v>44610</v>
      </c>
    </row>
    <row r="812" spans="1:30">
      <c r="A812" s="318">
        <f>COUNTA($E$3:E812)</f>
        <v>810</v>
      </c>
      <c r="B812" s="318" t="s">
        <v>2502</v>
      </c>
      <c r="C812" s="318" t="s">
        <v>71</v>
      </c>
      <c r="D812" s="318" t="s">
        <v>51</v>
      </c>
      <c r="E812" s="318" t="s">
        <v>1128</v>
      </c>
      <c r="F812" s="316">
        <v>44609.737217000002</v>
      </c>
      <c r="G812" s="316"/>
      <c r="H812" s="316"/>
      <c r="I812" s="316" t="s">
        <v>2</v>
      </c>
      <c r="J812" s="318" t="s">
        <v>17</v>
      </c>
      <c r="K812" s="318" t="s">
        <v>1287</v>
      </c>
      <c r="L812" s="14">
        <v>44610</v>
      </c>
      <c r="M812" t="s">
        <v>3094</v>
      </c>
      <c r="N812" s="174">
        <v>44687</v>
      </c>
      <c r="O812" s="179"/>
      <c r="Q812" t="s">
        <v>129</v>
      </c>
      <c r="T812" s="195"/>
      <c r="U812" s="195"/>
      <c r="V812" s="300"/>
      <c r="W812" s="201"/>
      <c r="X812" s="201"/>
      <c r="Y812" s="200"/>
      <c r="Z812" s="207"/>
      <c r="AA812" s="206"/>
      <c r="AB812" s="207"/>
      <c r="AC812" s="188"/>
      <c r="AD812" s="187">
        <v>44687</v>
      </c>
    </row>
    <row r="813" spans="1:30">
      <c r="A813" s="318">
        <f>COUNTA($E$3:E813)</f>
        <v>811</v>
      </c>
      <c r="B813" s="318" t="s">
        <v>2204</v>
      </c>
      <c r="C813" s="318" t="s">
        <v>21</v>
      </c>
      <c r="D813" s="318" t="s">
        <v>34</v>
      </c>
      <c r="E813" s="318" t="s">
        <v>2205</v>
      </c>
      <c r="F813" s="316">
        <v>44518</v>
      </c>
      <c r="G813" s="316"/>
      <c r="H813" s="316" t="s">
        <v>55</v>
      </c>
      <c r="I813" s="316" t="s">
        <v>2</v>
      </c>
      <c r="J813" s="318" t="s">
        <v>2233</v>
      </c>
      <c r="K813" s="318" t="s">
        <v>1295</v>
      </c>
      <c r="L813" s="14">
        <v>44610</v>
      </c>
      <c r="M813" t="s">
        <v>2524</v>
      </c>
      <c r="N813" s="174">
        <v>44610</v>
      </c>
      <c r="O813" s="179"/>
      <c r="Q813" t="s">
        <v>129</v>
      </c>
      <c r="T813" s="195"/>
      <c r="U813" s="195"/>
      <c r="V813" s="300"/>
      <c r="W813" s="201"/>
      <c r="X813" s="201"/>
      <c r="Y813" s="200"/>
      <c r="Z813" s="207"/>
      <c r="AA813" s="206"/>
      <c r="AB813" s="207"/>
      <c r="AC813" s="188"/>
      <c r="AD813" s="187">
        <v>44610</v>
      </c>
    </row>
    <row r="814" spans="1:30">
      <c r="A814" s="318">
        <f>COUNTA($E$3:E814)</f>
        <v>812</v>
      </c>
      <c r="B814" s="318" t="s">
        <v>2508</v>
      </c>
      <c r="C814" s="318" t="s">
        <v>71</v>
      </c>
      <c r="D814" s="318" t="s">
        <v>49</v>
      </c>
      <c r="E814" s="318" t="s">
        <v>1157</v>
      </c>
      <c r="F814" s="316">
        <v>44609</v>
      </c>
      <c r="G814" s="316"/>
      <c r="H814" s="316"/>
      <c r="I814" s="316" t="s">
        <v>2</v>
      </c>
      <c r="J814" s="318" t="s">
        <v>1893</v>
      </c>
      <c r="K814" s="318" t="s">
        <v>33</v>
      </c>
      <c r="L814" s="14">
        <v>44610</v>
      </c>
      <c r="M814" t="s">
        <v>2514</v>
      </c>
      <c r="N814" s="174">
        <v>44610</v>
      </c>
      <c r="O814" s="179"/>
      <c r="Q814" t="s">
        <v>129</v>
      </c>
      <c r="T814" s="195"/>
      <c r="U814" s="195"/>
      <c r="V814" s="300"/>
      <c r="W814" s="201"/>
      <c r="X814" s="201"/>
      <c r="Y814" s="200"/>
      <c r="Z814" s="207"/>
      <c r="AA814" s="206"/>
      <c r="AB814" s="207"/>
      <c r="AC814" s="188"/>
      <c r="AD814" s="187">
        <v>44610</v>
      </c>
    </row>
    <row r="815" spans="1:30">
      <c r="A815" s="318">
        <f>COUNTA($E$3:E815)</f>
        <v>813</v>
      </c>
      <c r="B815" s="318" t="s">
        <v>2506</v>
      </c>
      <c r="C815" s="318" t="s">
        <v>37</v>
      </c>
      <c r="D815" s="318" t="s">
        <v>30</v>
      </c>
      <c r="E815" s="318" t="s">
        <v>1290</v>
      </c>
      <c r="F815" s="316">
        <v>44610.599216099501</v>
      </c>
      <c r="G815" s="316"/>
      <c r="H815" s="316"/>
      <c r="I815" s="316" t="s">
        <v>3</v>
      </c>
      <c r="J815" s="318" t="s">
        <v>2523</v>
      </c>
      <c r="K815" s="318" t="s">
        <v>1295</v>
      </c>
      <c r="L815" s="14">
        <v>44610</v>
      </c>
      <c r="M815" t="s">
        <v>2525</v>
      </c>
      <c r="N815" s="174">
        <v>44616</v>
      </c>
      <c r="O815" s="179"/>
      <c r="Q815" t="s">
        <v>129</v>
      </c>
      <c r="T815" s="195"/>
      <c r="U815" s="195"/>
      <c r="V815" s="300"/>
      <c r="W815" s="201"/>
      <c r="X815" s="201"/>
      <c r="Y815" s="200"/>
      <c r="Z815" s="207"/>
      <c r="AA815" s="206"/>
      <c r="AB815" s="207"/>
      <c r="AC815" s="188"/>
      <c r="AD815" s="187">
        <v>44616</v>
      </c>
    </row>
    <row r="816" spans="1:30">
      <c r="A816" s="318">
        <f>COUNTA($E$3:E816)</f>
        <v>814</v>
      </c>
      <c r="B816" s="318" t="s">
        <v>2454</v>
      </c>
      <c r="C816" s="318" t="s">
        <v>44</v>
      </c>
      <c r="D816" s="318" t="s">
        <v>49</v>
      </c>
      <c r="E816" s="318" t="s">
        <v>61</v>
      </c>
      <c r="F816" s="316">
        <v>44586</v>
      </c>
      <c r="G816" s="316"/>
      <c r="H816" s="316" t="s">
        <v>66</v>
      </c>
      <c r="I816" s="316" t="s">
        <v>2</v>
      </c>
      <c r="J816" s="318" t="s">
        <v>2455</v>
      </c>
      <c r="K816" s="318" t="s">
        <v>24</v>
      </c>
      <c r="L816" s="14">
        <v>44603</v>
      </c>
      <c r="N816" s="174">
        <v>44603</v>
      </c>
      <c r="O816" s="179"/>
      <c r="Q816" t="s">
        <v>22</v>
      </c>
      <c r="T816" s="195"/>
      <c r="U816" s="195"/>
      <c r="V816" s="300"/>
      <c r="W816" s="201"/>
      <c r="X816" s="201"/>
      <c r="Y816" s="200"/>
      <c r="Z816" s="207"/>
      <c r="AA816" s="206"/>
      <c r="AB816" s="207"/>
      <c r="AC816" s="188"/>
      <c r="AD816" s="187">
        <v>44603</v>
      </c>
    </row>
    <row r="817" spans="1:30">
      <c r="A817" s="318">
        <f>COUNTA($E$3:E817)</f>
        <v>815</v>
      </c>
      <c r="B817" s="318" t="s">
        <v>2026</v>
      </c>
      <c r="C817" s="318" t="s">
        <v>44</v>
      </c>
      <c r="D817" s="318" t="s">
        <v>30</v>
      </c>
      <c r="E817" s="318" t="s">
        <v>112</v>
      </c>
      <c r="F817" s="316">
        <v>44484</v>
      </c>
      <c r="G817" s="316">
        <v>44491</v>
      </c>
      <c r="H817" s="316" t="s">
        <v>66</v>
      </c>
      <c r="I817" s="316" t="s">
        <v>2</v>
      </c>
      <c r="J817" s="318" t="s">
        <v>2045</v>
      </c>
      <c r="K817" s="318"/>
      <c r="L817" s="14">
        <v>44603</v>
      </c>
      <c r="M817" t="s">
        <v>2499</v>
      </c>
      <c r="N817" s="174">
        <v>44603</v>
      </c>
      <c r="O817" s="179"/>
      <c r="Q817" t="s">
        <v>129</v>
      </c>
      <c r="T817" s="195"/>
      <c r="U817" s="195"/>
      <c r="V817" s="300"/>
      <c r="W817" s="201"/>
      <c r="X817" s="201"/>
      <c r="Y817" s="200"/>
      <c r="Z817" s="207"/>
      <c r="AA817" s="206"/>
      <c r="AB817" s="207"/>
      <c r="AC817" s="188"/>
      <c r="AD817" s="187">
        <v>44603</v>
      </c>
    </row>
    <row r="818" spans="1:30">
      <c r="A818" s="318">
        <f>COUNTA($E$3:E818)</f>
        <v>816</v>
      </c>
      <c r="B818" s="318" t="s">
        <v>2376</v>
      </c>
      <c r="C818" s="318" t="s">
        <v>2345</v>
      </c>
      <c r="D818" s="318" t="s">
        <v>16</v>
      </c>
      <c r="E818" s="318" t="s">
        <v>2377</v>
      </c>
      <c r="F818" s="316">
        <v>44567</v>
      </c>
      <c r="G818" s="316"/>
      <c r="H818" s="316">
        <v>44575</v>
      </c>
      <c r="I818" s="316" t="s">
        <v>2</v>
      </c>
      <c r="J818" s="318" t="s">
        <v>1671</v>
      </c>
      <c r="K818" s="318" t="s">
        <v>1089</v>
      </c>
      <c r="L818" s="14">
        <v>44603</v>
      </c>
      <c r="N818" s="174">
        <v>44609</v>
      </c>
      <c r="O818" s="179"/>
      <c r="Q818" t="s">
        <v>3948</v>
      </c>
      <c r="T818" s="195"/>
      <c r="U818" s="195"/>
      <c r="V818" s="300"/>
      <c r="W818" s="201"/>
      <c r="X818" s="201"/>
      <c r="Y818" s="200"/>
      <c r="Z818" s="207"/>
      <c r="AA818" s="206"/>
      <c r="AB818" s="207"/>
      <c r="AC818" s="188"/>
      <c r="AD818" s="187">
        <v>44609</v>
      </c>
    </row>
    <row r="819" spans="1:30">
      <c r="A819" s="318">
        <f>COUNTA($E$3:E819)</f>
        <v>817</v>
      </c>
      <c r="B819" s="318" t="s">
        <v>2462</v>
      </c>
      <c r="C819" s="318" t="s">
        <v>1100</v>
      </c>
      <c r="D819" s="318" t="s">
        <v>58</v>
      </c>
      <c r="E819" s="318" t="s">
        <v>2463</v>
      </c>
      <c r="F819" s="316">
        <v>44588.730624999997</v>
      </c>
      <c r="G819" s="316"/>
      <c r="H819" s="316"/>
      <c r="I819" s="316" t="s">
        <v>3</v>
      </c>
      <c r="J819" s="318" t="s">
        <v>1485</v>
      </c>
      <c r="K819" s="318" t="s">
        <v>33</v>
      </c>
      <c r="L819" s="14">
        <v>44589</v>
      </c>
      <c r="M819" t="s">
        <v>2477</v>
      </c>
      <c r="N819" s="174">
        <v>44599</v>
      </c>
      <c r="O819" s="179"/>
      <c r="Q819" t="s">
        <v>3948</v>
      </c>
      <c r="T819" s="195"/>
      <c r="U819" s="195"/>
      <c r="V819" s="300"/>
      <c r="W819" s="201"/>
      <c r="X819" s="201"/>
      <c r="Y819" s="200"/>
      <c r="Z819" s="207"/>
      <c r="AA819" s="206"/>
      <c r="AB819" s="207"/>
      <c r="AC819" s="188"/>
      <c r="AD819" s="187">
        <v>44599</v>
      </c>
    </row>
    <row r="820" spans="1:30">
      <c r="A820" s="318">
        <f>COUNTA($E$3:E820)</f>
        <v>818</v>
      </c>
      <c r="B820" s="318" t="s">
        <v>2460</v>
      </c>
      <c r="C820" s="318" t="s">
        <v>41</v>
      </c>
      <c r="D820" s="318" t="s">
        <v>34</v>
      </c>
      <c r="E820" s="318" t="s">
        <v>2461</v>
      </c>
      <c r="F820" s="316">
        <v>44588.571562999998</v>
      </c>
      <c r="G820" s="316"/>
      <c r="H820" s="316"/>
      <c r="I820" s="316" t="s">
        <v>3</v>
      </c>
      <c r="J820" s="318" t="s">
        <v>1760</v>
      </c>
      <c r="K820" s="318" t="s">
        <v>33</v>
      </c>
      <c r="L820" s="14">
        <v>44589</v>
      </c>
      <c r="M820" t="s">
        <v>2476</v>
      </c>
      <c r="N820" s="174">
        <v>44589</v>
      </c>
      <c r="O820" s="179"/>
      <c r="Q820" t="s">
        <v>129</v>
      </c>
      <c r="T820" s="195"/>
      <c r="U820" s="195"/>
      <c r="V820" s="300"/>
      <c r="W820" s="201"/>
      <c r="X820" s="201"/>
      <c r="Y820" s="200"/>
      <c r="Z820" s="207"/>
      <c r="AA820" s="206"/>
      <c r="AB820" s="207"/>
      <c r="AC820" s="188"/>
      <c r="AD820" s="187">
        <v>44589</v>
      </c>
    </row>
    <row r="821" spans="1:30">
      <c r="A821" s="318">
        <f>COUNTA($E$3:E821)</f>
        <v>819</v>
      </c>
      <c r="B821" s="318" t="s">
        <v>2184</v>
      </c>
      <c r="C821" s="318" t="s">
        <v>1231</v>
      </c>
      <c r="D821" s="318" t="s">
        <v>1129</v>
      </c>
      <c r="E821" s="318" t="s">
        <v>2185</v>
      </c>
      <c r="F821" s="316">
        <v>44512</v>
      </c>
      <c r="G821" s="316">
        <v>44575</v>
      </c>
      <c r="H821" s="316">
        <v>44519</v>
      </c>
      <c r="I821" s="316" t="s">
        <v>2</v>
      </c>
      <c r="J821" s="318" t="s">
        <v>1854</v>
      </c>
      <c r="K821" s="318" t="s">
        <v>2032</v>
      </c>
      <c r="L821" s="14">
        <v>44589</v>
      </c>
      <c r="M821" t="s">
        <v>2467</v>
      </c>
      <c r="N821" s="174">
        <v>44589</v>
      </c>
      <c r="O821" s="179"/>
      <c r="Q821" t="s">
        <v>22</v>
      </c>
      <c r="T821" s="195"/>
      <c r="U821" s="195"/>
      <c r="V821" s="300"/>
      <c r="W821" s="201"/>
      <c r="X821" s="201"/>
      <c r="Y821" s="200"/>
      <c r="Z821" s="207"/>
      <c r="AA821" s="206"/>
      <c r="AB821" s="207"/>
      <c r="AC821" s="188"/>
      <c r="AD821" s="187">
        <v>44589</v>
      </c>
    </row>
    <row r="822" spans="1:30">
      <c r="A822" s="318">
        <f>COUNTA($E$3:E822)</f>
        <v>820</v>
      </c>
      <c r="B822" s="318" t="s">
        <v>2039</v>
      </c>
      <c r="C822" s="318" t="s">
        <v>1100</v>
      </c>
      <c r="D822" s="318" t="s">
        <v>30</v>
      </c>
      <c r="E822" s="318" t="s">
        <v>1648</v>
      </c>
      <c r="F822" s="316">
        <v>44489</v>
      </c>
      <c r="G822" s="316">
        <v>44568</v>
      </c>
      <c r="H822" s="316">
        <v>44496</v>
      </c>
      <c r="I822" s="316" t="s">
        <v>2</v>
      </c>
      <c r="J822" s="318" t="s">
        <v>2040</v>
      </c>
      <c r="K822" s="318" t="s">
        <v>33</v>
      </c>
      <c r="L822" s="14">
        <v>44589</v>
      </c>
      <c r="M822" t="s">
        <v>2473</v>
      </c>
      <c r="N822" s="174">
        <v>44589</v>
      </c>
      <c r="O822" s="179"/>
      <c r="Q822" t="s">
        <v>129</v>
      </c>
      <c r="T822" s="195"/>
      <c r="U822" s="195"/>
      <c r="V822" s="300"/>
      <c r="W822" s="201"/>
      <c r="X822" s="201"/>
      <c r="Y822" s="200"/>
      <c r="Z822" s="207"/>
      <c r="AA822" s="206"/>
      <c r="AB822" s="207"/>
      <c r="AC822" s="188"/>
      <c r="AD822" s="187">
        <v>44589</v>
      </c>
    </row>
    <row r="823" spans="1:30">
      <c r="A823" s="318">
        <f>COUNTA($E$3:E823)</f>
        <v>821</v>
      </c>
      <c r="B823" s="318" t="s">
        <v>2464</v>
      </c>
      <c r="C823" s="318" t="s">
        <v>44</v>
      </c>
      <c r="D823" s="318" t="s">
        <v>30</v>
      </c>
      <c r="E823" s="318" t="s">
        <v>2465</v>
      </c>
      <c r="F823" s="316">
        <v>44588</v>
      </c>
      <c r="G823" s="316"/>
      <c r="H823" s="316" t="s">
        <v>66</v>
      </c>
      <c r="I823" s="316" t="s">
        <v>2</v>
      </c>
      <c r="J823" s="318" t="s">
        <v>2466</v>
      </c>
      <c r="K823" s="318" t="s">
        <v>24</v>
      </c>
      <c r="L823" s="14">
        <v>44589</v>
      </c>
      <c r="M823" t="s">
        <v>2478</v>
      </c>
      <c r="N823" s="174">
        <v>44589</v>
      </c>
      <c r="O823" s="179"/>
      <c r="Q823" t="s">
        <v>22</v>
      </c>
      <c r="T823" s="195"/>
      <c r="U823" s="195"/>
      <c r="V823" s="300"/>
      <c r="W823" s="201"/>
      <c r="X823" s="201"/>
      <c r="Y823" s="200"/>
      <c r="Z823" s="207"/>
      <c r="AA823" s="206"/>
      <c r="AB823" s="207"/>
      <c r="AC823" s="188"/>
      <c r="AD823" s="187">
        <v>44589</v>
      </c>
    </row>
    <row r="824" spans="1:30">
      <c r="A824" s="318">
        <f>COUNTA($E$3:E824)</f>
        <v>822</v>
      </c>
      <c r="B824" s="318" t="s">
        <v>2203</v>
      </c>
      <c r="C824" s="318" t="s">
        <v>21</v>
      </c>
      <c r="D824" s="318" t="s">
        <v>34</v>
      </c>
      <c r="E824" s="318" t="s">
        <v>1682</v>
      </c>
      <c r="F824" s="316">
        <v>44518</v>
      </c>
      <c r="G824" s="316"/>
      <c r="H824" s="316" t="s">
        <v>55</v>
      </c>
      <c r="I824" s="316" t="s">
        <v>3</v>
      </c>
      <c r="J824" s="318" t="s">
        <v>1665</v>
      </c>
      <c r="K824" s="318" t="s">
        <v>1287</v>
      </c>
      <c r="L824" s="14">
        <v>44589</v>
      </c>
      <c r="M824" t="s">
        <v>2468</v>
      </c>
      <c r="N824" s="174">
        <v>44589</v>
      </c>
      <c r="O824" s="179"/>
      <c r="Q824" t="s">
        <v>129</v>
      </c>
      <c r="T824" s="195"/>
      <c r="U824" s="195"/>
      <c r="V824" s="300"/>
      <c r="W824" s="201"/>
      <c r="X824" s="201"/>
      <c r="Y824" s="200"/>
      <c r="Z824" s="207"/>
      <c r="AA824" s="206"/>
      <c r="AB824" s="207"/>
      <c r="AC824" s="188"/>
      <c r="AD824" s="187">
        <v>44589</v>
      </c>
    </row>
    <row r="825" spans="1:30">
      <c r="A825" s="318">
        <f>COUNTA($E$3:E825)</f>
        <v>823</v>
      </c>
      <c r="B825" s="318" t="s">
        <v>2453</v>
      </c>
      <c r="C825" s="318" t="s">
        <v>37</v>
      </c>
      <c r="D825" s="318" t="s">
        <v>30</v>
      </c>
      <c r="E825" s="318" t="s">
        <v>1187</v>
      </c>
      <c r="F825" s="316">
        <v>44586.655230999997</v>
      </c>
      <c r="G825" s="316"/>
      <c r="H825" s="316"/>
      <c r="I825" s="316" t="s">
        <v>3</v>
      </c>
      <c r="J825" s="318" t="s">
        <v>2153</v>
      </c>
      <c r="K825" s="318" t="s">
        <v>1287</v>
      </c>
      <c r="L825" s="14">
        <v>44589</v>
      </c>
      <c r="M825" t="s">
        <v>2469</v>
      </c>
      <c r="N825" s="174">
        <v>44616</v>
      </c>
      <c r="O825" s="179"/>
      <c r="Q825" t="s">
        <v>129</v>
      </c>
      <c r="T825" s="195"/>
      <c r="U825" s="195"/>
      <c r="V825" s="300"/>
      <c r="W825" s="201"/>
      <c r="X825" s="201"/>
      <c r="Y825" s="200"/>
      <c r="Z825" s="207"/>
      <c r="AA825" s="206"/>
      <c r="AB825" s="207"/>
      <c r="AC825" s="188"/>
      <c r="AD825" s="187">
        <v>44616</v>
      </c>
    </row>
    <row r="826" spans="1:30">
      <c r="A826" s="318">
        <f>COUNTA($E$3:E826)</f>
        <v>824</v>
      </c>
      <c r="B826" s="318" t="s">
        <v>1993</v>
      </c>
      <c r="C826" s="318" t="s">
        <v>1752</v>
      </c>
      <c r="D826" s="318" t="s">
        <v>49</v>
      </c>
      <c r="E826" s="318" t="s">
        <v>1753</v>
      </c>
      <c r="F826" s="316">
        <v>44475</v>
      </c>
      <c r="G826" s="316">
        <v>44479</v>
      </c>
      <c r="H826" s="316">
        <v>44479</v>
      </c>
      <c r="I826" s="316" t="s">
        <v>2</v>
      </c>
      <c r="J826" s="318" t="s">
        <v>17</v>
      </c>
      <c r="K826" s="318" t="s">
        <v>103</v>
      </c>
      <c r="L826" s="14">
        <v>44589</v>
      </c>
      <c r="M826" t="s">
        <v>1759</v>
      </c>
      <c r="N826" s="174">
        <v>44589</v>
      </c>
      <c r="O826" s="179"/>
      <c r="Q826" t="s">
        <v>22</v>
      </c>
      <c r="T826" s="195"/>
      <c r="U826" s="195"/>
      <c r="V826" s="300"/>
      <c r="W826" s="201"/>
      <c r="X826" s="201"/>
      <c r="Y826" s="200"/>
      <c r="Z826" s="207"/>
      <c r="AA826" s="206"/>
      <c r="AB826" s="207"/>
      <c r="AC826" s="188"/>
      <c r="AD826" s="187">
        <v>44589</v>
      </c>
    </row>
    <row r="827" spans="1:30">
      <c r="A827" s="318">
        <f>COUNTA($E$3:E827)</f>
        <v>825</v>
      </c>
      <c r="B827" s="318" t="s">
        <v>2438</v>
      </c>
      <c r="C827" s="318" t="s">
        <v>1106</v>
      </c>
      <c r="D827" s="318" t="s">
        <v>58</v>
      </c>
      <c r="E827" s="318" t="s">
        <v>1205</v>
      </c>
      <c r="F827" s="316">
        <v>44579.489005000003</v>
      </c>
      <c r="G827" s="316"/>
      <c r="H827" s="316"/>
      <c r="I827" s="316" t="s">
        <v>3</v>
      </c>
      <c r="J827" s="318" t="s">
        <v>1647</v>
      </c>
      <c r="K827" s="318" t="s">
        <v>1295</v>
      </c>
      <c r="L827" s="14">
        <v>44582</v>
      </c>
      <c r="M827" t="s">
        <v>2954</v>
      </c>
      <c r="N827" s="174">
        <v>44579</v>
      </c>
      <c r="O827" s="179"/>
      <c r="Q827" t="s">
        <v>129</v>
      </c>
      <c r="T827" s="195"/>
      <c r="U827" s="195"/>
      <c r="V827" s="300"/>
      <c r="W827" s="201"/>
      <c r="X827" s="201"/>
      <c r="Y827" s="200"/>
      <c r="Z827" s="207"/>
      <c r="AA827" s="206"/>
      <c r="AB827" s="207"/>
      <c r="AC827" s="188"/>
      <c r="AD827" s="187">
        <v>44579</v>
      </c>
    </row>
    <row r="828" spans="1:30">
      <c r="A828" s="318">
        <f>COUNTA($E$3:E828)</f>
        <v>826</v>
      </c>
      <c r="B828" s="318" t="s">
        <v>2442</v>
      </c>
      <c r="C828" s="318" t="s">
        <v>37</v>
      </c>
      <c r="D828" s="318" t="s">
        <v>34</v>
      </c>
      <c r="E828" s="318" t="s">
        <v>2443</v>
      </c>
      <c r="F828" s="316">
        <v>44580.743842999997</v>
      </c>
      <c r="G828" s="316"/>
      <c r="H828" s="316"/>
      <c r="I828" s="316" t="s">
        <v>3</v>
      </c>
      <c r="J828" s="318" t="s">
        <v>1666</v>
      </c>
      <c r="K828" s="318" t="s">
        <v>1287</v>
      </c>
      <c r="L828" s="14">
        <v>44582</v>
      </c>
      <c r="M828" t="s">
        <v>2451</v>
      </c>
      <c r="N828" s="174">
        <v>44616</v>
      </c>
      <c r="O828" s="179"/>
      <c r="Q828" t="s">
        <v>129</v>
      </c>
      <c r="T828" s="195"/>
      <c r="U828" s="195"/>
      <c r="V828" s="300"/>
      <c r="W828" s="201"/>
      <c r="X828" s="201"/>
      <c r="Y828" s="200"/>
      <c r="Z828" s="207"/>
      <c r="AA828" s="206"/>
      <c r="AB828" s="207"/>
      <c r="AC828" s="188"/>
      <c r="AD828" s="187">
        <v>44616</v>
      </c>
    </row>
    <row r="829" spans="1:30">
      <c r="A829" s="318">
        <f>COUNTA($E$3:E829)</f>
        <v>827</v>
      </c>
      <c r="B829" s="318" t="s">
        <v>2413</v>
      </c>
      <c r="C829" s="318" t="s">
        <v>1100</v>
      </c>
      <c r="D829" s="318" t="s">
        <v>34</v>
      </c>
      <c r="E829" s="318" t="s">
        <v>1101</v>
      </c>
      <c r="F829" s="316">
        <v>44574.711817000003</v>
      </c>
      <c r="G829" s="316"/>
      <c r="H829" s="316"/>
      <c r="I829" s="316" t="s">
        <v>2</v>
      </c>
      <c r="J829" s="318" t="s">
        <v>1747</v>
      </c>
      <c r="K829" s="318" t="s">
        <v>1295</v>
      </c>
      <c r="L829" s="14">
        <v>44582</v>
      </c>
      <c r="M829" t="s">
        <v>2446</v>
      </c>
      <c r="N829" s="174">
        <v>44582</v>
      </c>
      <c r="O829" s="179"/>
      <c r="Q829" t="s">
        <v>129</v>
      </c>
      <c r="T829" s="195"/>
      <c r="U829" s="195"/>
      <c r="V829" s="300"/>
      <c r="W829" s="201"/>
      <c r="X829" s="201"/>
      <c r="Y829" s="200"/>
      <c r="Z829" s="207"/>
      <c r="AA829" s="206"/>
      <c r="AB829" s="207"/>
      <c r="AC829" s="188"/>
      <c r="AD829" s="187">
        <v>44582</v>
      </c>
    </row>
    <row r="830" spans="1:30">
      <c r="A830" s="318">
        <f>COUNTA($E$3:E830)</f>
        <v>828</v>
      </c>
      <c r="B830" s="318" t="s">
        <v>2419</v>
      </c>
      <c r="C830" s="318" t="s">
        <v>65</v>
      </c>
      <c r="D830" s="318" t="s">
        <v>1103</v>
      </c>
      <c r="E830" s="318" t="s">
        <v>2420</v>
      </c>
      <c r="F830" s="316">
        <v>44572</v>
      </c>
      <c r="G830" s="316"/>
      <c r="H830" s="316">
        <v>44575</v>
      </c>
      <c r="I830" s="316" t="s">
        <v>3</v>
      </c>
      <c r="J830" s="318" t="s">
        <v>1666</v>
      </c>
      <c r="K830" s="318"/>
      <c r="L830" s="14">
        <v>44582</v>
      </c>
      <c r="M830" t="s">
        <v>2447</v>
      </c>
      <c r="N830" s="174">
        <v>44582</v>
      </c>
      <c r="O830" s="179"/>
      <c r="Q830" t="s">
        <v>22</v>
      </c>
      <c r="T830" s="195"/>
      <c r="U830" s="195"/>
      <c r="V830" s="300"/>
      <c r="W830" s="201"/>
      <c r="X830" s="201"/>
      <c r="Y830" s="200"/>
      <c r="Z830" s="207"/>
      <c r="AA830" s="206"/>
      <c r="AB830" s="207"/>
      <c r="AC830" s="188"/>
      <c r="AD830" s="187">
        <v>44582</v>
      </c>
    </row>
    <row r="831" spans="1:30">
      <c r="A831" s="318">
        <f>COUNTA($E$3:E831)</f>
        <v>829</v>
      </c>
      <c r="B831" s="318" t="s">
        <v>2371</v>
      </c>
      <c r="C831" s="318" t="s">
        <v>1231</v>
      </c>
      <c r="D831" s="318" t="s">
        <v>56</v>
      </c>
      <c r="E831" s="318" t="s">
        <v>1245</v>
      </c>
      <c r="F831" s="316">
        <v>44565</v>
      </c>
      <c r="G831" s="316">
        <v>44578</v>
      </c>
      <c r="H831" s="316">
        <v>44575</v>
      </c>
      <c r="I831" s="316" t="s">
        <v>3</v>
      </c>
      <c r="J831" s="318" t="s">
        <v>1677</v>
      </c>
      <c r="K831" s="318" t="s">
        <v>287</v>
      </c>
      <c r="L831" s="14">
        <v>44582</v>
      </c>
      <c r="M831" t="s">
        <v>2450</v>
      </c>
      <c r="N831" s="174">
        <v>44582</v>
      </c>
      <c r="Q831" t="s">
        <v>22</v>
      </c>
      <c r="T831" s="195"/>
      <c r="U831" s="195"/>
      <c r="V831" s="300"/>
      <c r="W831" s="201"/>
      <c r="X831" s="201"/>
      <c r="Y831" s="200"/>
      <c r="Z831" s="207"/>
      <c r="AA831" s="206"/>
      <c r="AB831" s="207"/>
      <c r="AC831" s="188"/>
      <c r="AD831" s="187">
        <v>44582</v>
      </c>
    </row>
    <row r="832" spans="1:30">
      <c r="A832" s="318">
        <f>COUNTA($E$3:E832)</f>
        <v>830</v>
      </c>
      <c r="B832" s="318" t="s">
        <v>2427</v>
      </c>
      <c r="C832" s="318" t="s">
        <v>41</v>
      </c>
      <c r="D832" s="318" t="s">
        <v>32</v>
      </c>
      <c r="E832" s="318" t="s">
        <v>1159</v>
      </c>
      <c r="F832" s="316">
        <v>44573</v>
      </c>
      <c r="G832" s="316"/>
      <c r="H832" s="316"/>
      <c r="I832" s="316" t="s">
        <v>2</v>
      </c>
      <c r="J832" s="318" t="s">
        <v>1854</v>
      </c>
      <c r="K832" s="318"/>
      <c r="L832" s="14">
        <v>44582</v>
      </c>
      <c r="M832" t="s">
        <v>2448</v>
      </c>
      <c r="N832" s="174">
        <v>44582</v>
      </c>
      <c r="Q832" t="s">
        <v>129</v>
      </c>
      <c r="T832" s="195"/>
      <c r="U832" s="195"/>
      <c r="V832" s="300"/>
      <c r="W832" s="201"/>
      <c r="X832" s="201"/>
      <c r="Y832" s="200"/>
      <c r="Z832" s="207"/>
      <c r="AA832" s="206"/>
      <c r="AB832" s="207"/>
      <c r="AC832" s="188"/>
      <c r="AD832" s="187">
        <v>44582</v>
      </c>
    </row>
    <row r="833" spans="1:30">
      <c r="A833" s="318">
        <f>COUNTA($E$3:E833)</f>
        <v>831</v>
      </c>
      <c r="B833" s="318" t="s">
        <v>2437</v>
      </c>
      <c r="C833" s="318" t="s">
        <v>44</v>
      </c>
      <c r="D833" s="318" t="s">
        <v>30</v>
      </c>
      <c r="E833" s="318" t="s">
        <v>1117</v>
      </c>
      <c r="F833" s="316">
        <v>44579.472083000001</v>
      </c>
      <c r="G833" s="316"/>
      <c r="H833" s="316"/>
      <c r="I833" s="316" t="s">
        <v>3</v>
      </c>
      <c r="J833" s="318" t="s">
        <v>2207</v>
      </c>
      <c r="K833" s="318" t="s">
        <v>1294</v>
      </c>
      <c r="L833" s="14">
        <v>44582</v>
      </c>
      <c r="M833" t="s">
        <v>2448</v>
      </c>
      <c r="N833" s="174">
        <v>44582</v>
      </c>
      <c r="Q833" t="s">
        <v>22</v>
      </c>
      <c r="T833" s="195"/>
      <c r="U833" s="195"/>
      <c r="V833" s="300"/>
      <c r="W833" s="201"/>
      <c r="X833" s="201"/>
      <c r="Y833" s="200"/>
      <c r="Z833" s="207"/>
      <c r="AA833" s="206"/>
      <c r="AB833" s="207"/>
      <c r="AC833" s="188"/>
      <c r="AD833" s="187">
        <v>44582</v>
      </c>
    </row>
    <row r="834" spans="1:30">
      <c r="A834" s="318">
        <f>COUNTA($E$3:E834)</f>
        <v>832</v>
      </c>
      <c r="B834" s="318" t="s">
        <v>2428</v>
      </c>
      <c r="C834" s="318" t="s">
        <v>1171</v>
      </c>
      <c r="D834" s="318" t="s">
        <v>1264</v>
      </c>
      <c r="E834" s="318" t="s">
        <v>2429</v>
      </c>
      <c r="F834" s="316">
        <v>44573.839583333334</v>
      </c>
      <c r="G834" s="316"/>
      <c r="H834" s="316"/>
      <c r="I834" s="316" t="s">
        <v>3</v>
      </c>
      <c r="J834" s="318" t="s">
        <v>2194</v>
      </c>
      <c r="K834" s="318"/>
      <c r="L834" s="14">
        <v>44582</v>
      </c>
      <c r="M834" t="s">
        <v>2449</v>
      </c>
      <c r="N834" s="174">
        <v>44582</v>
      </c>
      <c r="Q834" t="s">
        <v>22</v>
      </c>
      <c r="T834" s="195"/>
      <c r="U834" s="195"/>
      <c r="V834" s="300"/>
      <c r="W834" s="201"/>
      <c r="X834" s="201"/>
      <c r="Y834" s="200"/>
      <c r="Z834" s="207"/>
      <c r="AA834" s="206"/>
      <c r="AB834" s="207"/>
      <c r="AC834" s="188"/>
      <c r="AD834" s="187">
        <v>44582</v>
      </c>
    </row>
    <row r="835" spans="1:30">
      <c r="A835" s="318">
        <f>COUNTA($E$3:E835)</f>
        <v>833</v>
      </c>
      <c r="B835" s="318" t="s">
        <v>2127</v>
      </c>
      <c r="C835" s="318" t="s">
        <v>1197</v>
      </c>
      <c r="D835" s="318" t="s">
        <v>38</v>
      </c>
      <c r="E835" s="318" t="s">
        <v>1222</v>
      </c>
      <c r="F835" s="316">
        <v>44504</v>
      </c>
      <c r="G835" s="316">
        <v>44551</v>
      </c>
      <c r="H835" s="316">
        <v>44508</v>
      </c>
      <c r="I835" s="316" t="s">
        <v>2</v>
      </c>
      <c r="J835" s="318" t="s">
        <v>1718</v>
      </c>
      <c r="K835" s="318"/>
      <c r="L835" s="14">
        <v>44582</v>
      </c>
      <c r="M835" t="s">
        <v>2445</v>
      </c>
      <c r="N835" s="174">
        <v>44582</v>
      </c>
      <c r="Q835" t="s">
        <v>22</v>
      </c>
      <c r="T835" s="195"/>
      <c r="U835" s="195"/>
      <c r="V835" s="300"/>
      <c r="W835" s="201"/>
      <c r="X835" s="201"/>
      <c r="Y835" s="200"/>
      <c r="Z835" s="207"/>
      <c r="AA835" s="206"/>
      <c r="AB835" s="207"/>
      <c r="AC835" s="188"/>
      <c r="AD835" s="187">
        <v>44582</v>
      </c>
    </row>
    <row r="836" spans="1:30">
      <c r="A836" s="318">
        <f>COUNTA($E$3:E836)</f>
        <v>834</v>
      </c>
      <c r="B836" s="318" t="s">
        <v>1996</v>
      </c>
      <c r="C836" s="318" t="s">
        <v>1171</v>
      </c>
      <c r="D836" s="318" t="s">
        <v>1123</v>
      </c>
      <c r="E836" s="318" t="s">
        <v>1997</v>
      </c>
      <c r="F836" s="316">
        <v>44476</v>
      </c>
      <c r="G836" s="316">
        <v>44508</v>
      </c>
      <c r="H836" s="316">
        <v>44494</v>
      </c>
      <c r="I836" s="316" t="s">
        <v>2</v>
      </c>
      <c r="J836" s="318" t="s">
        <v>357</v>
      </c>
      <c r="K836" s="318"/>
      <c r="L836" s="14">
        <v>44582</v>
      </c>
      <c r="N836" s="174">
        <v>44621</v>
      </c>
      <c r="Q836" t="s">
        <v>22</v>
      </c>
      <c r="T836" s="195"/>
      <c r="U836" s="195"/>
      <c r="V836" s="300"/>
      <c r="W836" s="201"/>
      <c r="X836" s="201"/>
      <c r="Y836" s="200"/>
      <c r="Z836" s="207"/>
      <c r="AA836" s="206"/>
      <c r="AB836" s="207"/>
      <c r="AC836" s="188"/>
      <c r="AD836" s="187">
        <v>44621</v>
      </c>
    </row>
    <row r="837" spans="1:30">
      <c r="A837" s="318">
        <f>COUNTA($E$3:E837)</f>
        <v>835</v>
      </c>
      <c r="B837" s="318" t="s">
        <v>2436</v>
      </c>
      <c r="C837" s="318" t="s">
        <v>1106</v>
      </c>
      <c r="D837" s="318" t="s">
        <v>58</v>
      </c>
      <c r="E837" s="318" t="s">
        <v>1644</v>
      </c>
      <c r="F837" s="316">
        <v>44579.470694444448</v>
      </c>
      <c r="G837" s="316"/>
      <c r="H837" s="316"/>
      <c r="I837" s="316" t="s">
        <v>2</v>
      </c>
      <c r="J837" s="318" t="s">
        <v>17</v>
      </c>
      <c r="K837" s="318" t="s">
        <v>1274</v>
      </c>
      <c r="L837" s="14">
        <v>44582</v>
      </c>
      <c r="M837" t="s">
        <v>2448</v>
      </c>
      <c r="N837" s="174">
        <v>44582</v>
      </c>
      <c r="Q837" t="s">
        <v>129</v>
      </c>
      <c r="T837" s="195"/>
      <c r="U837" s="195"/>
      <c r="V837" s="300"/>
      <c r="W837" s="201"/>
      <c r="X837" s="201"/>
      <c r="Y837" s="200"/>
      <c r="Z837" s="207"/>
      <c r="AA837" s="206"/>
      <c r="AB837" s="207"/>
      <c r="AC837" s="188"/>
      <c r="AD837" s="187">
        <v>44582</v>
      </c>
    </row>
    <row r="838" spans="1:30">
      <c r="A838" s="318">
        <f>COUNTA($E$3:E838)</f>
        <v>836</v>
      </c>
      <c r="B838" s="318" t="s">
        <v>2282</v>
      </c>
      <c r="C838" s="318" t="s">
        <v>1116</v>
      </c>
      <c r="D838" s="318" t="s">
        <v>64</v>
      </c>
      <c r="E838" s="318" t="s">
        <v>2283</v>
      </c>
      <c r="F838" s="316">
        <v>44543</v>
      </c>
      <c r="G838" s="316">
        <v>44551</v>
      </c>
      <c r="H838" s="316">
        <v>44545</v>
      </c>
      <c r="I838" s="316" t="s">
        <v>2</v>
      </c>
      <c r="J838" s="318" t="s">
        <v>2284</v>
      </c>
      <c r="K838" s="318"/>
      <c r="L838" s="14">
        <v>44579</v>
      </c>
      <c r="M838" t="s">
        <v>2410</v>
      </c>
      <c r="N838" s="174">
        <v>44579</v>
      </c>
      <c r="Q838" t="s">
        <v>22</v>
      </c>
      <c r="T838" s="195"/>
      <c r="U838" s="195"/>
      <c r="V838" s="300"/>
      <c r="W838" s="201"/>
      <c r="X838" s="201"/>
      <c r="Y838" s="200"/>
      <c r="Z838" s="207"/>
      <c r="AA838" s="206"/>
      <c r="AB838" s="207"/>
      <c r="AC838" s="188"/>
      <c r="AD838" s="187">
        <v>44579</v>
      </c>
    </row>
    <row r="839" spans="1:30">
      <c r="A839" s="318">
        <f>COUNTA($E$3:E839)</f>
        <v>837</v>
      </c>
      <c r="B839" s="318" t="s">
        <v>2416</v>
      </c>
      <c r="C839" s="318" t="s">
        <v>41</v>
      </c>
      <c r="D839" s="318" t="s">
        <v>1103</v>
      </c>
      <c r="E839" s="318" t="s">
        <v>1104</v>
      </c>
      <c r="F839" s="316">
        <v>44571.714525462965</v>
      </c>
      <c r="G839" s="316"/>
      <c r="H839" s="316"/>
      <c r="I839" s="316" t="s">
        <v>3</v>
      </c>
      <c r="J839" s="318"/>
      <c r="K839" s="318" t="s">
        <v>287</v>
      </c>
      <c r="L839" s="14">
        <v>44579</v>
      </c>
      <c r="N839" s="174">
        <v>44579</v>
      </c>
      <c r="Q839" t="s">
        <v>22</v>
      </c>
      <c r="T839" s="195"/>
      <c r="U839" s="195"/>
      <c r="V839" s="300"/>
      <c r="W839" s="201"/>
      <c r="X839" s="201"/>
      <c r="Y839" s="200"/>
      <c r="Z839" s="207"/>
      <c r="AA839" s="206"/>
      <c r="AB839" s="207"/>
      <c r="AC839" s="188"/>
      <c r="AD839" s="187">
        <v>44579</v>
      </c>
    </row>
    <row r="840" spans="1:30">
      <c r="A840" s="318">
        <f>COUNTA($E$3:E840)</f>
        <v>838</v>
      </c>
      <c r="B840" s="318" t="s">
        <v>2414</v>
      </c>
      <c r="C840" s="318" t="s">
        <v>1119</v>
      </c>
      <c r="D840" s="318" t="s">
        <v>38</v>
      </c>
      <c r="E840" s="318" t="s">
        <v>1940</v>
      </c>
      <c r="F840" s="316">
        <v>44573.73333333333</v>
      </c>
      <c r="G840" s="316"/>
      <c r="H840" s="316"/>
      <c r="I840" s="316" t="s">
        <v>2</v>
      </c>
      <c r="J840" s="318"/>
      <c r="K840" s="318" t="s">
        <v>1274</v>
      </c>
      <c r="L840" s="14">
        <v>44579</v>
      </c>
      <c r="N840" s="174">
        <v>44579</v>
      </c>
      <c r="Q840" t="s">
        <v>22</v>
      </c>
      <c r="T840" s="195"/>
      <c r="U840" s="195"/>
      <c r="V840" s="300"/>
      <c r="W840" s="201"/>
      <c r="X840" s="201"/>
      <c r="Y840" s="200"/>
      <c r="Z840" s="207"/>
      <c r="AA840" s="206"/>
      <c r="AB840" s="207"/>
      <c r="AC840" s="188"/>
      <c r="AD840" s="187">
        <v>44579</v>
      </c>
    </row>
    <row r="841" spans="1:30">
      <c r="A841" s="318">
        <f>COUNTA($E$3:E841)</f>
        <v>839</v>
      </c>
      <c r="B841" s="318" t="s">
        <v>2232</v>
      </c>
      <c r="C841" s="318" t="s">
        <v>1162</v>
      </c>
      <c r="D841" s="318" t="s">
        <v>1123</v>
      </c>
      <c r="E841" s="318" t="s">
        <v>1176</v>
      </c>
      <c r="F841" s="316">
        <v>44523</v>
      </c>
      <c r="G841" s="316">
        <v>44550</v>
      </c>
      <c r="H841" s="316">
        <v>44538</v>
      </c>
      <c r="I841" s="316" t="s">
        <v>2</v>
      </c>
      <c r="J841" s="318" t="s">
        <v>1664</v>
      </c>
      <c r="K841" s="318"/>
      <c r="L841" s="14">
        <v>44579</v>
      </c>
      <c r="M841" t="s">
        <v>2410</v>
      </c>
      <c r="N841" s="174">
        <v>44579</v>
      </c>
      <c r="Q841" t="s">
        <v>22</v>
      </c>
      <c r="T841" s="195"/>
      <c r="U841" s="195"/>
      <c r="V841" s="300"/>
      <c r="W841" s="201"/>
      <c r="X841" s="201"/>
      <c r="Y841" s="200"/>
      <c r="Z841" s="207"/>
      <c r="AA841" s="206"/>
      <c r="AB841" s="207"/>
      <c r="AC841" s="188"/>
      <c r="AD841" s="187">
        <v>44579</v>
      </c>
    </row>
    <row r="842" spans="1:30">
      <c r="A842" s="318">
        <f>COUNTA($E$3:E842)</f>
        <v>840</v>
      </c>
      <c r="B842" s="318" t="s">
        <v>2369</v>
      </c>
      <c r="C842" s="318" t="s">
        <v>2370</v>
      </c>
      <c r="D842" s="318" t="s">
        <v>1123</v>
      </c>
      <c r="E842" s="318" t="s">
        <v>1638</v>
      </c>
      <c r="F842" s="316">
        <v>44565.627025463</v>
      </c>
      <c r="G842" s="316"/>
      <c r="H842" s="316"/>
      <c r="I842" s="316"/>
      <c r="J842" s="318"/>
      <c r="K842" s="318"/>
      <c r="L842" s="14">
        <v>44579</v>
      </c>
      <c r="M842" t="s">
        <v>2411</v>
      </c>
      <c r="N842" s="174">
        <v>44579</v>
      </c>
      <c r="Q842" t="s">
        <v>22</v>
      </c>
      <c r="T842" s="195"/>
      <c r="U842" s="195"/>
      <c r="V842" s="300"/>
      <c r="W842" s="201"/>
      <c r="X842" s="201"/>
      <c r="Y842" s="200"/>
      <c r="Z842" s="207"/>
      <c r="AA842" s="206"/>
      <c r="AB842" s="207"/>
      <c r="AC842" s="188"/>
      <c r="AD842" s="187">
        <v>44579</v>
      </c>
    </row>
    <row r="843" spans="1:30">
      <c r="A843" s="318">
        <f>COUNTA($E$3:E843)</f>
        <v>841</v>
      </c>
      <c r="B843" s="318" t="s">
        <v>2415</v>
      </c>
      <c r="C843" s="318" t="s">
        <v>93</v>
      </c>
      <c r="D843" s="318" t="s">
        <v>1111</v>
      </c>
      <c r="E843" s="318" t="s">
        <v>1112</v>
      </c>
      <c r="F843" s="316">
        <v>44572.558148148149</v>
      </c>
      <c r="G843" s="316"/>
      <c r="H843" s="316"/>
      <c r="I843" s="316" t="s">
        <v>3</v>
      </c>
      <c r="J843" s="318"/>
      <c r="K843" s="318" t="s">
        <v>1294</v>
      </c>
      <c r="L843" s="14">
        <v>44579</v>
      </c>
      <c r="M843" t="s">
        <v>2954</v>
      </c>
      <c r="N843" s="174">
        <v>44599</v>
      </c>
      <c r="Q843" t="s">
        <v>129</v>
      </c>
      <c r="T843" s="195"/>
      <c r="U843" s="195"/>
      <c r="V843" s="300"/>
      <c r="W843" s="201"/>
      <c r="X843" s="201"/>
      <c r="Y843" s="200"/>
      <c r="Z843" s="207"/>
      <c r="AA843" s="206"/>
      <c r="AB843" s="207"/>
      <c r="AC843" s="188"/>
      <c r="AD843" s="187">
        <v>44599</v>
      </c>
    </row>
    <row r="844" spans="1:30">
      <c r="A844" s="318">
        <f>COUNTA($E$3:E844)</f>
        <v>842</v>
      </c>
      <c r="B844" s="318" t="s">
        <v>2417</v>
      </c>
      <c r="C844" s="318" t="s">
        <v>41</v>
      </c>
      <c r="D844" s="318" t="s">
        <v>16</v>
      </c>
      <c r="E844" s="318" t="s">
        <v>1161</v>
      </c>
      <c r="F844" s="316">
        <v>44571.714004629626</v>
      </c>
      <c r="G844" s="316"/>
      <c r="H844" s="316"/>
      <c r="I844" s="316" t="s">
        <v>3</v>
      </c>
      <c r="J844" s="318"/>
      <c r="K844" s="318" t="s">
        <v>1294</v>
      </c>
      <c r="L844" s="14">
        <v>44579</v>
      </c>
      <c r="N844" s="174">
        <v>44579</v>
      </c>
      <c r="Q844" t="s">
        <v>22</v>
      </c>
      <c r="T844" s="195"/>
      <c r="U844" s="195"/>
      <c r="V844" s="300"/>
      <c r="W844" s="201"/>
      <c r="X844" s="201"/>
      <c r="Y844" s="200"/>
      <c r="Z844" s="207"/>
      <c r="AA844" s="206"/>
      <c r="AB844" s="207"/>
      <c r="AC844" s="188"/>
      <c r="AD844" s="187">
        <v>44579</v>
      </c>
    </row>
    <row r="845" spans="1:30">
      <c r="A845" s="318">
        <f>COUNTA($E$3:E845)</f>
        <v>843</v>
      </c>
      <c r="B845" s="318" t="s">
        <v>2154</v>
      </c>
      <c r="C845" s="318" t="s">
        <v>21</v>
      </c>
      <c r="D845" s="318" t="s">
        <v>30</v>
      </c>
      <c r="E845" s="318" t="s">
        <v>2025</v>
      </c>
      <c r="F845" s="316">
        <v>44508</v>
      </c>
      <c r="G845" s="316"/>
      <c r="H845" s="316" t="s">
        <v>55</v>
      </c>
      <c r="I845" s="316" t="s">
        <v>2</v>
      </c>
      <c r="J845" s="318" t="s">
        <v>1485</v>
      </c>
      <c r="K845" s="318"/>
      <c r="L845" s="14">
        <v>44579</v>
      </c>
      <c r="M845" t="s">
        <v>2412</v>
      </c>
      <c r="N845" s="174">
        <v>44579</v>
      </c>
      <c r="Q845" t="s">
        <v>129</v>
      </c>
      <c r="T845" s="195"/>
      <c r="U845" s="195"/>
      <c r="V845" s="300"/>
      <c r="W845" s="201"/>
      <c r="X845" s="201"/>
      <c r="Y845" s="200"/>
      <c r="Z845" s="207"/>
      <c r="AA845" s="206"/>
      <c r="AB845" s="207"/>
      <c r="AC845" s="188"/>
      <c r="AD845" s="187">
        <v>44579</v>
      </c>
    </row>
    <row r="846" spans="1:30">
      <c r="A846" s="318">
        <f>COUNTA($E$3:E846)</f>
        <v>844</v>
      </c>
      <c r="B846" s="318" t="s">
        <v>2022</v>
      </c>
      <c r="C846" s="318" t="s">
        <v>21</v>
      </c>
      <c r="D846" s="318" t="s">
        <v>30</v>
      </c>
      <c r="E846" s="318" t="s">
        <v>2023</v>
      </c>
      <c r="F846" s="316">
        <v>44484</v>
      </c>
      <c r="G846" s="316">
        <v>44491</v>
      </c>
      <c r="H846" s="316"/>
      <c r="I846" s="316" t="s">
        <v>2</v>
      </c>
      <c r="J846" s="318" t="s">
        <v>1485</v>
      </c>
      <c r="K846" s="318"/>
      <c r="L846" s="14">
        <v>44579</v>
      </c>
      <c r="M846" t="s">
        <v>2411</v>
      </c>
      <c r="N846" s="174">
        <v>44579</v>
      </c>
      <c r="Q846" t="s">
        <v>129</v>
      </c>
      <c r="T846" s="195"/>
      <c r="U846" s="195"/>
      <c r="V846" s="300"/>
      <c r="W846" s="201"/>
      <c r="X846" s="201"/>
      <c r="Y846" s="200"/>
      <c r="Z846" s="207"/>
      <c r="AA846" s="206"/>
      <c r="AB846" s="207"/>
      <c r="AC846" s="188"/>
      <c r="AD846" s="187">
        <v>44579</v>
      </c>
    </row>
    <row r="847" spans="1:30">
      <c r="A847" s="318">
        <f>COUNTA($E$3:E847)</f>
        <v>845</v>
      </c>
      <c r="B847" s="318" t="s">
        <v>2308</v>
      </c>
      <c r="C847" s="318" t="s">
        <v>41</v>
      </c>
      <c r="D847" s="318" t="s">
        <v>282</v>
      </c>
      <c r="E847" s="318" t="s">
        <v>2309</v>
      </c>
      <c r="F847" s="316">
        <v>44550</v>
      </c>
      <c r="G847" s="316"/>
      <c r="H847" s="316"/>
      <c r="I847" s="316" t="s">
        <v>2</v>
      </c>
      <c r="J847" s="318" t="s">
        <v>1779</v>
      </c>
      <c r="K847" s="318"/>
      <c r="L847" s="14">
        <v>44579</v>
      </c>
      <c r="M847" t="s">
        <v>2411</v>
      </c>
      <c r="N847" s="174">
        <v>44579</v>
      </c>
      <c r="Q847" t="s">
        <v>129</v>
      </c>
      <c r="T847" s="195"/>
      <c r="U847" s="195"/>
      <c r="V847" s="300"/>
      <c r="W847" s="201"/>
      <c r="X847" s="201"/>
      <c r="Y847" s="200"/>
      <c r="Z847" s="207"/>
      <c r="AA847" s="206"/>
      <c r="AB847" s="207"/>
      <c r="AC847" s="188"/>
      <c r="AD847" s="187">
        <v>44579</v>
      </c>
    </row>
    <row r="848" spans="1:30">
      <c r="A848" s="318">
        <f>COUNTA($E$3:E848)</f>
        <v>846</v>
      </c>
      <c r="B848" s="318" t="s">
        <v>2325</v>
      </c>
      <c r="C848" s="318" t="s">
        <v>41</v>
      </c>
      <c r="D848" s="318" t="s">
        <v>30</v>
      </c>
      <c r="E848" s="318" t="s">
        <v>1684</v>
      </c>
      <c r="F848" s="316">
        <v>44559.773310185199</v>
      </c>
      <c r="G848" s="316"/>
      <c r="H848" s="316"/>
      <c r="I848" s="316" t="s">
        <v>3</v>
      </c>
      <c r="J848" s="318"/>
      <c r="K848" s="318" t="s">
        <v>1296</v>
      </c>
      <c r="L848" s="14">
        <v>44569</v>
      </c>
      <c r="M848" t="s">
        <v>2387</v>
      </c>
      <c r="N848" s="174">
        <v>44569</v>
      </c>
      <c r="Q848" t="s">
        <v>129</v>
      </c>
      <c r="T848" s="195"/>
      <c r="U848" s="195"/>
      <c r="V848" s="300"/>
      <c r="W848" s="201"/>
      <c r="X848" s="201"/>
      <c r="Y848" s="200"/>
      <c r="Z848" s="207"/>
      <c r="AA848" s="206"/>
      <c r="AB848" s="207"/>
      <c r="AC848" s="188"/>
      <c r="AD848" s="187">
        <v>44569</v>
      </c>
    </row>
    <row r="849" spans="1:30">
      <c r="A849" s="318">
        <f>COUNTA($E$3:E849)</f>
        <v>847</v>
      </c>
      <c r="B849" s="318" t="s">
        <v>2375</v>
      </c>
      <c r="C849" s="318" t="s">
        <v>21</v>
      </c>
      <c r="D849" s="318" t="s">
        <v>1142</v>
      </c>
      <c r="E849" s="318" t="s">
        <v>1204</v>
      </c>
      <c r="F849" s="316">
        <v>44567.547025462998</v>
      </c>
      <c r="G849" s="316"/>
      <c r="H849" s="316"/>
      <c r="I849" s="316" t="s">
        <v>3</v>
      </c>
      <c r="J849" s="318" t="s">
        <v>1643</v>
      </c>
      <c r="K849" s="318" t="s">
        <v>1120</v>
      </c>
      <c r="L849" s="14">
        <v>44569</v>
      </c>
      <c r="N849" s="174">
        <v>44616</v>
      </c>
      <c r="Q849" t="s">
        <v>129</v>
      </c>
      <c r="T849" s="195"/>
      <c r="U849" s="195"/>
      <c r="V849" s="300"/>
      <c r="W849" s="201"/>
      <c r="X849" s="201"/>
      <c r="Y849" s="200"/>
      <c r="Z849" s="207"/>
      <c r="AA849" s="206"/>
      <c r="AB849" s="207"/>
      <c r="AC849" s="188"/>
      <c r="AD849" s="187">
        <v>44616</v>
      </c>
    </row>
    <row r="850" spans="1:30">
      <c r="A850" s="318">
        <f>COUNTA($E$3:E850)</f>
        <v>848</v>
      </c>
      <c r="B850" s="318" t="s">
        <v>2397</v>
      </c>
      <c r="C850" s="318" t="s">
        <v>1231</v>
      </c>
      <c r="D850" s="318" t="s">
        <v>1264</v>
      </c>
      <c r="E850" s="318" t="s">
        <v>2398</v>
      </c>
      <c r="F850" s="316">
        <v>44565.662800925929</v>
      </c>
      <c r="G850" s="316"/>
      <c r="H850" s="316"/>
      <c r="I850" s="316" t="s">
        <v>3</v>
      </c>
      <c r="J850" s="318" t="s">
        <v>2194</v>
      </c>
      <c r="K850" s="318" t="s">
        <v>1177</v>
      </c>
      <c r="L850" s="14">
        <v>44569</v>
      </c>
      <c r="M850" t="s">
        <v>2407</v>
      </c>
      <c r="N850" s="174">
        <v>44569</v>
      </c>
      <c r="Q850" t="s">
        <v>22</v>
      </c>
      <c r="T850" s="195"/>
      <c r="U850" s="195"/>
      <c r="V850" s="300"/>
      <c r="W850" s="201"/>
      <c r="X850" s="201"/>
      <c r="Y850" s="200"/>
      <c r="Z850" s="207"/>
      <c r="AA850" s="206"/>
      <c r="AB850" s="207"/>
      <c r="AC850" s="188"/>
      <c r="AD850" s="187">
        <v>44569</v>
      </c>
    </row>
    <row r="851" spans="1:30">
      <c r="A851" s="318">
        <f>COUNTA($E$3:E851)</f>
        <v>849</v>
      </c>
      <c r="B851" s="318" t="s">
        <v>2395</v>
      </c>
      <c r="C851" s="318" t="s">
        <v>1231</v>
      </c>
      <c r="D851" s="318" t="s">
        <v>1181</v>
      </c>
      <c r="E851" s="318" t="s">
        <v>2396</v>
      </c>
      <c r="F851" s="316">
        <v>44565.659733796296</v>
      </c>
      <c r="G851" s="316"/>
      <c r="H851" s="316"/>
      <c r="I851" s="316" t="s">
        <v>3</v>
      </c>
      <c r="J851" s="318" t="s">
        <v>2194</v>
      </c>
      <c r="K851" s="318" t="s">
        <v>1177</v>
      </c>
      <c r="L851" s="14">
        <v>44569</v>
      </c>
      <c r="M851" t="s">
        <v>2407</v>
      </c>
      <c r="N851" s="174">
        <v>44569</v>
      </c>
      <c r="Q851" t="s">
        <v>22</v>
      </c>
      <c r="T851" s="195"/>
      <c r="U851" s="195"/>
      <c r="V851" s="300"/>
      <c r="W851" s="201"/>
      <c r="X851" s="201"/>
      <c r="Y851" s="200"/>
      <c r="Z851" s="207"/>
      <c r="AA851" s="206"/>
      <c r="AB851" s="207"/>
      <c r="AC851" s="188"/>
      <c r="AD851" s="187">
        <v>44569</v>
      </c>
    </row>
    <row r="852" spans="1:30">
      <c r="A852" s="318">
        <f>COUNTA($E$3:E852)</f>
        <v>850</v>
      </c>
      <c r="B852" s="318" t="s">
        <v>2393</v>
      </c>
      <c r="C852" s="318" t="s">
        <v>1231</v>
      </c>
      <c r="D852" s="318" t="s">
        <v>1181</v>
      </c>
      <c r="E852" s="318" t="s">
        <v>2394</v>
      </c>
      <c r="F852" s="316">
        <v>44565.637997685182</v>
      </c>
      <c r="G852" s="316"/>
      <c r="H852" s="316"/>
      <c r="I852" s="316" t="s">
        <v>3</v>
      </c>
      <c r="J852" s="318" t="s">
        <v>2194</v>
      </c>
      <c r="K852" s="318" t="s">
        <v>1177</v>
      </c>
      <c r="L852" s="14">
        <v>44569</v>
      </c>
      <c r="M852" t="s">
        <v>2407</v>
      </c>
      <c r="N852" s="174">
        <v>44569</v>
      </c>
      <c r="Q852" t="s">
        <v>22</v>
      </c>
      <c r="T852" s="195"/>
      <c r="U852" s="195"/>
      <c r="V852" s="300"/>
      <c r="W852" s="201"/>
      <c r="X852" s="201"/>
      <c r="Y852" s="200"/>
      <c r="Z852" s="207"/>
      <c r="AA852" s="206"/>
      <c r="AB852" s="207"/>
      <c r="AC852" s="188"/>
      <c r="AD852" s="187">
        <v>44569</v>
      </c>
    </row>
    <row r="853" spans="1:30">
      <c r="A853" s="318">
        <f>COUNTA($E$3:E853)</f>
        <v>851</v>
      </c>
      <c r="B853" s="318" t="s">
        <v>2402</v>
      </c>
      <c r="C853" s="318" t="s">
        <v>2403</v>
      </c>
      <c r="D853" s="318" t="s">
        <v>1181</v>
      </c>
      <c r="E853" s="318" t="s">
        <v>2404</v>
      </c>
      <c r="F853" s="316">
        <v>44565.671712962961</v>
      </c>
      <c r="G853" s="316"/>
      <c r="H853" s="316"/>
      <c r="I853" s="316" t="s">
        <v>3</v>
      </c>
      <c r="J853" s="318" t="s">
        <v>2194</v>
      </c>
      <c r="K853" s="318" t="s">
        <v>1177</v>
      </c>
      <c r="L853" s="14">
        <v>44569</v>
      </c>
      <c r="M853" t="s">
        <v>2407</v>
      </c>
      <c r="N853" s="174">
        <v>44569</v>
      </c>
      <c r="Q853" t="s">
        <v>22</v>
      </c>
      <c r="T853" s="195"/>
      <c r="U853" s="195"/>
      <c r="V853" s="300"/>
      <c r="W853" s="201"/>
      <c r="X853" s="201"/>
      <c r="Y853" s="200"/>
      <c r="Z853" s="207"/>
      <c r="AA853" s="206"/>
      <c r="AB853" s="207"/>
      <c r="AC853" s="188"/>
      <c r="AD853" s="187">
        <v>44569</v>
      </c>
    </row>
    <row r="854" spans="1:30">
      <c r="A854" s="318">
        <f>COUNTA($E$3:E854)</f>
        <v>852</v>
      </c>
      <c r="B854" s="318" t="s">
        <v>2399</v>
      </c>
      <c r="C854" s="318" t="s">
        <v>2400</v>
      </c>
      <c r="D854" s="318" t="s">
        <v>1181</v>
      </c>
      <c r="E854" s="318" t="s">
        <v>2401</v>
      </c>
      <c r="F854" s="316">
        <v>44565.666458333333</v>
      </c>
      <c r="G854" s="316"/>
      <c r="H854" s="316"/>
      <c r="I854" s="316" t="s">
        <v>3</v>
      </c>
      <c r="J854" s="318" t="s">
        <v>2194</v>
      </c>
      <c r="K854" s="318" t="s">
        <v>1177</v>
      </c>
      <c r="L854" s="14">
        <v>44569</v>
      </c>
      <c r="M854" t="s">
        <v>2407</v>
      </c>
      <c r="N854" s="174">
        <v>44569</v>
      </c>
      <c r="Q854" t="s">
        <v>22</v>
      </c>
      <c r="T854" s="195"/>
      <c r="U854" s="195"/>
      <c r="V854" s="300"/>
      <c r="W854" s="201"/>
      <c r="X854" s="201"/>
      <c r="Y854" s="200"/>
      <c r="Z854" s="207"/>
      <c r="AA854" s="206"/>
      <c r="AB854" s="207"/>
      <c r="AC854" s="188"/>
      <c r="AD854" s="187">
        <v>44569</v>
      </c>
    </row>
    <row r="855" spans="1:30">
      <c r="A855" s="318">
        <f>COUNTA($E$3:E855)</f>
        <v>853</v>
      </c>
      <c r="B855" s="318" t="s">
        <v>2405</v>
      </c>
      <c r="C855" s="318" t="s">
        <v>2330</v>
      </c>
      <c r="D855" s="318" t="s">
        <v>1181</v>
      </c>
      <c r="E855" s="318" t="s">
        <v>2406</v>
      </c>
      <c r="F855" s="316">
        <v>44565.674270833333</v>
      </c>
      <c r="G855" s="316"/>
      <c r="H855" s="316"/>
      <c r="I855" s="316" t="s">
        <v>3</v>
      </c>
      <c r="J855" s="318" t="s">
        <v>2194</v>
      </c>
      <c r="K855" s="318" t="s">
        <v>1177</v>
      </c>
      <c r="L855" s="14">
        <v>44569</v>
      </c>
      <c r="M855" t="s">
        <v>2407</v>
      </c>
      <c r="N855" s="174">
        <v>44569</v>
      </c>
      <c r="Q855" t="s">
        <v>22</v>
      </c>
      <c r="T855" s="195"/>
      <c r="U855" s="195"/>
      <c r="V855" s="300"/>
      <c r="W855" s="201"/>
      <c r="X855" s="201"/>
      <c r="Y855" s="200"/>
      <c r="Z855" s="207"/>
      <c r="AA855" s="206"/>
      <c r="AB855" s="207"/>
      <c r="AC855" s="188"/>
      <c r="AD855" s="187">
        <v>44569</v>
      </c>
    </row>
    <row r="856" spans="1:30">
      <c r="A856" s="318">
        <f>COUNTA($E$3:E856)</f>
        <v>854</v>
      </c>
      <c r="B856" s="318" t="s">
        <v>2372</v>
      </c>
      <c r="C856" s="318" t="s">
        <v>41</v>
      </c>
      <c r="D856" s="318" t="s">
        <v>2373</v>
      </c>
      <c r="E856" s="318" t="s">
        <v>2374</v>
      </c>
      <c r="F856" s="316">
        <v>44566.430115740739</v>
      </c>
      <c r="G856" s="316"/>
      <c r="H856" s="316"/>
      <c r="I856" s="316" t="s">
        <v>4</v>
      </c>
      <c r="J856" s="318" t="s">
        <v>1840</v>
      </c>
      <c r="K856" s="318" t="s">
        <v>1294</v>
      </c>
      <c r="L856" s="14">
        <v>44569</v>
      </c>
      <c r="N856" s="174">
        <v>44569</v>
      </c>
      <c r="Q856" t="s">
        <v>22</v>
      </c>
      <c r="T856" s="195"/>
      <c r="U856" s="195"/>
      <c r="V856" s="300"/>
      <c r="W856" s="201"/>
      <c r="X856" s="201"/>
      <c r="Y856" s="200"/>
      <c r="Z856" s="207"/>
      <c r="AA856" s="206"/>
      <c r="AB856" s="207"/>
      <c r="AC856" s="188"/>
      <c r="AD856" s="187">
        <v>44569</v>
      </c>
    </row>
    <row r="857" spans="1:30">
      <c r="A857" s="318">
        <f>COUNTA($E$3:E857)</f>
        <v>855</v>
      </c>
      <c r="B857" s="318" t="s">
        <v>2263</v>
      </c>
      <c r="C857" s="318" t="s">
        <v>1233</v>
      </c>
      <c r="D857" s="318" t="s">
        <v>58</v>
      </c>
      <c r="E857" s="318" t="s">
        <v>1234</v>
      </c>
      <c r="F857" s="316">
        <v>44536</v>
      </c>
      <c r="G857" s="316"/>
      <c r="H857" s="316">
        <v>44543</v>
      </c>
      <c r="I857" s="316" t="s">
        <v>2</v>
      </c>
      <c r="J857" s="318" t="s">
        <v>2264</v>
      </c>
      <c r="K857" s="318" t="s">
        <v>1294</v>
      </c>
      <c r="L857" s="14">
        <v>44569</v>
      </c>
      <c r="M857" t="s">
        <v>2386</v>
      </c>
      <c r="N857" s="174">
        <v>44569</v>
      </c>
      <c r="Q857" t="s">
        <v>22</v>
      </c>
      <c r="T857" s="195"/>
      <c r="U857" s="195"/>
      <c r="V857" s="300"/>
      <c r="W857" s="201"/>
      <c r="X857" s="201"/>
      <c r="Y857" s="200"/>
      <c r="Z857" s="207"/>
      <c r="AA857" s="206"/>
      <c r="AB857" s="207"/>
      <c r="AC857" s="188"/>
      <c r="AD857" s="187">
        <v>44569</v>
      </c>
    </row>
    <row r="858" spans="1:30">
      <c r="A858" s="318">
        <f>COUNTA($E$3:E858)</f>
        <v>856</v>
      </c>
      <c r="B858" s="318" t="s">
        <v>2363</v>
      </c>
      <c r="C858" s="318" t="s">
        <v>21</v>
      </c>
      <c r="D858" s="318" t="s">
        <v>23</v>
      </c>
      <c r="E858" s="318" t="s">
        <v>1653</v>
      </c>
      <c r="F858" s="316">
        <v>44550.521527777775</v>
      </c>
      <c r="G858" s="316"/>
      <c r="H858" s="316"/>
      <c r="I858" s="316" t="s">
        <v>3</v>
      </c>
      <c r="J858" s="318"/>
      <c r="K858" s="318" t="s">
        <v>1287</v>
      </c>
      <c r="L858" s="14">
        <v>44561</v>
      </c>
      <c r="M858" t="s">
        <v>2321</v>
      </c>
      <c r="N858" s="174">
        <v>44561</v>
      </c>
      <c r="Q858" t="s">
        <v>129</v>
      </c>
      <c r="T858" s="195"/>
      <c r="U858" s="195"/>
      <c r="V858" s="300"/>
      <c r="W858" s="201"/>
      <c r="X858" s="201"/>
      <c r="Y858" s="200"/>
      <c r="Z858" s="207"/>
      <c r="AA858" s="206"/>
      <c r="AB858" s="207"/>
      <c r="AC858" s="188"/>
      <c r="AD858" s="187">
        <v>44561</v>
      </c>
    </row>
    <row r="859" spans="1:30">
      <c r="A859" s="318">
        <f>COUNTA($E$3:E859)</f>
        <v>857</v>
      </c>
      <c r="B859" s="318" t="s">
        <v>2350</v>
      </c>
      <c r="C859" s="318" t="s">
        <v>44</v>
      </c>
      <c r="D859" s="318" t="s">
        <v>1201</v>
      </c>
      <c r="E859" s="318" t="s">
        <v>102</v>
      </c>
      <c r="F859" s="316">
        <v>44508</v>
      </c>
      <c r="G859" s="316"/>
      <c r="H859" s="316" t="s">
        <v>66</v>
      </c>
      <c r="I859" s="316" t="s">
        <v>2</v>
      </c>
      <c r="J859" s="318" t="s">
        <v>1657</v>
      </c>
      <c r="K859" s="318" t="s">
        <v>101</v>
      </c>
      <c r="L859" s="14">
        <v>44561</v>
      </c>
      <c r="M859" t="s">
        <v>2351</v>
      </c>
      <c r="N859" s="174">
        <v>44561</v>
      </c>
      <c r="Q859" t="s">
        <v>129</v>
      </c>
      <c r="T859" s="195"/>
      <c r="U859" s="195"/>
      <c r="V859" s="300"/>
      <c r="W859" s="201"/>
      <c r="X859" s="201"/>
      <c r="Y859" s="200"/>
      <c r="Z859" s="207"/>
      <c r="AA859" s="206"/>
      <c r="AB859" s="207"/>
      <c r="AC859" s="188"/>
      <c r="AD859" s="187">
        <v>44561</v>
      </c>
    </row>
    <row r="860" spans="1:30">
      <c r="A860" s="318">
        <f>COUNTA($E$3:E860)</f>
        <v>858</v>
      </c>
      <c r="B860" s="318" t="s">
        <v>2291</v>
      </c>
      <c r="C860" s="318" t="s">
        <v>2292</v>
      </c>
      <c r="D860" s="318" t="s">
        <v>49</v>
      </c>
      <c r="E860" s="318" t="s">
        <v>1175</v>
      </c>
      <c r="F860" s="316">
        <v>44545.699316655096</v>
      </c>
      <c r="G860" s="316"/>
      <c r="H860" s="316"/>
      <c r="I860" s="316" t="s">
        <v>3</v>
      </c>
      <c r="J860" s="318"/>
      <c r="K860" s="318" t="s">
        <v>1295</v>
      </c>
      <c r="L860" s="14">
        <v>44561</v>
      </c>
      <c r="M860" t="s">
        <v>2365</v>
      </c>
      <c r="N860" s="174">
        <v>44576</v>
      </c>
      <c r="Q860" t="s">
        <v>129</v>
      </c>
      <c r="T860" s="195"/>
      <c r="U860" s="195"/>
      <c r="V860" s="300"/>
      <c r="W860" s="201"/>
      <c r="X860" s="201"/>
      <c r="Y860" s="200"/>
      <c r="Z860" s="207"/>
      <c r="AA860" s="206"/>
      <c r="AB860" s="207"/>
      <c r="AC860" s="188"/>
      <c r="AD860" s="187">
        <v>44576</v>
      </c>
    </row>
    <row r="861" spans="1:30">
      <c r="A861" s="318">
        <f>COUNTA($E$3:E861)</f>
        <v>859</v>
      </c>
      <c r="B861" s="318" t="s">
        <v>2338</v>
      </c>
      <c r="C861" s="318" t="s">
        <v>37</v>
      </c>
      <c r="D861" s="318" t="s">
        <v>34</v>
      </c>
      <c r="E861" s="318" t="s">
        <v>1844</v>
      </c>
      <c r="F861" s="316">
        <v>44558.590590277781</v>
      </c>
      <c r="G861" s="316"/>
      <c r="H861" s="316"/>
      <c r="I861" s="316" t="s">
        <v>3</v>
      </c>
      <c r="J861" s="318"/>
      <c r="K861" s="318" t="s">
        <v>1287</v>
      </c>
      <c r="L861" s="14">
        <v>44561</v>
      </c>
      <c r="M861" t="s">
        <v>2366</v>
      </c>
      <c r="N861" s="174">
        <v>44561</v>
      </c>
      <c r="Q861" t="s">
        <v>129</v>
      </c>
      <c r="T861" s="195"/>
      <c r="U861" s="195"/>
      <c r="V861" s="300"/>
      <c r="W861" s="201"/>
      <c r="X861" s="201"/>
      <c r="Y861" s="200"/>
      <c r="Z861" s="207"/>
      <c r="AA861" s="206"/>
      <c r="AB861" s="207"/>
      <c r="AC861" s="188"/>
      <c r="AD861" s="187">
        <v>44561</v>
      </c>
    </row>
    <row r="862" spans="1:30">
      <c r="A862" s="318">
        <f>COUNTA($E$3:E862)</f>
        <v>860</v>
      </c>
      <c r="B862" s="318" t="s">
        <v>2342</v>
      </c>
      <c r="C862" s="318" t="s">
        <v>44</v>
      </c>
      <c r="D862" s="318" t="s">
        <v>51</v>
      </c>
      <c r="E862" s="318" t="s">
        <v>259</v>
      </c>
      <c r="F862" s="316">
        <v>44560.528368055559</v>
      </c>
      <c r="G862" s="316"/>
      <c r="H862" s="316"/>
      <c r="I862" s="316" t="s">
        <v>3</v>
      </c>
      <c r="J862" s="318"/>
      <c r="K862" s="318"/>
      <c r="L862" s="14">
        <v>44561</v>
      </c>
      <c r="M862" t="s">
        <v>2366</v>
      </c>
      <c r="N862" s="174">
        <v>44561</v>
      </c>
      <c r="Q862" t="s">
        <v>129</v>
      </c>
      <c r="T862" s="195"/>
      <c r="U862" s="195"/>
      <c r="V862" s="300"/>
      <c r="W862" s="201"/>
      <c r="X862" s="201"/>
      <c r="Y862" s="200"/>
      <c r="Z862" s="207"/>
      <c r="AA862" s="206"/>
      <c r="AB862" s="207"/>
      <c r="AC862" s="188"/>
      <c r="AD862" s="187">
        <v>44561</v>
      </c>
    </row>
    <row r="863" spans="1:30">
      <c r="A863" s="318">
        <f>COUNTA($E$3:E863)</f>
        <v>861</v>
      </c>
      <c r="B863" s="318" t="s">
        <v>2314</v>
      </c>
      <c r="C863" s="318" t="s">
        <v>41</v>
      </c>
      <c r="D863" s="318" t="s">
        <v>56</v>
      </c>
      <c r="E863" s="318" t="s">
        <v>1238</v>
      </c>
      <c r="F863" s="316">
        <v>44551.769918981503</v>
      </c>
      <c r="G863" s="316"/>
      <c r="H863" s="316"/>
      <c r="I863" s="316" t="s">
        <v>3</v>
      </c>
      <c r="J863" s="318"/>
      <c r="K863" s="318" t="s">
        <v>1295</v>
      </c>
      <c r="L863" s="14">
        <v>44561</v>
      </c>
      <c r="M863" t="s">
        <v>2367</v>
      </c>
      <c r="N863" s="174">
        <v>44561</v>
      </c>
      <c r="Q863" t="s">
        <v>129</v>
      </c>
      <c r="T863" s="195"/>
      <c r="U863" s="195"/>
      <c r="V863" s="300"/>
      <c r="W863" s="201"/>
      <c r="X863" s="201"/>
      <c r="Y863" s="200"/>
      <c r="Z863" s="207"/>
      <c r="AA863" s="206"/>
      <c r="AB863" s="207"/>
      <c r="AC863" s="188"/>
      <c r="AD863" s="187">
        <v>44561</v>
      </c>
    </row>
    <row r="864" spans="1:30">
      <c r="A864" s="318">
        <f>COUNTA($E$3:E864)</f>
        <v>862</v>
      </c>
      <c r="B864" s="318" t="s">
        <v>2310</v>
      </c>
      <c r="C864" s="318" t="s">
        <v>41</v>
      </c>
      <c r="D864" s="318" t="s">
        <v>32</v>
      </c>
      <c r="E864" s="318" t="s">
        <v>1282</v>
      </c>
      <c r="F864" s="316">
        <v>44550.552314814799</v>
      </c>
      <c r="G864" s="316"/>
      <c r="H864" s="316"/>
      <c r="I864" s="316" t="s">
        <v>3</v>
      </c>
      <c r="J864" s="318"/>
      <c r="K864" s="318" t="s">
        <v>1296</v>
      </c>
      <c r="L864" s="14">
        <v>44561</v>
      </c>
      <c r="M864" t="s">
        <v>2366</v>
      </c>
      <c r="N864" s="174">
        <v>44561</v>
      </c>
      <c r="Q864" t="s">
        <v>129</v>
      </c>
      <c r="T864" s="195"/>
      <c r="U864" s="195"/>
      <c r="V864" s="300"/>
      <c r="W864" s="201"/>
      <c r="X864" s="201"/>
      <c r="Y864" s="200"/>
      <c r="Z864" s="207"/>
      <c r="AA864" s="206"/>
      <c r="AB864" s="207"/>
      <c r="AC864" s="188"/>
      <c r="AD864" s="187">
        <v>44561</v>
      </c>
    </row>
    <row r="865" spans="1:30">
      <c r="A865" s="318">
        <f>COUNTA($E$3:E865)</f>
        <v>863</v>
      </c>
      <c r="B865" s="318" t="s">
        <v>2353</v>
      </c>
      <c r="C865" s="318" t="s">
        <v>41</v>
      </c>
      <c r="D865" s="318" t="s">
        <v>16</v>
      </c>
      <c r="E865" s="318" t="s">
        <v>1153</v>
      </c>
      <c r="F865" s="316">
        <v>44537</v>
      </c>
      <c r="G865" s="316"/>
      <c r="H865" s="316" t="s">
        <v>66</v>
      </c>
      <c r="I865" s="316" t="s">
        <v>3</v>
      </c>
      <c r="J865" s="318"/>
      <c r="K865" s="318" t="s">
        <v>33</v>
      </c>
      <c r="L865" s="14">
        <v>44561</v>
      </c>
      <c r="N865" s="174">
        <v>44561</v>
      </c>
      <c r="Q865" t="s">
        <v>129</v>
      </c>
      <c r="T865" s="195"/>
      <c r="U865" s="195"/>
      <c r="V865" s="300"/>
      <c r="W865" s="201"/>
      <c r="X865" s="201"/>
      <c r="Y865" s="200"/>
      <c r="Z865" s="207"/>
      <c r="AA865" s="206"/>
      <c r="AB865" s="207"/>
      <c r="AC865" s="188"/>
      <c r="AD865" s="187">
        <v>44561</v>
      </c>
    </row>
    <row r="866" spans="1:30">
      <c r="A866" s="318">
        <f>COUNTA($E$3:E866)</f>
        <v>864</v>
      </c>
      <c r="B866" s="318" t="s">
        <v>2356</v>
      </c>
      <c r="C866" s="318" t="s">
        <v>21</v>
      </c>
      <c r="D866" s="318" t="s">
        <v>1142</v>
      </c>
      <c r="E866" s="318" t="s">
        <v>1242</v>
      </c>
      <c r="F866" s="316">
        <v>44550.522349537037</v>
      </c>
      <c r="G866" s="316"/>
      <c r="H866" s="316"/>
      <c r="I866" s="316" t="s">
        <v>3</v>
      </c>
      <c r="J866" s="318"/>
      <c r="K866" s="318" t="s">
        <v>1295</v>
      </c>
      <c r="L866" s="14">
        <v>44561</v>
      </c>
      <c r="M866" t="s">
        <v>2321</v>
      </c>
      <c r="N866" s="174">
        <v>44561</v>
      </c>
      <c r="Q866" t="s">
        <v>129</v>
      </c>
      <c r="T866" s="195"/>
      <c r="U866" s="195"/>
      <c r="V866" s="300"/>
      <c r="W866" s="201"/>
      <c r="X866" s="201"/>
      <c r="Y866" s="200"/>
      <c r="Z866" s="207"/>
      <c r="AA866" s="206"/>
      <c r="AB866" s="207"/>
      <c r="AC866" s="188"/>
      <c r="AD866" s="187">
        <v>44561</v>
      </c>
    </row>
    <row r="867" spans="1:30">
      <c r="A867" s="318">
        <f>COUNTA($E$3:E867)</f>
        <v>865</v>
      </c>
      <c r="B867" s="318" t="s">
        <v>2355</v>
      </c>
      <c r="C867" s="318" t="s">
        <v>297</v>
      </c>
      <c r="D867" s="318" t="s">
        <v>1264</v>
      </c>
      <c r="E867" s="318" t="s">
        <v>2305</v>
      </c>
      <c r="F867" s="316">
        <v>44547.553893541699</v>
      </c>
      <c r="G867" s="316"/>
      <c r="H867" s="316"/>
      <c r="I867" s="316" t="s">
        <v>3</v>
      </c>
      <c r="J867" s="318" t="s">
        <v>2194</v>
      </c>
      <c r="K867" s="318"/>
      <c r="L867" s="14">
        <v>44561</v>
      </c>
      <c r="M867" t="s">
        <v>2320</v>
      </c>
      <c r="N867" s="174">
        <v>44561</v>
      </c>
      <c r="Q867" t="s">
        <v>22</v>
      </c>
      <c r="T867" s="195"/>
      <c r="U867" s="195"/>
      <c r="V867" s="300"/>
      <c r="W867" s="201"/>
      <c r="X867" s="201"/>
      <c r="Y867" s="200"/>
      <c r="Z867" s="207"/>
      <c r="AA867" s="206"/>
      <c r="AB867" s="207"/>
      <c r="AC867" s="188"/>
      <c r="AD867" s="187">
        <v>44561</v>
      </c>
    </row>
    <row r="868" spans="1:30">
      <c r="A868" s="318">
        <f>COUNTA($D$3:$D$868)</f>
        <v>866</v>
      </c>
      <c r="B868" s="318" t="s">
        <v>2360</v>
      </c>
      <c r="C868" s="318" t="s">
        <v>2315</v>
      </c>
      <c r="D868" s="318" t="s">
        <v>58</v>
      </c>
      <c r="E868" s="318" t="s">
        <v>2316</v>
      </c>
      <c r="F868" s="316">
        <v>44552.560312499998</v>
      </c>
      <c r="G868" s="316"/>
      <c r="H868" s="316"/>
      <c r="I868" s="316" t="s">
        <v>3</v>
      </c>
      <c r="J868" s="318"/>
      <c r="K868" s="318" t="s">
        <v>1274</v>
      </c>
      <c r="L868" s="14">
        <v>44561</v>
      </c>
      <c r="M868" t="s">
        <v>2322</v>
      </c>
      <c r="N868" s="174">
        <v>44561</v>
      </c>
      <c r="Q868" t="s">
        <v>3948</v>
      </c>
      <c r="T868" s="195"/>
      <c r="U868" s="195"/>
      <c r="V868" s="300"/>
      <c r="W868" s="201"/>
      <c r="X868" s="201"/>
      <c r="Y868" s="200"/>
      <c r="Z868" s="207"/>
      <c r="AA868" s="206"/>
      <c r="AB868" s="207"/>
      <c r="AC868" s="188"/>
      <c r="AD868" s="187">
        <v>44561</v>
      </c>
    </row>
    <row r="869" spans="1:30">
      <c r="A869" s="318">
        <f>COUNTA($D$3:$D$869)</f>
        <v>867</v>
      </c>
      <c r="B869" s="318" t="s">
        <v>2349</v>
      </c>
      <c r="C869" s="318" t="s">
        <v>41</v>
      </c>
      <c r="D869" s="318" t="s">
        <v>58</v>
      </c>
      <c r="E869" s="318" t="s">
        <v>1173</v>
      </c>
      <c r="F869" s="316">
        <v>44553</v>
      </c>
      <c r="G869" s="316"/>
      <c r="H869" s="316"/>
      <c r="I869" s="316" t="s">
        <v>2</v>
      </c>
      <c r="J869" s="318"/>
      <c r="K869" s="318" t="s">
        <v>33</v>
      </c>
      <c r="L869" s="14">
        <v>44561</v>
      </c>
      <c r="M869" t="s">
        <v>2324</v>
      </c>
      <c r="N869" s="174">
        <v>44561</v>
      </c>
      <c r="Q869" t="s">
        <v>3948</v>
      </c>
      <c r="T869" s="195"/>
      <c r="U869" s="195"/>
      <c r="V869" s="300"/>
      <c r="W869" s="201"/>
      <c r="X869" s="201"/>
      <c r="Y869" s="200"/>
      <c r="Z869" s="207"/>
      <c r="AA869" s="206"/>
      <c r="AB869" s="207"/>
      <c r="AC869" s="188"/>
      <c r="AD869" s="187">
        <v>44561</v>
      </c>
    </row>
    <row r="870" spans="1:30">
      <c r="A870" s="318">
        <f>COUNTA($D$3:$D$870)</f>
        <v>868</v>
      </c>
      <c r="B870" s="318" t="s">
        <v>2343</v>
      </c>
      <c r="C870" s="318" t="s">
        <v>37</v>
      </c>
      <c r="D870" s="318" t="s">
        <v>34</v>
      </c>
      <c r="E870" s="318" t="s">
        <v>1141</v>
      </c>
      <c r="F870" s="316">
        <v>44550.564050925903</v>
      </c>
      <c r="G870" s="316"/>
      <c r="H870" s="316"/>
      <c r="I870" s="316"/>
      <c r="J870" s="318"/>
      <c r="K870" s="318" t="s">
        <v>1274</v>
      </c>
      <c r="L870" s="14">
        <v>44561</v>
      </c>
      <c r="M870" t="s">
        <v>2322</v>
      </c>
      <c r="N870" s="174">
        <v>44561</v>
      </c>
      <c r="Q870" t="s">
        <v>129</v>
      </c>
      <c r="T870" s="195"/>
      <c r="U870" s="195"/>
      <c r="V870" s="300"/>
      <c r="W870" s="201"/>
      <c r="X870" s="201"/>
      <c r="Y870" s="200"/>
      <c r="Z870" s="207"/>
      <c r="AA870" s="206"/>
      <c r="AB870" s="207"/>
      <c r="AC870" s="188"/>
      <c r="AD870" s="187">
        <v>44561</v>
      </c>
    </row>
    <row r="871" spans="1:30">
      <c r="A871" s="318">
        <f>COUNTA($D$3:$D$871)</f>
        <v>869</v>
      </c>
      <c r="B871" s="318" t="s">
        <v>2258</v>
      </c>
      <c r="C871" s="318" t="s">
        <v>1239</v>
      </c>
      <c r="D871" s="318" t="s">
        <v>38</v>
      </c>
      <c r="E871" s="318" t="s">
        <v>1755</v>
      </c>
      <c r="F871" s="316">
        <v>44533</v>
      </c>
      <c r="G871" s="316"/>
      <c r="H871" s="316">
        <v>44533</v>
      </c>
      <c r="I871" s="316" t="s">
        <v>3</v>
      </c>
      <c r="J871" s="318" t="s">
        <v>2259</v>
      </c>
      <c r="K871" s="318" t="s">
        <v>2032</v>
      </c>
      <c r="L871" s="14">
        <v>44561</v>
      </c>
      <c r="M871" t="s">
        <v>2364</v>
      </c>
      <c r="N871" s="174">
        <v>44561</v>
      </c>
      <c r="Q871" t="s">
        <v>22</v>
      </c>
      <c r="T871" s="195"/>
      <c r="U871" s="195"/>
      <c r="V871" s="300"/>
      <c r="W871" s="201"/>
      <c r="X871" s="201"/>
      <c r="Y871" s="200"/>
      <c r="Z871" s="207"/>
      <c r="AA871" s="206"/>
      <c r="AB871" s="207"/>
      <c r="AC871" s="188"/>
      <c r="AD871" s="187">
        <v>44561</v>
      </c>
    </row>
    <row r="872" spans="1:30">
      <c r="A872" s="318">
        <f>COUNTA($D$3:$D$872)</f>
        <v>870</v>
      </c>
      <c r="B872" s="318" t="s">
        <v>2357</v>
      </c>
      <c r="C872" s="318" t="s">
        <v>297</v>
      </c>
      <c r="D872" s="318" t="s">
        <v>1126</v>
      </c>
      <c r="E872" s="318" t="s">
        <v>2311</v>
      </c>
      <c r="F872" s="316">
        <v>44550.80091435185</v>
      </c>
      <c r="G872" s="316"/>
      <c r="H872" s="316"/>
      <c r="I872" s="316" t="s">
        <v>3</v>
      </c>
      <c r="J872" s="318"/>
      <c r="K872" s="318" t="s">
        <v>2358</v>
      </c>
      <c r="L872" s="14">
        <v>44561</v>
      </c>
      <c r="M872" t="s">
        <v>2323</v>
      </c>
      <c r="N872" s="174">
        <v>44561</v>
      </c>
      <c r="Q872" t="s">
        <v>22</v>
      </c>
      <c r="T872" s="195"/>
      <c r="U872" s="195"/>
      <c r="V872" s="300"/>
      <c r="W872" s="201"/>
      <c r="X872" s="201"/>
      <c r="Y872" s="200"/>
      <c r="Z872" s="207"/>
      <c r="AA872" s="206"/>
      <c r="AB872" s="207"/>
      <c r="AC872" s="188"/>
      <c r="AD872" s="187">
        <v>44561</v>
      </c>
    </row>
    <row r="873" spans="1:30">
      <c r="A873" s="318">
        <f>COUNTA($D$3:$D$873)</f>
        <v>871</v>
      </c>
      <c r="B873" s="318" t="s">
        <v>2359</v>
      </c>
      <c r="C873" s="318" t="s">
        <v>297</v>
      </c>
      <c r="D873" s="318" t="s">
        <v>1126</v>
      </c>
      <c r="E873" s="318" t="s">
        <v>2312</v>
      </c>
      <c r="F873" s="316">
        <v>44550.804895833331</v>
      </c>
      <c r="G873" s="316"/>
      <c r="H873" s="316"/>
      <c r="I873" s="316" t="s">
        <v>3</v>
      </c>
      <c r="J873" s="318"/>
      <c r="K873" s="318" t="s">
        <v>2358</v>
      </c>
      <c r="L873" s="14">
        <v>44561</v>
      </c>
      <c r="M873" t="s">
        <v>2323</v>
      </c>
      <c r="N873" s="174">
        <v>44561</v>
      </c>
      <c r="Q873" t="s">
        <v>22</v>
      </c>
      <c r="T873" s="195"/>
      <c r="U873" s="195"/>
      <c r="V873" s="300"/>
      <c r="W873" s="201"/>
      <c r="X873" s="201"/>
      <c r="Y873" s="200"/>
      <c r="Z873" s="207"/>
      <c r="AA873" s="206"/>
      <c r="AB873" s="207"/>
      <c r="AC873" s="188"/>
      <c r="AD873" s="187">
        <v>44561</v>
      </c>
    </row>
    <row r="874" spans="1:30">
      <c r="A874" s="318">
        <f>COUNTA($D$3:$D$874)</f>
        <v>872</v>
      </c>
      <c r="B874" s="318" t="s">
        <v>2347</v>
      </c>
      <c r="C874" s="318" t="s">
        <v>41</v>
      </c>
      <c r="D874" s="318" t="s">
        <v>23</v>
      </c>
      <c r="E874" s="318" t="s">
        <v>1044</v>
      </c>
      <c r="F874" s="316">
        <v>44546</v>
      </c>
      <c r="G874" s="316"/>
      <c r="H874" s="316"/>
      <c r="I874" s="316" t="s">
        <v>2</v>
      </c>
      <c r="J874" s="318" t="s">
        <v>2284</v>
      </c>
      <c r="K874" s="318" t="s">
        <v>1294</v>
      </c>
      <c r="L874" s="14">
        <v>44561</v>
      </c>
      <c r="M874" t="s">
        <v>2348</v>
      </c>
      <c r="N874" s="174">
        <v>44561</v>
      </c>
      <c r="Q874" t="s">
        <v>22</v>
      </c>
      <c r="T874" s="195"/>
      <c r="U874" s="195"/>
      <c r="V874" s="300"/>
      <c r="W874" s="201"/>
      <c r="X874" s="201"/>
      <c r="Y874" s="200"/>
      <c r="Z874" s="207"/>
      <c r="AA874" s="206"/>
      <c r="AB874" s="207"/>
      <c r="AC874" s="188"/>
      <c r="AD874" s="187">
        <v>44561</v>
      </c>
    </row>
    <row r="875" spans="1:30">
      <c r="A875" s="318">
        <f>COUNTA($D$3:$D$875)</f>
        <v>873</v>
      </c>
      <c r="B875" s="318" t="s">
        <v>2361</v>
      </c>
      <c r="C875" s="318" t="s">
        <v>2315</v>
      </c>
      <c r="D875" s="318" t="s">
        <v>16</v>
      </c>
      <c r="E875" s="318" t="s">
        <v>1214</v>
      </c>
      <c r="F875" s="316">
        <v>44552.56108796296</v>
      </c>
      <c r="G875" s="316"/>
      <c r="H875" s="316"/>
      <c r="I875" s="316" t="s">
        <v>3</v>
      </c>
      <c r="J875" s="318"/>
      <c r="K875" s="318" t="s">
        <v>1287</v>
      </c>
      <c r="L875" s="14">
        <v>44561</v>
      </c>
      <c r="M875" t="s">
        <v>2323</v>
      </c>
      <c r="N875" s="174">
        <v>44561</v>
      </c>
      <c r="Q875" t="s">
        <v>129</v>
      </c>
      <c r="T875" s="195"/>
      <c r="U875" s="195"/>
      <c r="V875" s="300"/>
      <c r="W875" s="201"/>
      <c r="X875" s="201"/>
      <c r="Y875" s="200"/>
      <c r="Z875" s="207"/>
      <c r="AA875" s="206"/>
      <c r="AB875" s="207"/>
      <c r="AC875" s="188"/>
      <c r="AD875" s="187">
        <v>44561</v>
      </c>
    </row>
    <row r="876" spans="1:30">
      <c r="A876" s="318">
        <f>COUNTA($D$3:$D$876)</f>
        <v>874</v>
      </c>
      <c r="B876" s="318" t="s">
        <v>2362</v>
      </c>
      <c r="C876" s="318" t="s">
        <v>2315</v>
      </c>
      <c r="D876" s="318" t="s">
        <v>30</v>
      </c>
      <c r="E876" s="318" t="s">
        <v>2317</v>
      </c>
      <c r="F876" s="316">
        <v>44552</v>
      </c>
      <c r="G876" s="316"/>
      <c r="H876" s="316">
        <v>44555</v>
      </c>
      <c r="I876" s="316" t="s">
        <v>3</v>
      </c>
      <c r="J876" s="318"/>
      <c r="K876" s="318" t="s">
        <v>33</v>
      </c>
      <c r="L876" s="14">
        <v>44561</v>
      </c>
      <c r="N876" s="174">
        <v>44561</v>
      </c>
      <c r="Q876" t="s">
        <v>129</v>
      </c>
      <c r="T876" s="195"/>
      <c r="U876" s="195"/>
      <c r="V876" s="300"/>
      <c r="W876" s="201"/>
      <c r="X876" s="201"/>
      <c r="Y876" s="200"/>
      <c r="Z876" s="207"/>
      <c r="AA876" s="206"/>
      <c r="AB876" s="207"/>
      <c r="AC876" s="188"/>
      <c r="AD876" s="187">
        <v>44561</v>
      </c>
    </row>
    <row r="877" spans="1:30">
      <c r="A877" s="318">
        <f>COUNTA($D$3:$D$877)</f>
        <v>875</v>
      </c>
      <c r="B877" s="318" t="s">
        <v>2352</v>
      </c>
      <c r="C877" s="318" t="s">
        <v>37</v>
      </c>
      <c r="D877" s="318" t="s">
        <v>30</v>
      </c>
      <c r="E877" s="318" t="s">
        <v>1209</v>
      </c>
      <c r="F877" s="316">
        <v>44550.529386574075</v>
      </c>
      <c r="G877" s="316"/>
      <c r="H877" s="316"/>
      <c r="I877" s="316" t="s">
        <v>3</v>
      </c>
      <c r="J877" s="318"/>
      <c r="K877" s="318" t="s">
        <v>1274</v>
      </c>
      <c r="L877" s="14">
        <v>44561</v>
      </c>
      <c r="M877" t="s">
        <v>2322</v>
      </c>
      <c r="N877" s="174">
        <v>44561</v>
      </c>
      <c r="Q877" t="s">
        <v>129</v>
      </c>
      <c r="T877" s="195"/>
      <c r="U877" s="195"/>
      <c r="V877" s="300"/>
      <c r="W877" s="201"/>
      <c r="X877" s="201"/>
      <c r="Y877" s="200"/>
      <c r="Z877" s="207"/>
      <c r="AA877" s="206"/>
      <c r="AB877" s="207"/>
      <c r="AC877" s="188"/>
      <c r="AD877" s="187">
        <v>44561</v>
      </c>
    </row>
    <row r="878" spans="1:30">
      <c r="A878" s="318">
        <f>COUNTA($D$3:$D$878)</f>
        <v>876</v>
      </c>
      <c r="B878" s="318" t="s">
        <v>2354</v>
      </c>
      <c r="C878" s="318" t="s">
        <v>37</v>
      </c>
      <c r="D878" s="318" t="s">
        <v>30</v>
      </c>
      <c r="E878" s="318" t="s">
        <v>1288</v>
      </c>
      <c r="F878" s="316">
        <v>44540.728877314818</v>
      </c>
      <c r="G878" s="316"/>
      <c r="H878" s="316"/>
      <c r="I878" s="316" t="s">
        <v>3</v>
      </c>
      <c r="J878" s="318" t="s">
        <v>1649</v>
      </c>
      <c r="K878" s="318" t="s">
        <v>1296</v>
      </c>
      <c r="L878" s="14">
        <v>44561</v>
      </c>
      <c r="M878" t="s">
        <v>2322</v>
      </c>
      <c r="N878" s="174">
        <v>44561</v>
      </c>
      <c r="Q878" t="s">
        <v>129</v>
      </c>
      <c r="T878" s="195"/>
      <c r="U878" s="195"/>
      <c r="V878" s="300"/>
      <c r="W878" s="201"/>
      <c r="X878" s="201"/>
      <c r="Y878" s="200"/>
      <c r="Z878" s="207"/>
      <c r="AA878" s="206"/>
      <c r="AB878" s="207"/>
      <c r="AC878" s="188"/>
      <c r="AD878" s="187">
        <v>44561</v>
      </c>
    </row>
    <row r="879" spans="1:30">
      <c r="A879" s="318">
        <f>COUNTA($D$3:$D$879)</f>
        <v>877</v>
      </c>
      <c r="B879" s="318" t="s">
        <v>2337</v>
      </c>
      <c r="C879" s="318" t="s">
        <v>37</v>
      </c>
      <c r="D879" s="318" t="s">
        <v>30</v>
      </c>
      <c r="E879" s="318" t="s">
        <v>1275</v>
      </c>
      <c r="F879" s="316">
        <v>44558.590150462966</v>
      </c>
      <c r="G879" s="316"/>
      <c r="H879" s="316"/>
      <c r="I879" s="316" t="s">
        <v>2</v>
      </c>
      <c r="J879" s="318"/>
      <c r="K879" s="318"/>
      <c r="L879" s="14">
        <v>44561</v>
      </c>
      <c r="M879" t="s">
        <v>2368</v>
      </c>
      <c r="N879" s="174">
        <v>44561</v>
      </c>
      <c r="Q879" t="s">
        <v>129</v>
      </c>
      <c r="T879" s="195"/>
      <c r="U879" s="195"/>
      <c r="V879" s="300"/>
      <c r="W879" s="201"/>
      <c r="X879" s="201"/>
      <c r="Y879" s="200"/>
      <c r="Z879" s="207"/>
      <c r="AA879" s="206"/>
      <c r="AB879" s="207"/>
      <c r="AC879" s="188"/>
      <c r="AD879" s="187">
        <v>44561</v>
      </c>
    </row>
    <row r="880" spans="1:30">
      <c r="A880" s="318">
        <f>COUNTA($D$3:$D$880)</f>
        <v>878</v>
      </c>
      <c r="B880" s="318" t="s">
        <v>2344</v>
      </c>
      <c r="C880" s="318" t="s">
        <v>2345</v>
      </c>
      <c r="D880" s="318" t="s">
        <v>16</v>
      </c>
      <c r="E880" s="318" t="s">
        <v>2346</v>
      </c>
      <c r="F880" s="316">
        <v>44533</v>
      </c>
      <c r="G880" s="316"/>
      <c r="H880" s="316" t="s">
        <v>55</v>
      </c>
      <c r="I880" s="316" t="s">
        <v>2</v>
      </c>
      <c r="J880" s="318" t="s">
        <v>1664</v>
      </c>
      <c r="K880" s="318" t="s">
        <v>1296</v>
      </c>
      <c r="L880" s="14">
        <v>44561</v>
      </c>
      <c r="N880" s="174">
        <v>44561</v>
      </c>
      <c r="Q880" t="s">
        <v>129</v>
      </c>
      <c r="T880" s="195"/>
      <c r="U880" s="195"/>
      <c r="V880" s="300"/>
      <c r="W880" s="201"/>
      <c r="X880" s="201"/>
      <c r="Y880" s="200"/>
      <c r="Z880" s="207"/>
      <c r="AA880" s="206"/>
      <c r="AB880" s="207"/>
      <c r="AC880" s="188"/>
      <c r="AD880" s="187">
        <v>44561</v>
      </c>
    </row>
    <row r="881" spans="1:30">
      <c r="A881" s="318">
        <f>COUNTA($D$3:$D$881)</f>
        <v>879</v>
      </c>
      <c r="B881" s="318" t="s">
        <v>1951</v>
      </c>
      <c r="C881" s="318" t="s">
        <v>41</v>
      </c>
      <c r="D881" s="318" t="s">
        <v>1103</v>
      </c>
      <c r="E881" s="318" t="s">
        <v>1202</v>
      </c>
      <c r="F881" s="316">
        <v>44467</v>
      </c>
      <c r="G881" s="316"/>
      <c r="H881" s="316" t="s">
        <v>66</v>
      </c>
      <c r="I881" s="316" t="s">
        <v>2</v>
      </c>
      <c r="J881" s="318" t="s">
        <v>1662</v>
      </c>
      <c r="K881" s="318"/>
      <c r="L881" s="14">
        <v>44547</v>
      </c>
      <c r="M881" t="s">
        <v>3954</v>
      </c>
      <c r="N881" s="174">
        <v>44547</v>
      </c>
      <c r="Q881" t="s">
        <v>129</v>
      </c>
      <c r="T881" s="195"/>
      <c r="U881" s="195"/>
      <c r="V881" s="300"/>
      <c r="W881" s="201"/>
      <c r="X881" s="201"/>
      <c r="Y881" s="200"/>
      <c r="Z881" s="207"/>
      <c r="AA881" s="206"/>
      <c r="AB881" s="207"/>
      <c r="AC881" s="188"/>
      <c r="AD881" s="187">
        <v>44547</v>
      </c>
    </row>
    <row r="882" spans="1:30">
      <c r="A882" s="318">
        <f>COUNTA($D$3:$D$882)</f>
        <v>880</v>
      </c>
      <c r="B882" s="318" t="s">
        <v>2298</v>
      </c>
      <c r="C882" s="318" t="s">
        <v>41</v>
      </c>
      <c r="D882" s="318" t="s">
        <v>1103</v>
      </c>
      <c r="E882" s="318" t="s">
        <v>1206</v>
      </c>
      <c r="F882" s="316">
        <v>44546</v>
      </c>
      <c r="G882" s="316"/>
      <c r="H882" s="316"/>
      <c r="I882" s="316" t="s">
        <v>2</v>
      </c>
      <c r="J882" s="318" t="s">
        <v>2299</v>
      </c>
      <c r="K882" s="318" t="s">
        <v>24</v>
      </c>
      <c r="L882" s="14">
        <v>44547</v>
      </c>
      <c r="M882" t="s">
        <v>2302</v>
      </c>
      <c r="N882" s="174">
        <v>44621</v>
      </c>
      <c r="Q882" t="s">
        <v>22</v>
      </c>
      <c r="T882" s="195"/>
      <c r="U882" s="195"/>
      <c r="V882" s="300"/>
      <c r="W882" s="201"/>
      <c r="X882" s="201"/>
      <c r="Y882" s="200"/>
      <c r="Z882" s="207"/>
      <c r="AA882" s="206"/>
      <c r="AB882" s="207"/>
      <c r="AC882" s="188"/>
      <c r="AD882" s="187">
        <v>44621</v>
      </c>
    </row>
    <row r="883" spans="1:30">
      <c r="A883" s="318">
        <f>COUNTA($D$3:$D$883)</f>
        <v>881</v>
      </c>
      <c r="B883" s="318" t="s">
        <v>2293</v>
      </c>
      <c r="C883" s="318" t="s">
        <v>41</v>
      </c>
      <c r="D883" s="318" t="s">
        <v>1115</v>
      </c>
      <c r="E883" s="318" t="s">
        <v>1228</v>
      </c>
      <c r="F883" s="316">
        <v>44545.498506944445</v>
      </c>
      <c r="G883" s="316"/>
      <c r="H883" s="316"/>
      <c r="I883" s="316" t="s">
        <v>3</v>
      </c>
      <c r="J883" s="318" t="s">
        <v>1647</v>
      </c>
      <c r="K883" s="318"/>
      <c r="L883" s="14">
        <v>44547</v>
      </c>
      <c r="M883" t="s">
        <v>2304</v>
      </c>
      <c r="N883" s="174">
        <v>44547</v>
      </c>
      <c r="Q883" t="s">
        <v>129</v>
      </c>
      <c r="T883" s="195"/>
      <c r="U883" s="195"/>
      <c r="V883" s="300"/>
      <c r="W883" s="201"/>
      <c r="X883" s="201"/>
      <c r="Y883" s="200"/>
      <c r="Z883" s="207"/>
      <c r="AA883" s="206"/>
      <c r="AB883" s="207"/>
      <c r="AC883" s="188"/>
      <c r="AD883" s="187">
        <v>44547</v>
      </c>
    </row>
    <row r="884" spans="1:30">
      <c r="A884" s="318">
        <f>COUNTA($D$3:$D$884)</f>
        <v>882</v>
      </c>
      <c r="B884" s="318" t="s">
        <v>2295</v>
      </c>
      <c r="C884" s="318" t="s">
        <v>41</v>
      </c>
      <c r="D884" s="318" t="s">
        <v>1201</v>
      </c>
      <c r="E884" s="318" t="s">
        <v>2296</v>
      </c>
      <c r="F884" s="316">
        <v>44545.539270833331</v>
      </c>
      <c r="G884" s="316"/>
      <c r="H884" s="316"/>
      <c r="I884" s="316" t="s">
        <v>3</v>
      </c>
      <c r="J884" s="318" t="s">
        <v>1808</v>
      </c>
      <c r="K884" s="318" t="s">
        <v>1296</v>
      </c>
      <c r="L884" s="14">
        <v>44547</v>
      </c>
      <c r="M884" t="s">
        <v>2303</v>
      </c>
      <c r="N884" s="174">
        <v>44547</v>
      </c>
      <c r="Q884" t="s">
        <v>129</v>
      </c>
      <c r="T884" s="195"/>
      <c r="U884" s="195"/>
      <c r="V884" s="300"/>
      <c r="W884" s="201"/>
      <c r="X884" s="201"/>
      <c r="Y884" s="200"/>
      <c r="Z884" s="207"/>
      <c r="AA884" s="206"/>
      <c r="AB884" s="207"/>
      <c r="AC884" s="188"/>
      <c r="AD884" s="187">
        <v>44547</v>
      </c>
    </row>
    <row r="885" spans="1:30">
      <c r="A885" s="318">
        <f>COUNTA($D$3:$D$885)</f>
        <v>883</v>
      </c>
      <c r="B885" s="318" t="s">
        <v>2277</v>
      </c>
      <c r="C885" s="318" t="s">
        <v>41</v>
      </c>
      <c r="D885" s="318" t="s">
        <v>34</v>
      </c>
      <c r="E885" s="318" t="s">
        <v>1045</v>
      </c>
      <c r="F885" s="316">
        <v>44543</v>
      </c>
      <c r="G885" s="316"/>
      <c r="H885" s="316"/>
      <c r="I885" s="316" t="s">
        <v>2</v>
      </c>
      <c r="J885" s="318" t="s">
        <v>2278</v>
      </c>
      <c r="K885" s="318" t="s">
        <v>24</v>
      </c>
      <c r="L885" s="14">
        <v>44547</v>
      </c>
      <c r="M885" t="s">
        <v>2301</v>
      </c>
      <c r="N885" s="174">
        <v>44547</v>
      </c>
      <c r="T885" s="195"/>
      <c r="U885" s="195"/>
      <c r="V885" s="300"/>
      <c r="W885" s="201"/>
      <c r="X885" s="201"/>
      <c r="Y885" s="200"/>
      <c r="Z885" s="207"/>
      <c r="AA885" s="206"/>
      <c r="AB885" s="207"/>
      <c r="AC885" s="188"/>
      <c r="AD885" s="187">
        <v>44547</v>
      </c>
    </row>
    <row r="886" spans="1:30">
      <c r="A886" s="318">
        <f>COUNTA($D$3:$D$886)</f>
        <v>884</v>
      </c>
      <c r="B886" s="318" t="s">
        <v>2053</v>
      </c>
      <c r="C886" s="318" t="s">
        <v>44</v>
      </c>
      <c r="D886" s="318" t="s">
        <v>34</v>
      </c>
      <c r="E886" s="318" t="s">
        <v>48</v>
      </c>
      <c r="F886" s="316">
        <v>44494</v>
      </c>
      <c r="G886" s="316"/>
      <c r="H886" s="316" t="s">
        <v>66</v>
      </c>
      <c r="I886" s="316" t="s">
        <v>2</v>
      </c>
      <c r="J886" s="318" t="s">
        <v>17</v>
      </c>
      <c r="K886" s="318" t="s">
        <v>287</v>
      </c>
      <c r="L886" s="14">
        <v>44547</v>
      </c>
      <c r="M886" t="s">
        <v>2267</v>
      </c>
      <c r="N886" s="174">
        <v>44547</v>
      </c>
      <c r="T886" s="195"/>
      <c r="U886" s="195"/>
      <c r="V886" s="300"/>
      <c r="W886" s="201"/>
      <c r="X886" s="201"/>
      <c r="Y886" s="200"/>
      <c r="Z886" s="207"/>
      <c r="AA886" s="206"/>
      <c r="AB886" s="207"/>
      <c r="AC886" s="188"/>
      <c r="AD886" s="187">
        <v>44547</v>
      </c>
    </row>
    <row r="887" spans="1:30">
      <c r="A887" s="318">
        <f>COUNTA($D$3:$D$887)</f>
        <v>885</v>
      </c>
      <c r="B887" s="318" t="s">
        <v>2008</v>
      </c>
      <c r="C887" s="318" t="s">
        <v>44</v>
      </c>
      <c r="D887" s="318" t="s">
        <v>34</v>
      </c>
      <c r="E887" s="318" t="s">
        <v>255</v>
      </c>
      <c r="F887" s="316">
        <v>44481</v>
      </c>
      <c r="G887" s="316"/>
      <c r="H887" s="316" t="s">
        <v>66</v>
      </c>
      <c r="I887" s="316" t="s">
        <v>2</v>
      </c>
      <c r="J887" s="318" t="s">
        <v>2018</v>
      </c>
      <c r="K887" s="318"/>
      <c r="L887" s="14">
        <v>44547</v>
      </c>
      <c r="M887" t="s">
        <v>2267</v>
      </c>
      <c r="N887" s="174">
        <v>44547</v>
      </c>
      <c r="T887" s="195"/>
      <c r="U887" s="195"/>
      <c r="V887" s="300"/>
      <c r="W887" s="201"/>
      <c r="X887" s="201"/>
      <c r="Y887" s="200"/>
      <c r="Z887" s="207"/>
      <c r="AA887" s="206"/>
      <c r="AB887" s="207"/>
      <c r="AC887" s="188"/>
      <c r="AD887" s="187">
        <v>44547</v>
      </c>
    </row>
    <row r="888" spans="1:30">
      <c r="A888" s="318">
        <f>COUNTA($D$3:$D$888)</f>
        <v>886</v>
      </c>
      <c r="B888" s="318" t="s">
        <v>2275</v>
      </c>
      <c r="C888" s="318" t="s">
        <v>37</v>
      </c>
      <c r="D888" s="318" t="s">
        <v>34</v>
      </c>
      <c r="E888" s="318" t="s">
        <v>1107</v>
      </c>
      <c r="F888" s="316">
        <v>44540.729733796295</v>
      </c>
      <c r="G888" s="316"/>
      <c r="H888" s="316"/>
      <c r="I888" s="316" t="s">
        <v>3</v>
      </c>
      <c r="J888" s="318" t="s">
        <v>1760</v>
      </c>
      <c r="K888" s="318" t="s">
        <v>1295</v>
      </c>
      <c r="L888" s="14">
        <v>44547</v>
      </c>
      <c r="M888" t="s">
        <v>2300</v>
      </c>
      <c r="N888" s="174">
        <v>44547</v>
      </c>
      <c r="T888" s="195"/>
      <c r="U888" s="195"/>
      <c r="V888" s="300"/>
      <c r="W888" s="201"/>
      <c r="X888" s="201"/>
      <c r="Y888" s="200"/>
      <c r="Z888" s="207"/>
      <c r="AA888" s="206"/>
      <c r="AB888" s="207"/>
      <c r="AC888" s="188"/>
      <c r="AD888" s="187">
        <v>44547</v>
      </c>
    </row>
    <row r="889" spans="1:30">
      <c r="A889" s="318">
        <f>COUNTA($D$3:$D$889)</f>
        <v>887</v>
      </c>
      <c r="B889" s="318" t="s">
        <v>2272</v>
      </c>
      <c r="C889" s="318" t="s">
        <v>37</v>
      </c>
      <c r="D889" s="318" t="s">
        <v>30</v>
      </c>
      <c r="E889" s="318" t="s">
        <v>2273</v>
      </c>
      <c r="F889" s="316">
        <v>44540.728414351855</v>
      </c>
      <c r="G889" s="316"/>
      <c r="H889" s="316"/>
      <c r="I889" s="316" t="s">
        <v>3</v>
      </c>
      <c r="J889" s="318" t="s">
        <v>1760</v>
      </c>
      <c r="K889" s="318" t="s">
        <v>1295</v>
      </c>
      <c r="L889" s="14">
        <v>44547</v>
      </c>
      <c r="M889" t="s">
        <v>2300</v>
      </c>
      <c r="N889" s="174">
        <v>44547</v>
      </c>
      <c r="T889" s="195"/>
      <c r="U889" s="195"/>
      <c r="V889" s="300"/>
      <c r="W889" s="201"/>
      <c r="X889" s="201"/>
      <c r="Y889" s="200"/>
      <c r="Z889" s="207"/>
      <c r="AA889" s="206"/>
      <c r="AB889" s="207"/>
      <c r="AC889" s="188"/>
      <c r="AD889" s="187">
        <v>44547</v>
      </c>
    </row>
    <row r="890" spans="1:30">
      <c r="A890" s="318">
        <f>COUNTA($D$3:$D$890)</f>
        <v>888</v>
      </c>
      <c r="B890" s="318" t="s">
        <v>2279</v>
      </c>
      <c r="C890" s="318" t="s">
        <v>41</v>
      </c>
      <c r="D890" s="318" t="s">
        <v>52</v>
      </c>
      <c r="E890" s="318" t="s">
        <v>2280</v>
      </c>
      <c r="F890" s="316">
        <v>44543</v>
      </c>
      <c r="G890" s="316"/>
      <c r="H890" s="316"/>
      <c r="I890" s="316" t="s">
        <v>4</v>
      </c>
      <c r="J890" s="318" t="s">
        <v>2281</v>
      </c>
      <c r="K890" s="318" t="s">
        <v>24</v>
      </c>
      <c r="L890" s="14">
        <v>44547</v>
      </c>
      <c r="M890" t="s">
        <v>2302</v>
      </c>
      <c r="N890" s="174">
        <v>44547</v>
      </c>
      <c r="T890" s="195"/>
      <c r="U890" s="195"/>
      <c r="V890" s="300"/>
      <c r="W890" s="201"/>
      <c r="X890" s="201"/>
      <c r="Y890" s="200"/>
      <c r="Z890" s="207"/>
      <c r="AA890" s="206"/>
      <c r="AB890" s="207"/>
      <c r="AC890" s="188"/>
      <c r="AD890" s="187">
        <v>44547</v>
      </c>
    </row>
    <row r="891" spans="1:30">
      <c r="A891" s="318">
        <f>COUNTA($D$3:$D$891)</f>
        <v>889</v>
      </c>
      <c r="B891" s="318" t="s">
        <v>2224</v>
      </c>
      <c r="C891" s="318" t="s">
        <v>37</v>
      </c>
      <c r="D891" s="318" t="s">
        <v>27</v>
      </c>
      <c r="E891" s="318" t="s">
        <v>2225</v>
      </c>
      <c r="F891" s="316">
        <v>44519</v>
      </c>
      <c r="G891" s="316"/>
      <c r="H891" s="316">
        <v>44524</v>
      </c>
      <c r="I891" s="316" t="s">
        <v>4</v>
      </c>
      <c r="J891" s="318" t="s">
        <v>1093</v>
      </c>
      <c r="K891" s="318" t="s">
        <v>1287</v>
      </c>
      <c r="L891" s="14">
        <v>44547</v>
      </c>
      <c r="M891" t="s">
        <v>2268</v>
      </c>
      <c r="N891" s="174">
        <v>44547</v>
      </c>
      <c r="T891" s="195"/>
      <c r="U891" s="195"/>
      <c r="V891" s="300"/>
      <c r="W891" s="201"/>
      <c r="X891" s="201"/>
      <c r="Y891" s="200"/>
      <c r="Z891" s="207"/>
      <c r="AA891" s="206"/>
      <c r="AB891" s="207"/>
      <c r="AC891" s="188"/>
      <c r="AD891" s="187">
        <v>44547</v>
      </c>
    </row>
    <row r="892" spans="1:30">
      <c r="A892" s="318">
        <f>COUNTA($D$3:$D$892)</f>
        <v>890</v>
      </c>
      <c r="B892" s="318" t="s">
        <v>2262</v>
      </c>
      <c r="C892" s="318" t="s">
        <v>41</v>
      </c>
      <c r="D892" s="318" t="s">
        <v>16</v>
      </c>
      <c r="E892" s="318" t="s">
        <v>1188</v>
      </c>
      <c r="F892" s="316">
        <v>44536.655115740738</v>
      </c>
      <c r="G892" s="316"/>
      <c r="H892" s="316"/>
      <c r="I892" s="316" t="s">
        <v>3</v>
      </c>
      <c r="J892" s="318" t="s">
        <v>1485</v>
      </c>
      <c r="K892" s="318" t="s">
        <v>1295</v>
      </c>
      <c r="L892" s="14">
        <v>44547</v>
      </c>
      <c r="M892" t="s">
        <v>2268</v>
      </c>
      <c r="N892" s="174">
        <v>44547</v>
      </c>
      <c r="T892" s="195"/>
      <c r="U892" s="195"/>
      <c r="V892" s="300"/>
      <c r="W892" s="201"/>
      <c r="X892" s="201"/>
      <c r="Y892" s="200"/>
      <c r="Z892" s="207"/>
      <c r="AA892" s="206"/>
      <c r="AB892" s="207"/>
      <c r="AC892" s="188"/>
      <c r="AD892" s="187">
        <v>44547</v>
      </c>
    </row>
    <row r="893" spans="1:30">
      <c r="A893" s="318">
        <f>COUNTA($D$3:$D$893)</f>
        <v>891</v>
      </c>
      <c r="B893" s="318" t="s">
        <v>2294</v>
      </c>
      <c r="C893" s="318" t="s">
        <v>41</v>
      </c>
      <c r="D893" s="318" t="s">
        <v>16</v>
      </c>
      <c r="E893" s="318" t="s">
        <v>1161</v>
      </c>
      <c r="F893" s="316">
        <v>44545.538726851853</v>
      </c>
      <c r="G893" s="316"/>
      <c r="H893" s="316"/>
      <c r="I893" s="316" t="s">
        <v>3</v>
      </c>
      <c r="J893" s="318" t="s">
        <v>1666</v>
      </c>
      <c r="K893" s="318" t="s">
        <v>1274</v>
      </c>
      <c r="L893" s="14">
        <v>44547</v>
      </c>
      <c r="M893" t="s">
        <v>2303</v>
      </c>
      <c r="N893" s="174">
        <v>44547</v>
      </c>
      <c r="T893" s="195"/>
      <c r="U893" s="195"/>
      <c r="V893" s="300"/>
      <c r="W893" s="201"/>
      <c r="X893" s="201"/>
      <c r="Y893" s="200"/>
      <c r="Z893" s="207"/>
      <c r="AA893" s="206"/>
      <c r="AB893" s="207"/>
      <c r="AC893" s="188"/>
      <c r="AD893" s="187">
        <v>44547</v>
      </c>
    </row>
    <row r="894" spans="1:30">
      <c r="A894" s="318">
        <f>COUNTA($D$3:$D$894)</f>
        <v>892</v>
      </c>
      <c r="B894" s="318" t="s">
        <v>2297</v>
      </c>
      <c r="C894" s="318" t="s">
        <v>1279</v>
      </c>
      <c r="D894" s="318" t="s">
        <v>1103</v>
      </c>
      <c r="E894" s="318" t="s">
        <v>1281</v>
      </c>
      <c r="F894" s="316">
        <v>44545</v>
      </c>
      <c r="G894" s="316"/>
      <c r="H894" s="316"/>
      <c r="I894" s="316" t="s">
        <v>3</v>
      </c>
      <c r="J894" s="318" t="s">
        <v>1667</v>
      </c>
      <c r="K894" s="318" t="s">
        <v>33</v>
      </c>
      <c r="L894" s="14">
        <v>44547</v>
      </c>
      <c r="M894" t="s">
        <v>2302</v>
      </c>
      <c r="N894" s="174">
        <v>44547</v>
      </c>
      <c r="T894" s="195"/>
      <c r="U894" s="195"/>
      <c r="V894" s="300"/>
      <c r="W894" s="201"/>
      <c r="X894" s="201"/>
      <c r="Y894" s="200"/>
      <c r="Z894" s="207"/>
      <c r="AA894" s="206"/>
      <c r="AB894" s="207"/>
      <c r="AC894" s="188"/>
      <c r="AD894" s="187">
        <v>44547</v>
      </c>
    </row>
    <row r="895" spans="1:30">
      <c r="A895" s="318">
        <f>COUNTA($D$3:$D$895)</f>
        <v>893</v>
      </c>
      <c r="B895" s="318" t="s">
        <v>2160</v>
      </c>
      <c r="C895" s="318" t="s">
        <v>2161</v>
      </c>
      <c r="D895" s="318" t="s">
        <v>56</v>
      </c>
      <c r="E895" s="318" t="s">
        <v>2162</v>
      </c>
      <c r="F895" s="316">
        <v>44518</v>
      </c>
      <c r="G895" s="316"/>
      <c r="H895" s="316"/>
      <c r="I895" s="316" t="s">
        <v>3</v>
      </c>
      <c r="J895" s="318" t="s">
        <v>459</v>
      </c>
      <c r="K895" s="318" t="s">
        <v>24</v>
      </c>
      <c r="L895" s="14">
        <v>44547</v>
      </c>
      <c r="M895" t="s">
        <v>2267</v>
      </c>
      <c r="N895" s="174">
        <v>44547</v>
      </c>
      <c r="T895" s="195"/>
      <c r="U895" s="195"/>
      <c r="V895" s="300"/>
      <c r="W895" s="201"/>
      <c r="X895" s="201"/>
      <c r="Y895" s="200"/>
      <c r="Z895" s="207"/>
      <c r="AA895" s="206"/>
      <c r="AB895" s="207"/>
      <c r="AC895" s="188"/>
      <c r="AD895" s="187">
        <v>44547</v>
      </c>
    </row>
    <row r="896" spans="1:30">
      <c r="A896" s="318">
        <f>COUNTA($D$3:$D$896)</f>
        <v>894</v>
      </c>
      <c r="B896" s="318" t="s">
        <v>2288</v>
      </c>
      <c r="C896" s="318" t="s">
        <v>2286</v>
      </c>
      <c r="D896" s="318" t="s">
        <v>16</v>
      </c>
      <c r="E896" s="318" t="s">
        <v>2289</v>
      </c>
      <c r="F896" s="316">
        <v>44545.492627314816</v>
      </c>
      <c r="G896" s="316"/>
      <c r="H896" s="316"/>
      <c r="I896" s="316" t="s">
        <v>3</v>
      </c>
      <c r="J896" s="318" t="s">
        <v>1485</v>
      </c>
      <c r="K896" s="318" t="s">
        <v>2032</v>
      </c>
      <c r="L896" s="14">
        <v>44547</v>
      </c>
      <c r="M896" t="s">
        <v>2300</v>
      </c>
      <c r="N896" s="174">
        <v>44621</v>
      </c>
      <c r="T896" s="195"/>
      <c r="U896" s="195"/>
      <c r="V896" s="300"/>
      <c r="W896" s="201"/>
      <c r="X896" s="201"/>
      <c r="Y896" s="200"/>
      <c r="Z896" s="207"/>
      <c r="AA896" s="206"/>
      <c r="AB896" s="207"/>
      <c r="AC896" s="188"/>
      <c r="AD896" s="187">
        <v>44621</v>
      </c>
    </row>
    <row r="897" spans="1:30">
      <c r="A897" s="318">
        <f>COUNTA($D$3:$D$897)</f>
        <v>895</v>
      </c>
      <c r="B897" s="318" t="s">
        <v>2260</v>
      </c>
      <c r="C897" s="318" t="s">
        <v>1246</v>
      </c>
      <c r="D897" s="318" t="s">
        <v>16</v>
      </c>
      <c r="E897" s="318" t="s">
        <v>2261</v>
      </c>
      <c r="F897" s="316">
        <v>44533.652957905098</v>
      </c>
      <c r="G897" s="316"/>
      <c r="H897" s="316"/>
      <c r="I897" s="316" t="s">
        <v>3</v>
      </c>
      <c r="J897" s="318" t="s">
        <v>1650</v>
      </c>
      <c r="K897" s="318" t="s">
        <v>287</v>
      </c>
      <c r="L897" s="14">
        <v>44547</v>
      </c>
      <c r="M897" t="s">
        <v>2268</v>
      </c>
      <c r="N897" s="174">
        <v>44547</v>
      </c>
      <c r="T897" s="195"/>
      <c r="U897" s="195"/>
      <c r="V897" s="300"/>
      <c r="W897" s="201"/>
      <c r="X897" s="201"/>
      <c r="Y897" s="200"/>
      <c r="Z897" s="207"/>
      <c r="AA897" s="206"/>
      <c r="AB897" s="207"/>
      <c r="AC897" s="188"/>
      <c r="AD897" s="187">
        <v>44547</v>
      </c>
    </row>
    <row r="898" spans="1:30">
      <c r="A898" s="318">
        <f>COUNTA($D$3:$D$898)</f>
        <v>896</v>
      </c>
      <c r="B898" s="318" t="s">
        <v>2195</v>
      </c>
      <c r="C898" s="318" t="s">
        <v>40</v>
      </c>
      <c r="D898" s="318" t="s">
        <v>51</v>
      </c>
      <c r="E898" s="318" t="s">
        <v>1047</v>
      </c>
      <c r="F898" s="316">
        <v>44516</v>
      </c>
      <c r="G898" s="316"/>
      <c r="H898" s="316"/>
      <c r="I898" s="316" t="s">
        <v>2</v>
      </c>
      <c r="J898" s="318" t="s">
        <v>2196</v>
      </c>
      <c r="K898" s="318" t="s">
        <v>33</v>
      </c>
      <c r="L898" s="14">
        <v>44519</v>
      </c>
      <c r="M898" t="s">
        <v>2216</v>
      </c>
      <c r="N898" s="174">
        <v>44519</v>
      </c>
      <c r="T898" s="195"/>
      <c r="U898" s="195"/>
      <c r="V898" s="300"/>
      <c r="W898" s="201"/>
      <c r="X898" s="201"/>
      <c r="Y898" s="200"/>
      <c r="Z898" s="207"/>
      <c r="AA898" s="206"/>
      <c r="AB898" s="207"/>
      <c r="AC898" s="188"/>
      <c r="AD898" s="187">
        <v>44519</v>
      </c>
    </row>
    <row r="899" spans="1:30">
      <c r="A899" s="318">
        <f>COUNTA($D$3:$D$899)</f>
        <v>897</v>
      </c>
      <c r="B899" s="318" t="s">
        <v>2191</v>
      </c>
      <c r="C899" s="318" t="s">
        <v>41</v>
      </c>
      <c r="D899" s="318" t="s">
        <v>1139</v>
      </c>
      <c r="E899" s="318" t="s">
        <v>1140</v>
      </c>
      <c r="F899" s="316">
        <v>44515.504328703704</v>
      </c>
      <c r="G899" s="316"/>
      <c r="H899" s="316"/>
      <c r="I899" s="316" t="s">
        <v>3</v>
      </c>
      <c r="J899" s="318" t="s">
        <v>1485</v>
      </c>
      <c r="K899" s="318" t="s">
        <v>1274</v>
      </c>
      <c r="L899" s="14">
        <v>44519</v>
      </c>
      <c r="M899" t="s">
        <v>2220</v>
      </c>
      <c r="N899" s="174">
        <v>44519</v>
      </c>
      <c r="T899" s="195"/>
      <c r="U899" s="195"/>
      <c r="V899" s="300"/>
      <c r="W899" s="201"/>
      <c r="X899" s="201"/>
      <c r="Y899" s="200"/>
      <c r="Z899" s="207"/>
      <c r="AA899" s="206"/>
      <c r="AB899" s="207"/>
      <c r="AC899" s="188"/>
      <c r="AD899" s="187">
        <v>44519</v>
      </c>
    </row>
    <row r="900" spans="1:30">
      <c r="A900" s="318">
        <f>COUNTA($D$3:$D$900)</f>
        <v>898</v>
      </c>
      <c r="B900" s="318" t="s">
        <v>2174</v>
      </c>
      <c r="C900" s="318" t="s">
        <v>41</v>
      </c>
      <c r="D900" s="318" t="s">
        <v>45</v>
      </c>
      <c r="E900" s="318" t="s">
        <v>1789</v>
      </c>
      <c r="F900" s="316">
        <v>44512.464895833335</v>
      </c>
      <c r="G900" s="316"/>
      <c r="H900" s="316"/>
      <c r="I900" s="316" t="s">
        <v>4</v>
      </c>
      <c r="J900" s="318" t="s">
        <v>1668</v>
      </c>
      <c r="K900" s="318" t="s">
        <v>1287</v>
      </c>
      <c r="L900" s="14">
        <v>44519</v>
      </c>
      <c r="M900" t="s">
        <v>2219</v>
      </c>
      <c r="N900" s="174">
        <v>44519</v>
      </c>
      <c r="T900" s="195"/>
      <c r="U900" s="195"/>
      <c r="V900" s="300"/>
      <c r="W900" s="201"/>
      <c r="X900" s="201"/>
      <c r="Y900" s="200"/>
      <c r="Z900" s="207"/>
      <c r="AA900" s="206"/>
      <c r="AB900" s="207"/>
      <c r="AC900" s="188"/>
      <c r="AD900" s="187">
        <v>44519</v>
      </c>
    </row>
    <row r="901" spans="1:30">
      <c r="A901" s="318">
        <f>COUNTA($D$3:$D$901)</f>
        <v>899</v>
      </c>
      <c r="B901" s="318" t="s">
        <v>2197</v>
      </c>
      <c r="C901" s="318" t="s">
        <v>1077</v>
      </c>
      <c r="D901" s="318" t="s">
        <v>52</v>
      </c>
      <c r="E901" s="318" t="s">
        <v>1768</v>
      </c>
      <c r="F901" s="316">
        <v>44517.441932870373</v>
      </c>
      <c r="G901" s="316"/>
      <c r="H901" s="316"/>
      <c r="I901" s="316" t="s">
        <v>4</v>
      </c>
      <c r="J901" s="318" t="s">
        <v>2030</v>
      </c>
      <c r="K901" s="318" t="s">
        <v>287</v>
      </c>
      <c r="L901" s="14">
        <v>44519</v>
      </c>
      <c r="M901" t="s">
        <v>2218</v>
      </c>
      <c r="N901" s="174">
        <v>44519</v>
      </c>
      <c r="T901" s="195"/>
      <c r="U901" s="195"/>
      <c r="V901" s="300"/>
      <c r="W901" s="201"/>
      <c r="X901" s="201"/>
      <c r="Y901" s="200"/>
      <c r="Z901" s="207"/>
      <c r="AA901" s="206"/>
      <c r="AB901" s="207"/>
      <c r="AC901" s="188"/>
      <c r="AD901" s="187">
        <v>44519</v>
      </c>
    </row>
    <row r="902" spans="1:30">
      <c r="A902" s="318">
        <f>COUNTA($D$3:$D$902)</f>
        <v>900</v>
      </c>
      <c r="B902" s="318" t="s">
        <v>2105</v>
      </c>
      <c r="C902" s="318" t="s">
        <v>1162</v>
      </c>
      <c r="D902" s="318" t="s">
        <v>30</v>
      </c>
      <c r="E902" s="318" t="s">
        <v>2106</v>
      </c>
      <c r="F902" s="316">
        <v>44502</v>
      </c>
      <c r="G902" s="316"/>
      <c r="H902" s="316"/>
      <c r="I902" s="316" t="s">
        <v>2</v>
      </c>
      <c r="J902" s="318" t="s">
        <v>2061</v>
      </c>
      <c r="K902" s="318" t="s">
        <v>1294</v>
      </c>
      <c r="L902" s="14">
        <v>44519</v>
      </c>
      <c r="M902" t="s">
        <v>2229</v>
      </c>
      <c r="N902" s="174">
        <v>44589</v>
      </c>
      <c r="T902" s="195"/>
      <c r="U902" s="195"/>
      <c r="V902" s="300"/>
      <c r="W902" s="201"/>
      <c r="X902" s="201"/>
      <c r="Y902" s="200"/>
      <c r="Z902" s="207"/>
      <c r="AA902" s="206"/>
      <c r="AB902" s="207"/>
      <c r="AC902" s="188"/>
      <c r="AD902" s="187">
        <v>44589</v>
      </c>
    </row>
    <row r="903" spans="1:30">
      <c r="A903" s="318">
        <f>COUNTA($D$3:$D$903)</f>
        <v>901</v>
      </c>
      <c r="B903" s="318" t="s">
        <v>2206</v>
      </c>
      <c r="C903" s="318" t="s">
        <v>21</v>
      </c>
      <c r="D903" s="318" t="s">
        <v>30</v>
      </c>
      <c r="E903" s="318" t="s">
        <v>1252</v>
      </c>
      <c r="F903" s="316">
        <v>44517.679918981485</v>
      </c>
      <c r="G903" s="316"/>
      <c r="H903" s="316"/>
      <c r="I903" s="316" t="s">
        <v>3</v>
      </c>
      <c r="J903" s="318" t="s">
        <v>2207</v>
      </c>
      <c r="K903" s="318" t="s">
        <v>1274</v>
      </c>
      <c r="L903" s="14">
        <v>44519</v>
      </c>
      <c r="M903" t="s">
        <v>2231</v>
      </c>
      <c r="N903" s="174">
        <v>44519</v>
      </c>
      <c r="T903" s="195"/>
      <c r="U903" s="195"/>
      <c r="V903" s="300"/>
      <c r="W903" s="201"/>
      <c r="X903" s="201"/>
      <c r="Y903" s="200"/>
      <c r="Z903" s="207"/>
      <c r="AA903" s="206"/>
      <c r="AB903" s="207"/>
      <c r="AC903" s="188"/>
      <c r="AD903" s="187">
        <v>44519</v>
      </c>
    </row>
    <row r="904" spans="1:30">
      <c r="A904" s="318">
        <f>COUNTA($D$3:$D$904)</f>
        <v>902</v>
      </c>
      <c r="B904" s="318" t="s">
        <v>2172</v>
      </c>
      <c r="C904" s="318" t="s">
        <v>44</v>
      </c>
      <c r="D904" s="318" t="s">
        <v>30</v>
      </c>
      <c r="E904" s="318" t="s">
        <v>243</v>
      </c>
      <c r="F904" s="316">
        <v>44512.462631828697</v>
      </c>
      <c r="G904" s="316"/>
      <c r="H904" s="316"/>
      <c r="I904" s="316" t="s">
        <v>3</v>
      </c>
      <c r="J904" s="318" t="s">
        <v>2209</v>
      </c>
      <c r="K904" s="318" t="s">
        <v>1295</v>
      </c>
      <c r="L904" s="14">
        <v>44519</v>
      </c>
      <c r="M904" t="s">
        <v>2218</v>
      </c>
      <c r="N904" s="174">
        <v>44519</v>
      </c>
      <c r="T904" s="195"/>
      <c r="U904" s="195"/>
      <c r="V904" s="300"/>
      <c r="W904" s="201"/>
      <c r="X904" s="201"/>
      <c r="Y904" s="200"/>
      <c r="Z904" s="207"/>
      <c r="AA904" s="206"/>
      <c r="AB904" s="207"/>
      <c r="AC904" s="188"/>
      <c r="AD904" s="187">
        <v>44519</v>
      </c>
    </row>
    <row r="905" spans="1:30">
      <c r="A905" s="318">
        <f>COUNTA($D$3:$D$905)</f>
        <v>903</v>
      </c>
      <c r="B905" s="318" t="s">
        <v>2199</v>
      </c>
      <c r="C905" s="318" t="s">
        <v>37</v>
      </c>
      <c r="D905" s="318" t="s">
        <v>27</v>
      </c>
      <c r="E905" s="318" t="s">
        <v>1673</v>
      </c>
      <c r="F905" s="316">
        <v>44517.661064814813</v>
      </c>
      <c r="G905" s="316"/>
      <c r="H905" s="316"/>
      <c r="I905" s="316" t="s">
        <v>4</v>
      </c>
      <c r="J905" s="318" t="s">
        <v>1093</v>
      </c>
      <c r="K905" s="318" t="s">
        <v>1296</v>
      </c>
      <c r="L905" s="14">
        <v>44519</v>
      </c>
      <c r="M905" t="s">
        <v>2220</v>
      </c>
      <c r="N905" s="174">
        <v>44519</v>
      </c>
      <c r="T905" s="195"/>
      <c r="U905" s="195"/>
      <c r="V905" s="300"/>
      <c r="W905" s="201"/>
      <c r="X905" s="201"/>
      <c r="Y905" s="200"/>
      <c r="Z905" s="207"/>
      <c r="AA905" s="206"/>
      <c r="AB905" s="207"/>
      <c r="AC905" s="188"/>
      <c r="AD905" s="187">
        <v>44519</v>
      </c>
    </row>
    <row r="906" spans="1:30">
      <c r="A906" s="318">
        <f>COUNTA($D$3:$D$906)</f>
        <v>904</v>
      </c>
      <c r="B906" s="318" t="s">
        <v>1861</v>
      </c>
      <c r="C906" s="318" t="s">
        <v>37</v>
      </c>
      <c r="D906" s="318" t="s">
        <v>27</v>
      </c>
      <c r="E906" s="318" t="s">
        <v>1862</v>
      </c>
      <c r="F906" s="316">
        <v>44432</v>
      </c>
      <c r="G906" s="316"/>
      <c r="H906" s="316"/>
      <c r="I906" s="316" t="s">
        <v>4</v>
      </c>
      <c r="J906" s="318" t="s">
        <v>1093</v>
      </c>
      <c r="K906" s="318" t="s">
        <v>1287</v>
      </c>
      <c r="L906" s="14">
        <v>44519</v>
      </c>
      <c r="M906" t="s">
        <v>2214</v>
      </c>
      <c r="N906" s="174">
        <v>44519</v>
      </c>
      <c r="T906" s="195"/>
      <c r="U906" s="195"/>
      <c r="V906" s="300"/>
      <c r="W906" s="201"/>
      <c r="X906" s="201"/>
      <c r="Y906" s="200"/>
      <c r="Z906" s="207"/>
      <c r="AA906" s="206"/>
      <c r="AB906" s="207"/>
      <c r="AC906" s="188"/>
      <c r="AD906" s="187">
        <v>44519</v>
      </c>
    </row>
    <row r="907" spans="1:30">
      <c r="A907" s="318">
        <f>COUNTA($D$3:$D$907)</f>
        <v>905</v>
      </c>
      <c r="B907" s="318" t="s">
        <v>2190</v>
      </c>
      <c r="C907" s="318" t="s">
        <v>41</v>
      </c>
      <c r="D907" s="318" t="s">
        <v>1264</v>
      </c>
      <c r="E907" s="318" t="s">
        <v>1881</v>
      </c>
      <c r="F907" s="316">
        <v>44515</v>
      </c>
      <c r="G907" s="316"/>
      <c r="H907" s="316"/>
      <c r="I907" s="316" t="s">
        <v>4</v>
      </c>
      <c r="J907" s="318" t="s">
        <v>1093</v>
      </c>
      <c r="K907" s="318" t="s">
        <v>1287</v>
      </c>
      <c r="L907" s="14">
        <v>44519</v>
      </c>
      <c r="M907" t="s">
        <v>2216</v>
      </c>
      <c r="N907" s="174">
        <v>44519</v>
      </c>
      <c r="T907" s="195"/>
      <c r="U907" s="195"/>
      <c r="V907" s="300"/>
      <c r="W907" s="201"/>
      <c r="X907" s="201"/>
      <c r="Y907" s="200"/>
      <c r="Z907" s="207"/>
      <c r="AA907" s="206"/>
      <c r="AB907" s="207"/>
      <c r="AC907" s="188"/>
      <c r="AD907" s="187">
        <v>44519</v>
      </c>
    </row>
    <row r="908" spans="1:30">
      <c r="A908" s="318">
        <f>COUNTA($D$3:$D$908)</f>
        <v>906</v>
      </c>
      <c r="B908" s="318" t="s">
        <v>2189</v>
      </c>
      <c r="C908" s="318" t="s">
        <v>41</v>
      </c>
      <c r="D908" s="318" t="s">
        <v>1126</v>
      </c>
      <c r="E908" s="318" t="s">
        <v>1278</v>
      </c>
      <c r="F908" s="316">
        <v>44518</v>
      </c>
      <c r="G908" s="316"/>
      <c r="H908" s="316" t="s">
        <v>66</v>
      </c>
      <c r="I908" s="316" t="s">
        <v>4</v>
      </c>
      <c r="J908" s="318" t="s">
        <v>1668</v>
      </c>
      <c r="K908" s="318" t="s">
        <v>1287</v>
      </c>
      <c r="L908" s="14">
        <v>44519</v>
      </c>
      <c r="M908" t="s">
        <v>2216</v>
      </c>
      <c r="N908" s="174">
        <v>44519</v>
      </c>
      <c r="T908" s="195"/>
      <c r="U908" s="195"/>
      <c r="V908" s="300"/>
      <c r="W908" s="201"/>
      <c r="X908" s="201"/>
      <c r="Y908" s="200"/>
      <c r="Z908" s="207"/>
      <c r="AA908" s="206"/>
      <c r="AB908" s="207"/>
      <c r="AC908" s="188"/>
      <c r="AD908" s="187">
        <v>44519</v>
      </c>
    </row>
    <row r="909" spans="1:30">
      <c r="A909" s="318">
        <f>COUNTA($D$3:$D$909)</f>
        <v>907</v>
      </c>
      <c r="B909" s="318" t="s">
        <v>2192</v>
      </c>
      <c r="C909" s="318" t="s">
        <v>41</v>
      </c>
      <c r="D909" s="318" t="s">
        <v>1166</v>
      </c>
      <c r="E909" s="318" t="s">
        <v>2193</v>
      </c>
      <c r="F909" s="316">
        <v>44515</v>
      </c>
      <c r="G909" s="316"/>
      <c r="H909" s="316"/>
      <c r="I909" s="316" t="s">
        <v>4</v>
      </c>
      <c r="J909" s="318" t="s">
        <v>2194</v>
      </c>
      <c r="K909" s="318" t="s">
        <v>1295</v>
      </c>
      <c r="L909" s="14">
        <v>44519</v>
      </c>
      <c r="M909" t="s">
        <v>2230</v>
      </c>
      <c r="N909" s="174">
        <v>44519</v>
      </c>
      <c r="T909" s="195"/>
      <c r="U909" s="195"/>
      <c r="V909" s="300"/>
      <c r="W909" s="201"/>
      <c r="X909" s="201"/>
      <c r="Y909" s="200"/>
      <c r="Z909" s="207"/>
      <c r="AA909" s="206"/>
      <c r="AB909" s="207"/>
      <c r="AC909" s="188"/>
      <c r="AD909" s="187">
        <v>44519</v>
      </c>
    </row>
    <row r="910" spans="1:30">
      <c r="A910" s="318">
        <f>COUNTA($D$3:$D$910)</f>
        <v>908</v>
      </c>
      <c r="B910" s="318" t="s">
        <v>2183</v>
      </c>
      <c r="C910" s="318" t="s">
        <v>1279</v>
      </c>
      <c r="D910" s="318" t="s">
        <v>1103</v>
      </c>
      <c r="E910" s="318" t="s">
        <v>1281</v>
      </c>
      <c r="F910" s="316">
        <v>44512.583673669003</v>
      </c>
      <c r="G910" s="316"/>
      <c r="H910" s="316"/>
      <c r="I910" s="316" t="s">
        <v>3</v>
      </c>
      <c r="J910" s="318" t="s">
        <v>1666</v>
      </c>
      <c r="K910" s="318" t="s">
        <v>1296</v>
      </c>
      <c r="L910" s="14">
        <v>44519</v>
      </c>
      <c r="M910" t="s">
        <v>2221</v>
      </c>
      <c r="N910" s="174">
        <v>44519</v>
      </c>
      <c r="T910" s="195"/>
      <c r="U910" s="195"/>
      <c r="V910" s="300"/>
      <c r="W910" s="201"/>
      <c r="X910" s="201"/>
      <c r="Y910" s="200"/>
      <c r="Z910" s="207"/>
      <c r="AA910" s="206"/>
      <c r="AB910" s="207"/>
      <c r="AC910" s="188"/>
      <c r="AD910" s="187">
        <v>44519</v>
      </c>
    </row>
    <row r="911" spans="1:30">
      <c r="A911" s="318">
        <f>COUNTA($D$3:$D$911)</f>
        <v>909</v>
      </c>
      <c r="B911" s="318" t="s">
        <v>2182</v>
      </c>
      <c r="C911" s="318" t="s">
        <v>1270</v>
      </c>
      <c r="D911" s="318" t="s">
        <v>58</v>
      </c>
      <c r="E911" s="318" t="s">
        <v>1273</v>
      </c>
      <c r="F911" s="316">
        <v>44512.574113634299</v>
      </c>
      <c r="G911" s="316"/>
      <c r="H911" s="316"/>
      <c r="I911" s="316" t="s">
        <v>3</v>
      </c>
      <c r="J911" s="318" t="s">
        <v>1667</v>
      </c>
      <c r="K911" s="318" t="s">
        <v>1274</v>
      </c>
      <c r="L911" s="14">
        <v>44519</v>
      </c>
      <c r="M911" t="s">
        <v>2220</v>
      </c>
      <c r="N911" s="174">
        <v>44519</v>
      </c>
      <c r="T911" s="195"/>
      <c r="U911" s="195"/>
      <c r="V911" s="300"/>
      <c r="W911" s="201"/>
      <c r="X911" s="201"/>
      <c r="Y911" s="200"/>
      <c r="Z911" s="207"/>
      <c r="AA911" s="206"/>
      <c r="AB911" s="207"/>
      <c r="AC911" s="188"/>
      <c r="AD911" s="187">
        <v>44519</v>
      </c>
    </row>
    <row r="912" spans="1:30">
      <c r="A912" s="318">
        <f>COUNTA($D$3:$D$912)</f>
        <v>910</v>
      </c>
      <c r="B912" s="318" t="s">
        <v>2151</v>
      </c>
      <c r="C912" s="318" t="s">
        <v>21</v>
      </c>
      <c r="D912" s="318" t="s">
        <v>34</v>
      </c>
      <c r="E912" s="318" t="s">
        <v>1256</v>
      </c>
      <c r="F912" s="316">
        <v>44508.664664351854</v>
      </c>
      <c r="G912" s="316"/>
      <c r="H912" s="316"/>
      <c r="I912" s="316" t="s">
        <v>3</v>
      </c>
      <c r="J912" s="318" t="s">
        <v>1758</v>
      </c>
      <c r="K912" s="318" t="s">
        <v>1274</v>
      </c>
      <c r="L912" s="14">
        <v>44512</v>
      </c>
      <c r="M912" t="s">
        <v>2186</v>
      </c>
      <c r="N912" s="174">
        <v>44512</v>
      </c>
      <c r="T912" s="195"/>
      <c r="U912" s="195"/>
      <c r="V912" s="300"/>
      <c r="W912" s="201"/>
      <c r="X912" s="201"/>
      <c r="Y912" s="200"/>
      <c r="Z912" s="207"/>
      <c r="AA912" s="206"/>
      <c r="AB912" s="207"/>
      <c r="AC912" s="188"/>
      <c r="AD912" s="187">
        <v>44512</v>
      </c>
    </row>
    <row r="913" spans="1:30">
      <c r="A913" s="318">
        <f>COUNTA($D$3:$D$913)</f>
        <v>911</v>
      </c>
      <c r="B913" s="318" t="s">
        <v>2158</v>
      </c>
      <c r="C913" s="318" t="s">
        <v>41</v>
      </c>
      <c r="D913" s="318" t="s">
        <v>30</v>
      </c>
      <c r="E913" s="318" t="s">
        <v>1046</v>
      </c>
      <c r="F913" s="316">
        <v>44509.834687499999</v>
      </c>
      <c r="G913" s="316"/>
      <c r="H913" s="316"/>
      <c r="I913" s="316" t="s">
        <v>2</v>
      </c>
      <c r="J913" s="318" t="s">
        <v>1664</v>
      </c>
      <c r="K913" s="318" t="s">
        <v>1295</v>
      </c>
      <c r="L913" s="14">
        <v>44512</v>
      </c>
      <c r="M913" t="s">
        <v>2166</v>
      </c>
      <c r="N913" s="174">
        <v>44512</v>
      </c>
      <c r="T913" s="195"/>
      <c r="U913" s="195"/>
      <c r="V913" s="300"/>
      <c r="W913" s="201"/>
      <c r="X913" s="201"/>
      <c r="Y913" s="200"/>
      <c r="Z913" s="207"/>
      <c r="AA913" s="206"/>
      <c r="AB913" s="207"/>
      <c r="AC913" s="188"/>
      <c r="AD913" s="187">
        <v>44512</v>
      </c>
    </row>
    <row r="914" spans="1:30">
      <c r="A914" s="318">
        <f>COUNTA($D$3:$D$914)</f>
        <v>912</v>
      </c>
      <c r="B914" s="318" t="s">
        <v>2123</v>
      </c>
      <c r="C914" s="318" t="s">
        <v>41</v>
      </c>
      <c r="D914" s="318" t="s">
        <v>1124</v>
      </c>
      <c r="E914" s="318" t="s">
        <v>1185</v>
      </c>
      <c r="F914" s="316">
        <v>44504</v>
      </c>
      <c r="G914" s="316"/>
      <c r="H914" s="316" t="s">
        <v>66</v>
      </c>
      <c r="I914" s="316" t="s">
        <v>3</v>
      </c>
      <c r="J914" s="318" t="s">
        <v>1649</v>
      </c>
      <c r="K914" s="318" t="s">
        <v>1287</v>
      </c>
      <c r="L914" s="14">
        <v>44512</v>
      </c>
      <c r="M914" t="s">
        <v>2165</v>
      </c>
      <c r="N914" s="174">
        <v>44512</v>
      </c>
      <c r="T914" s="195"/>
      <c r="U914" s="195"/>
      <c r="V914" s="300"/>
      <c r="W914" s="201"/>
      <c r="X914" s="201"/>
      <c r="Y914" s="200"/>
      <c r="Z914" s="207"/>
      <c r="AA914" s="206"/>
      <c r="AB914" s="207"/>
      <c r="AC914" s="188"/>
      <c r="AD914" s="187">
        <v>44512</v>
      </c>
    </row>
    <row r="915" spans="1:30">
      <c r="A915" s="318">
        <f>COUNTA($D$3:$D$915)</f>
        <v>913</v>
      </c>
      <c r="B915" s="318" t="s">
        <v>2116</v>
      </c>
      <c r="C915" s="318" t="s">
        <v>41</v>
      </c>
      <c r="D915" s="318" t="s">
        <v>1124</v>
      </c>
      <c r="E915" s="318" t="s">
        <v>1138</v>
      </c>
      <c r="F915" s="316">
        <v>44504</v>
      </c>
      <c r="G915" s="316"/>
      <c r="H915" s="316" t="s">
        <v>66</v>
      </c>
      <c r="I915" s="316" t="s">
        <v>3</v>
      </c>
      <c r="J915" s="318" t="s">
        <v>2117</v>
      </c>
      <c r="K915" s="318" t="s">
        <v>287</v>
      </c>
      <c r="L915" s="14">
        <v>44512</v>
      </c>
      <c r="M915" t="s">
        <v>2166</v>
      </c>
      <c r="N915" s="174">
        <v>44621</v>
      </c>
      <c r="T915" s="195"/>
      <c r="U915" s="195"/>
      <c r="V915" s="300"/>
      <c r="W915" s="201"/>
      <c r="X915" s="201"/>
      <c r="Y915" s="200"/>
      <c r="Z915" s="207"/>
      <c r="AA915" s="206"/>
      <c r="AB915" s="207"/>
      <c r="AC915" s="188"/>
      <c r="AD915" s="187">
        <v>44621</v>
      </c>
    </row>
    <row r="916" spans="1:30">
      <c r="A916" s="318">
        <f>COUNTA($D$3:$D$916)</f>
        <v>914</v>
      </c>
      <c r="B916" s="318" t="s">
        <v>2107</v>
      </c>
      <c r="C916" s="318" t="s">
        <v>41</v>
      </c>
      <c r="D916" s="318" t="s">
        <v>32</v>
      </c>
      <c r="E916" s="318" t="s">
        <v>2108</v>
      </c>
      <c r="F916" s="316">
        <v>44502</v>
      </c>
      <c r="G916" s="316"/>
      <c r="H916" s="316"/>
      <c r="I916" s="316" t="s">
        <v>3</v>
      </c>
      <c r="J916" s="318" t="s">
        <v>1652</v>
      </c>
      <c r="K916" s="318" t="s">
        <v>125</v>
      </c>
      <c r="L916" s="14">
        <v>44512</v>
      </c>
      <c r="M916" t="s">
        <v>2164</v>
      </c>
      <c r="N916" s="174">
        <v>44512</v>
      </c>
      <c r="T916" s="195"/>
      <c r="U916" s="195"/>
      <c r="V916" s="300"/>
      <c r="W916" s="201"/>
      <c r="X916" s="201"/>
      <c r="Y916" s="200"/>
      <c r="Z916" s="207"/>
      <c r="AA916" s="206"/>
      <c r="AB916" s="207"/>
      <c r="AC916" s="188"/>
      <c r="AD916" s="187">
        <v>44512</v>
      </c>
    </row>
    <row r="917" spans="1:30">
      <c r="A917" s="318">
        <f>COUNTA($D$3:$D$917)</f>
        <v>915</v>
      </c>
      <c r="B917" s="318" t="s">
        <v>2150</v>
      </c>
      <c r="C917" s="318" t="s">
        <v>109</v>
      </c>
      <c r="D917" s="318" t="s">
        <v>16</v>
      </c>
      <c r="E917" s="318" t="s">
        <v>1130</v>
      </c>
      <c r="F917" s="316">
        <v>44508.664363425924</v>
      </c>
      <c r="G917" s="316"/>
      <c r="H917" s="316"/>
      <c r="I917" s="316" t="s">
        <v>3</v>
      </c>
      <c r="J917" s="318" t="s">
        <v>1666</v>
      </c>
      <c r="K917" s="318" t="s">
        <v>1296</v>
      </c>
      <c r="L917" s="14">
        <v>44512</v>
      </c>
      <c r="M917" t="s">
        <v>2168</v>
      </c>
      <c r="N917" s="174">
        <v>44512</v>
      </c>
      <c r="T917" s="195"/>
      <c r="U917" s="195"/>
      <c r="V917" s="300"/>
      <c r="W917" s="201"/>
      <c r="X917" s="201"/>
      <c r="Y917" s="200"/>
      <c r="Z917" s="207"/>
      <c r="AA917" s="206"/>
      <c r="AB917" s="207"/>
      <c r="AC917" s="188"/>
      <c r="AD917" s="187">
        <v>44512</v>
      </c>
    </row>
    <row r="918" spans="1:30">
      <c r="A918" s="318">
        <f>COUNTA($D$3:$D$918)</f>
        <v>916</v>
      </c>
      <c r="B918" s="318" t="s">
        <v>2109</v>
      </c>
      <c r="C918" s="318" t="s">
        <v>1105</v>
      </c>
      <c r="D918" s="318" t="s">
        <v>27</v>
      </c>
      <c r="E918" s="318" t="s">
        <v>2110</v>
      </c>
      <c r="F918" s="316">
        <v>44503.582164155101</v>
      </c>
      <c r="G918" s="316"/>
      <c r="H918" s="316"/>
      <c r="I918" s="316" t="s">
        <v>4</v>
      </c>
      <c r="J918" s="318" t="s">
        <v>1093</v>
      </c>
      <c r="K918" s="318" t="s">
        <v>1287</v>
      </c>
      <c r="L918" s="14">
        <v>44512</v>
      </c>
      <c r="M918" t="s">
        <v>2165</v>
      </c>
      <c r="N918" s="174">
        <v>44512</v>
      </c>
      <c r="T918" s="195"/>
      <c r="U918" s="195"/>
      <c r="V918" s="300"/>
      <c r="W918" s="201"/>
      <c r="X918" s="201"/>
      <c r="Y918" s="200"/>
      <c r="Z918" s="207"/>
      <c r="AA918" s="206"/>
      <c r="AB918" s="207"/>
      <c r="AC918" s="188"/>
      <c r="AD918" s="187">
        <v>44512</v>
      </c>
    </row>
    <row r="919" spans="1:30">
      <c r="A919" s="318">
        <f>COUNTA($D$3:$D$919)</f>
        <v>917</v>
      </c>
      <c r="B919" s="318" t="s">
        <v>2152</v>
      </c>
      <c r="C919" s="318" t="s">
        <v>21</v>
      </c>
      <c r="D919" s="318" t="s">
        <v>25</v>
      </c>
      <c r="E919" s="318" t="s">
        <v>298</v>
      </c>
      <c r="F919" s="316">
        <v>44508.667673611111</v>
      </c>
      <c r="G919" s="316"/>
      <c r="H919" s="316"/>
      <c r="I919" s="316" t="s">
        <v>2</v>
      </c>
      <c r="J919" s="318" t="s">
        <v>2153</v>
      </c>
      <c r="K919" s="318" t="s">
        <v>1274</v>
      </c>
      <c r="L919" s="14">
        <v>44512</v>
      </c>
      <c r="M919" t="s">
        <v>2187</v>
      </c>
      <c r="N919" s="174">
        <v>44512</v>
      </c>
      <c r="T919" s="195"/>
      <c r="U919" s="195"/>
      <c r="V919" s="300"/>
      <c r="W919" s="201"/>
      <c r="X919" s="201"/>
      <c r="Y919" s="200"/>
      <c r="Z919" s="207"/>
      <c r="AA919" s="206"/>
      <c r="AB919" s="207"/>
      <c r="AC919" s="188"/>
      <c r="AD919" s="187">
        <v>44512</v>
      </c>
    </row>
    <row r="920" spans="1:30">
      <c r="A920" s="318">
        <f>COUNTA($D$3:$D$920)</f>
        <v>918</v>
      </c>
      <c r="B920" s="318" t="s">
        <v>2104</v>
      </c>
      <c r="C920" s="318" t="s">
        <v>41</v>
      </c>
      <c r="D920" s="318" t="s">
        <v>16</v>
      </c>
      <c r="E920" s="318" t="s">
        <v>1161</v>
      </c>
      <c r="F920" s="316">
        <v>44501</v>
      </c>
      <c r="G920" s="316"/>
      <c r="H920" s="316" t="s">
        <v>66</v>
      </c>
      <c r="I920" s="316" t="s">
        <v>2</v>
      </c>
      <c r="J920" s="318" t="s">
        <v>357</v>
      </c>
      <c r="K920" s="318" t="s">
        <v>1274</v>
      </c>
      <c r="L920" s="14">
        <v>44512</v>
      </c>
      <c r="M920" t="s">
        <v>2186</v>
      </c>
      <c r="N920" s="174">
        <v>44512</v>
      </c>
      <c r="T920" s="195"/>
      <c r="U920" s="195"/>
      <c r="V920" s="300"/>
      <c r="W920" s="201"/>
      <c r="X920" s="201"/>
      <c r="Y920" s="200"/>
      <c r="Z920" s="207"/>
      <c r="AA920" s="206"/>
      <c r="AB920" s="207"/>
      <c r="AC920" s="188"/>
      <c r="AD920" s="187">
        <v>44512</v>
      </c>
    </row>
    <row r="921" spans="1:30">
      <c r="A921" s="318">
        <f>COUNTA($D$3:$D$921)</f>
        <v>919</v>
      </c>
      <c r="B921" s="318" t="s">
        <v>2147</v>
      </c>
      <c r="C921" s="318" t="s">
        <v>1794</v>
      </c>
      <c r="D921" s="318" t="s">
        <v>1121</v>
      </c>
      <c r="E921" s="318" t="s">
        <v>2148</v>
      </c>
      <c r="F921" s="316">
        <v>44508.659131944441</v>
      </c>
      <c r="G921" s="316"/>
      <c r="H921" s="316"/>
      <c r="I921" s="316" t="s">
        <v>3</v>
      </c>
      <c r="J921" s="318" t="s">
        <v>2149</v>
      </c>
      <c r="K921" s="318" t="s">
        <v>1295</v>
      </c>
      <c r="L921" s="14">
        <v>44512</v>
      </c>
      <c r="M921" t="s">
        <v>2167</v>
      </c>
      <c r="N921" s="174">
        <v>44512</v>
      </c>
      <c r="T921" s="195"/>
      <c r="U921" s="195"/>
      <c r="V921" s="300"/>
      <c r="W921" s="201"/>
      <c r="X921" s="201"/>
      <c r="Y921" s="200"/>
      <c r="Z921" s="207"/>
      <c r="AA921" s="206"/>
      <c r="AB921" s="207"/>
      <c r="AC921" s="188"/>
      <c r="AD921" s="187">
        <v>44512</v>
      </c>
    </row>
    <row r="922" spans="1:30">
      <c r="A922" s="318">
        <f>COUNTA($D$3:$D$922)</f>
        <v>920</v>
      </c>
      <c r="B922" s="318" t="s">
        <v>2103</v>
      </c>
      <c r="C922" s="318" t="s">
        <v>41</v>
      </c>
      <c r="D922" s="318" t="s">
        <v>104</v>
      </c>
      <c r="E922" s="318" t="s">
        <v>293</v>
      </c>
      <c r="F922" s="316">
        <v>44501.517638888887</v>
      </c>
      <c r="G922" s="316"/>
      <c r="H922" s="316"/>
      <c r="I922" s="316" t="s">
        <v>3</v>
      </c>
      <c r="J922" s="318" t="s">
        <v>1485</v>
      </c>
      <c r="K922" s="318" t="s">
        <v>287</v>
      </c>
      <c r="L922" s="14">
        <v>44507</v>
      </c>
      <c r="M922" t="s">
        <v>1255</v>
      </c>
      <c r="N922" s="174">
        <v>44621</v>
      </c>
      <c r="T922" s="195"/>
      <c r="U922" s="195"/>
      <c r="V922" s="300"/>
      <c r="W922" s="201"/>
      <c r="X922" s="201"/>
      <c r="Y922" s="200"/>
      <c r="Z922" s="207"/>
      <c r="AA922" s="206"/>
      <c r="AB922" s="207"/>
      <c r="AC922" s="188"/>
      <c r="AD922" s="187">
        <v>44621</v>
      </c>
    </row>
    <row r="923" spans="1:30">
      <c r="A923" s="318">
        <f>COUNTA($D$3:$D$923)</f>
        <v>921</v>
      </c>
      <c r="B923" s="318" t="s">
        <v>2096</v>
      </c>
      <c r="C923" s="318" t="s">
        <v>301</v>
      </c>
      <c r="D923" s="318" t="s">
        <v>64</v>
      </c>
      <c r="E923" s="318" t="s">
        <v>1837</v>
      </c>
      <c r="F923" s="316">
        <v>44501.487083333333</v>
      </c>
      <c r="G923" s="316"/>
      <c r="H923" s="316"/>
      <c r="I923" s="316" t="s">
        <v>3</v>
      </c>
      <c r="J923" s="318" t="s">
        <v>1666</v>
      </c>
      <c r="K923" s="318" t="s">
        <v>54</v>
      </c>
      <c r="L923" s="14">
        <v>44507</v>
      </c>
      <c r="M923" t="s">
        <v>2137</v>
      </c>
      <c r="N923" s="174">
        <v>44507</v>
      </c>
      <c r="T923" s="195"/>
      <c r="U923" s="195"/>
      <c r="V923" s="300"/>
      <c r="W923" s="201"/>
      <c r="X923" s="201"/>
      <c r="Y923" s="200"/>
      <c r="Z923" s="207"/>
      <c r="AA923" s="206"/>
      <c r="AB923" s="207"/>
      <c r="AC923" s="188"/>
      <c r="AD923" s="187">
        <v>44507</v>
      </c>
    </row>
    <row r="924" spans="1:30">
      <c r="A924" s="318">
        <f>COUNTA($D$3:$D$924)</f>
        <v>922</v>
      </c>
      <c r="B924" s="318" t="s">
        <v>2112</v>
      </c>
      <c r="C924" s="318" t="s">
        <v>44</v>
      </c>
      <c r="D924" s="318" t="s">
        <v>34</v>
      </c>
      <c r="E924" s="318" t="s">
        <v>88</v>
      </c>
      <c r="F924" s="316">
        <v>44503.70517361111</v>
      </c>
      <c r="G924" s="316"/>
      <c r="H924" s="316"/>
      <c r="I924" s="316" t="s">
        <v>3</v>
      </c>
      <c r="J924" s="318" t="s">
        <v>1485</v>
      </c>
      <c r="K924" s="318" t="s">
        <v>20</v>
      </c>
      <c r="L924" s="14">
        <v>44507</v>
      </c>
      <c r="M924" t="s">
        <v>2137</v>
      </c>
      <c r="N924" s="174">
        <v>44507</v>
      </c>
      <c r="T924" s="195"/>
      <c r="U924" s="195"/>
      <c r="V924" s="300"/>
      <c r="W924" s="201"/>
      <c r="X924" s="201"/>
      <c r="Y924" s="200"/>
      <c r="Z924" s="207"/>
      <c r="AA924" s="206"/>
      <c r="AB924" s="207"/>
      <c r="AC924" s="188"/>
      <c r="AD924" s="187">
        <v>44507</v>
      </c>
    </row>
    <row r="925" spans="1:30">
      <c r="A925" s="318">
        <f>COUNTA($D$3:$D$925)</f>
        <v>923</v>
      </c>
      <c r="B925" s="318" t="s">
        <v>2128</v>
      </c>
      <c r="C925" s="318" t="s">
        <v>41</v>
      </c>
      <c r="D925" s="318" t="s">
        <v>2129</v>
      </c>
      <c r="E925" s="318" t="s">
        <v>2130</v>
      </c>
      <c r="F925" s="316">
        <v>44504.760340879599</v>
      </c>
      <c r="G925" s="316"/>
      <c r="H925" s="316"/>
      <c r="I925" s="316" t="s">
        <v>3</v>
      </c>
      <c r="J925" s="318" t="s">
        <v>1649</v>
      </c>
      <c r="K925" s="318" t="s">
        <v>1089</v>
      </c>
      <c r="L925" s="14">
        <v>44507</v>
      </c>
      <c r="M925" t="s">
        <v>2141</v>
      </c>
      <c r="N925" s="174">
        <v>44507</v>
      </c>
      <c r="T925" s="195"/>
      <c r="U925" s="195"/>
      <c r="V925" s="300"/>
      <c r="W925" s="201"/>
      <c r="X925" s="201"/>
      <c r="Y925" s="200"/>
      <c r="Z925" s="207"/>
      <c r="AA925" s="206"/>
      <c r="AB925" s="207"/>
      <c r="AC925" s="188"/>
      <c r="AD925" s="187">
        <v>44507</v>
      </c>
    </row>
    <row r="926" spans="1:30">
      <c r="A926" s="318">
        <f>COUNTA($D$3:$D$926)</f>
        <v>924</v>
      </c>
      <c r="B926" s="318" t="s">
        <v>2126</v>
      </c>
      <c r="C926" s="318" t="s">
        <v>41</v>
      </c>
      <c r="D926" s="318" t="s">
        <v>30</v>
      </c>
      <c r="E926" s="318" t="s">
        <v>1640</v>
      </c>
      <c r="F926" s="316">
        <v>44504</v>
      </c>
      <c r="G926" s="316"/>
      <c r="H926" s="316"/>
      <c r="I926" s="316" t="s">
        <v>2</v>
      </c>
      <c r="J926" s="318" t="s">
        <v>1664</v>
      </c>
      <c r="K926" s="318" t="s">
        <v>2143</v>
      </c>
      <c r="L926" s="14">
        <v>44507</v>
      </c>
      <c r="N926" s="174">
        <v>44507</v>
      </c>
      <c r="T926" s="195"/>
      <c r="U926" s="195"/>
      <c r="V926" s="300"/>
      <c r="W926" s="201"/>
      <c r="X926" s="201"/>
      <c r="Y926" s="200"/>
      <c r="Z926" s="207"/>
      <c r="AA926" s="206"/>
      <c r="AB926" s="207"/>
      <c r="AC926" s="188"/>
      <c r="AD926" s="187">
        <v>44507</v>
      </c>
    </row>
    <row r="927" spans="1:30">
      <c r="A927" s="318">
        <f>COUNTA($D$3:$D$927)</f>
        <v>925</v>
      </c>
      <c r="B927" s="318" t="s">
        <v>2065</v>
      </c>
      <c r="C927" s="318" t="s">
        <v>40</v>
      </c>
      <c r="D927" s="318" t="s">
        <v>49</v>
      </c>
      <c r="E927" s="318" t="s">
        <v>1137</v>
      </c>
      <c r="F927" s="316">
        <v>44496</v>
      </c>
      <c r="G927" s="316"/>
      <c r="H927" s="316">
        <v>44497</v>
      </c>
      <c r="I927" s="316" t="s">
        <v>2</v>
      </c>
      <c r="J927" s="318" t="s">
        <v>1854</v>
      </c>
      <c r="K927" s="318" t="s">
        <v>24</v>
      </c>
      <c r="L927" s="14">
        <v>44507</v>
      </c>
      <c r="M927" t="s">
        <v>2139</v>
      </c>
      <c r="N927" s="174">
        <v>44507</v>
      </c>
      <c r="T927" s="195"/>
      <c r="U927" s="195"/>
      <c r="V927" s="300"/>
      <c r="W927" s="201"/>
      <c r="X927" s="201"/>
      <c r="Y927" s="200"/>
      <c r="Z927" s="207"/>
      <c r="AA927" s="206"/>
      <c r="AB927" s="207"/>
      <c r="AC927" s="188"/>
      <c r="AD927" s="187">
        <v>44507</v>
      </c>
    </row>
    <row r="928" spans="1:30">
      <c r="A928" s="318">
        <f>COUNTA($D$3:$D$928)</f>
        <v>926</v>
      </c>
      <c r="B928" s="318" t="s">
        <v>2060</v>
      </c>
      <c r="C928" s="318" t="s">
        <v>40</v>
      </c>
      <c r="D928" s="318" t="s">
        <v>49</v>
      </c>
      <c r="E928" s="318" t="s">
        <v>1136</v>
      </c>
      <c r="F928" s="316">
        <v>44496.430324074077</v>
      </c>
      <c r="G928" s="316"/>
      <c r="H928" s="316"/>
      <c r="I928" s="316" t="s">
        <v>2</v>
      </c>
      <c r="J928" s="318" t="s">
        <v>2061</v>
      </c>
      <c r="K928" s="318" t="s">
        <v>20</v>
      </c>
      <c r="L928" s="14">
        <v>44507</v>
      </c>
      <c r="M928" t="s">
        <v>2138</v>
      </c>
      <c r="N928" s="174">
        <v>44507</v>
      </c>
      <c r="T928" s="195"/>
      <c r="U928" s="195"/>
      <c r="V928" s="300"/>
      <c r="W928" s="201"/>
      <c r="X928" s="201"/>
      <c r="Y928" s="200"/>
      <c r="Z928" s="207"/>
      <c r="AA928" s="206"/>
      <c r="AB928" s="207"/>
      <c r="AC928" s="188"/>
      <c r="AD928" s="187">
        <v>44507</v>
      </c>
    </row>
    <row r="929" spans="1:30">
      <c r="A929" s="318">
        <f>COUNTA($D$3:$D$929)</f>
        <v>927</v>
      </c>
      <c r="B929" s="318" t="s">
        <v>2124</v>
      </c>
      <c r="C929" s="318" t="s">
        <v>41</v>
      </c>
      <c r="D929" s="318" t="s">
        <v>1181</v>
      </c>
      <c r="E929" s="318" t="s">
        <v>1182</v>
      </c>
      <c r="F929" s="316">
        <v>44504.559322141198</v>
      </c>
      <c r="G929" s="316"/>
      <c r="H929" s="316"/>
      <c r="I929" s="316" t="s">
        <v>4</v>
      </c>
      <c r="J929" s="318" t="s">
        <v>1668</v>
      </c>
      <c r="K929" s="318" t="s">
        <v>1089</v>
      </c>
      <c r="L929" s="14">
        <v>44507</v>
      </c>
      <c r="M929" t="s">
        <v>2141</v>
      </c>
      <c r="N929" s="174">
        <v>44507</v>
      </c>
      <c r="T929" s="195"/>
      <c r="U929" s="195"/>
      <c r="V929" s="300"/>
      <c r="W929" s="201"/>
      <c r="X929" s="201"/>
      <c r="Y929" s="200"/>
      <c r="Z929" s="207"/>
      <c r="AA929" s="206"/>
      <c r="AB929" s="207"/>
      <c r="AC929" s="188"/>
      <c r="AD929" s="187">
        <v>44507</v>
      </c>
    </row>
    <row r="930" spans="1:30">
      <c r="A930" s="318">
        <f>COUNTA($D$3:$D$930)</f>
        <v>928</v>
      </c>
      <c r="B930" s="318" t="s">
        <v>2118</v>
      </c>
      <c r="C930" s="318" t="s">
        <v>41</v>
      </c>
      <c r="D930" s="318" t="s">
        <v>1181</v>
      </c>
      <c r="E930" s="318" t="s">
        <v>1284</v>
      </c>
      <c r="F930" s="316">
        <v>44504.533378252301</v>
      </c>
      <c r="G930" s="316"/>
      <c r="H930" s="316"/>
      <c r="I930" s="316" t="s">
        <v>4</v>
      </c>
      <c r="J930" s="318" t="s">
        <v>1093</v>
      </c>
      <c r="K930" s="318" t="s">
        <v>24</v>
      </c>
      <c r="L930" s="14">
        <v>44507</v>
      </c>
      <c r="M930" t="s">
        <v>2141</v>
      </c>
      <c r="N930" s="174">
        <v>44507</v>
      </c>
      <c r="T930" s="195"/>
      <c r="U930" s="195"/>
      <c r="V930" s="300"/>
      <c r="W930" s="201"/>
      <c r="X930" s="201"/>
      <c r="Y930" s="200"/>
      <c r="Z930" s="207"/>
      <c r="AA930" s="206"/>
      <c r="AB930" s="207"/>
      <c r="AC930" s="188"/>
      <c r="AD930" s="187">
        <v>44507</v>
      </c>
    </row>
    <row r="931" spans="1:30">
      <c r="A931" s="318">
        <f>COUNTA($D$3:$D$931)</f>
        <v>929</v>
      </c>
      <c r="B931" s="318" t="s">
        <v>2111</v>
      </c>
      <c r="C931" s="318" t="s">
        <v>44</v>
      </c>
      <c r="D931" s="318" t="s">
        <v>51</v>
      </c>
      <c r="E931" s="318" t="s">
        <v>259</v>
      </c>
      <c r="F931" s="316">
        <v>44503.702106481483</v>
      </c>
      <c r="G931" s="316"/>
      <c r="H931" s="316"/>
      <c r="I931" s="316" t="s">
        <v>3</v>
      </c>
      <c r="J931" s="318" t="s">
        <v>1641</v>
      </c>
      <c r="K931" s="318" t="s">
        <v>20</v>
      </c>
      <c r="L931" s="14">
        <v>44507</v>
      </c>
      <c r="M931" t="s">
        <v>2137</v>
      </c>
      <c r="N931" s="174">
        <v>44507</v>
      </c>
      <c r="T931" s="195"/>
      <c r="U931" s="195"/>
      <c r="V931" s="300"/>
      <c r="W931" s="201"/>
      <c r="X931" s="201"/>
      <c r="Y931" s="200"/>
      <c r="Z931" s="207"/>
      <c r="AA931" s="206"/>
      <c r="AB931" s="207"/>
      <c r="AC931" s="188"/>
      <c r="AD931" s="187">
        <v>44507</v>
      </c>
    </row>
    <row r="932" spans="1:30">
      <c r="A932" s="318">
        <f>COUNTA($D$3:$D$932)</f>
        <v>930</v>
      </c>
      <c r="B932" s="318" t="s">
        <v>2027</v>
      </c>
      <c r="C932" s="318" t="s">
        <v>2028</v>
      </c>
      <c r="D932" s="318" t="s">
        <v>52</v>
      </c>
      <c r="E932" s="318" t="s">
        <v>2029</v>
      </c>
      <c r="F932" s="316">
        <v>44484</v>
      </c>
      <c r="G932" s="316"/>
      <c r="H932" s="316">
        <v>44487</v>
      </c>
      <c r="I932" s="316" t="s">
        <v>4</v>
      </c>
      <c r="J932" s="318" t="s">
        <v>2030</v>
      </c>
      <c r="K932" s="318" t="s">
        <v>24</v>
      </c>
      <c r="L932" s="14">
        <v>44507</v>
      </c>
      <c r="M932" t="s">
        <v>2134</v>
      </c>
      <c r="N932" s="174">
        <v>44507</v>
      </c>
      <c r="T932" s="195"/>
      <c r="U932" s="195"/>
      <c r="V932" s="300"/>
      <c r="W932" s="201"/>
      <c r="X932" s="201"/>
      <c r="Y932" s="200"/>
      <c r="Z932" s="207"/>
      <c r="AA932" s="206"/>
      <c r="AB932" s="207"/>
      <c r="AC932" s="188"/>
      <c r="AD932" s="187">
        <v>44507</v>
      </c>
    </row>
    <row r="933" spans="1:30">
      <c r="A933" s="318">
        <f>COUNTA($D$3:$D$933)</f>
        <v>931</v>
      </c>
      <c r="B933" s="318" t="s">
        <v>2113</v>
      </c>
      <c r="C933" s="318" t="s">
        <v>41</v>
      </c>
      <c r="D933" s="318" t="s">
        <v>2052</v>
      </c>
      <c r="E933" s="318" t="s">
        <v>2114</v>
      </c>
      <c r="F933" s="316">
        <v>44504.525810185187</v>
      </c>
      <c r="G933" s="316"/>
      <c r="H933" s="316"/>
      <c r="I933" s="316" t="s">
        <v>3</v>
      </c>
      <c r="J933" s="318" t="s">
        <v>1649</v>
      </c>
      <c r="K933" s="318" t="s">
        <v>287</v>
      </c>
      <c r="L933" s="14">
        <v>44507</v>
      </c>
      <c r="M933" t="s">
        <v>2137</v>
      </c>
      <c r="N933" s="174">
        <v>44507</v>
      </c>
      <c r="T933" s="195"/>
      <c r="U933" s="195"/>
      <c r="V933" s="300"/>
      <c r="W933" s="201"/>
      <c r="X933" s="201"/>
      <c r="Y933" s="200"/>
      <c r="Z933" s="207"/>
      <c r="AA933" s="206"/>
      <c r="AB933" s="207"/>
      <c r="AC933" s="188"/>
      <c r="AD933" s="187">
        <v>44507</v>
      </c>
    </row>
    <row r="934" spans="1:30">
      <c r="A934" s="318">
        <f>COUNTA($D$3:$D$934)</f>
        <v>932</v>
      </c>
      <c r="B934" s="318" t="s">
        <v>2097</v>
      </c>
      <c r="C934" s="318" t="s">
        <v>301</v>
      </c>
      <c r="D934" s="318" t="s">
        <v>38</v>
      </c>
      <c r="E934" s="318" t="s">
        <v>2098</v>
      </c>
      <c r="F934" s="316">
        <v>44501</v>
      </c>
      <c r="G934" s="316"/>
      <c r="H934" s="316"/>
      <c r="I934" s="316" t="s">
        <v>2</v>
      </c>
      <c r="J934" s="318" t="s">
        <v>2099</v>
      </c>
      <c r="K934" s="318" t="s">
        <v>1102</v>
      </c>
      <c r="L934" s="14">
        <v>44507</v>
      </c>
      <c r="N934" s="174">
        <v>44507</v>
      </c>
      <c r="T934" s="195"/>
      <c r="U934" s="195"/>
      <c r="V934" s="300"/>
      <c r="W934" s="201"/>
      <c r="X934" s="201"/>
      <c r="Y934" s="200"/>
      <c r="Z934" s="207"/>
      <c r="AA934" s="206"/>
      <c r="AB934" s="207"/>
      <c r="AC934" s="188"/>
      <c r="AD934" s="187">
        <v>44507</v>
      </c>
    </row>
    <row r="935" spans="1:30">
      <c r="A935" s="318">
        <f>COUNTA($D$3:$D$935)</f>
        <v>933</v>
      </c>
      <c r="B935" s="318" t="s">
        <v>2066</v>
      </c>
      <c r="C935" s="318" t="s">
        <v>1114</v>
      </c>
      <c r="D935" s="318" t="s">
        <v>27</v>
      </c>
      <c r="E935" s="318" t="s">
        <v>2067</v>
      </c>
      <c r="F935" s="316">
        <v>44496.724680972198</v>
      </c>
      <c r="G935" s="316"/>
      <c r="H935" s="316"/>
      <c r="I935" s="316" t="s">
        <v>4</v>
      </c>
      <c r="J935" s="318" t="s">
        <v>1668</v>
      </c>
      <c r="K935" s="318" t="s">
        <v>125</v>
      </c>
      <c r="L935" s="14">
        <v>44507</v>
      </c>
      <c r="M935" t="s">
        <v>2140</v>
      </c>
      <c r="N935" s="174">
        <v>44507</v>
      </c>
      <c r="T935" s="195"/>
      <c r="U935" s="195"/>
      <c r="V935" s="300"/>
      <c r="W935" s="201"/>
      <c r="X935" s="201"/>
      <c r="Y935" s="200"/>
      <c r="Z935" s="207"/>
      <c r="AA935" s="206"/>
      <c r="AB935" s="207"/>
      <c r="AC935" s="188"/>
      <c r="AD935" s="187">
        <v>44507</v>
      </c>
    </row>
    <row r="936" spans="1:30">
      <c r="A936" s="318">
        <f>COUNTA($D$3:$D$936)</f>
        <v>934</v>
      </c>
      <c r="B936" s="318" t="s">
        <v>2064</v>
      </c>
      <c r="C936" s="318" t="s">
        <v>1674</v>
      </c>
      <c r="D936" s="318" t="s">
        <v>36</v>
      </c>
      <c r="E936" s="318" t="s">
        <v>1675</v>
      </c>
      <c r="F936" s="316">
        <v>44496.5378042593</v>
      </c>
      <c r="G936" s="316"/>
      <c r="H936" s="316"/>
      <c r="I936" s="316" t="s">
        <v>3</v>
      </c>
      <c r="J936" s="318" t="s">
        <v>1723</v>
      </c>
      <c r="K936" s="318" t="s">
        <v>33</v>
      </c>
      <c r="L936" s="14">
        <v>44507</v>
      </c>
      <c r="M936" t="s">
        <v>2137</v>
      </c>
      <c r="N936" s="174">
        <v>44507</v>
      </c>
      <c r="T936" s="195"/>
      <c r="U936" s="195"/>
      <c r="V936" s="300"/>
      <c r="W936" s="201"/>
      <c r="X936" s="201"/>
      <c r="Y936" s="200"/>
      <c r="Z936" s="207"/>
      <c r="AA936" s="206"/>
      <c r="AB936" s="207"/>
      <c r="AC936" s="188"/>
      <c r="AD936" s="187">
        <v>44507</v>
      </c>
    </row>
    <row r="937" spans="1:30">
      <c r="A937" s="318">
        <f>COUNTA($D$3:$D$937)</f>
        <v>935</v>
      </c>
      <c r="B937" s="318" t="s">
        <v>2058</v>
      </c>
      <c r="C937" s="318" t="s">
        <v>21</v>
      </c>
      <c r="D937" s="318" t="s">
        <v>34</v>
      </c>
      <c r="E937" s="318" t="s">
        <v>2059</v>
      </c>
      <c r="F937" s="316">
        <v>44495.4818391667</v>
      </c>
      <c r="G937" s="316"/>
      <c r="H937" s="316"/>
      <c r="I937" s="316" t="s">
        <v>3</v>
      </c>
      <c r="J937" s="318" t="s">
        <v>2133</v>
      </c>
      <c r="K937" s="318" t="s">
        <v>33</v>
      </c>
      <c r="L937" s="14">
        <v>44507</v>
      </c>
      <c r="M937" t="s">
        <v>2137</v>
      </c>
      <c r="N937" s="174">
        <v>44507</v>
      </c>
      <c r="T937" s="195"/>
      <c r="U937" s="195"/>
      <c r="V937" s="300"/>
      <c r="W937" s="201"/>
      <c r="X937" s="201"/>
      <c r="Y937" s="200"/>
      <c r="Z937" s="207"/>
      <c r="AA937" s="206"/>
      <c r="AB937" s="207"/>
      <c r="AC937" s="188"/>
      <c r="AD937" s="187">
        <v>44507</v>
      </c>
    </row>
    <row r="938" spans="1:30">
      <c r="A938" s="318">
        <f>COUNTA($D$3:$D$938)</f>
        <v>936</v>
      </c>
      <c r="B938" s="318" t="s">
        <v>2071</v>
      </c>
      <c r="C938" s="318" t="s">
        <v>41</v>
      </c>
      <c r="D938" s="318" t="s">
        <v>34</v>
      </c>
      <c r="E938" s="318" t="s">
        <v>1923</v>
      </c>
      <c r="F938" s="316">
        <v>44495.487627314818</v>
      </c>
      <c r="G938" s="316"/>
      <c r="H938" s="316"/>
      <c r="I938" s="316" t="s">
        <v>3</v>
      </c>
      <c r="J938" s="318" t="s">
        <v>1778</v>
      </c>
      <c r="K938" s="318" t="s">
        <v>1089</v>
      </c>
      <c r="L938" s="14">
        <v>44498</v>
      </c>
      <c r="M938" t="s">
        <v>2093</v>
      </c>
      <c r="N938" s="174">
        <v>44498</v>
      </c>
      <c r="T938" s="195"/>
      <c r="U938" s="195"/>
      <c r="V938" s="300"/>
      <c r="W938" s="201"/>
      <c r="X938" s="201"/>
      <c r="Y938" s="200"/>
      <c r="Z938" s="207"/>
      <c r="AA938" s="206"/>
      <c r="AB938" s="207"/>
      <c r="AC938" s="188"/>
      <c r="AD938" s="187">
        <v>44498</v>
      </c>
    </row>
    <row r="939" spans="1:30">
      <c r="A939" s="318">
        <f>COUNTA($D$3:$D$939)</f>
        <v>937</v>
      </c>
      <c r="B939" s="318" t="s">
        <v>2072</v>
      </c>
      <c r="C939" s="318" t="s">
        <v>44</v>
      </c>
      <c r="D939" s="318" t="s">
        <v>45</v>
      </c>
      <c r="E939" s="318" t="s">
        <v>176</v>
      </c>
      <c r="F939" s="316">
        <v>44495.743750000001</v>
      </c>
      <c r="G939" s="316"/>
      <c r="H939" s="316"/>
      <c r="I939" s="316" t="s">
        <v>4</v>
      </c>
      <c r="J939" s="318" t="s">
        <v>1639</v>
      </c>
      <c r="K939" s="318" t="s">
        <v>125</v>
      </c>
      <c r="L939" s="14">
        <v>44498</v>
      </c>
      <c r="M939" t="s">
        <v>2093</v>
      </c>
      <c r="N939" s="174">
        <v>44498</v>
      </c>
      <c r="T939" s="195"/>
      <c r="U939" s="195"/>
      <c r="V939" s="300"/>
      <c r="W939" s="201"/>
      <c r="X939" s="201"/>
      <c r="Y939" s="200"/>
      <c r="Z939" s="207"/>
      <c r="AA939" s="206"/>
      <c r="AB939" s="207"/>
      <c r="AC939" s="188"/>
      <c r="AD939" s="187">
        <v>44498</v>
      </c>
    </row>
    <row r="940" spans="1:30">
      <c r="A940" s="318">
        <f>COUNTA($D$3:$D$940)</f>
        <v>938</v>
      </c>
      <c r="B940" s="318" t="s">
        <v>2068</v>
      </c>
      <c r="C940" s="318" t="s">
        <v>40</v>
      </c>
      <c r="D940" s="318" t="s">
        <v>30</v>
      </c>
      <c r="E940" s="318" t="s">
        <v>1645</v>
      </c>
      <c r="F940" s="316">
        <v>44494.44599537037</v>
      </c>
      <c r="G940" s="316"/>
      <c r="H940" s="316"/>
      <c r="I940" s="316" t="s">
        <v>2</v>
      </c>
      <c r="J940" s="318" t="s">
        <v>357</v>
      </c>
      <c r="K940" s="318" t="s">
        <v>125</v>
      </c>
      <c r="L940" s="14">
        <v>44498</v>
      </c>
      <c r="M940" t="s">
        <v>2092</v>
      </c>
      <c r="N940" s="174">
        <v>44498</v>
      </c>
      <c r="T940" s="195"/>
      <c r="U940" s="195"/>
      <c r="V940" s="300"/>
      <c r="W940" s="201"/>
      <c r="X940" s="201"/>
      <c r="Y940" s="200"/>
      <c r="Z940" s="207"/>
      <c r="AA940" s="206"/>
      <c r="AB940" s="207"/>
      <c r="AC940" s="188"/>
      <c r="AD940" s="187">
        <v>44498</v>
      </c>
    </row>
    <row r="941" spans="1:30">
      <c r="A941" s="318">
        <f>COUNTA($D$3:$D$941)</f>
        <v>939</v>
      </c>
      <c r="B941" s="318" t="s">
        <v>2057</v>
      </c>
      <c r="C941" s="318" t="s">
        <v>21</v>
      </c>
      <c r="D941" s="318" t="s">
        <v>1142</v>
      </c>
      <c r="E941" s="318" t="s">
        <v>1204</v>
      </c>
      <c r="F941" s="316">
        <v>44495.481030092589</v>
      </c>
      <c r="G941" s="316"/>
      <c r="H941" s="316"/>
      <c r="I941" s="316" t="s">
        <v>3</v>
      </c>
      <c r="J941" s="318" t="s">
        <v>1921</v>
      </c>
      <c r="K941" s="318" t="s">
        <v>53</v>
      </c>
      <c r="L941" s="14">
        <v>44498</v>
      </c>
      <c r="M941" t="s">
        <v>2092</v>
      </c>
      <c r="N941" s="174">
        <v>44498</v>
      </c>
      <c r="T941" s="195"/>
      <c r="U941" s="195"/>
      <c r="V941" s="300"/>
      <c r="W941" s="201"/>
      <c r="X941" s="201"/>
      <c r="Y941" s="200"/>
      <c r="Z941" s="207"/>
      <c r="AA941" s="206"/>
      <c r="AB941" s="207"/>
      <c r="AC941" s="188"/>
      <c r="AD941" s="187">
        <v>44498</v>
      </c>
    </row>
    <row r="942" spans="1:30">
      <c r="A942" s="318">
        <f>COUNTA($D$3:$D$942)</f>
        <v>940</v>
      </c>
      <c r="B942" s="318" t="s">
        <v>2050</v>
      </c>
      <c r="C942" s="318" t="s">
        <v>105</v>
      </c>
      <c r="D942" s="318" t="s">
        <v>30</v>
      </c>
      <c r="E942" s="318" t="s">
        <v>1286</v>
      </c>
      <c r="F942" s="316">
        <v>44491.643642766197</v>
      </c>
      <c r="G942" s="316"/>
      <c r="H942" s="316"/>
      <c r="I942" s="316" t="s">
        <v>3</v>
      </c>
      <c r="J942" s="318" t="s">
        <v>1643</v>
      </c>
      <c r="K942" s="318" t="s">
        <v>103</v>
      </c>
      <c r="L942" s="14">
        <v>44498</v>
      </c>
      <c r="N942" s="174">
        <v>44523</v>
      </c>
      <c r="T942" s="195"/>
      <c r="U942" s="195"/>
      <c r="V942" s="300"/>
      <c r="W942" s="201"/>
      <c r="X942" s="201"/>
      <c r="Y942" s="200"/>
      <c r="Z942" s="207"/>
      <c r="AA942" s="206"/>
      <c r="AB942" s="207"/>
      <c r="AC942" s="188"/>
      <c r="AD942" s="187">
        <v>44523</v>
      </c>
    </row>
    <row r="943" spans="1:30">
      <c r="A943" s="318">
        <f>COUNTA($D$3:$D$943)</f>
        <v>941</v>
      </c>
      <c r="B943" s="318" t="s">
        <v>2038</v>
      </c>
      <c r="C943" s="318" t="s">
        <v>41</v>
      </c>
      <c r="D943" s="318" t="s">
        <v>30</v>
      </c>
      <c r="E943" s="318" t="s">
        <v>1656</v>
      </c>
      <c r="F943" s="316">
        <v>44489.503252314818</v>
      </c>
      <c r="G943" s="316"/>
      <c r="H943" s="316"/>
      <c r="I943" s="316" t="s">
        <v>2</v>
      </c>
      <c r="J943" s="318" t="s">
        <v>1658</v>
      </c>
      <c r="K943" s="318" t="s">
        <v>1089</v>
      </c>
      <c r="L943" s="14">
        <v>44498</v>
      </c>
      <c r="M943" t="s">
        <v>2093</v>
      </c>
      <c r="N943" s="174">
        <v>44498</v>
      </c>
      <c r="T943" s="195"/>
      <c r="U943" s="195"/>
      <c r="V943" s="300"/>
      <c r="W943" s="201"/>
      <c r="X943" s="201"/>
      <c r="Y943" s="200"/>
      <c r="Z943" s="207"/>
      <c r="AA943" s="206"/>
      <c r="AB943" s="207"/>
      <c r="AC943" s="188"/>
      <c r="AD943" s="187">
        <v>44498</v>
      </c>
    </row>
    <row r="944" spans="1:30">
      <c r="A944" s="318">
        <f>COUNTA($D$3:$D$944)</f>
        <v>942</v>
      </c>
      <c r="B944" s="318" t="s">
        <v>2034</v>
      </c>
      <c r="C944" s="318" t="s">
        <v>37</v>
      </c>
      <c r="D944" s="318" t="s">
        <v>34</v>
      </c>
      <c r="E944" s="318" t="s">
        <v>2035</v>
      </c>
      <c r="F944" s="316">
        <v>44488.686331018522</v>
      </c>
      <c r="G944" s="316"/>
      <c r="H944" s="316"/>
      <c r="I944" s="316" t="s">
        <v>3</v>
      </c>
      <c r="J944" s="318" t="s">
        <v>2036</v>
      </c>
      <c r="K944" s="318" t="s">
        <v>24</v>
      </c>
      <c r="L944" s="14">
        <v>44484</v>
      </c>
      <c r="M944" t="s">
        <v>2092</v>
      </c>
      <c r="N944" s="174">
        <v>44484</v>
      </c>
      <c r="T944" s="195"/>
      <c r="U944" s="195"/>
      <c r="V944" s="300"/>
      <c r="W944" s="201"/>
      <c r="X944" s="201"/>
      <c r="Y944" s="200"/>
      <c r="Z944" s="207"/>
      <c r="AA944" s="206"/>
      <c r="AB944" s="207"/>
      <c r="AC944" s="188"/>
      <c r="AD944" s="187">
        <v>44484</v>
      </c>
    </row>
    <row r="945" spans="1:30">
      <c r="A945" s="318">
        <f>COUNTA($D$3:$D$945)</f>
        <v>943</v>
      </c>
      <c r="B945" s="318" t="s">
        <v>1998</v>
      </c>
      <c r="C945" s="318" t="s">
        <v>44</v>
      </c>
      <c r="D945" s="318" t="s">
        <v>34</v>
      </c>
      <c r="E945" s="318" t="s">
        <v>48</v>
      </c>
      <c r="F945" s="316">
        <v>44476</v>
      </c>
      <c r="G945" s="316"/>
      <c r="H945" s="316" t="s">
        <v>66</v>
      </c>
      <c r="I945" s="316" t="s">
        <v>2</v>
      </c>
      <c r="J945" s="318" t="s">
        <v>1657</v>
      </c>
      <c r="K945" s="318" t="s">
        <v>125</v>
      </c>
      <c r="L945" s="14">
        <v>44484</v>
      </c>
      <c r="M945" t="s">
        <v>2093</v>
      </c>
      <c r="N945" s="174">
        <v>44484</v>
      </c>
      <c r="T945" s="195"/>
      <c r="U945" s="195"/>
      <c r="V945" s="300"/>
      <c r="W945" s="201"/>
      <c r="X945" s="201"/>
      <c r="Y945" s="200"/>
      <c r="Z945" s="207"/>
      <c r="AA945" s="206"/>
      <c r="AB945" s="207"/>
      <c r="AC945" s="188"/>
      <c r="AD945" s="187">
        <v>44484</v>
      </c>
    </row>
    <row r="946" spans="1:30">
      <c r="A946" s="318">
        <f>COUNTA($D$3:$D$946)</f>
        <v>944</v>
      </c>
      <c r="B946" s="318" t="s">
        <v>1989</v>
      </c>
      <c r="C946" s="318" t="s">
        <v>1990</v>
      </c>
      <c r="D946" s="318" t="s">
        <v>38</v>
      </c>
      <c r="E946" s="318" t="s">
        <v>1991</v>
      </c>
      <c r="F946" s="316">
        <v>44474</v>
      </c>
      <c r="G946" s="316"/>
      <c r="H946" s="316"/>
      <c r="I946" s="316" t="s">
        <v>2</v>
      </c>
      <c r="J946" s="318" t="s">
        <v>1992</v>
      </c>
      <c r="K946" s="318" t="s">
        <v>125</v>
      </c>
      <c r="L946" s="14">
        <v>44484</v>
      </c>
      <c r="M946" t="s">
        <v>2094</v>
      </c>
      <c r="N946" s="174">
        <v>44484</v>
      </c>
      <c r="T946" s="195"/>
      <c r="U946" s="195"/>
      <c r="V946" s="300"/>
      <c r="W946" s="201"/>
      <c r="X946" s="201"/>
      <c r="Y946" s="200"/>
      <c r="Z946" s="207"/>
      <c r="AA946" s="206"/>
      <c r="AB946" s="207"/>
      <c r="AC946" s="188"/>
      <c r="AD946" s="187">
        <v>44484</v>
      </c>
    </row>
    <row r="947" spans="1:30">
      <c r="A947" s="318">
        <f>COUNTA($D$3:$D$947)</f>
        <v>945</v>
      </c>
      <c r="B947" s="318" t="s">
        <v>2010</v>
      </c>
      <c r="C947" s="318" t="s">
        <v>1100</v>
      </c>
      <c r="D947" s="318" t="s">
        <v>30</v>
      </c>
      <c r="E947" s="318" t="s">
        <v>2011</v>
      </c>
      <c r="F947" s="316">
        <v>44481.70171296296</v>
      </c>
      <c r="G947" s="316"/>
      <c r="H947" s="316"/>
      <c r="I947" s="316" t="s">
        <v>2</v>
      </c>
      <c r="J947" s="318" t="s">
        <v>2012</v>
      </c>
      <c r="K947" s="318" t="s">
        <v>1089</v>
      </c>
      <c r="L947" s="14">
        <v>44484</v>
      </c>
      <c r="N947" s="174">
        <v>44484</v>
      </c>
      <c r="T947" s="195"/>
      <c r="U947" s="195"/>
      <c r="V947" s="300"/>
      <c r="W947" s="201"/>
      <c r="X947" s="201"/>
      <c r="Y947" s="200"/>
      <c r="Z947" s="207"/>
      <c r="AA947" s="206"/>
      <c r="AB947" s="207"/>
      <c r="AC947" s="188"/>
      <c r="AD947" s="187">
        <v>44484</v>
      </c>
    </row>
    <row r="948" spans="1:30">
      <c r="A948" s="318">
        <f>COUNTA($D$3:$D$948)</f>
        <v>946</v>
      </c>
      <c r="B948" s="318" t="s">
        <v>2006</v>
      </c>
      <c r="C948" s="318" t="s">
        <v>1239</v>
      </c>
      <c r="D948" s="318" t="s">
        <v>38</v>
      </c>
      <c r="E948" s="318" t="s">
        <v>1755</v>
      </c>
      <c r="F948" s="316">
        <v>44481</v>
      </c>
      <c r="G948" s="316"/>
      <c r="H948" s="316"/>
      <c r="I948" s="316" t="s">
        <v>2</v>
      </c>
      <c r="J948" s="318" t="s">
        <v>1756</v>
      </c>
      <c r="K948" s="318" t="s">
        <v>1089</v>
      </c>
      <c r="L948" s="14">
        <v>44484</v>
      </c>
      <c r="M948" t="s">
        <v>2094</v>
      </c>
      <c r="N948" s="174">
        <v>44484</v>
      </c>
      <c r="T948" s="195"/>
      <c r="U948" s="195"/>
      <c r="V948" s="300"/>
      <c r="W948" s="201"/>
      <c r="X948" s="201"/>
      <c r="Y948" s="200"/>
      <c r="Z948" s="207"/>
      <c r="AA948" s="206"/>
      <c r="AB948" s="207"/>
      <c r="AC948" s="188"/>
      <c r="AD948" s="187">
        <v>44484</v>
      </c>
    </row>
    <row r="949" spans="1:30">
      <c r="A949" s="318">
        <f>COUNTA($D$3:$D949)</f>
        <v>947</v>
      </c>
      <c r="B949" s="318" t="s">
        <v>2033</v>
      </c>
      <c r="C949" s="318" t="s">
        <v>41</v>
      </c>
      <c r="D949" s="318" t="s">
        <v>25</v>
      </c>
      <c r="E949" s="318" t="s">
        <v>1199</v>
      </c>
      <c r="F949" s="316">
        <v>44488.578136574077</v>
      </c>
      <c r="G949" s="316"/>
      <c r="H949" s="316"/>
      <c r="I949" s="316" t="s">
        <v>3</v>
      </c>
      <c r="J949" s="318" t="s">
        <v>1649</v>
      </c>
      <c r="K949" s="318" t="s">
        <v>33</v>
      </c>
      <c r="L949" s="14">
        <v>44484</v>
      </c>
      <c r="M949" t="s">
        <v>2093</v>
      </c>
      <c r="N949" s="174">
        <v>44484</v>
      </c>
      <c r="T949" s="195"/>
      <c r="U949" s="195"/>
      <c r="V949" s="300"/>
      <c r="W949" s="201"/>
      <c r="X949" s="201"/>
      <c r="Y949" s="200"/>
      <c r="Z949" s="207"/>
      <c r="AA949" s="206"/>
      <c r="AB949" s="207"/>
      <c r="AC949" s="188"/>
      <c r="AD949" s="187">
        <v>44484</v>
      </c>
    </row>
    <row r="950" spans="1:30">
      <c r="A950" s="318">
        <f>COUNTA($D$3:$D950)</f>
        <v>948</v>
      </c>
      <c r="B950" s="318" t="s">
        <v>2024</v>
      </c>
      <c r="C950" s="318" t="s">
        <v>21</v>
      </c>
      <c r="D950" s="318" t="s">
        <v>30</v>
      </c>
      <c r="E950" s="318" t="s">
        <v>2025</v>
      </c>
      <c r="F950" s="316">
        <v>44484.645379826397</v>
      </c>
      <c r="G950" s="316"/>
      <c r="H950" s="316"/>
      <c r="I950" s="316" t="s">
        <v>3</v>
      </c>
      <c r="J950" s="318" t="s">
        <v>514</v>
      </c>
      <c r="K950" s="318" t="s">
        <v>24</v>
      </c>
      <c r="L950" s="14">
        <v>44484</v>
      </c>
      <c r="M950" t="s">
        <v>2092</v>
      </c>
      <c r="N950" s="174">
        <v>44484</v>
      </c>
      <c r="T950" s="195"/>
      <c r="U950" s="195"/>
      <c r="V950" s="300"/>
      <c r="W950" s="201"/>
      <c r="X950" s="201"/>
      <c r="Y950" s="200"/>
      <c r="Z950" s="207"/>
      <c r="AA950" s="206"/>
      <c r="AB950" s="207"/>
      <c r="AC950" s="188"/>
      <c r="AD950" s="187">
        <v>44484</v>
      </c>
    </row>
    <row r="951" spans="1:30">
      <c r="A951" s="318">
        <f>COUNTA($D$3:$D951)</f>
        <v>949</v>
      </c>
      <c r="B951" s="318" t="s">
        <v>2019</v>
      </c>
      <c r="C951" s="318" t="s">
        <v>44</v>
      </c>
      <c r="D951" s="318" t="s">
        <v>45</v>
      </c>
      <c r="E951" s="318" t="s">
        <v>178</v>
      </c>
      <c r="F951" s="316">
        <v>44483</v>
      </c>
      <c r="G951" s="316"/>
      <c r="H951" s="316"/>
      <c r="I951" s="316" t="s">
        <v>4</v>
      </c>
      <c r="J951" s="318" t="s">
        <v>1750</v>
      </c>
      <c r="K951" s="318" t="s">
        <v>54</v>
      </c>
      <c r="L951" s="14">
        <v>44457</v>
      </c>
      <c r="M951" t="s">
        <v>2093</v>
      </c>
      <c r="N951" s="174">
        <v>44457</v>
      </c>
      <c r="T951" s="195"/>
      <c r="U951" s="195"/>
      <c r="V951" s="300"/>
      <c r="W951" s="201"/>
      <c r="X951" s="201"/>
      <c r="Y951" s="200"/>
      <c r="Z951" s="207"/>
      <c r="AA951" s="206"/>
      <c r="AB951" s="207"/>
      <c r="AC951" s="188"/>
      <c r="AD951" s="187">
        <v>44457</v>
      </c>
    </row>
    <row r="952" spans="1:30">
      <c r="A952" s="318">
        <f>COUNTA($D$3:$D952)</f>
        <v>950</v>
      </c>
      <c r="B952" s="318" t="s">
        <v>2009</v>
      </c>
      <c r="C952" s="318" t="s">
        <v>1178</v>
      </c>
      <c r="D952" s="318" t="s">
        <v>58</v>
      </c>
      <c r="E952" s="318" t="s">
        <v>1179</v>
      </c>
      <c r="F952" s="316">
        <v>44481</v>
      </c>
      <c r="G952" s="316"/>
      <c r="H952" s="316">
        <v>44484</v>
      </c>
      <c r="I952" s="316" t="s">
        <v>3</v>
      </c>
      <c r="J952" s="318" t="s">
        <v>2031</v>
      </c>
      <c r="K952" s="318" t="s">
        <v>54</v>
      </c>
      <c r="L952" s="14">
        <v>44457</v>
      </c>
      <c r="M952" t="s">
        <v>2092</v>
      </c>
      <c r="N952" s="174">
        <v>44457</v>
      </c>
      <c r="T952" s="195"/>
      <c r="U952" s="195"/>
      <c r="V952" s="300"/>
      <c r="W952" s="201"/>
      <c r="X952" s="201"/>
      <c r="Y952" s="200"/>
      <c r="Z952" s="207"/>
      <c r="AA952" s="206"/>
      <c r="AB952" s="207"/>
      <c r="AC952" s="188"/>
      <c r="AD952" s="187">
        <v>44457</v>
      </c>
    </row>
    <row r="953" spans="1:30">
      <c r="A953" s="318">
        <f>COUNTA($D$3:$D953)</f>
        <v>951</v>
      </c>
      <c r="B953" s="318" t="s">
        <v>1994</v>
      </c>
      <c r="C953" s="318" t="s">
        <v>71</v>
      </c>
      <c r="D953" s="318" t="s">
        <v>16</v>
      </c>
      <c r="E953" s="318" t="s">
        <v>72</v>
      </c>
      <c r="F953" s="316">
        <v>44475.568437499998</v>
      </c>
      <c r="G953" s="316"/>
      <c r="H953" s="316"/>
      <c r="I953" s="316" t="s">
        <v>2</v>
      </c>
      <c r="J953" s="318" t="s">
        <v>1995</v>
      </c>
      <c r="K953" s="318" t="s">
        <v>54</v>
      </c>
      <c r="L953" s="14">
        <v>44457</v>
      </c>
      <c r="M953" t="s">
        <v>2094</v>
      </c>
      <c r="N953" s="174">
        <v>44457</v>
      </c>
      <c r="T953" s="195"/>
      <c r="U953" s="195"/>
      <c r="V953" s="300"/>
      <c r="W953" s="201"/>
      <c r="X953" s="201"/>
      <c r="Y953" s="200"/>
      <c r="Z953" s="207"/>
      <c r="AA953" s="206"/>
      <c r="AB953" s="207"/>
      <c r="AC953" s="188"/>
      <c r="AD953" s="187">
        <v>44457</v>
      </c>
    </row>
    <row r="954" spans="1:30">
      <c r="A954" s="318">
        <f>COUNTA($D$3:$D954)</f>
        <v>952</v>
      </c>
      <c r="B954" s="318" t="s">
        <v>1988</v>
      </c>
      <c r="C954" s="318" t="s">
        <v>65</v>
      </c>
      <c r="D954" s="318" t="s">
        <v>31</v>
      </c>
      <c r="E954" s="318" t="s">
        <v>1226</v>
      </c>
      <c r="F954" s="316">
        <v>44473</v>
      </c>
      <c r="G954" s="316"/>
      <c r="H954" s="316" t="s">
        <v>55</v>
      </c>
      <c r="I954" s="316" t="s">
        <v>2</v>
      </c>
      <c r="J954" s="318" t="s">
        <v>1485</v>
      </c>
      <c r="K954" s="318" t="s">
        <v>1089</v>
      </c>
      <c r="L954" s="14">
        <v>44457</v>
      </c>
      <c r="M954" t="s">
        <v>2094</v>
      </c>
      <c r="N954" s="174">
        <v>44491</v>
      </c>
      <c r="T954" s="195"/>
      <c r="U954" s="195"/>
      <c r="V954" s="300"/>
      <c r="W954" s="201"/>
      <c r="X954" s="201"/>
      <c r="Y954" s="200"/>
      <c r="Z954" s="207"/>
      <c r="AA954" s="206"/>
      <c r="AB954" s="207"/>
      <c r="AC954" s="188"/>
      <c r="AD954" s="187">
        <v>44491</v>
      </c>
    </row>
    <row r="955" spans="1:30">
      <c r="A955" s="318">
        <f>COUNTA($D$3:$D955)</f>
        <v>953</v>
      </c>
      <c r="B955" s="318" t="s">
        <v>2020</v>
      </c>
      <c r="C955" s="318" t="s">
        <v>41</v>
      </c>
      <c r="D955" s="318" t="s">
        <v>1126</v>
      </c>
      <c r="E955" s="318" t="s">
        <v>2021</v>
      </c>
      <c r="F955" s="316">
        <v>44483</v>
      </c>
      <c r="G955" s="316"/>
      <c r="H955" s="316"/>
      <c r="I955" s="316" t="s">
        <v>4</v>
      </c>
      <c r="J955" s="318" t="s">
        <v>1750</v>
      </c>
      <c r="K955" s="318" t="s">
        <v>54</v>
      </c>
      <c r="L955" s="14">
        <v>44457</v>
      </c>
      <c r="M955" t="s">
        <v>2093</v>
      </c>
      <c r="N955" s="174">
        <v>44457</v>
      </c>
      <c r="T955" s="195"/>
      <c r="U955" s="195"/>
      <c r="V955" s="300"/>
      <c r="W955" s="201"/>
      <c r="X955" s="201"/>
      <c r="Y955" s="200"/>
      <c r="Z955" s="207"/>
      <c r="AA955" s="206"/>
      <c r="AB955" s="207"/>
      <c r="AC955" s="188"/>
      <c r="AD955" s="187">
        <v>44457</v>
      </c>
    </row>
    <row r="956" spans="1:30">
      <c r="A956" s="318">
        <f>COUNTA($D$3:$D956)</f>
        <v>954</v>
      </c>
      <c r="B956" s="318" t="s">
        <v>2016</v>
      </c>
      <c r="C956" s="318" t="s">
        <v>41</v>
      </c>
      <c r="D956" s="318" t="s">
        <v>52</v>
      </c>
      <c r="E956" s="318" t="s">
        <v>2017</v>
      </c>
      <c r="F956" s="316">
        <v>44483.6986901157</v>
      </c>
      <c r="G956" s="316"/>
      <c r="H956" s="316"/>
      <c r="I956" s="316" t="s">
        <v>3</v>
      </c>
      <c r="J956" s="318" t="s">
        <v>1158</v>
      </c>
      <c r="K956" s="318" t="s">
        <v>101</v>
      </c>
      <c r="L956" s="14">
        <v>44457</v>
      </c>
      <c r="M956" t="s">
        <v>2093</v>
      </c>
      <c r="N956" s="174">
        <v>44457</v>
      </c>
      <c r="T956" s="195"/>
      <c r="U956" s="195"/>
      <c r="V956" s="300"/>
      <c r="W956" s="201"/>
      <c r="X956" s="201"/>
      <c r="Y956" s="200"/>
      <c r="Z956" s="207"/>
      <c r="AA956" s="206"/>
      <c r="AB956" s="207"/>
      <c r="AC956" s="188"/>
      <c r="AD956" s="187">
        <v>44457</v>
      </c>
    </row>
    <row r="957" spans="1:30">
      <c r="A957" s="318">
        <f>COUNTA($D$3:$D957)</f>
        <v>955</v>
      </c>
      <c r="B957" s="318" t="s">
        <v>2001</v>
      </c>
      <c r="C957" s="318" t="s">
        <v>21</v>
      </c>
      <c r="D957" s="318" t="s">
        <v>34</v>
      </c>
      <c r="E957" s="318" t="s">
        <v>1682</v>
      </c>
      <c r="F957" s="316">
        <v>44476.744615798598</v>
      </c>
      <c r="G957" s="316"/>
      <c r="H957" s="316"/>
      <c r="I957" s="316" t="s">
        <v>3</v>
      </c>
      <c r="J957" s="318" t="s">
        <v>1649</v>
      </c>
      <c r="K957" s="318" t="s">
        <v>54</v>
      </c>
      <c r="L957" s="14">
        <v>44457</v>
      </c>
      <c r="M957" t="s">
        <v>2092</v>
      </c>
      <c r="N957" s="174">
        <v>44457</v>
      </c>
      <c r="T957" s="195"/>
      <c r="U957" s="195"/>
      <c r="V957" s="300"/>
      <c r="W957" s="201"/>
      <c r="X957" s="201"/>
      <c r="Y957" s="200"/>
      <c r="Z957" s="207"/>
      <c r="AA957" s="206"/>
      <c r="AB957" s="207"/>
      <c r="AC957" s="188"/>
      <c r="AD957" s="187">
        <v>44457</v>
      </c>
    </row>
    <row r="958" spans="1:30">
      <c r="A958" s="318">
        <f>COUNTA($D$3:$D958)</f>
        <v>956</v>
      </c>
      <c r="B958" s="318" t="s">
        <v>1891</v>
      </c>
      <c r="C958" s="318" t="s">
        <v>21</v>
      </c>
      <c r="D958" s="318" t="s">
        <v>1193</v>
      </c>
      <c r="E958" s="318" t="s">
        <v>1892</v>
      </c>
      <c r="F958" s="316">
        <v>44446</v>
      </c>
      <c r="G958" s="316"/>
      <c r="H958" s="316">
        <v>44479</v>
      </c>
      <c r="I958" s="316" t="s">
        <v>3</v>
      </c>
      <c r="J958" s="318" t="s">
        <v>514</v>
      </c>
      <c r="K958" s="318" t="s">
        <v>54</v>
      </c>
      <c r="L958" s="14">
        <v>44457</v>
      </c>
      <c r="M958" t="s">
        <v>2092</v>
      </c>
      <c r="N958" s="174">
        <v>44457</v>
      </c>
      <c r="T958" s="195"/>
      <c r="U958" s="195"/>
      <c r="V958" s="300"/>
      <c r="W958" s="201"/>
      <c r="X958" s="201"/>
      <c r="Y958" s="200"/>
      <c r="Z958" s="207"/>
      <c r="AA958" s="206"/>
      <c r="AB958" s="207"/>
      <c r="AC958" s="188"/>
      <c r="AD958" s="187">
        <v>44457</v>
      </c>
    </row>
    <row r="959" spans="1:30">
      <c r="A959" s="318">
        <f>COUNTA($D$3:$D959)</f>
        <v>957</v>
      </c>
      <c r="B959" s="318" t="s">
        <v>1957</v>
      </c>
      <c r="C959" s="318" t="s">
        <v>1119</v>
      </c>
      <c r="D959" s="318" t="s">
        <v>38</v>
      </c>
      <c r="E959" s="318" t="s">
        <v>2007</v>
      </c>
      <c r="F959" s="316">
        <v>44468</v>
      </c>
      <c r="G959" s="316"/>
      <c r="H959" s="316">
        <v>44471</v>
      </c>
      <c r="I959" s="316" t="s">
        <v>2</v>
      </c>
      <c r="J959" s="318" t="s">
        <v>1485</v>
      </c>
      <c r="K959" s="318" t="s">
        <v>101</v>
      </c>
      <c r="L959" s="14">
        <v>44457</v>
      </c>
      <c r="N959" s="174">
        <v>44457</v>
      </c>
      <c r="T959" s="195"/>
      <c r="U959" s="195"/>
      <c r="V959" s="300"/>
      <c r="W959" s="201"/>
      <c r="X959" s="201"/>
      <c r="Y959" s="200"/>
      <c r="Z959" s="207"/>
      <c r="AA959" s="206"/>
      <c r="AB959" s="207"/>
      <c r="AC959" s="188"/>
      <c r="AD959" s="187">
        <v>44457</v>
      </c>
    </row>
    <row r="960" spans="1:30">
      <c r="A960" s="318">
        <f>COUNTA($D$3:$D$960)</f>
        <v>958</v>
      </c>
      <c r="B960" s="318" t="s">
        <v>1889</v>
      </c>
      <c r="C960" s="318" t="s">
        <v>21</v>
      </c>
      <c r="D960" s="318" t="s">
        <v>30</v>
      </c>
      <c r="E960" s="318" t="s">
        <v>1890</v>
      </c>
      <c r="F960" s="316">
        <v>44446</v>
      </c>
      <c r="G960" s="316"/>
      <c r="H960" s="316" t="s">
        <v>55</v>
      </c>
      <c r="I960" s="316" t="s">
        <v>2</v>
      </c>
      <c r="J960" s="318" t="s">
        <v>1485</v>
      </c>
      <c r="K960" s="318" t="s">
        <v>101</v>
      </c>
      <c r="L960" s="14">
        <v>44457</v>
      </c>
      <c r="M960" t="s">
        <v>2092</v>
      </c>
      <c r="N960" s="174">
        <v>44457</v>
      </c>
      <c r="T960" s="195"/>
      <c r="U960" s="195"/>
      <c r="V960" s="300"/>
      <c r="W960" s="201"/>
      <c r="X960" s="201"/>
      <c r="Y960" s="200"/>
      <c r="Z960" s="207"/>
      <c r="AA960" s="206"/>
      <c r="AB960" s="207"/>
      <c r="AC960" s="188"/>
      <c r="AD960" s="187">
        <v>44457</v>
      </c>
    </row>
    <row r="961" spans="1:30">
      <c r="A961" s="318">
        <f>COUNTA($D$3:$D$961)</f>
        <v>959</v>
      </c>
      <c r="B961" s="318" t="s">
        <v>2004</v>
      </c>
      <c r="C961" s="318" t="s">
        <v>1090</v>
      </c>
      <c r="D961" s="318" t="s">
        <v>47</v>
      </c>
      <c r="E961" s="318" t="s">
        <v>1091</v>
      </c>
      <c r="F961" s="316">
        <v>44480</v>
      </c>
      <c r="G961" s="316"/>
      <c r="H961" s="316"/>
      <c r="I961" s="316" t="s">
        <v>3</v>
      </c>
      <c r="J961" s="318" t="s">
        <v>1485</v>
      </c>
      <c r="K961" s="318" t="s">
        <v>54</v>
      </c>
      <c r="L961" s="14">
        <v>44457</v>
      </c>
      <c r="M961" t="s">
        <v>2094</v>
      </c>
      <c r="N961" s="174">
        <v>44457</v>
      </c>
      <c r="T961" s="195"/>
      <c r="U961" s="195"/>
      <c r="V961" s="300"/>
      <c r="W961" s="201"/>
      <c r="X961" s="201"/>
      <c r="Y961" s="200"/>
      <c r="Z961" s="207"/>
      <c r="AA961" s="206"/>
      <c r="AB961" s="207"/>
      <c r="AC961" s="188"/>
      <c r="AD961" s="187">
        <v>44457</v>
      </c>
    </row>
    <row r="962" spans="1:30">
      <c r="A962" s="318">
        <f>COUNTA($D$3:$D$962)</f>
        <v>960</v>
      </c>
      <c r="B962" s="318" t="s">
        <v>1961</v>
      </c>
      <c r="C962" s="318" t="s">
        <v>1099</v>
      </c>
      <c r="D962" s="318" t="s">
        <v>38</v>
      </c>
      <c r="E962" s="318" t="s">
        <v>1661</v>
      </c>
      <c r="F962" s="316">
        <v>44467.663136574076</v>
      </c>
      <c r="G962" s="316"/>
      <c r="H962" s="316"/>
      <c r="I962" s="316" t="s">
        <v>2</v>
      </c>
      <c r="J962" s="318" t="s">
        <v>1662</v>
      </c>
      <c r="K962" s="318" t="s">
        <v>125</v>
      </c>
      <c r="L962" s="14">
        <v>44451</v>
      </c>
      <c r="N962" s="174">
        <v>44453</v>
      </c>
      <c r="T962" s="195"/>
      <c r="U962" s="195"/>
      <c r="V962" s="300"/>
      <c r="W962" s="201"/>
      <c r="X962" s="201"/>
      <c r="Y962" s="200"/>
      <c r="Z962" s="207"/>
      <c r="AA962" s="206"/>
      <c r="AB962" s="207"/>
      <c r="AC962" s="188"/>
      <c r="AD962" s="187">
        <v>44453</v>
      </c>
    </row>
    <row r="963" spans="1:30">
      <c r="A963" s="318">
        <f>COUNTA($D$3:$D$963)</f>
        <v>961</v>
      </c>
      <c r="B963" s="318" t="s">
        <v>1960</v>
      </c>
      <c r="C963" s="318" t="s">
        <v>1100</v>
      </c>
      <c r="D963" s="318" t="s">
        <v>30</v>
      </c>
      <c r="E963" s="318" t="s">
        <v>1260</v>
      </c>
      <c r="F963" s="316">
        <v>44470.559803240743</v>
      </c>
      <c r="G963" s="316"/>
      <c r="H963" s="316"/>
      <c r="I963" s="316" t="s">
        <v>2</v>
      </c>
      <c r="J963" s="318" t="s">
        <v>1664</v>
      </c>
      <c r="K963" s="318" t="s">
        <v>54</v>
      </c>
      <c r="L963" s="14">
        <v>44451</v>
      </c>
      <c r="N963" s="174">
        <v>44452</v>
      </c>
      <c r="T963" s="195"/>
      <c r="U963" s="195"/>
      <c r="V963" s="300"/>
      <c r="W963" s="201"/>
      <c r="X963" s="201"/>
      <c r="Y963" s="200"/>
      <c r="Z963" s="207"/>
      <c r="AA963" s="206"/>
      <c r="AB963" s="207"/>
      <c r="AC963" s="188"/>
      <c r="AD963" s="187">
        <v>44452</v>
      </c>
    </row>
    <row r="964" spans="1:30">
      <c r="A964" s="318">
        <f>COUNTA($D$3:$D$964)</f>
        <v>962</v>
      </c>
      <c r="B964" s="318" t="s">
        <v>1958</v>
      </c>
      <c r="C964" s="318" t="s">
        <v>1224</v>
      </c>
      <c r="D964" s="318" t="s">
        <v>58</v>
      </c>
      <c r="E964" s="318" t="s">
        <v>1225</v>
      </c>
      <c r="F964" s="316">
        <v>44470.649687500001</v>
      </c>
      <c r="G964" s="316"/>
      <c r="H964" s="316"/>
      <c r="I964" s="316" t="s">
        <v>2</v>
      </c>
      <c r="J964" s="318" t="s">
        <v>1959</v>
      </c>
      <c r="K964" s="318" t="s">
        <v>54</v>
      </c>
      <c r="L964" s="14">
        <v>44451</v>
      </c>
      <c r="M964" t="s">
        <v>2094</v>
      </c>
      <c r="N964" s="174">
        <v>44451</v>
      </c>
      <c r="T964" s="195"/>
      <c r="U964" s="195"/>
      <c r="V964" s="300"/>
      <c r="W964" s="201"/>
      <c r="X964" s="201"/>
      <c r="Y964" s="200"/>
      <c r="Z964" s="207"/>
      <c r="AA964" s="206"/>
      <c r="AB964" s="207"/>
      <c r="AC964" s="188"/>
      <c r="AD964" s="187">
        <v>44451</v>
      </c>
    </row>
    <row r="965" spans="1:30">
      <c r="A965" s="318">
        <f>COUNTA($D$3:$D$965)</f>
        <v>963</v>
      </c>
      <c r="B965" s="318" t="s">
        <v>1857</v>
      </c>
      <c r="C965" s="318" t="s">
        <v>301</v>
      </c>
      <c r="D965" s="318" t="s">
        <v>38</v>
      </c>
      <c r="E965" s="318" t="s">
        <v>1280</v>
      </c>
      <c r="F965" s="316">
        <v>44403</v>
      </c>
      <c r="G965" s="316"/>
      <c r="H965" s="316">
        <v>44403</v>
      </c>
      <c r="I965" s="316" t="s">
        <v>2</v>
      </c>
      <c r="J965" s="318" t="s">
        <v>1700</v>
      </c>
      <c r="K965" s="318" t="s">
        <v>54</v>
      </c>
      <c r="L965" s="14">
        <v>44451</v>
      </c>
      <c r="N965" s="174">
        <v>44451</v>
      </c>
      <c r="T965" s="195"/>
      <c r="U965" s="195"/>
      <c r="V965" s="300"/>
      <c r="W965" s="201"/>
      <c r="X965" s="201"/>
      <c r="Y965" s="200"/>
      <c r="Z965" s="207"/>
      <c r="AA965" s="206"/>
      <c r="AB965" s="207"/>
      <c r="AC965" s="188"/>
      <c r="AD965" s="187">
        <v>44451</v>
      </c>
    </row>
    <row r="966" spans="1:30">
      <c r="A966" s="318">
        <f>COUNTA($D$3:$D$966)</f>
        <v>964</v>
      </c>
      <c r="B966" s="318" t="s">
        <v>1945</v>
      </c>
      <c r="C966" s="318" t="s">
        <v>41</v>
      </c>
      <c r="D966" s="318" t="s">
        <v>27</v>
      </c>
      <c r="E966" s="318" t="s">
        <v>1642</v>
      </c>
      <c r="F966" s="316">
        <v>44463.652083333334</v>
      </c>
      <c r="G966" s="316"/>
      <c r="H966" s="316"/>
      <c r="I966" s="316" t="s">
        <v>1110</v>
      </c>
      <c r="J966" s="318" t="s">
        <v>1668</v>
      </c>
      <c r="K966" s="318" t="s">
        <v>54</v>
      </c>
      <c r="L966" s="14">
        <v>44451</v>
      </c>
      <c r="M966" t="s">
        <v>2093</v>
      </c>
      <c r="N966" s="174">
        <v>44451</v>
      </c>
      <c r="T966" s="195"/>
      <c r="U966" s="195"/>
      <c r="V966" s="300"/>
      <c r="W966" s="201"/>
      <c r="X966" s="201"/>
      <c r="Y966" s="200"/>
      <c r="Z966" s="207"/>
      <c r="AA966" s="206"/>
      <c r="AB966" s="207"/>
      <c r="AC966" s="188"/>
      <c r="AD966" s="187">
        <v>44451</v>
      </c>
    </row>
    <row r="967" spans="1:30">
      <c r="A967" s="318">
        <f>COUNTA($D$3:$D$967)</f>
        <v>965</v>
      </c>
      <c r="B967" s="318" t="s">
        <v>1942</v>
      </c>
      <c r="C967" s="318" t="s">
        <v>1178</v>
      </c>
      <c r="D967" s="318" t="s">
        <v>16</v>
      </c>
      <c r="E967" s="318" t="s">
        <v>1710</v>
      </c>
      <c r="F967" s="316">
        <v>44462</v>
      </c>
      <c r="G967" s="316"/>
      <c r="H967" s="316">
        <v>44462</v>
      </c>
      <c r="I967" s="316" t="s">
        <v>2</v>
      </c>
      <c r="J967" s="318" t="s">
        <v>1875</v>
      </c>
      <c r="K967" s="318" t="s">
        <v>54</v>
      </c>
      <c r="L967" s="14">
        <v>44451</v>
      </c>
      <c r="M967" t="s">
        <v>2092</v>
      </c>
      <c r="N967" s="174">
        <v>44501</v>
      </c>
      <c r="T967" s="195"/>
      <c r="U967" s="195"/>
      <c r="V967" s="300"/>
      <c r="W967" s="201"/>
      <c r="X967" s="201"/>
      <c r="Y967" s="200"/>
      <c r="Z967" s="207"/>
      <c r="AA967" s="206"/>
      <c r="AB967" s="207"/>
      <c r="AC967" s="188"/>
      <c r="AD967" s="187">
        <v>44501</v>
      </c>
    </row>
    <row r="968" spans="1:30">
      <c r="A968" s="318">
        <f>COUNTA($D$3:$D$968)</f>
        <v>966</v>
      </c>
      <c r="B968" s="318" t="s">
        <v>1962</v>
      </c>
      <c r="C968" s="318" t="s">
        <v>37</v>
      </c>
      <c r="D968" s="318" t="s">
        <v>34</v>
      </c>
      <c r="E968" s="318" t="s">
        <v>1963</v>
      </c>
      <c r="F968" s="316">
        <v>44468.707870370374</v>
      </c>
      <c r="G968" s="316"/>
      <c r="H968" s="316">
        <v>44468.707870370374</v>
      </c>
      <c r="I968" s="316" t="s">
        <v>3</v>
      </c>
      <c r="J968" s="318" t="s">
        <v>1666</v>
      </c>
      <c r="K968" s="318" t="s">
        <v>1089</v>
      </c>
      <c r="L968" s="14">
        <v>44422</v>
      </c>
      <c r="M968" t="s">
        <v>2092</v>
      </c>
      <c r="N968" s="174">
        <v>44422</v>
      </c>
      <c r="T968" s="195"/>
      <c r="U968" s="195"/>
      <c r="V968" s="300"/>
      <c r="W968" s="201"/>
      <c r="X968" s="201"/>
      <c r="Y968" s="200"/>
      <c r="Z968" s="207"/>
      <c r="AA968" s="206"/>
      <c r="AB968" s="207"/>
      <c r="AC968" s="188"/>
      <c r="AD968" s="187">
        <v>44422</v>
      </c>
    </row>
    <row r="969" spans="1:30">
      <c r="A969" s="318">
        <f>COUNTA($D$3:$D$969)</f>
        <v>967</v>
      </c>
      <c r="B969" s="318" t="s">
        <v>1966</v>
      </c>
      <c r="C969" s="318" t="s">
        <v>41</v>
      </c>
      <c r="D969" s="318" t="s">
        <v>30</v>
      </c>
      <c r="E969" s="318" t="s">
        <v>1721</v>
      </c>
      <c r="F969" s="316">
        <v>44468</v>
      </c>
      <c r="G969" s="316"/>
      <c r="H969" s="316"/>
      <c r="I969" s="316" t="s">
        <v>3</v>
      </c>
      <c r="J969" s="318" t="s">
        <v>1649</v>
      </c>
      <c r="K969" s="318" t="s">
        <v>54</v>
      </c>
      <c r="L969" s="14">
        <v>44409</v>
      </c>
      <c r="M969" t="s">
        <v>2093</v>
      </c>
      <c r="N969" s="174">
        <v>44409</v>
      </c>
      <c r="T969" s="195"/>
      <c r="U969" s="195"/>
      <c r="V969" s="300"/>
      <c r="W969" s="201"/>
      <c r="X969" s="201"/>
      <c r="Y969" s="200"/>
      <c r="Z969" s="207"/>
      <c r="AA969" s="206"/>
      <c r="AB969" s="207"/>
      <c r="AC969" s="188"/>
      <c r="AD969" s="187">
        <v>44409</v>
      </c>
    </row>
    <row r="970" spans="1:30">
      <c r="A970" s="318">
        <f>COUNTA($D$3:$D$970)</f>
        <v>968</v>
      </c>
      <c r="B970" s="318" t="s">
        <v>1967</v>
      </c>
      <c r="C970" s="318" t="s">
        <v>41</v>
      </c>
      <c r="D970" s="318" t="s">
        <v>49</v>
      </c>
      <c r="E970" s="318" t="s">
        <v>1144</v>
      </c>
      <c r="F970" s="316">
        <v>44468.516215277778</v>
      </c>
      <c r="G970" s="316"/>
      <c r="H970" s="316"/>
      <c r="I970" s="316" t="s">
        <v>3</v>
      </c>
      <c r="J970" s="318" t="s">
        <v>1968</v>
      </c>
      <c r="K970" s="318" t="s">
        <v>54</v>
      </c>
      <c r="L970" s="14">
        <v>44409</v>
      </c>
      <c r="M970" t="s">
        <v>2093</v>
      </c>
      <c r="N970" s="174">
        <v>44409</v>
      </c>
      <c r="T970" s="195"/>
      <c r="U970" s="195"/>
      <c r="V970" s="300"/>
      <c r="W970" s="201"/>
      <c r="X970" s="201"/>
      <c r="Y970" s="200"/>
      <c r="Z970" s="207"/>
      <c r="AA970" s="206"/>
      <c r="AB970" s="207"/>
      <c r="AC970" s="188"/>
      <c r="AD970" s="187">
        <v>44409</v>
      </c>
    </row>
    <row r="971" spans="1:30">
      <c r="A971" s="318">
        <f>COUNTA($D$3:$D$971)</f>
        <v>969</v>
      </c>
      <c r="B971" s="318" t="s">
        <v>1964</v>
      </c>
      <c r="C971" s="318" t="s">
        <v>37</v>
      </c>
      <c r="D971" s="318" t="s">
        <v>34</v>
      </c>
      <c r="E971" s="318" t="s">
        <v>1807</v>
      </c>
      <c r="F971" s="316">
        <v>44468</v>
      </c>
      <c r="G971" s="316"/>
      <c r="H971" s="316"/>
      <c r="I971" s="316" t="s">
        <v>3</v>
      </c>
      <c r="J971" s="318" t="s">
        <v>1965</v>
      </c>
      <c r="K971" s="318" t="s">
        <v>33</v>
      </c>
      <c r="L971" s="14">
        <v>44409</v>
      </c>
      <c r="M971" t="s">
        <v>2092</v>
      </c>
      <c r="N971" s="174">
        <v>44409</v>
      </c>
      <c r="T971" s="195"/>
      <c r="U971" s="195"/>
      <c r="V971" s="300"/>
      <c r="W971" s="201"/>
      <c r="X971" s="201"/>
      <c r="Y971" s="200"/>
      <c r="Z971" s="207"/>
      <c r="AA971" s="206"/>
      <c r="AB971" s="207"/>
      <c r="AC971" s="188"/>
      <c r="AD971" s="187">
        <v>44409</v>
      </c>
    </row>
    <row r="972" spans="1:30">
      <c r="A972" s="318">
        <f>COUNTA($D$3:$D$972)</f>
        <v>970</v>
      </c>
      <c r="B972" s="318" t="s">
        <v>1933</v>
      </c>
      <c r="C972" s="318" t="s">
        <v>44</v>
      </c>
      <c r="D972" s="318" t="s">
        <v>34</v>
      </c>
      <c r="E972" s="318" t="s">
        <v>126</v>
      </c>
      <c r="F972" s="316">
        <v>44454.79105324074</v>
      </c>
      <c r="G972" s="316"/>
      <c r="H972" s="316"/>
      <c r="I972" s="316" t="s">
        <v>3</v>
      </c>
      <c r="J972" s="318" t="s">
        <v>1666</v>
      </c>
      <c r="K972" s="318" t="s">
        <v>125</v>
      </c>
      <c r="L972" s="14">
        <v>44402</v>
      </c>
      <c r="M972" t="s">
        <v>2093</v>
      </c>
      <c r="N972" s="174">
        <v>44402</v>
      </c>
      <c r="T972" s="195"/>
      <c r="U972" s="195"/>
      <c r="V972" s="300"/>
      <c r="W972" s="201"/>
      <c r="X972" s="201"/>
      <c r="Y972" s="200"/>
      <c r="Z972" s="207"/>
      <c r="AA972" s="206"/>
      <c r="AB972" s="207"/>
      <c r="AC972" s="188"/>
      <c r="AD972" s="187">
        <v>44402</v>
      </c>
    </row>
    <row r="973" spans="1:30">
      <c r="A973" s="318">
        <f>COUNTA($D$3:$D$973)</f>
        <v>971</v>
      </c>
      <c r="B973" s="318" t="s">
        <v>1813</v>
      </c>
      <c r="C973" s="318" t="s">
        <v>41</v>
      </c>
      <c r="D973" s="318" t="s">
        <v>49</v>
      </c>
      <c r="E973" s="318" t="s">
        <v>1088</v>
      </c>
      <c r="F973" s="316">
        <v>44385</v>
      </c>
      <c r="G973" s="316"/>
      <c r="H973" s="316"/>
      <c r="I973" s="316" t="s">
        <v>3</v>
      </c>
      <c r="J973" s="318" t="s">
        <v>1724</v>
      </c>
      <c r="K973" s="318" t="s">
        <v>33</v>
      </c>
      <c r="L973" s="14">
        <v>44402</v>
      </c>
      <c r="M973" t="s">
        <v>2093</v>
      </c>
      <c r="N973" s="174">
        <v>44402</v>
      </c>
      <c r="T973" s="195"/>
      <c r="U973" s="195"/>
      <c r="V973" s="300"/>
      <c r="W973" s="201"/>
      <c r="X973" s="201"/>
      <c r="Y973" s="200"/>
      <c r="Z973" s="207"/>
      <c r="AA973" s="206"/>
      <c r="AB973" s="207"/>
      <c r="AC973" s="188"/>
      <c r="AD973" s="187">
        <v>44402</v>
      </c>
    </row>
    <row r="974" spans="1:30">
      <c r="A974" s="318">
        <f>COUNTA($D$3:$D$974)</f>
        <v>972</v>
      </c>
      <c r="B974" s="318" t="s">
        <v>1926</v>
      </c>
      <c r="C974" s="318" t="s">
        <v>93</v>
      </c>
      <c r="D974" s="318" t="s">
        <v>16</v>
      </c>
      <c r="E974" s="318" t="s">
        <v>1236</v>
      </c>
      <c r="F974" s="316">
        <v>44455.706797557898</v>
      </c>
      <c r="G974" s="316"/>
      <c r="H974" s="316"/>
      <c r="I974" s="316" t="s">
        <v>3</v>
      </c>
      <c r="J974" s="318" t="s">
        <v>1934</v>
      </c>
      <c r="K974" s="318" t="s">
        <v>1089</v>
      </c>
      <c r="L974" s="14">
        <v>44402</v>
      </c>
      <c r="M974" t="s">
        <v>2094</v>
      </c>
      <c r="N974" s="174">
        <v>44402</v>
      </c>
      <c r="T974" s="195"/>
      <c r="U974" s="195"/>
      <c r="V974" s="300"/>
      <c r="W974" s="201"/>
      <c r="X974" s="201"/>
      <c r="Y974" s="200"/>
      <c r="Z974" s="207"/>
      <c r="AA974" s="206"/>
      <c r="AB974" s="207"/>
      <c r="AC974" s="188"/>
      <c r="AD974" s="187">
        <v>44402</v>
      </c>
    </row>
    <row r="975" spans="1:30">
      <c r="A975" s="318">
        <f>COUNTA($D$3:$D$975)</f>
        <v>973</v>
      </c>
      <c r="B975" s="318" t="s">
        <v>1938</v>
      </c>
      <c r="C975" s="318" t="s">
        <v>44</v>
      </c>
      <c r="D975" s="318" t="s">
        <v>30</v>
      </c>
      <c r="E975" s="318" t="s">
        <v>81</v>
      </c>
      <c r="F975" s="316">
        <v>44459.790324074071</v>
      </c>
      <c r="G975" s="316"/>
      <c r="H975" s="316"/>
      <c r="I975" s="316" t="s">
        <v>3</v>
      </c>
      <c r="J975" s="318" t="s">
        <v>1720</v>
      </c>
      <c r="K975" s="318" t="s">
        <v>1089</v>
      </c>
      <c r="L975" s="14">
        <v>44402</v>
      </c>
      <c r="M975" t="s">
        <v>2093</v>
      </c>
      <c r="N975" s="174">
        <v>44402</v>
      </c>
      <c r="T975" s="195"/>
      <c r="U975" s="195"/>
      <c r="V975" s="300"/>
      <c r="W975" s="201"/>
      <c r="X975" s="201"/>
      <c r="Y975" s="200"/>
      <c r="Z975" s="207"/>
      <c r="AA975" s="206"/>
      <c r="AB975" s="207"/>
      <c r="AC975" s="188"/>
      <c r="AD975" s="187">
        <v>44402</v>
      </c>
    </row>
    <row r="976" spans="1:30">
      <c r="A976" s="318">
        <f>COUNTA($D$3:$D$976)</f>
        <v>974</v>
      </c>
      <c r="B976" s="318" t="s">
        <v>1943</v>
      </c>
      <c r="C976" s="318" t="s">
        <v>44</v>
      </c>
      <c r="D976" s="318" t="s">
        <v>27</v>
      </c>
      <c r="E976" s="318" t="s">
        <v>1944</v>
      </c>
      <c r="F976" s="316">
        <v>44462</v>
      </c>
      <c r="G976" s="316"/>
      <c r="H976" s="316"/>
      <c r="I976" s="316" t="s">
        <v>4</v>
      </c>
      <c r="J976" s="318" t="s">
        <v>1668</v>
      </c>
      <c r="K976" s="318" t="s">
        <v>101</v>
      </c>
      <c r="L976" s="14">
        <v>44402</v>
      </c>
      <c r="M976" t="s">
        <v>2093</v>
      </c>
      <c r="N976" s="174">
        <v>44402</v>
      </c>
      <c r="T976" s="195"/>
      <c r="U976" s="195"/>
      <c r="V976" s="300"/>
      <c r="W976" s="201"/>
      <c r="X976" s="201"/>
      <c r="Y976" s="200"/>
      <c r="Z976" s="207"/>
      <c r="AA976" s="206"/>
      <c r="AB976" s="207"/>
      <c r="AC976" s="188"/>
      <c r="AD976" s="187">
        <v>44402</v>
      </c>
    </row>
    <row r="977" spans="1:30">
      <c r="A977" s="318">
        <f>COUNTA($D$3:$D$977)</f>
        <v>975</v>
      </c>
      <c r="B977" s="318" t="s">
        <v>1863</v>
      </c>
      <c r="C977" s="318" t="s">
        <v>71</v>
      </c>
      <c r="D977" s="318" t="s">
        <v>51</v>
      </c>
      <c r="E977" s="318" t="s">
        <v>1128</v>
      </c>
      <c r="F977" s="316">
        <v>44434.888287037</v>
      </c>
      <c r="G977" s="316"/>
      <c r="H977" s="316"/>
      <c r="I977" s="316" t="s">
        <v>2</v>
      </c>
      <c r="J977" s="318" t="s">
        <v>1766</v>
      </c>
      <c r="K977" s="318" t="s">
        <v>20</v>
      </c>
      <c r="L977" s="14">
        <v>44402</v>
      </c>
      <c r="M977" t="s">
        <v>2094</v>
      </c>
      <c r="N977" s="174">
        <v>44402</v>
      </c>
      <c r="T977" s="195"/>
      <c r="U977" s="195"/>
      <c r="V977" s="300"/>
      <c r="W977" s="201"/>
      <c r="X977" s="201"/>
      <c r="Y977" s="200"/>
      <c r="Z977" s="207"/>
      <c r="AA977" s="206"/>
      <c r="AB977" s="207"/>
      <c r="AC977" s="188"/>
      <c r="AD977" s="187">
        <v>44402</v>
      </c>
    </row>
    <row r="978" spans="1:30">
      <c r="A978" s="318">
        <f>COUNTA($D$3:$D$978)</f>
        <v>976</v>
      </c>
      <c r="B978" s="318" t="s">
        <v>1941</v>
      </c>
      <c r="C978" s="318" t="s">
        <v>1218</v>
      </c>
      <c r="D978" s="318" t="s">
        <v>30</v>
      </c>
      <c r="E978" s="318" t="s">
        <v>1276</v>
      </c>
      <c r="F978" s="316">
        <v>44461.649375000001</v>
      </c>
      <c r="G978" s="316"/>
      <c r="H978" s="316"/>
      <c r="I978" s="316" t="s">
        <v>3</v>
      </c>
      <c r="J978" s="318" t="s">
        <v>1249</v>
      </c>
      <c r="K978" s="318" t="s">
        <v>20</v>
      </c>
      <c r="L978" s="14">
        <v>44402</v>
      </c>
      <c r="M978" t="s">
        <v>2094</v>
      </c>
      <c r="N978" s="174">
        <v>44402</v>
      </c>
      <c r="T978" s="195"/>
      <c r="U978" s="195"/>
      <c r="V978" s="300"/>
      <c r="W978" s="201"/>
      <c r="X978" s="201"/>
      <c r="Y978" s="200"/>
      <c r="Z978" s="207"/>
      <c r="AA978" s="206"/>
      <c r="AB978" s="207"/>
      <c r="AC978" s="188"/>
      <c r="AD978" s="187">
        <v>44402</v>
      </c>
    </row>
    <row r="979" spans="1:30">
      <c r="A979" s="318">
        <f>COUNTA($D$3:$D$979)</f>
        <v>977</v>
      </c>
      <c r="B979" s="318" t="s">
        <v>1864</v>
      </c>
      <c r="C979" s="318" t="s">
        <v>1865</v>
      </c>
      <c r="D979" s="318" t="s">
        <v>16</v>
      </c>
      <c r="E979" s="318" t="s">
        <v>1866</v>
      </c>
      <c r="F979" s="316">
        <v>44440</v>
      </c>
      <c r="G979" s="316"/>
      <c r="H979" s="316"/>
      <c r="I979" s="316" t="s">
        <v>2</v>
      </c>
      <c r="J979" s="318" t="s">
        <v>1664</v>
      </c>
      <c r="K979" s="318" t="s">
        <v>20</v>
      </c>
      <c r="L979" s="14">
        <v>44402</v>
      </c>
      <c r="M979" t="s">
        <v>2094</v>
      </c>
      <c r="N979" s="174">
        <v>44402</v>
      </c>
      <c r="T979" s="195"/>
      <c r="U979" s="195"/>
      <c r="V979" s="300"/>
      <c r="W979" s="201"/>
      <c r="X979" s="201"/>
      <c r="Y979" s="200"/>
      <c r="Z979" s="207"/>
      <c r="AA979" s="206"/>
      <c r="AB979" s="207"/>
      <c r="AC979" s="188"/>
      <c r="AD979" s="187">
        <v>44402</v>
      </c>
    </row>
    <row r="980" spans="1:30">
      <c r="A980" s="318">
        <f>COUNTA($D$3:$D$980)</f>
        <v>978</v>
      </c>
      <c r="B980" s="318" t="s">
        <v>1924</v>
      </c>
      <c r="C980" s="318" t="s">
        <v>21</v>
      </c>
      <c r="D980" s="318" t="s">
        <v>23</v>
      </c>
      <c r="E980" s="318" t="s">
        <v>1925</v>
      </c>
      <c r="F980" s="316">
        <v>44452.734578611096</v>
      </c>
      <c r="G980" s="316"/>
      <c r="H980" s="316"/>
      <c r="I980" s="316" t="s">
        <v>3</v>
      </c>
      <c r="J980" s="318" t="s">
        <v>1666</v>
      </c>
      <c r="K980" s="318" t="s">
        <v>125</v>
      </c>
      <c r="L980" s="14">
        <v>44394</v>
      </c>
      <c r="M980" t="s">
        <v>2092</v>
      </c>
      <c r="N980" s="174">
        <v>44394</v>
      </c>
      <c r="T980" s="195"/>
      <c r="U980" s="195"/>
      <c r="V980" s="300"/>
      <c r="W980" s="201"/>
      <c r="X980" s="201"/>
      <c r="Y980" s="200"/>
      <c r="Z980" s="207"/>
      <c r="AA980" s="206"/>
      <c r="AB980" s="207"/>
      <c r="AC980" s="188"/>
      <c r="AD980" s="187">
        <v>44394</v>
      </c>
    </row>
    <row r="981" spans="1:30">
      <c r="A981" s="318">
        <f>COUNTA($D$3:$D$981)</f>
        <v>979</v>
      </c>
      <c r="B981" s="318" t="s">
        <v>1913</v>
      </c>
      <c r="C981" s="318" t="s">
        <v>21</v>
      </c>
      <c r="D981" s="318" t="s">
        <v>1169</v>
      </c>
      <c r="E981" s="318" t="s">
        <v>1170</v>
      </c>
      <c r="F981" s="316">
        <v>44452.726817129631</v>
      </c>
      <c r="G981" s="316"/>
      <c r="H981" s="316"/>
      <c r="I981" s="316" t="s">
        <v>3</v>
      </c>
      <c r="J981" s="318" t="s">
        <v>1485</v>
      </c>
      <c r="K981" s="318" t="s">
        <v>125</v>
      </c>
      <c r="L981" s="14">
        <v>44394</v>
      </c>
      <c r="M981" t="s">
        <v>2092</v>
      </c>
      <c r="N981" s="174">
        <v>44394</v>
      </c>
      <c r="T981" s="195"/>
      <c r="U981" s="195"/>
      <c r="V981" s="300"/>
      <c r="W981" s="201"/>
      <c r="X981" s="201"/>
      <c r="Y981" s="200"/>
      <c r="Z981" s="207"/>
      <c r="AA981" s="206"/>
      <c r="AB981" s="207"/>
      <c r="AC981" s="188"/>
      <c r="AD981" s="187">
        <v>44394</v>
      </c>
    </row>
    <row r="982" spans="1:30">
      <c r="A982" s="318">
        <f>COUNTA($D$3:$D$982)</f>
        <v>980</v>
      </c>
      <c r="B982" s="318" t="s">
        <v>1914</v>
      </c>
      <c r="C982" s="318" t="s">
        <v>21</v>
      </c>
      <c r="D982" s="318" t="s">
        <v>34</v>
      </c>
      <c r="E982" s="318" t="s">
        <v>1256</v>
      </c>
      <c r="F982" s="316">
        <v>44452.727569444447</v>
      </c>
      <c r="G982" s="316"/>
      <c r="H982" s="316"/>
      <c r="I982" s="316" t="s">
        <v>3</v>
      </c>
      <c r="J982" s="318" t="s">
        <v>1485</v>
      </c>
      <c r="K982" s="318" t="s">
        <v>1089</v>
      </c>
      <c r="L982" s="14">
        <v>44394</v>
      </c>
      <c r="M982" t="s">
        <v>2092</v>
      </c>
      <c r="N982" s="174">
        <v>44394</v>
      </c>
      <c r="T982" s="195"/>
      <c r="U982" s="195"/>
      <c r="V982" s="300"/>
      <c r="W982" s="201"/>
      <c r="X982" s="201"/>
      <c r="Y982" s="200"/>
      <c r="Z982" s="207"/>
      <c r="AA982" s="206"/>
      <c r="AB982" s="207"/>
      <c r="AC982" s="188"/>
      <c r="AD982" s="187">
        <v>44394</v>
      </c>
    </row>
    <row r="983" spans="1:30">
      <c r="A983" s="318">
        <f>COUNTA($D$3:$D$983)</f>
        <v>981</v>
      </c>
      <c r="B983" s="318" t="s">
        <v>1922</v>
      </c>
      <c r="C983" s="318" t="s">
        <v>41</v>
      </c>
      <c r="D983" s="318" t="s">
        <v>34</v>
      </c>
      <c r="E983" s="318" t="s">
        <v>1923</v>
      </c>
      <c r="F983" s="316">
        <v>44452.733541666668</v>
      </c>
      <c r="G983" s="316"/>
      <c r="H983" s="316"/>
      <c r="I983" s="316" t="s">
        <v>3</v>
      </c>
      <c r="J983" s="318" t="s">
        <v>1720</v>
      </c>
      <c r="K983" s="318" t="s">
        <v>125</v>
      </c>
      <c r="L983" s="14">
        <v>44394</v>
      </c>
      <c r="M983" t="s">
        <v>2093</v>
      </c>
      <c r="N983" s="174">
        <v>44394</v>
      </c>
      <c r="T983" s="195"/>
      <c r="U983" s="195"/>
      <c r="V983" s="300"/>
      <c r="W983" s="201"/>
      <c r="X983" s="201"/>
      <c r="Y983" s="200"/>
      <c r="Z983" s="207"/>
      <c r="AA983" s="206"/>
      <c r="AB983" s="207"/>
      <c r="AC983" s="188"/>
      <c r="AD983" s="187">
        <v>44394</v>
      </c>
    </row>
    <row r="984" spans="1:30">
      <c r="A984" s="318">
        <f>COUNTA($D$3:$D$984)</f>
        <v>982</v>
      </c>
      <c r="B984" s="318" t="s">
        <v>1915</v>
      </c>
      <c r="C984" s="318" t="s">
        <v>41</v>
      </c>
      <c r="D984" s="318" t="s">
        <v>1125</v>
      </c>
      <c r="E984" s="318" t="s">
        <v>1135</v>
      </c>
      <c r="F984" s="316">
        <v>44452.728761574072</v>
      </c>
      <c r="G984" s="316"/>
      <c r="H984" s="316"/>
      <c r="I984" s="316" t="s">
        <v>3</v>
      </c>
      <c r="J984" s="318" t="s">
        <v>1916</v>
      </c>
      <c r="K984" s="318" t="s">
        <v>33</v>
      </c>
      <c r="L984" s="14">
        <v>44394</v>
      </c>
      <c r="M984" t="s">
        <v>2093</v>
      </c>
      <c r="N984" s="174">
        <v>44394</v>
      </c>
      <c r="T984" s="195"/>
      <c r="U984" s="195"/>
      <c r="V984" s="300"/>
      <c r="W984" s="201"/>
      <c r="X984" s="201"/>
      <c r="Y984" s="200"/>
      <c r="Z984" s="207"/>
      <c r="AA984" s="206"/>
      <c r="AB984" s="207"/>
      <c r="AC984" s="188"/>
      <c r="AD984" s="187">
        <v>44394</v>
      </c>
    </row>
    <row r="985" spans="1:30">
      <c r="A985" s="318">
        <f>COUNTA($D$3:$D$985)</f>
        <v>983</v>
      </c>
      <c r="B985" s="318" t="s">
        <v>1931</v>
      </c>
      <c r="C985" s="318" t="s">
        <v>1149</v>
      </c>
      <c r="D985" s="318" t="s">
        <v>58</v>
      </c>
      <c r="E985" s="318" t="s">
        <v>1150</v>
      </c>
      <c r="F985" s="316">
        <v>44454.789722222224</v>
      </c>
      <c r="G985" s="316"/>
      <c r="H985" s="316"/>
      <c r="I985" s="316" t="s">
        <v>3</v>
      </c>
      <c r="J985" s="318" t="s">
        <v>1932</v>
      </c>
      <c r="K985" s="318" t="s">
        <v>1089</v>
      </c>
      <c r="L985" s="14">
        <v>44394</v>
      </c>
      <c r="M985" t="s">
        <v>2092</v>
      </c>
      <c r="N985" s="174">
        <v>44394</v>
      </c>
      <c r="T985" s="195"/>
      <c r="U985" s="195"/>
      <c r="V985" s="300"/>
      <c r="W985" s="201"/>
      <c r="X985" s="201"/>
      <c r="Y985" s="200"/>
      <c r="Z985" s="207"/>
      <c r="AA985" s="206"/>
      <c r="AB985" s="207"/>
      <c r="AC985" s="188"/>
      <c r="AD985" s="187">
        <v>44394</v>
      </c>
    </row>
    <row r="986" spans="1:30">
      <c r="A986" s="318">
        <f>COUNTA($D$3:$D$986)</f>
        <v>984</v>
      </c>
      <c r="B986" s="318" t="s">
        <v>1920</v>
      </c>
      <c r="C986" s="318" t="s">
        <v>21</v>
      </c>
      <c r="D986" s="318" t="s">
        <v>25</v>
      </c>
      <c r="E986" s="318" t="s">
        <v>298</v>
      </c>
      <c r="F986" s="316">
        <v>44455.657258622698</v>
      </c>
      <c r="G986" s="316"/>
      <c r="H986" s="316"/>
      <c r="I986" s="316" t="s">
        <v>3</v>
      </c>
      <c r="J986" s="318" t="s">
        <v>1921</v>
      </c>
      <c r="K986" s="318" t="s">
        <v>33</v>
      </c>
      <c r="L986" s="14">
        <v>44394</v>
      </c>
      <c r="M986" t="s">
        <v>2092</v>
      </c>
      <c r="N986" s="174">
        <v>44394</v>
      </c>
      <c r="T986" s="195"/>
      <c r="U986" s="195"/>
      <c r="V986" s="300"/>
      <c r="W986" s="201"/>
      <c r="X986" s="201"/>
      <c r="Y986" s="200"/>
      <c r="Z986" s="207"/>
      <c r="AA986" s="206"/>
      <c r="AB986" s="207"/>
      <c r="AC986" s="188"/>
      <c r="AD986" s="187">
        <v>44394</v>
      </c>
    </row>
    <row r="987" spans="1:30">
      <c r="A987" s="318">
        <f>COUNTA($D$3:$D$987)</f>
        <v>985</v>
      </c>
      <c r="B987" s="318" t="s">
        <v>1927</v>
      </c>
      <c r="C987" s="318" t="s">
        <v>37</v>
      </c>
      <c r="D987" s="318" t="s">
        <v>34</v>
      </c>
      <c r="E987" s="318" t="s">
        <v>1141</v>
      </c>
      <c r="F987" s="316">
        <v>44454.786829375</v>
      </c>
      <c r="G987" s="316"/>
      <c r="H987" s="316"/>
      <c r="I987" s="316" t="s">
        <v>3</v>
      </c>
      <c r="J987" s="318" t="s">
        <v>1647</v>
      </c>
      <c r="K987" s="318" t="s">
        <v>1277</v>
      </c>
      <c r="L987" s="14">
        <v>44394</v>
      </c>
      <c r="M987" t="s">
        <v>2092</v>
      </c>
      <c r="N987" s="174">
        <v>44394</v>
      </c>
      <c r="T987" s="195"/>
      <c r="U987" s="195"/>
      <c r="V987" s="300"/>
      <c r="W987" s="201"/>
      <c r="X987" s="201"/>
      <c r="Y987" s="200"/>
      <c r="Z987" s="207"/>
      <c r="AA987" s="206"/>
      <c r="AB987" s="207"/>
      <c r="AC987" s="188"/>
      <c r="AD987" s="187">
        <v>44394</v>
      </c>
    </row>
    <row r="988" spans="1:30">
      <c r="A988" s="318">
        <f>COUNTA($D$3:$D$988)</f>
        <v>986</v>
      </c>
      <c r="B988" s="318" t="s">
        <v>1919</v>
      </c>
      <c r="C988" s="318" t="s">
        <v>21</v>
      </c>
      <c r="D988" s="318" t="s">
        <v>34</v>
      </c>
      <c r="E988" s="318" t="s">
        <v>1682</v>
      </c>
      <c r="F988" s="316">
        <v>44452.731087962966</v>
      </c>
      <c r="G988" s="316"/>
      <c r="H988" s="316"/>
      <c r="I988" s="316" t="s">
        <v>3</v>
      </c>
      <c r="J988" s="318" t="s">
        <v>1485</v>
      </c>
      <c r="K988" s="318" t="s">
        <v>33</v>
      </c>
      <c r="L988" s="14">
        <v>44394</v>
      </c>
      <c r="M988" t="s">
        <v>2092</v>
      </c>
      <c r="N988" s="174">
        <v>44394</v>
      </c>
      <c r="T988" s="195"/>
      <c r="U988" s="195"/>
      <c r="V988" s="300"/>
      <c r="W988" s="201"/>
      <c r="X988" s="201"/>
      <c r="Y988" s="200"/>
      <c r="Z988" s="207"/>
      <c r="AA988" s="206"/>
      <c r="AB988" s="207"/>
      <c r="AC988" s="188"/>
      <c r="AD988" s="187">
        <v>44394</v>
      </c>
    </row>
    <row r="989" spans="1:30">
      <c r="A989" s="318">
        <f>COUNTA($D$3:$D$989)</f>
        <v>987</v>
      </c>
      <c r="B989" s="318" t="s">
        <v>1928</v>
      </c>
      <c r="C989" s="318" t="s">
        <v>37</v>
      </c>
      <c r="D989" s="318" t="s">
        <v>34</v>
      </c>
      <c r="E989" s="318" t="s">
        <v>1146</v>
      </c>
      <c r="F989" s="316">
        <v>44454.788151724497</v>
      </c>
      <c r="G989" s="316"/>
      <c r="H989" s="316"/>
      <c r="I989" s="316" t="s">
        <v>3</v>
      </c>
      <c r="J989" s="318" t="s">
        <v>1647</v>
      </c>
      <c r="K989" s="318" t="s">
        <v>125</v>
      </c>
      <c r="L989" s="14">
        <v>44394</v>
      </c>
      <c r="M989" t="s">
        <v>2092</v>
      </c>
      <c r="N989" s="174">
        <v>44394</v>
      </c>
      <c r="T989" s="195"/>
      <c r="U989" s="195"/>
      <c r="V989" s="300"/>
      <c r="W989" s="201"/>
      <c r="X989" s="201"/>
      <c r="Y989" s="200"/>
      <c r="Z989" s="207"/>
      <c r="AA989" s="206"/>
      <c r="AB989" s="207"/>
      <c r="AC989" s="188"/>
      <c r="AD989" s="187">
        <v>44394</v>
      </c>
    </row>
    <row r="990" spans="1:30">
      <c r="A990" s="318">
        <f>COUNTA($D$3:$D$990)</f>
        <v>988</v>
      </c>
      <c r="B990" s="318" t="s">
        <v>1929</v>
      </c>
      <c r="C990" s="318" t="s">
        <v>37</v>
      </c>
      <c r="D990" s="318" t="s">
        <v>30</v>
      </c>
      <c r="E990" s="318" t="s">
        <v>1232</v>
      </c>
      <c r="F990" s="316">
        <v>44454.789085648146</v>
      </c>
      <c r="G990" s="316"/>
      <c r="H990" s="316"/>
      <c r="I990" s="316" t="s">
        <v>3</v>
      </c>
      <c r="J990" s="318" t="s">
        <v>1930</v>
      </c>
      <c r="K990" s="318" t="s">
        <v>33</v>
      </c>
      <c r="L990" s="14">
        <v>44394</v>
      </c>
      <c r="M990" t="s">
        <v>2092</v>
      </c>
      <c r="N990" s="174">
        <v>44394</v>
      </c>
      <c r="T990" s="195"/>
      <c r="U990" s="195"/>
      <c r="V990" s="300"/>
      <c r="W990" s="201"/>
      <c r="X990" s="201"/>
      <c r="Y990" s="200"/>
      <c r="Z990" s="207"/>
      <c r="AA990" s="206"/>
      <c r="AB990" s="207"/>
      <c r="AC990" s="188"/>
      <c r="AD990" s="187"/>
    </row>
    <row r="991" spans="1:30">
      <c r="A991" s="318">
        <f>COUNTA($D$3:$D$991)</f>
        <v>989</v>
      </c>
      <c r="B991" s="318" t="s">
        <v>1885</v>
      </c>
      <c r="C991" s="318" t="s">
        <v>44</v>
      </c>
      <c r="D991" s="318" t="s">
        <v>49</v>
      </c>
      <c r="E991" s="318" t="s">
        <v>61</v>
      </c>
      <c r="F991" s="316">
        <v>44446.748553240737</v>
      </c>
      <c r="G991" s="316"/>
      <c r="H991" s="316"/>
      <c r="I991" s="316" t="s">
        <v>3</v>
      </c>
      <c r="J991" s="318" t="s">
        <v>1485</v>
      </c>
      <c r="K991" s="318" t="s">
        <v>53</v>
      </c>
      <c r="L991" s="14">
        <v>44387</v>
      </c>
      <c r="M991" t="s">
        <v>2093</v>
      </c>
      <c r="N991" s="174">
        <v>44387</v>
      </c>
      <c r="T991" s="195"/>
      <c r="U991" s="195"/>
      <c r="V991" s="300"/>
      <c r="W991" s="201"/>
      <c r="X991" s="201"/>
      <c r="Y991" s="200"/>
      <c r="Z991" s="207"/>
      <c r="AA991" s="206"/>
      <c r="AB991" s="207"/>
      <c r="AC991" s="188"/>
      <c r="AD991" s="187"/>
    </row>
    <row r="992" spans="1:30">
      <c r="A992" s="318">
        <f>COUNTA($D$3:$D$992)</f>
        <v>990</v>
      </c>
      <c r="B992" s="318" t="s">
        <v>1886</v>
      </c>
      <c r="C992" s="318" t="s">
        <v>44</v>
      </c>
      <c r="D992" s="318" t="s">
        <v>56</v>
      </c>
      <c r="E992" s="318" t="s">
        <v>118</v>
      </c>
      <c r="F992" s="316">
        <v>44446.748993055553</v>
      </c>
      <c r="G992" s="316"/>
      <c r="H992" s="316"/>
      <c r="I992" s="316" t="s">
        <v>3</v>
      </c>
      <c r="J992" s="318" t="s">
        <v>1485</v>
      </c>
      <c r="K992" s="318" t="s">
        <v>33</v>
      </c>
      <c r="L992" s="14">
        <v>44387</v>
      </c>
      <c r="M992" t="s">
        <v>2093</v>
      </c>
      <c r="N992" s="174">
        <v>44387</v>
      </c>
      <c r="T992" s="195"/>
      <c r="U992" s="195"/>
      <c r="V992" s="300"/>
      <c r="W992" s="201"/>
      <c r="X992" s="201"/>
      <c r="Y992" s="200"/>
      <c r="Z992" s="207"/>
      <c r="AA992" s="206"/>
      <c r="AB992" s="207"/>
      <c r="AC992" s="188"/>
      <c r="AD992" s="187"/>
    </row>
    <row r="993" spans="1:30">
      <c r="A993" s="318">
        <f>COUNTA($D$3:$D$993)</f>
        <v>991</v>
      </c>
      <c r="B993" s="318" t="s">
        <v>1880</v>
      </c>
      <c r="C993" s="318" t="s">
        <v>41</v>
      </c>
      <c r="D993" s="318" t="s">
        <v>1264</v>
      </c>
      <c r="E993" s="318" t="s">
        <v>1881</v>
      </c>
      <c r="F993" s="316">
        <v>44446.74559027778</v>
      </c>
      <c r="G993" s="316"/>
      <c r="H993" s="316"/>
      <c r="I993" s="316" t="s">
        <v>4</v>
      </c>
      <c r="J993" s="318" t="s">
        <v>1879</v>
      </c>
      <c r="K993" s="318" t="s">
        <v>53</v>
      </c>
      <c r="L993" s="14">
        <v>44387</v>
      </c>
      <c r="M993" t="s">
        <v>2093</v>
      </c>
      <c r="N993" s="174">
        <v>44387</v>
      </c>
      <c r="T993" s="195"/>
      <c r="U993" s="195"/>
      <c r="V993" s="300"/>
      <c r="W993" s="201"/>
      <c r="X993" s="201"/>
      <c r="Y993" s="200"/>
      <c r="Z993" s="207"/>
      <c r="AA993" s="206"/>
      <c r="AB993" s="207"/>
      <c r="AC993" s="188"/>
      <c r="AD993" s="187"/>
    </row>
    <row r="994" spans="1:30">
      <c r="A994" s="318">
        <f>COUNTA($D$3:$D$994)</f>
        <v>992</v>
      </c>
      <c r="B994" s="318" t="s">
        <v>1878</v>
      </c>
      <c r="C994" s="318" t="s">
        <v>41</v>
      </c>
      <c r="D994" s="318" t="s">
        <v>1126</v>
      </c>
      <c r="E994" s="318" t="s">
        <v>1278</v>
      </c>
      <c r="F994" s="316">
        <v>44446.745092592595</v>
      </c>
      <c r="G994" s="316"/>
      <c r="H994" s="316"/>
      <c r="I994" s="316" t="s">
        <v>1110</v>
      </c>
      <c r="J994" s="318" t="s">
        <v>1879</v>
      </c>
      <c r="K994" s="318" t="s">
        <v>20</v>
      </c>
      <c r="L994" s="14">
        <v>44387</v>
      </c>
      <c r="M994" t="s">
        <v>2093</v>
      </c>
      <c r="N994" s="174">
        <v>44387</v>
      </c>
      <c r="T994" s="195"/>
      <c r="U994" s="195"/>
      <c r="V994" s="300"/>
      <c r="W994" s="201"/>
      <c r="X994" s="201"/>
      <c r="Y994" s="200"/>
      <c r="Z994" s="207"/>
      <c r="AA994" s="206"/>
      <c r="AB994" s="207"/>
      <c r="AC994" s="188"/>
      <c r="AD994" s="187"/>
    </row>
    <row r="995" spans="1:30">
      <c r="A995" s="318">
        <f>COUNTA($D$3:$D$995)</f>
        <v>993</v>
      </c>
      <c r="B995" s="318" t="s">
        <v>1872</v>
      </c>
      <c r="C995" s="318" t="s">
        <v>1094</v>
      </c>
      <c r="D995" s="318" t="s">
        <v>1103</v>
      </c>
      <c r="E995" s="318" t="s">
        <v>1219</v>
      </c>
      <c r="F995" s="316">
        <v>44447.829940405099</v>
      </c>
      <c r="G995" s="316"/>
      <c r="H995" s="316"/>
      <c r="I995" s="316" t="s">
        <v>3</v>
      </c>
      <c r="J995" s="318" t="s">
        <v>1934</v>
      </c>
      <c r="K995" s="318" t="s">
        <v>54</v>
      </c>
      <c r="L995" s="14">
        <v>44387</v>
      </c>
      <c r="M995" t="s">
        <v>2092</v>
      </c>
      <c r="N995" s="174">
        <v>44387</v>
      </c>
      <c r="T995" s="195"/>
      <c r="U995" s="195"/>
      <c r="V995" s="300"/>
      <c r="W995" s="201"/>
      <c r="X995" s="201"/>
      <c r="Y995" s="200"/>
      <c r="Z995" s="207"/>
      <c r="AA995" s="206"/>
      <c r="AB995" s="207"/>
      <c r="AC995" s="188"/>
      <c r="AD995" s="187"/>
    </row>
    <row r="996" spans="1:30">
      <c r="A996" s="318">
        <f>COUNTA($D$3:$D$996)</f>
        <v>994</v>
      </c>
      <c r="B996" s="318" t="s">
        <v>1870</v>
      </c>
      <c r="C996" s="318" t="s">
        <v>1118</v>
      </c>
      <c r="D996" s="318" t="s">
        <v>16</v>
      </c>
      <c r="E996" s="318" t="s">
        <v>1685</v>
      </c>
      <c r="F996" s="316">
        <v>44440.688298611101</v>
      </c>
      <c r="G996" s="316"/>
      <c r="H996" s="316"/>
      <c r="I996" s="316" t="s">
        <v>3</v>
      </c>
      <c r="J996" s="318" t="s">
        <v>1649</v>
      </c>
      <c r="K996" s="318" t="s">
        <v>53</v>
      </c>
      <c r="L996" s="14">
        <v>44387</v>
      </c>
      <c r="M996" t="s">
        <v>2094</v>
      </c>
      <c r="N996" s="174">
        <v>44387</v>
      </c>
      <c r="T996" s="195"/>
      <c r="U996" s="195"/>
      <c r="V996" s="300"/>
      <c r="W996" s="201"/>
      <c r="X996" s="201"/>
      <c r="Y996" s="200"/>
      <c r="Z996" s="207"/>
      <c r="AA996" s="206"/>
      <c r="AB996" s="207"/>
      <c r="AC996" s="188"/>
      <c r="AD996" s="187"/>
    </row>
    <row r="997" spans="1:30">
      <c r="A997" s="318">
        <f>COUNTA($D$3:$D$997)</f>
        <v>995</v>
      </c>
      <c r="B997" s="318" t="s">
        <v>1882</v>
      </c>
      <c r="C997" s="318" t="s">
        <v>41</v>
      </c>
      <c r="D997" s="318" t="s">
        <v>1172</v>
      </c>
      <c r="E997" s="318" t="s">
        <v>1883</v>
      </c>
      <c r="F997" s="316">
        <v>44446.748020833336</v>
      </c>
      <c r="G997" s="316"/>
      <c r="H997" s="316"/>
      <c r="I997" s="316" t="s">
        <v>4</v>
      </c>
      <c r="J997" s="318" t="s">
        <v>1884</v>
      </c>
      <c r="K997" s="318" t="s">
        <v>287</v>
      </c>
      <c r="L997" s="14">
        <v>44387</v>
      </c>
      <c r="M997" t="s">
        <v>2093</v>
      </c>
      <c r="N997" s="174">
        <v>44387</v>
      </c>
    </row>
    <row r="998" spans="1:30">
      <c r="A998" s="318">
        <f>COUNTA($D$3:$D$998)</f>
        <v>996</v>
      </c>
      <c r="B998" s="318" t="s">
        <v>2048</v>
      </c>
      <c r="C998" s="318" t="s">
        <v>44</v>
      </c>
      <c r="D998" s="318" t="s">
        <v>30</v>
      </c>
      <c r="E998" s="318" t="s">
        <v>79</v>
      </c>
      <c r="F998" s="316">
        <v>44491</v>
      </c>
      <c r="G998" s="316"/>
      <c r="H998" s="316"/>
      <c r="I998" s="316"/>
      <c r="J998" s="318"/>
      <c r="K998" s="318"/>
      <c r="L998" s="14">
        <v>44603</v>
      </c>
      <c r="M998" t="s">
        <v>2957</v>
      </c>
      <c r="N998" s="174">
        <v>44876</v>
      </c>
      <c r="Q998" t="s">
        <v>22</v>
      </c>
    </row>
    <row r="999" spans="1:30">
      <c r="A999" s="318">
        <f>COUNTA($D$3:$D$999)</f>
        <v>997</v>
      </c>
      <c r="B999" s="318" t="s">
        <v>2917</v>
      </c>
      <c r="C999" s="318" t="s">
        <v>44</v>
      </c>
      <c r="D999" s="318" t="s">
        <v>30</v>
      </c>
      <c r="E999" s="318" t="s">
        <v>120</v>
      </c>
      <c r="F999" s="316">
        <v>44266</v>
      </c>
      <c r="G999" s="316"/>
      <c r="H999" s="316"/>
      <c r="I999" s="316"/>
      <c r="J999" s="318"/>
      <c r="K999" s="318"/>
      <c r="L999" s="14">
        <v>44420</v>
      </c>
      <c r="M999" t="s">
        <v>2957</v>
      </c>
      <c r="N999" s="174">
        <v>44876</v>
      </c>
      <c r="Q999" t="s">
        <v>22</v>
      </c>
    </row>
    <row r="1000" spans="1:30">
      <c r="A1000" s="318">
        <f>COUNTA($D$3:$D$1000)</f>
        <v>998</v>
      </c>
      <c r="B1000" s="318" t="s">
        <v>2918</v>
      </c>
      <c r="C1000" s="318" t="s">
        <v>44</v>
      </c>
      <c r="D1000" s="318" t="s">
        <v>34</v>
      </c>
      <c r="E1000" s="318" t="s">
        <v>114</v>
      </c>
      <c r="F1000" s="316">
        <v>44138</v>
      </c>
      <c r="G1000" s="316"/>
      <c r="H1000" s="316"/>
      <c r="I1000" s="316"/>
      <c r="J1000" s="318"/>
      <c r="K1000" s="318"/>
      <c r="L1000" s="14">
        <v>44264</v>
      </c>
      <c r="M1000" t="s">
        <v>2957</v>
      </c>
      <c r="N1000" s="174">
        <v>44844</v>
      </c>
      <c r="Q1000" t="s">
        <v>22</v>
      </c>
    </row>
    <row r="1001" spans="1:30">
      <c r="A1001" s="318">
        <f>COUNTA($D$3:$D$1001)</f>
        <v>999</v>
      </c>
      <c r="B1001" s="318" t="s">
        <v>1917</v>
      </c>
      <c r="C1001" s="318" t="s">
        <v>44</v>
      </c>
      <c r="D1001" s="318" t="s">
        <v>30</v>
      </c>
      <c r="E1001" s="318" t="s">
        <v>84</v>
      </c>
      <c r="F1001" s="316">
        <v>44452</v>
      </c>
      <c r="G1001" s="316"/>
      <c r="H1001" s="316"/>
      <c r="I1001" s="316"/>
      <c r="J1001" s="318"/>
      <c r="K1001" s="318"/>
      <c r="L1001" s="14">
        <v>44565</v>
      </c>
      <c r="M1001" t="s">
        <v>2957</v>
      </c>
      <c r="N1001" s="174">
        <v>44876</v>
      </c>
      <c r="Q1001" t="s">
        <v>22</v>
      </c>
    </row>
    <row r="1002" spans="1:30">
      <c r="A1002" s="318">
        <f>COUNTA($D$3:$D$1002)</f>
        <v>1000</v>
      </c>
      <c r="B1002" s="318" t="s">
        <v>1770</v>
      </c>
      <c r="C1002" s="318" t="s">
        <v>44</v>
      </c>
      <c r="D1002" s="318" t="s">
        <v>34</v>
      </c>
      <c r="E1002" s="318" t="s">
        <v>128</v>
      </c>
      <c r="F1002" s="316">
        <v>44357</v>
      </c>
      <c r="G1002" s="316"/>
      <c r="H1002" s="316"/>
      <c r="I1002" s="316"/>
      <c r="J1002" s="318"/>
      <c r="K1002" s="318"/>
      <c r="L1002" s="14">
        <v>44503</v>
      </c>
      <c r="M1002" t="s">
        <v>2957</v>
      </c>
      <c r="N1002" s="174">
        <v>44876</v>
      </c>
      <c r="Q1002" t="s">
        <v>22</v>
      </c>
    </row>
    <row r="1003" spans="1:30">
      <c r="A1003" s="318">
        <f>COUNTA($D$3:$D$1003)</f>
        <v>1001</v>
      </c>
      <c r="B1003" s="318" t="s">
        <v>2919</v>
      </c>
      <c r="C1003" s="318" t="s">
        <v>44</v>
      </c>
      <c r="D1003" s="318" t="s">
        <v>1123</v>
      </c>
      <c r="E1003" s="318" t="s">
        <v>220</v>
      </c>
      <c r="F1003" s="316">
        <v>44214</v>
      </c>
      <c r="G1003" s="316"/>
      <c r="H1003" s="316"/>
      <c r="I1003" s="316"/>
      <c r="J1003" s="318"/>
      <c r="K1003" s="318"/>
      <c r="L1003" s="14">
        <v>44326</v>
      </c>
      <c r="M1003" t="s">
        <v>2957</v>
      </c>
      <c r="N1003" s="174">
        <v>44876</v>
      </c>
      <c r="Q1003" t="s">
        <v>22</v>
      </c>
    </row>
    <row r="1004" spans="1:30">
      <c r="A1004" s="318">
        <f>COUNTA($D$3:$D$1004)</f>
        <v>1002</v>
      </c>
      <c r="B1004" s="318" t="s">
        <v>2920</v>
      </c>
      <c r="C1004" s="318" t="s">
        <v>44</v>
      </c>
      <c r="D1004" s="318" t="s">
        <v>56</v>
      </c>
      <c r="E1004" s="318" t="s">
        <v>222</v>
      </c>
      <c r="F1004" s="316">
        <v>43724</v>
      </c>
      <c r="G1004" s="316"/>
      <c r="H1004" s="316"/>
      <c r="I1004" s="316"/>
      <c r="J1004" s="318"/>
      <c r="K1004" s="318"/>
      <c r="L1004" s="14">
        <v>43875</v>
      </c>
      <c r="M1004" t="s">
        <v>2957</v>
      </c>
      <c r="N1004" s="174">
        <v>44876</v>
      </c>
      <c r="Q1004" t="s">
        <v>22</v>
      </c>
    </row>
    <row r="1005" spans="1:30">
      <c r="A1005" s="318">
        <f>COUNTA($D$3:$D$1005)</f>
        <v>1003</v>
      </c>
      <c r="B1005" s="318" t="s">
        <v>3245</v>
      </c>
      <c r="C1005" s="318" t="s">
        <v>41</v>
      </c>
      <c r="D1005" s="318" t="s">
        <v>23</v>
      </c>
      <c r="E1005" s="318" t="s">
        <v>1272</v>
      </c>
      <c r="F1005" s="316">
        <v>44725</v>
      </c>
      <c r="G1005" s="316"/>
      <c r="H1005" s="316"/>
      <c r="I1005" s="316"/>
      <c r="J1005" s="318"/>
      <c r="K1005" s="318"/>
      <c r="L1005" s="14">
        <v>44357</v>
      </c>
      <c r="N1005" s="174">
        <v>44725</v>
      </c>
    </row>
    <row r="1006" spans="1:30">
      <c r="A1006" s="318">
        <f>COUNTA($D$3:$D$1006)</f>
        <v>1004</v>
      </c>
      <c r="B1006" s="318" t="s">
        <v>3952</v>
      </c>
      <c r="C1006" s="318" t="s">
        <v>41</v>
      </c>
      <c r="D1006" s="318" t="s">
        <v>1115</v>
      </c>
      <c r="E1006" s="318" t="s">
        <v>3955</v>
      </c>
      <c r="F1006" s="316">
        <v>44343</v>
      </c>
      <c r="G1006" s="316"/>
      <c r="H1006" s="316"/>
      <c r="I1006" s="316"/>
      <c r="J1006" s="318"/>
      <c r="K1006" s="318"/>
      <c r="L1006" s="14">
        <v>44250</v>
      </c>
      <c r="N1006" s="174">
        <v>44708</v>
      </c>
    </row>
    <row r="1007" spans="1:30">
      <c r="A1007" s="318">
        <f>COUNTA($D$3:$D$1007)</f>
        <v>1005</v>
      </c>
      <c r="B1007" s="318" t="s">
        <v>3953</v>
      </c>
      <c r="C1007" s="318" t="s">
        <v>41</v>
      </c>
      <c r="D1007" s="318" t="s">
        <v>16</v>
      </c>
      <c r="E1007" s="318" t="s">
        <v>3956</v>
      </c>
      <c r="F1007" s="316">
        <v>44250</v>
      </c>
      <c r="G1007" s="316"/>
      <c r="H1007" s="316"/>
      <c r="I1007" s="316"/>
      <c r="J1007" s="318"/>
      <c r="K1007" s="318"/>
      <c r="N1007" s="174">
        <v>44250</v>
      </c>
    </row>
    <row r="1008" spans="1:30">
      <c r="F1008" s="150"/>
    </row>
  </sheetData>
  <autoFilter ref="A2:AD1007" xr:uid="{B8D90480-30C4-4808-B712-E9B05046BB60}"/>
  <conditionalFormatting sqref="E523:E1048576 E1:E2">
    <cfRule type="duplicateValues" dxfId="29" priority="22"/>
  </conditionalFormatting>
  <conditionalFormatting sqref="B523:B1048576 B1:B2">
    <cfRule type="duplicateValues" dxfId="28" priority="21"/>
  </conditionalFormatting>
  <conditionalFormatting sqref="E400:E522 E3:E13 E21:E395">
    <cfRule type="duplicateValues" dxfId="27" priority="14"/>
  </conditionalFormatting>
  <conditionalFormatting sqref="B329:B395 B406:B522 B397:B402 B3:B13 B21:B280">
    <cfRule type="duplicateValues" dxfId="26" priority="13"/>
  </conditionalFormatting>
  <conditionalFormatting sqref="E396">
    <cfRule type="duplicateValues" dxfId="25" priority="12"/>
  </conditionalFormatting>
  <conditionalFormatting sqref="E397:E399">
    <cfRule type="duplicateValues" dxfId="24" priority="11"/>
  </conditionalFormatting>
  <conditionalFormatting sqref="B14:B20">
    <cfRule type="duplicateValues" dxfId="23" priority="1"/>
  </conditionalFormatting>
  <conditionalFormatting sqref="E14:E20">
    <cfRule type="duplicateValues" dxfId="22" priority="2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 filterMode="1">
    <pageSetUpPr fitToPage="1"/>
  </sheetPr>
  <dimension ref="A1:R626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3" sqref="L3:L13"/>
    </sheetView>
  </sheetViews>
  <sheetFormatPr defaultRowHeight="15"/>
  <cols>
    <col min="1" max="1" width="5.7109375" customWidth="1"/>
    <col min="2" max="2" width="16.7109375" customWidth="1"/>
    <col min="3" max="3" width="23.28515625" customWidth="1"/>
    <col min="4" max="4" width="11" customWidth="1"/>
    <col min="5" max="5" width="10.42578125" customWidth="1"/>
    <col min="6" max="8" width="10.7109375" style="8" customWidth="1"/>
    <col min="9" max="9" width="10.5703125" style="149" customWidth="1"/>
    <col min="10" max="10" width="35.140625" bestFit="1" customWidth="1"/>
    <col min="11" max="11" width="9" style="14" customWidth="1"/>
    <col min="12" max="12" width="10.5703125" style="148" customWidth="1"/>
    <col min="13" max="13" width="17" customWidth="1"/>
    <col min="14" max="14" width="12.42578125" style="169" customWidth="1"/>
    <col min="15" max="15" width="41.28515625" customWidth="1"/>
    <col min="16" max="16" width="13" customWidth="1"/>
    <col min="17" max="17" width="22.5703125" bestFit="1" customWidth="1"/>
  </cols>
  <sheetData>
    <row r="1" spans="1:18" ht="27.75" customHeight="1">
      <c r="A1" t="s">
        <v>288</v>
      </c>
      <c r="B1" s="11" t="s">
        <v>302</v>
      </c>
      <c r="M1" s="143"/>
      <c r="O1" s="9" t="s">
        <v>4750</v>
      </c>
    </row>
    <row r="2" spans="1:18">
      <c r="A2" s="141" t="s">
        <v>94</v>
      </c>
      <c r="B2" s="141" t="s">
        <v>1076</v>
      </c>
      <c r="C2" s="141" t="s">
        <v>74</v>
      </c>
      <c r="D2" s="141" t="s">
        <v>75</v>
      </c>
      <c r="E2" s="141" t="s">
        <v>76</v>
      </c>
      <c r="F2" s="145" t="s">
        <v>98</v>
      </c>
      <c r="G2" s="145" t="s">
        <v>1971</v>
      </c>
      <c r="H2" s="145" t="s">
        <v>2408</v>
      </c>
      <c r="I2" s="145" t="s">
        <v>1972</v>
      </c>
      <c r="J2" s="141" t="s">
        <v>92</v>
      </c>
      <c r="K2" s="141" t="s">
        <v>97</v>
      </c>
      <c r="L2" s="141" t="s">
        <v>1970</v>
      </c>
      <c r="M2" s="13" t="s">
        <v>77</v>
      </c>
      <c r="N2" s="13" t="s">
        <v>1059</v>
      </c>
      <c r="O2" s="144" t="s">
        <v>1969</v>
      </c>
      <c r="P2" s="144" t="s">
        <v>5717</v>
      </c>
      <c r="Q2" s="144" t="s">
        <v>2670</v>
      </c>
      <c r="R2" s="144" t="s">
        <v>3057</v>
      </c>
    </row>
    <row r="3" spans="1:18">
      <c r="A3" s="329">
        <v>1</v>
      </c>
      <c r="B3" s="329" t="s">
        <v>5218</v>
      </c>
      <c r="C3" s="329" t="s">
        <v>1092</v>
      </c>
      <c r="D3" s="329" t="s">
        <v>49</v>
      </c>
      <c r="E3" s="329" t="s">
        <v>5219</v>
      </c>
      <c r="F3" s="328">
        <v>45082</v>
      </c>
      <c r="G3" s="328">
        <v>45061.668171296296</v>
      </c>
      <c r="H3" s="328"/>
      <c r="I3" s="328">
        <v>45082</v>
      </c>
      <c r="J3" s="329" t="s">
        <v>5304</v>
      </c>
      <c r="K3" s="329" t="s">
        <v>33</v>
      </c>
      <c r="L3" s="171">
        <v>45167</v>
      </c>
      <c r="M3" s="168" t="s">
        <v>6271</v>
      </c>
      <c r="O3" s="168"/>
      <c r="P3" s="168">
        <v>8389</v>
      </c>
      <c r="Q3" s="168"/>
      <c r="R3" s="168" t="s">
        <v>129</v>
      </c>
    </row>
    <row r="4" spans="1:18">
      <c r="A4" s="330">
        <f>COUNTA($E$3:$E4)</f>
        <v>2</v>
      </c>
      <c r="B4" s="330" t="s">
        <v>5214</v>
      </c>
      <c r="C4" s="330" t="s">
        <v>1092</v>
      </c>
      <c r="D4" s="330" t="s">
        <v>1123</v>
      </c>
      <c r="E4" s="330" t="s">
        <v>5215</v>
      </c>
      <c r="F4" s="331">
        <v>45082</v>
      </c>
      <c r="G4" s="331">
        <v>45061.652118055557</v>
      </c>
      <c r="H4" s="331"/>
      <c r="I4" s="331">
        <v>45082</v>
      </c>
      <c r="J4" s="330" t="s">
        <v>5302</v>
      </c>
      <c r="K4" s="330" t="s">
        <v>33</v>
      </c>
      <c r="L4" s="171">
        <v>45167</v>
      </c>
      <c r="M4" s="168" t="s">
        <v>6271</v>
      </c>
      <c r="O4" s="168"/>
      <c r="P4" s="168">
        <v>4760</v>
      </c>
      <c r="Q4" s="168"/>
      <c r="R4" s="168" t="s">
        <v>129</v>
      </c>
    </row>
    <row r="5" spans="1:18">
      <c r="A5" s="330">
        <f>COUNTA($E$3:$E5)</f>
        <v>3</v>
      </c>
      <c r="B5" s="330" t="s">
        <v>5149</v>
      </c>
      <c r="C5" s="330" t="s">
        <v>5146</v>
      </c>
      <c r="D5" s="330" t="s">
        <v>49</v>
      </c>
      <c r="E5" s="330" t="s">
        <v>3704</v>
      </c>
      <c r="F5" s="331">
        <v>45044</v>
      </c>
      <c r="G5" s="331">
        <v>45042.715462962966</v>
      </c>
      <c r="H5" s="331"/>
      <c r="I5" s="331">
        <v>45044</v>
      </c>
      <c r="J5" s="330" t="s">
        <v>5292</v>
      </c>
      <c r="K5" s="330" t="s">
        <v>33</v>
      </c>
      <c r="L5" s="171">
        <v>45167</v>
      </c>
      <c r="M5" s="170" t="s">
        <v>6271</v>
      </c>
      <c r="O5" s="168"/>
      <c r="P5" s="168">
        <v>9761</v>
      </c>
      <c r="Q5" s="168"/>
      <c r="R5" s="168" t="s">
        <v>129</v>
      </c>
    </row>
    <row r="6" spans="1:18">
      <c r="A6" s="330">
        <f>COUNTA($E$3:$E6)</f>
        <v>4</v>
      </c>
      <c r="B6" s="330" t="s">
        <v>5148</v>
      </c>
      <c r="C6" s="330" t="s">
        <v>5146</v>
      </c>
      <c r="D6" s="330" t="s">
        <v>51</v>
      </c>
      <c r="E6" s="330" t="s">
        <v>3703</v>
      </c>
      <c r="F6" s="331">
        <v>45054</v>
      </c>
      <c r="G6" s="331">
        <v>45041.54582175926</v>
      </c>
      <c r="H6" s="331"/>
      <c r="I6" s="331">
        <v>45054</v>
      </c>
      <c r="J6" s="330" t="s">
        <v>5291</v>
      </c>
      <c r="K6" s="330" t="s">
        <v>33</v>
      </c>
      <c r="L6" s="171">
        <v>45167</v>
      </c>
      <c r="M6" s="168" t="s">
        <v>6271</v>
      </c>
      <c r="O6" s="168"/>
      <c r="P6" s="168">
        <v>4620</v>
      </c>
      <c r="Q6" s="168"/>
      <c r="R6" s="168" t="s">
        <v>129</v>
      </c>
    </row>
    <row r="7" spans="1:18">
      <c r="A7" s="330">
        <f>COUNTA($E$3:$E7)</f>
        <v>5</v>
      </c>
      <c r="B7" s="330" t="s">
        <v>5147</v>
      </c>
      <c r="C7" s="330" t="s">
        <v>5146</v>
      </c>
      <c r="D7" s="330" t="s">
        <v>51</v>
      </c>
      <c r="E7" s="330" t="s">
        <v>3683</v>
      </c>
      <c r="F7" s="331">
        <v>45050</v>
      </c>
      <c r="G7" s="331">
        <v>45042.766875000001</v>
      </c>
      <c r="H7" s="331"/>
      <c r="I7" s="331">
        <v>45050</v>
      </c>
      <c r="J7" s="330" t="s">
        <v>5290</v>
      </c>
      <c r="K7" s="330" t="s">
        <v>33</v>
      </c>
      <c r="L7" s="171">
        <v>45167</v>
      </c>
      <c r="M7" s="168" t="s">
        <v>6271</v>
      </c>
      <c r="O7" s="168"/>
      <c r="P7" s="168">
        <v>14077</v>
      </c>
      <c r="Q7" s="168"/>
      <c r="R7" s="168" t="s">
        <v>129</v>
      </c>
    </row>
    <row r="8" spans="1:18">
      <c r="A8" s="330">
        <f>COUNTA($E$3:$E8)</f>
        <v>6</v>
      </c>
      <c r="B8" s="330" t="s">
        <v>5145</v>
      </c>
      <c r="C8" s="330" t="s">
        <v>5146</v>
      </c>
      <c r="D8" s="330" t="s">
        <v>49</v>
      </c>
      <c r="E8" s="330" t="s">
        <v>3682</v>
      </c>
      <c r="F8" s="331">
        <v>45050</v>
      </c>
      <c r="G8" s="331">
        <v>45042.703298611108</v>
      </c>
      <c r="H8" s="331"/>
      <c r="I8" s="331">
        <v>45050</v>
      </c>
      <c r="J8" s="330" t="s">
        <v>5289</v>
      </c>
      <c r="K8" s="330" t="s">
        <v>33</v>
      </c>
      <c r="L8" s="171">
        <v>45167</v>
      </c>
      <c r="M8" s="168" t="s">
        <v>6271</v>
      </c>
      <c r="O8" s="168"/>
      <c r="P8" s="168">
        <v>2615</v>
      </c>
      <c r="Q8" s="168"/>
      <c r="R8" s="168" t="s">
        <v>129</v>
      </c>
    </row>
    <row r="9" spans="1:18">
      <c r="A9" s="330">
        <f>COUNTA($E$3:$E9)</f>
        <v>7</v>
      </c>
      <c r="B9" s="330" t="s">
        <v>5032</v>
      </c>
      <c r="C9" s="330" t="s">
        <v>1279</v>
      </c>
      <c r="D9" s="330" t="s">
        <v>1103</v>
      </c>
      <c r="E9" s="330" t="s">
        <v>2770</v>
      </c>
      <c r="F9" s="331">
        <v>45036</v>
      </c>
      <c r="G9" s="331">
        <v>45030.776122685187</v>
      </c>
      <c r="H9" s="331"/>
      <c r="I9" s="331">
        <v>45036</v>
      </c>
      <c r="J9" s="330" t="s">
        <v>5280</v>
      </c>
      <c r="K9" s="330" t="s">
        <v>33</v>
      </c>
      <c r="L9" s="171">
        <v>45167</v>
      </c>
      <c r="M9" s="168" t="s">
        <v>6271</v>
      </c>
      <c r="O9" s="168"/>
      <c r="P9" s="168">
        <v>6995</v>
      </c>
      <c r="Q9" s="168"/>
      <c r="R9" s="168" t="s">
        <v>129</v>
      </c>
    </row>
    <row r="10" spans="1:18">
      <c r="A10" s="330">
        <f>COUNTA($E$3:$E10)</f>
        <v>8</v>
      </c>
      <c r="B10" s="330" t="s">
        <v>6142</v>
      </c>
      <c r="C10" s="330" t="s">
        <v>3752</v>
      </c>
      <c r="D10" s="330" t="s">
        <v>31</v>
      </c>
      <c r="E10" s="330" t="s">
        <v>3753</v>
      </c>
      <c r="F10" s="331"/>
      <c r="G10" s="331">
        <v>45155.793043981481</v>
      </c>
      <c r="H10" s="331"/>
      <c r="I10" s="331"/>
      <c r="J10" s="330" t="s">
        <v>6143</v>
      </c>
      <c r="K10" s="330" t="s">
        <v>33</v>
      </c>
      <c r="L10" s="171">
        <v>45167</v>
      </c>
      <c r="M10" s="168" t="s">
        <v>6269</v>
      </c>
      <c r="O10" s="168"/>
      <c r="P10" s="168"/>
      <c r="Q10" s="168" t="s">
        <v>1029</v>
      </c>
      <c r="R10" s="168" t="s">
        <v>129</v>
      </c>
    </row>
    <row r="11" spans="1:18">
      <c r="A11" s="330">
        <f>COUNTA($E$3:$E11)</f>
        <v>9</v>
      </c>
      <c r="B11" s="330" t="s">
        <v>5574</v>
      </c>
      <c r="C11" s="330" t="s">
        <v>40</v>
      </c>
      <c r="D11" s="330" t="s">
        <v>51</v>
      </c>
      <c r="E11" s="330" t="s">
        <v>3710</v>
      </c>
      <c r="F11" s="331"/>
      <c r="G11" s="331">
        <v>45097.505914351852</v>
      </c>
      <c r="H11" s="331"/>
      <c r="I11" s="331"/>
      <c r="J11" s="330" t="s">
        <v>5420</v>
      </c>
      <c r="K11" s="330" t="s">
        <v>54</v>
      </c>
      <c r="L11" s="171">
        <v>45167</v>
      </c>
      <c r="M11" s="168" t="s">
        <v>6274</v>
      </c>
      <c r="O11" s="168"/>
      <c r="P11" s="168"/>
      <c r="Q11" s="168" t="s">
        <v>1029</v>
      </c>
      <c r="R11" s="168" t="s">
        <v>129</v>
      </c>
    </row>
    <row r="12" spans="1:18">
      <c r="A12" s="330">
        <f>COUNTA($E$3:$E12)</f>
        <v>10</v>
      </c>
      <c r="B12" s="330" t="s">
        <v>5639</v>
      </c>
      <c r="C12" s="330" t="s">
        <v>41</v>
      </c>
      <c r="D12" s="330" t="s">
        <v>2129</v>
      </c>
      <c r="E12" s="330" t="s">
        <v>5640</v>
      </c>
      <c r="F12" s="331" t="s">
        <v>66</v>
      </c>
      <c r="G12" s="331">
        <v>45103.732581018521</v>
      </c>
      <c r="H12" s="331"/>
      <c r="I12" s="331" t="s">
        <v>66</v>
      </c>
      <c r="J12" s="330" t="s">
        <v>5641</v>
      </c>
      <c r="K12" s="330" t="s">
        <v>54</v>
      </c>
      <c r="L12" s="171">
        <v>45167</v>
      </c>
      <c r="M12" s="168" t="s">
        <v>6275</v>
      </c>
      <c r="O12" s="168"/>
      <c r="P12" s="168"/>
      <c r="Q12" s="168" t="s">
        <v>60</v>
      </c>
      <c r="R12" s="168" t="s">
        <v>129</v>
      </c>
    </row>
    <row r="13" spans="1:18">
      <c r="A13" s="330">
        <f>COUNTA($E$3:$E13)</f>
        <v>11</v>
      </c>
      <c r="B13" s="330" t="s">
        <v>5737</v>
      </c>
      <c r="C13" s="330" t="s">
        <v>1134</v>
      </c>
      <c r="D13" s="330" t="s">
        <v>124</v>
      </c>
      <c r="E13" s="330" t="s">
        <v>5738</v>
      </c>
      <c r="F13" s="331">
        <v>45126</v>
      </c>
      <c r="G13" s="331">
        <v>45120.508958333332</v>
      </c>
      <c r="H13" s="331"/>
      <c r="I13" s="331">
        <v>45126</v>
      </c>
      <c r="J13" s="330" t="s">
        <v>5772</v>
      </c>
      <c r="K13" s="330" t="s">
        <v>54</v>
      </c>
      <c r="L13" s="171">
        <v>45167</v>
      </c>
      <c r="M13" s="168" t="s">
        <v>6276</v>
      </c>
      <c r="O13" s="168"/>
      <c r="P13" s="168">
        <v>8534</v>
      </c>
      <c r="Q13" s="168" t="s">
        <v>35</v>
      </c>
      <c r="R13" s="168" t="s">
        <v>129</v>
      </c>
    </row>
    <row r="14" spans="1:18" hidden="1">
      <c r="A14" s="330">
        <f>COUNTA($E$3:$E14)</f>
        <v>12</v>
      </c>
      <c r="B14" s="330" t="s">
        <v>5980</v>
      </c>
      <c r="C14" s="330" t="s">
        <v>5981</v>
      </c>
      <c r="D14" s="330" t="s">
        <v>38</v>
      </c>
      <c r="E14" s="330" t="s">
        <v>5982</v>
      </c>
      <c r="F14" s="331">
        <v>45145</v>
      </c>
      <c r="G14" s="331">
        <v>45141.649687500001</v>
      </c>
      <c r="H14" s="331"/>
      <c r="I14" s="331">
        <v>45145</v>
      </c>
      <c r="J14" s="330" t="s">
        <v>5990</v>
      </c>
      <c r="K14" s="330" t="s">
        <v>18</v>
      </c>
      <c r="L14" s="171">
        <v>45165</v>
      </c>
      <c r="M14" s="168" t="s">
        <v>6199</v>
      </c>
      <c r="N14" s="169">
        <v>45159</v>
      </c>
      <c r="O14" s="168"/>
      <c r="P14" s="168">
        <v>8188</v>
      </c>
      <c r="Q14" s="168" t="s">
        <v>35</v>
      </c>
      <c r="R14" s="168" t="s">
        <v>22</v>
      </c>
    </row>
    <row r="15" spans="1:18">
      <c r="A15" s="330">
        <f>COUNTA($E$3:$E15)</f>
        <v>13</v>
      </c>
      <c r="B15" s="330" t="s">
        <v>5933</v>
      </c>
      <c r="C15" s="330" t="s">
        <v>21</v>
      </c>
      <c r="D15" s="330" t="s">
        <v>30</v>
      </c>
      <c r="E15" s="330" t="s">
        <v>1251</v>
      </c>
      <c r="F15" s="331"/>
      <c r="G15" s="331"/>
      <c r="H15" s="331"/>
      <c r="I15" s="331"/>
      <c r="J15" s="330"/>
      <c r="K15" s="330" t="s">
        <v>54</v>
      </c>
      <c r="L15" s="171">
        <v>45147</v>
      </c>
      <c r="M15" s="168"/>
      <c r="O15" s="168"/>
      <c r="P15" s="168"/>
      <c r="Q15" s="168"/>
      <c r="R15" s="168" t="s">
        <v>129</v>
      </c>
    </row>
    <row r="16" spans="1:18" hidden="1">
      <c r="A16" s="330">
        <f>COUNTA($E$3:$E16)</f>
        <v>14</v>
      </c>
      <c r="B16" s="330" t="s">
        <v>4911</v>
      </c>
      <c r="C16" s="330" t="s">
        <v>1197</v>
      </c>
      <c r="D16" s="330" t="s">
        <v>52</v>
      </c>
      <c r="E16" s="330" t="s">
        <v>4912</v>
      </c>
      <c r="F16" s="331">
        <v>45008</v>
      </c>
      <c r="G16" s="331">
        <v>45005.692071759258</v>
      </c>
      <c r="H16" s="331"/>
      <c r="I16" s="331">
        <v>45008</v>
      </c>
      <c r="J16" s="330" t="s">
        <v>1840</v>
      </c>
      <c r="K16" s="330" t="s">
        <v>18</v>
      </c>
      <c r="L16" s="171">
        <v>45147</v>
      </c>
      <c r="M16" s="168" t="s">
        <v>6042</v>
      </c>
      <c r="N16" s="169">
        <v>45147</v>
      </c>
      <c r="O16" s="168"/>
      <c r="P16" s="168">
        <v>1415</v>
      </c>
      <c r="Q16" s="168" t="s">
        <v>1726</v>
      </c>
      <c r="R16" s="168" t="s">
        <v>22</v>
      </c>
    </row>
    <row r="17" spans="1:18" hidden="1">
      <c r="A17" s="330">
        <f>COUNTA($E$3:$E17)</f>
        <v>15</v>
      </c>
      <c r="B17" s="330" t="s">
        <v>4992</v>
      </c>
      <c r="C17" s="330" t="s">
        <v>4993</v>
      </c>
      <c r="D17" s="330" t="s">
        <v>27</v>
      </c>
      <c r="E17" s="330" t="s">
        <v>4994</v>
      </c>
      <c r="F17" s="331">
        <v>45027</v>
      </c>
      <c r="G17" s="331">
        <v>45020.753831018519</v>
      </c>
      <c r="H17" s="331"/>
      <c r="I17" s="331">
        <v>45027</v>
      </c>
      <c r="J17" s="330" t="s">
        <v>1093</v>
      </c>
      <c r="K17" s="330" t="s">
        <v>18</v>
      </c>
      <c r="L17" s="171">
        <v>45147</v>
      </c>
      <c r="M17" s="168">
        <v>45040</v>
      </c>
      <c r="N17" s="169">
        <v>45040</v>
      </c>
      <c r="O17" s="168"/>
      <c r="P17" s="168">
        <v>11144</v>
      </c>
      <c r="Q17" s="168" t="s">
        <v>3611</v>
      </c>
      <c r="R17" s="168" t="s">
        <v>129</v>
      </c>
    </row>
    <row r="18" spans="1:18">
      <c r="A18" s="330">
        <f>COUNTA($E$3:$E18)</f>
        <v>16</v>
      </c>
      <c r="B18" s="330" t="s">
        <v>4970</v>
      </c>
      <c r="C18" s="330" t="s">
        <v>2776</v>
      </c>
      <c r="D18" s="330" t="s">
        <v>1139</v>
      </c>
      <c r="E18" s="330" t="s">
        <v>4630</v>
      </c>
      <c r="F18" s="331">
        <v>45014</v>
      </c>
      <c r="G18" s="331">
        <v>45013.469189814816</v>
      </c>
      <c r="H18" s="331"/>
      <c r="I18" s="331">
        <v>45014</v>
      </c>
      <c r="J18" s="330" t="s">
        <v>4971</v>
      </c>
      <c r="K18" s="330" t="s">
        <v>18</v>
      </c>
      <c r="L18" s="171">
        <v>45147</v>
      </c>
      <c r="M18" s="168"/>
      <c r="O18" s="168"/>
      <c r="P18" s="168">
        <v>4875</v>
      </c>
      <c r="Q18" s="168" t="s">
        <v>35</v>
      </c>
      <c r="R18" s="168" t="s">
        <v>22</v>
      </c>
    </row>
    <row r="19" spans="1:18">
      <c r="A19" s="330">
        <f>COUNTA($E$3:$E19)</f>
        <v>17</v>
      </c>
      <c r="B19" s="330" t="s">
        <v>4928</v>
      </c>
      <c r="C19" s="330" t="s">
        <v>65</v>
      </c>
      <c r="D19" s="330" t="s">
        <v>16</v>
      </c>
      <c r="E19" s="330" t="s">
        <v>4929</v>
      </c>
      <c r="F19" s="331">
        <v>45030</v>
      </c>
      <c r="G19" s="331">
        <v>45008.747175925928</v>
      </c>
      <c r="H19" s="331"/>
      <c r="I19" s="331">
        <v>45030</v>
      </c>
      <c r="J19" s="330" t="s">
        <v>4930</v>
      </c>
      <c r="K19" s="330" t="s">
        <v>18</v>
      </c>
      <c r="L19" s="171">
        <v>45147</v>
      </c>
      <c r="M19" s="168"/>
      <c r="O19" s="168"/>
      <c r="P19" s="168">
        <v>1170</v>
      </c>
      <c r="Q19" s="168" t="s">
        <v>35</v>
      </c>
      <c r="R19" s="168" t="s">
        <v>22</v>
      </c>
    </row>
    <row r="20" spans="1:18">
      <c r="A20" s="330">
        <f>COUNTA($E$3:$E20)</f>
        <v>18</v>
      </c>
      <c r="B20" s="330" t="s">
        <v>4925</v>
      </c>
      <c r="C20" s="330" t="s">
        <v>2882</v>
      </c>
      <c r="D20" s="330" t="s">
        <v>51</v>
      </c>
      <c r="E20" s="330" t="s">
        <v>3679</v>
      </c>
      <c r="F20" s="331">
        <v>45015</v>
      </c>
      <c r="G20" s="331">
        <v>45008.4533912037</v>
      </c>
      <c r="H20" s="331"/>
      <c r="I20" s="331">
        <v>45015</v>
      </c>
      <c r="J20" s="330" t="s">
        <v>4926</v>
      </c>
      <c r="K20" s="330" t="s">
        <v>18</v>
      </c>
      <c r="L20" s="171">
        <v>45147</v>
      </c>
      <c r="M20" s="168"/>
      <c r="O20" s="168"/>
      <c r="P20" s="168">
        <v>2075</v>
      </c>
      <c r="Q20" s="168" t="s">
        <v>35</v>
      </c>
      <c r="R20" s="168" t="s">
        <v>22</v>
      </c>
    </row>
    <row r="21" spans="1:18" hidden="1">
      <c r="A21" s="330">
        <f>COUNTA($E$3:$E21)</f>
        <v>19</v>
      </c>
      <c r="B21" s="330" t="s">
        <v>4852</v>
      </c>
      <c r="C21" s="330" t="s">
        <v>4848</v>
      </c>
      <c r="D21" s="330" t="s">
        <v>19</v>
      </c>
      <c r="E21" s="330" t="s">
        <v>4853</v>
      </c>
      <c r="F21" s="331">
        <v>44999</v>
      </c>
      <c r="G21" s="331">
        <v>44992.757847222223</v>
      </c>
      <c r="H21" s="331"/>
      <c r="I21" s="331">
        <v>44999</v>
      </c>
      <c r="J21" s="330" t="s">
        <v>4854</v>
      </c>
      <c r="K21" s="330" t="s">
        <v>18</v>
      </c>
      <c r="L21" s="171">
        <v>45147</v>
      </c>
      <c r="M21" s="168"/>
      <c r="N21" s="169">
        <v>45161</v>
      </c>
      <c r="O21" s="168"/>
      <c r="P21" s="168">
        <v>9168</v>
      </c>
      <c r="Q21" s="168" t="s">
        <v>35</v>
      </c>
      <c r="R21" s="168" t="s">
        <v>22</v>
      </c>
    </row>
    <row r="22" spans="1:18" hidden="1">
      <c r="A22" s="330">
        <f>COUNTA($E$3:$E22)</f>
        <v>20</v>
      </c>
      <c r="B22" s="330" t="s">
        <v>4847</v>
      </c>
      <c r="C22" s="330" t="s">
        <v>4848</v>
      </c>
      <c r="D22" s="330" t="s">
        <v>4849</v>
      </c>
      <c r="E22" s="330" t="s">
        <v>4850</v>
      </c>
      <c r="F22" s="331">
        <v>44999</v>
      </c>
      <c r="G22" s="331">
        <v>44992.730127314811</v>
      </c>
      <c r="H22" s="331"/>
      <c r="I22" s="331">
        <v>44999</v>
      </c>
      <c r="J22" s="330" t="s">
        <v>4851</v>
      </c>
      <c r="K22" s="330" t="s">
        <v>18</v>
      </c>
      <c r="L22" s="171">
        <v>45147</v>
      </c>
      <c r="M22" s="168"/>
      <c r="N22" s="169">
        <v>45161</v>
      </c>
      <c r="O22" s="168"/>
      <c r="P22" s="168">
        <v>10777</v>
      </c>
      <c r="Q22" s="168" t="s">
        <v>35</v>
      </c>
      <c r="R22" s="168" t="s">
        <v>22</v>
      </c>
    </row>
    <row r="23" spans="1:18" hidden="1">
      <c r="A23" s="330">
        <f>COUNTA($E$3:$E23)</f>
        <v>21</v>
      </c>
      <c r="B23" s="330" t="s">
        <v>5535</v>
      </c>
      <c r="C23" s="330" t="s">
        <v>2726</v>
      </c>
      <c r="D23" s="330" t="s">
        <v>27</v>
      </c>
      <c r="E23" s="330" t="s">
        <v>5536</v>
      </c>
      <c r="F23" s="331">
        <v>45099</v>
      </c>
      <c r="G23" s="331">
        <v>45103</v>
      </c>
      <c r="H23" s="331"/>
      <c r="I23" s="331">
        <v>45099</v>
      </c>
      <c r="J23" s="330"/>
      <c r="K23" s="330" t="s">
        <v>20</v>
      </c>
      <c r="L23" s="171">
        <v>45117</v>
      </c>
      <c r="M23" s="168" t="s">
        <v>5267</v>
      </c>
      <c r="N23" s="169">
        <v>45114</v>
      </c>
      <c r="O23" s="168"/>
      <c r="P23" s="168">
        <v>10335</v>
      </c>
      <c r="Q23" s="168" t="s">
        <v>3611</v>
      </c>
      <c r="R23" s="168" t="s">
        <v>22</v>
      </c>
    </row>
    <row r="24" spans="1:18">
      <c r="A24" s="330">
        <f>COUNTA($E$3:$E24)</f>
        <v>22</v>
      </c>
      <c r="B24" s="330" t="s">
        <v>5116</v>
      </c>
      <c r="C24" s="330" t="s">
        <v>2315</v>
      </c>
      <c r="D24" s="330" t="s">
        <v>27</v>
      </c>
      <c r="E24" s="330" t="s">
        <v>2067</v>
      </c>
      <c r="F24" s="331">
        <v>45043</v>
      </c>
      <c r="G24" s="331"/>
      <c r="H24" s="331"/>
      <c r="I24" s="331">
        <v>45043</v>
      </c>
      <c r="J24" s="330" t="s">
        <v>5720</v>
      </c>
      <c r="K24" s="330" t="s">
        <v>54</v>
      </c>
      <c r="L24" s="171">
        <v>45110</v>
      </c>
      <c r="M24" s="168"/>
      <c r="O24" s="168"/>
      <c r="P24" s="168">
        <v>11866</v>
      </c>
      <c r="Q24" s="168" t="s">
        <v>3611</v>
      </c>
      <c r="R24" s="168" t="s">
        <v>129</v>
      </c>
    </row>
    <row r="25" spans="1:18">
      <c r="A25" s="330">
        <f>COUNTA($E$3:$E25)</f>
        <v>23</v>
      </c>
      <c r="B25" s="330" t="s">
        <v>4870</v>
      </c>
      <c r="C25" s="330" t="s">
        <v>37</v>
      </c>
      <c r="D25" s="330" t="s">
        <v>45</v>
      </c>
      <c r="E25" s="330" t="s">
        <v>4698</v>
      </c>
      <c r="F25" s="331">
        <v>45001</v>
      </c>
      <c r="G25" s="331"/>
      <c r="H25" s="331"/>
      <c r="I25" s="331">
        <v>45001</v>
      </c>
      <c r="J25" s="330" t="s">
        <v>4871</v>
      </c>
      <c r="K25" s="330" t="s">
        <v>54</v>
      </c>
      <c r="L25" s="171">
        <v>45110</v>
      </c>
      <c r="M25" s="168"/>
      <c r="O25" s="168"/>
      <c r="P25" s="168">
        <v>1678</v>
      </c>
      <c r="Q25" s="168" t="s">
        <v>3611</v>
      </c>
      <c r="R25" s="168" t="s">
        <v>129</v>
      </c>
    </row>
    <row r="26" spans="1:18">
      <c r="A26" s="330">
        <f>COUNTA($E$3:$E26)</f>
        <v>24</v>
      </c>
      <c r="B26" s="330" t="s">
        <v>4941</v>
      </c>
      <c r="C26" s="330" t="s">
        <v>21</v>
      </c>
      <c r="D26" s="330" t="s">
        <v>30</v>
      </c>
      <c r="E26" s="330" t="s">
        <v>4942</v>
      </c>
      <c r="F26" s="331">
        <v>45100</v>
      </c>
      <c r="G26" s="331"/>
      <c r="H26" s="331"/>
      <c r="I26" s="331">
        <v>45100</v>
      </c>
      <c r="J26" s="330" t="s">
        <v>5721</v>
      </c>
      <c r="K26" s="330" t="s">
        <v>54</v>
      </c>
      <c r="L26" s="171">
        <v>45110</v>
      </c>
      <c r="M26" s="168"/>
      <c r="O26" s="168"/>
      <c r="P26" s="168">
        <v>3053</v>
      </c>
      <c r="Q26" s="168" t="s">
        <v>35</v>
      </c>
      <c r="R26" s="168" t="s">
        <v>129</v>
      </c>
    </row>
    <row r="27" spans="1:18">
      <c r="A27" s="330">
        <f>COUNTA($E$3:$E27)</f>
        <v>25</v>
      </c>
      <c r="B27" s="330" t="s">
        <v>4836</v>
      </c>
      <c r="C27" s="330" t="s">
        <v>21</v>
      </c>
      <c r="D27" s="330" t="s">
        <v>30</v>
      </c>
      <c r="E27" s="330" t="s">
        <v>4837</v>
      </c>
      <c r="F27" s="331">
        <v>45008</v>
      </c>
      <c r="G27" s="331">
        <v>45005</v>
      </c>
      <c r="H27" s="331"/>
      <c r="I27" s="331">
        <v>45008</v>
      </c>
      <c r="J27" s="330" t="s">
        <v>5722</v>
      </c>
      <c r="K27" s="330" t="s">
        <v>54</v>
      </c>
      <c r="L27" s="171">
        <v>45110</v>
      </c>
      <c r="M27" s="168"/>
      <c r="O27" s="168"/>
      <c r="P27" s="168">
        <v>2197</v>
      </c>
      <c r="Q27" s="168" t="s">
        <v>35</v>
      </c>
      <c r="R27" s="168" t="s">
        <v>129</v>
      </c>
    </row>
    <row r="28" spans="1:18" hidden="1">
      <c r="A28" s="330">
        <f>COUNTA($E$3:$E28)</f>
        <v>26</v>
      </c>
      <c r="B28" s="330" t="s">
        <v>4729</v>
      </c>
      <c r="C28" s="330" t="s">
        <v>40</v>
      </c>
      <c r="D28" s="330" t="s">
        <v>30</v>
      </c>
      <c r="E28" s="330" t="s">
        <v>1645</v>
      </c>
      <c r="F28" s="331">
        <v>44977</v>
      </c>
      <c r="G28" s="331">
        <v>44970</v>
      </c>
      <c r="H28" s="331"/>
      <c r="I28" s="331">
        <v>44977</v>
      </c>
      <c r="J28" s="330" t="s">
        <v>3253</v>
      </c>
      <c r="K28" s="330" t="s">
        <v>54</v>
      </c>
      <c r="L28" s="171">
        <v>45110</v>
      </c>
      <c r="M28" s="168"/>
      <c r="N28" s="169" t="s">
        <v>6197</v>
      </c>
      <c r="O28" s="168"/>
      <c r="P28" s="168">
        <v>13066</v>
      </c>
      <c r="Q28" s="168" t="s">
        <v>35</v>
      </c>
      <c r="R28" s="168" t="s">
        <v>129</v>
      </c>
    </row>
    <row r="29" spans="1:18">
      <c r="A29" s="330">
        <f>COUNTA($E$3:$E29)</f>
        <v>27</v>
      </c>
      <c r="B29" s="330" t="s">
        <v>4770</v>
      </c>
      <c r="C29" s="330" t="s">
        <v>21</v>
      </c>
      <c r="D29" s="330" t="s">
        <v>1124</v>
      </c>
      <c r="E29" s="330" t="s">
        <v>4711</v>
      </c>
      <c r="F29" s="331">
        <v>44977</v>
      </c>
      <c r="G29" s="331"/>
      <c r="H29" s="331"/>
      <c r="I29" s="331">
        <v>44977</v>
      </c>
      <c r="J29" s="330" t="s">
        <v>5723</v>
      </c>
      <c r="K29" s="330" t="s">
        <v>54</v>
      </c>
      <c r="L29" s="171">
        <v>45110</v>
      </c>
      <c r="M29" s="168"/>
      <c r="O29" s="168"/>
      <c r="P29" s="168">
        <v>3428</v>
      </c>
      <c r="Q29" s="168" t="s">
        <v>35</v>
      </c>
      <c r="R29" s="168" t="s">
        <v>129</v>
      </c>
    </row>
    <row r="30" spans="1:18" hidden="1">
      <c r="A30" s="330">
        <f>COUNTA($E$3:$E30)</f>
        <v>28</v>
      </c>
      <c r="B30" s="330" t="s">
        <v>4788</v>
      </c>
      <c r="C30" s="330" t="s">
        <v>1106</v>
      </c>
      <c r="D30" s="330" t="s">
        <v>16</v>
      </c>
      <c r="E30" s="330" t="s">
        <v>2842</v>
      </c>
      <c r="F30" s="331">
        <v>45020</v>
      </c>
      <c r="G30" s="331">
        <v>44984</v>
      </c>
      <c r="H30" s="331"/>
      <c r="I30" s="331">
        <v>45020</v>
      </c>
      <c r="J30" s="330" t="s">
        <v>4789</v>
      </c>
      <c r="K30" s="330" t="s">
        <v>54</v>
      </c>
      <c r="L30" s="171">
        <v>45110</v>
      </c>
      <c r="M30" s="168"/>
      <c r="N30" s="169">
        <v>45122</v>
      </c>
      <c r="O30" s="168"/>
      <c r="P30" s="168">
        <v>4707</v>
      </c>
      <c r="Q30" s="168" t="s">
        <v>35</v>
      </c>
      <c r="R30" s="168" t="s">
        <v>129</v>
      </c>
    </row>
    <row r="31" spans="1:18">
      <c r="A31" s="330">
        <f>COUNTA($E$3:$E31)</f>
        <v>29</v>
      </c>
      <c r="B31" s="330" t="s">
        <v>4782</v>
      </c>
      <c r="C31" s="330" t="s">
        <v>37</v>
      </c>
      <c r="D31" s="330" t="s">
        <v>30</v>
      </c>
      <c r="E31" s="330" t="s">
        <v>2749</v>
      </c>
      <c r="F31" s="331">
        <v>44984</v>
      </c>
      <c r="G31" s="331">
        <v>44984</v>
      </c>
      <c r="H31" s="331"/>
      <c r="I31" s="331">
        <v>44984</v>
      </c>
      <c r="J31" s="330" t="s">
        <v>1657</v>
      </c>
      <c r="K31" s="330" t="s">
        <v>54</v>
      </c>
      <c r="L31" s="171">
        <v>45110</v>
      </c>
      <c r="M31" s="168"/>
      <c r="O31" s="168"/>
      <c r="P31" s="168">
        <v>1252</v>
      </c>
      <c r="Q31" s="168" t="s">
        <v>35</v>
      </c>
      <c r="R31" s="168" t="s">
        <v>129</v>
      </c>
    </row>
    <row r="32" spans="1:18">
      <c r="A32" s="330">
        <f>COUNTA($E$3:$E32)</f>
        <v>30</v>
      </c>
      <c r="B32" s="330" t="s">
        <v>4783</v>
      </c>
      <c r="C32" s="330" t="s">
        <v>37</v>
      </c>
      <c r="D32" s="330" t="s">
        <v>30</v>
      </c>
      <c r="E32" s="330" t="s">
        <v>4784</v>
      </c>
      <c r="F32" s="331">
        <v>44984</v>
      </c>
      <c r="G32" s="331">
        <v>44984</v>
      </c>
      <c r="H32" s="331"/>
      <c r="I32" s="331">
        <v>44984</v>
      </c>
      <c r="J32" s="330" t="s">
        <v>5724</v>
      </c>
      <c r="K32" s="330" t="s">
        <v>54</v>
      </c>
      <c r="L32" s="171">
        <v>45110</v>
      </c>
      <c r="M32" s="168"/>
      <c r="O32" s="168"/>
      <c r="P32" s="168">
        <v>1905</v>
      </c>
      <c r="Q32" s="168" t="s">
        <v>35</v>
      </c>
      <c r="R32" s="168" t="s">
        <v>129</v>
      </c>
    </row>
    <row r="33" spans="1:18">
      <c r="A33" s="330">
        <f>COUNTA($E$3:$E33)</f>
        <v>31</v>
      </c>
      <c r="B33" s="330" t="s">
        <v>4785</v>
      </c>
      <c r="C33" s="330" t="s">
        <v>37</v>
      </c>
      <c r="D33" s="330" t="s">
        <v>30</v>
      </c>
      <c r="E33" s="330" t="s">
        <v>4786</v>
      </c>
      <c r="F33" s="331">
        <v>44984</v>
      </c>
      <c r="G33" s="331">
        <v>44984</v>
      </c>
      <c r="H33" s="331"/>
      <c r="I33" s="331">
        <v>44984</v>
      </c>
      <c r="J33" s="330" t="s">
        <v>5725</v>
      </c>
      <c r="K33" s="330" t="s">
        <v>54</v>
      </c>
      <c r="L33" s="171">
        <v>45110</v>
      </c>
      <c r="M33" s="168"/>
      <c r="O33" s="168"/>
      <c r="P33" s="168">
        <v>2197</v>
      </c>
      <c r="Q33" s="168" t="s">
        <v>35</v>
      </c>
      <c r="R33" s="168" t="s">
        <v>129</v>
      </c>
    </row>
    <row r="34" spans="1:18">
      <c r="A34" s="330">
        <f>COUNTA($E$3:$E34)</f>
        <v>32</v>
      </c>
      <c r="B34" s="330" t="s">
        <v>4810</v>
      </c>
      <c r="C34" s="330" t="s">
        <v>21</v>
      </c>
      <c r="D34" s="330" t="s">
        <v>30</v>
      </c>
      <c r="E34" s="330" t="s">
        <v>4811</v>
      </c>
      <c r="F34" s="331">
        <v>45008</v>
      </c>
      <c r="G34" s="331">
        <v>45005</v>
      </c>
      <c r="H34" s="331"/>
      <c r="I34" s="331">
        <v>45008</v>
      </c>
      <c r="J34" s="330" t="s">
        <v>5726</v>
      </c>
      <c r="K34" s="330" t="s">
        <v>54</v>
      </c>
      <c r="L34" s="171">
        <v>45110</v>
      </c>
      <c r="M34" s="170"/>
      <c r="O34" s="168"/>
      <c r="P34" s="168">
        <v>11267</v>
      </c>
      <c r="Q34" s="168" t="s">
        <v>35</v>
      </c>
      <c r="R34" s="168" t="s">
        <v>129</v>
      </c>
    </row>
    <row r="35" spans="1:18">
      <c r="A35" s="330">
        <f>COUNTA($E$3:$E35)</f>
        <v>33</v>
      </c>
      <c r="B35" s="330" t="s">
        <v>4813</v>
      </c>
      <c r="C35" s="330" t="s">
        <v>21</v>
      </c>
      <c r="D35" s="330" t="s">
        <v>34</v>
      </c>
      <c r="E35" s="330" t="s">
        <v>3156</v>
      </c>
      <c r="F35" s="331">
        <v>45008</v>
      </c>
      <c r="G35" s="331">
        <v>45005</v>
      </c>
      <c r="H35" s="331"/>
      <c r="I35" s="331">
        <v>45008</v>
      </c>
      <c r="J35" s="330" t="s">
        <v>5727</v>
      </c>
      <c r="K35" s="330" t="s">
        <v>54</v>
      </c>
      <c r="L35" s="171">
        <v>45110</v>
      </c>
      <c r="M35" s="168"/>
      <c r="O35" s="168"/>
      <c r="P35" s="168">
        <v>5977</v>
      </c>
      <c r="Q35" s="168" t="s">
        <v>35</v>
      </c>
      <c r="R35" s="168" t="s">
        <v>129</v>
      </c>
    </row>
    <row r="36" spans="1:18">
      <c r="A36" s="330">
        <f>COUNTA($E$3:$E36)</f>
        <v>34</v>
      </c>
      <c r="B36" s="330" t="s">
        <v>4712</v>
      </c>
      <c r="C36" s="330" t="s">
        <v>21</v>
      </c>
      <c r="D36" s="330" t="s">
        <v>34</v>
      </c>
      <c r="E36" s="330" t="s">
        <v>2205</v>
      </c>
      <c r="F36" s="331">
        <v>44977</v>
      </c>
      <c r="G36" s="331">
        <v>44967</v>
      </c>
      <c r="H36" s="331"/>
      <c r="I36" s="331">
        <v>44977</v>
      </c>
      <c r="J36" s="330" t="s">
        <v>5268</v>
      </c>
      <c r="K36" s="330" t="s">
        <v>54</v>
      </c>
      <c r="L36" s="171">
        <v>45110</v>
      </c>
      <c r="M36" s="168"/>
      <c r="O36" s="168"/>
      <c r="P36" s="168">
        <v>4019</v>
      </c>
      <c r="Q36" s="168" t="s">
        <v>35</v>
      </c>
      <c r="R36" s="168" t="s">
        <v>129</v>
      </c>
    </row>
    <row r="37" spans="1:18">
      <c r="A37" s="330">
        <f>COUNTA($E$3:$E37)</f>
        <v>35</v>
      </c>
      <c r="B37" s="330" t="s">
        <v>4817</v>
      </c>
      <c r="C37" s="330" t="s">
        <v>1119</v>
      </c>
      <c r="D37" s="330" t="s">
        <v>38</v>
      </c>
      <c r="E37" s="330" t="s">
        <v>4818</v>
      </c>
      <c r="F37" s="331">
        <v>44986</v>
      </c>
      <c r="G37" s="331"/>
      <c r="H37" s="331"/>
      <c r="I37" s="331">
        <v>44986</v>
      </c>
      <c r="J37" s="330" t="s">
        <v>5271</v>
      </c>
      <c r="K37" s="330" t="s">
        <v>54</v>
      </c>
      <c r="L37" s="171">
        <v>45110</v>
      </c>
      <c r="M37" s="168"/>
      <c r="O37" s="168"/>
      <c r="P37" s="168">
        <v>8118</v>
      </c>
      <c r="Q37" s="168" t="s">
        <v>35</v>
      </c>
      <c r="R37" s="168" t="s">
        <v>129</v>
      </c>
    </row>
    <row r="38" spans="1:18">
      <c r="A38" s="330">
        <f>COUNTA($E$3:$E38)</f>
        <v>36</v>
      </c>
      <c r="B38" s="330" t="s">
        <v>5157</v>
      </c>
      <c r="C38" s="330" t="s">
        <v>1197</v>
      </c>
      <c r="D38" s="330" t="s">
        <v>38</v>
      </c>
      <c r="E38" s="330" t="s">
        <v>1222</v>
      </c>
      <c r="F38" s="331">
        <v>45058</v>
      </c>
      <c r="G38" s="331">
        <v>45058</v>
      </c>
      <c r="H38" s="331"/>
      <c r="I38" s="331">
        <v>45058</v>
      </c>
      <c r="J38" s="330" t="s">
        <v>5293</v>
      </c>
      <c r="K38" s="330" t="s">
        <v>20</v>
      </c>
      <c r="L38" s="171">
        <v>45110</v>
      </c>
      <c r="M38" s="168"/>
      <c r="O38" s="168"/>
      <c r="P38" s="168">
        <v>779</v>
      </c>
      <c r="Q38" s="168" t="s">
        <v>35</v>
      </c>
      <c r="R38" s="168" t="s">
        <v>22</v>
      </c>
    </row>
    <row r="39" spans="1:18">
      <c r="A39" s="330">
        <f>COUNTA($E$3:$E39)</f>
        <v>37</v>
      </c>
      <c r="B39" s="330" t="s">
        <v>4876</v>
      </c>
      <c r="C39" s="330" t="s">
        <v>37</v>
      </c>
      <c r="D39" s="330" t="s">
        <v>30</v>
      </c>
      <c r="E39" s="330" t="s">
        <v>3372</v>
      </c>
      <c r="F39" s="331">
        <v>45007</v>
      </c>
      <c r="G39" s="331"/>
      <c r="H39" s="331"/>
      <c r="I39" s="331">
        <v>45007</v>
      </c>
      <c r="J39" s="330" t="s">
        <v>5272</v>
      </c>
      <c r="K39" s="330" t="s">
        <v>54</v>
      </c>
      <c r="L39" s="171">
        <v>45110</v>
      </c>
      <c r="M39" s="168"/>
      <c r="O39" s="168"/>
      <c r="P39" s="168">
        <v>2668</v>
      </c>
      <c r="Q39" s="168" t="s">
        <v>35</v>
      </c>
      <c r="R39" s="168" t="s">
        <v>129</v>
      </c>
    </row>
    <row r="40" spans="1:18" hidden="1">
      <c r="A40" s="330">
        <f>COUNTA($E$3:$E40)</f>
        <v>38</v>
      </c>
      <c r="B40" s="330" t="s">
        <v>4935</v>
      </c>
      <c r="C40" s="330" t="s">
        <v>3828</v>
      </c>
      <c r="D40" s="330" t="s">
        <v>104</v>
      </c>
      <c r="E40" s="330" t="s">
        <v>1266</v>
      </c>
      <c r="F40" s="331">
        <v>45030</v>
      </c>
      <c r="G40" s="331">
        <v>45020</v>
      </c>
      <c r="H40" s="331"/>
      <c r="I40" s="331">
        <v>45030</v>
      </c>
      <c r="J40" s="330" t="s">
        <v>3253</v>
      </c>
      <c r="K40" s="330" t="s">
        <v>54</v>
      </c>
      <c r="L40" s="171">
        <v>45110</v>
      </c>
      <c r="M40" s="168" t="s">
        <v>2384</v>
      </c>
      <c r="N40" s="169">
        <v>45110</v>
      </c>
      <c r="O40" s="168"/>
      <c r="P40" s="168">
        <v>7290</v>
      </c>
      <c r="Q40" s="168" t="s">
        <v>35</v>
      </c>
      <c r="R40" s="168" t="s">
        <v>129</v>
      </c>
    </row>
    <row r="41" spans="1:18">
      <c r="A41" s="330">
        <f>COUNTA($E$3:$E41)</f>
        <v>39</v>
      </c>
      <c r="B41" s="330" t="s">
        <v>4936</v>
      </c>
      <c r="C41" s="330" t="s">
        <v>21</v>
      </c>
      <c r="D41" s="330" t="s">
        <v>1080</v>
      </c>
      <c r="E41" s="330" t="s">
        <v>4937</v>
      </c>
      <c r="F41" s="331">
        <v>45030</v>
      </c>
      <c r="G41" s="331">
        <v>45020</v>
      </c>
      <c r="H41" s="331"/>
      <c r="I41" s="331">
        <v>45030</v>
      </c>
      <c r="J41" s="330" t="s">
        <v>5275</v>
      </c>
      <c r="K41" s="330" t="s">
        <v>54</v>
      </c>
      <c r="L41" s="171">
        <v>45110</v>
      </c>
      <c r="M41" s="168"/>
      <c r="O41" s="168"/>
      <c r="P41" s="168">
        <v>10745</v>
      </c>
      <c r="Q41" s="168" t="s">
        <v>35</v>
      </c>
      <c r="R41" s="168" t="s">
        <v>129</v>
      </c>
    </row>
    <row r="42" spans="1:18">
      <c r="A42" s="330">
        <f>COUNTA($E$3:$E42)</f>
        <v>40</v>
      </c>
      <c r="B42" s="330" t="s">
        <v>4974</v>
      </c>
      <c r="C42" s="330" t="s">
        <v>37</v>
      </c>
      <c r="D42" s="330" t="s">
        <v>34</v>
      </c>
      <c r="E42" s="330" t="s">
        <v>3237</v>
      </c>
      <c r="F42" s="331">
        <v>45015</v>
      </c>
      <c r="G42" s="331"/>
      <c r="H42" s="331"/>
      <c r="I42" s="331">
        <v>45015</v>
      </c>
      <c r="J42" s="330" t="s">
        <v>4975</v>
      </c>
      <c r="K42" s="330" t="s">
        <v>54</v>
      </c>
      <c r="L42" s="171">
        <v>45110</v>
      </c>
      <c r="M42" s="168"/>
      <c r="O42" s="168"/>
      <c r="P42" s="168">
        <v>1722</v>
      </c>
      <c r="Q42" s="168" t="s">
        <v>35</v>
      </c>
      <c r="R42" s="168" t="s">
        <v>129</v>
      </c>
    </row>
    <row r="43" spans="1:18" hidden="1">
      <c r="A43" s="330">
        <f>COUNTA($E$3:$E43)</f>
        <v>41</v>
      </c>
      <c r="B43" s="330" t="s">
        <v>5067</v>
      </c>
      <c r="C43" s="330" t="s">
        <v>1134</v>
      </c>
      <c r="D43" s="330" t="s">
        <v>16</v>
      </c>
      <c r="E43" s="330" t="s">
        <v>1235</v>
      </c>
      <c r="F43" s="331">
        <v>45044</v>
      </c>
      <c r="G43" s="331">
        <v>45036</v>
      </c>
      <c r="H43" s="331"/>
      <c r="I43" s="331">
        <v>45044</v>
      </c>
      <c r="J43" s="330" t="s">
        <v>5284</v>
      </c>
      <c r="K43" s="330" t="s">
        <v>54</v>
      </c>
      <c r="L43" s="171">
        <v>45110</v>
      </c>
      <c r="M43" s="168" t="s">
        <v>2384</v>
      </c>
      <c r="N43" s="169">
        <v>45069</v>
      </c>
      <c r="O43" s="168"/>
      <c r="P43" s="168">
        <v>8051</v>
      </c>
      <c r="Q43" s="168" t="s">
        <v>35</v>
      </c>
      <c r="R43" s="168" t="s">
        <v>129</v>
      </c>
    </row>
    <row r="44" spans="1:18">
      <c r="A44" s="330">
        <f>COUNTA($E$3:$E44)</f>
        <v>42</v>
      </c>
      <c r="B44" s="330" t="s">
        <v>5076</v>
      </c>
      <c r="C44" s="330" t="s">
        <v>1105</v>
      </c>
      <c r="D44" s="330" t="s">
        <v>16</v>
      </c>
      <c r="E44" s="330" t="s">
        <v>5077</v>
      </c>
      <c r="F44" s="331">
        <v>45044</v>
      </c>
      <c r="G44" s="331">
        <v>45036</v>
      </c>
      <c r="H44" s="331"/>
      <c r="I44" s="331">
        <v>45044</v>
      </c>
      <c r="J44" s="330" t="s">
        <v>5286</v>
      </c>
      <c r="K44" s="330" t="s">
        <v>54</v>
      </c>
      <c r="L44" s="171">
        <v>45110</v>
      </c>
      <c r="M44" s="168"/>
      <c r="O44" s="168"/>
      <c r="P44" s="168">
        <v>3398</v>
      </c>
      <c r="Q44" s="168" t="s">
        <v>35</v>
      </c>
      <c r="R44" s="168" t="s">
        <v>129</v>
      </c>
    </row>
    <row r="45" spans="1:18">
      <c r="A45" s="330">
        <f>COUNTA($E$3:$E45)</f>
        <v>43</v>
      </c>
      <c r="B45" s="330" t="s">
        <v>4815</v>
      </c>
      <c r="C45" s="330" t="s">
        <v>21</v>
      </c>
      <c r="D45" s="330" t="s">
        <v>30</v>
      </c>
      <c r="E45" s="330" t="s">
        <v>4816</v>
      </c>
      <c r="F45" s="331">
        <v>45008</v>
      </c>
      <c r="G45" s="331">
        <v>45005</v>
      </c>
      <c r="H45" s="331"/>
      <c r="I45" s="331">
        <v>45008</v>
      </c>
      <c r="J45" s="330" t="s">
        <v>5270</v>
      </c>
      <c r="K45" s="330" t="s">
        <v>54</v>
      </c>
      <c r="L45" s="171">
        <v>45110</v>
      </c>
      <c r="M45" s="168"/>
      <c r="O45" s="168"/>
      <c r="P45" s="168">
        <v>5871</v>
      </c>
      <c r="Q45" s="168" t="s">
        <v>35</v>
      </c>
      <c r="R45" s="168" t="s">
        <v>129</v>
      </c>
    </row>
    <row r="46" spans="1:18" hidden="1">
      <c r="A46" s="330">
        <f>COUNTA($E$3:$E46)</f>
        <v>44</v>
      </c>
      <c r="B46" s="330" t="s">
        <v>5345</v>
      </c>
      <c r="C46" s="330" t="s">
        <v>5097</v>
      </c>
      <c r="D46" s="330" t="s">
        <v>38</v>
      </c>
      <c r="E46" s="330" t="s">
        <v>5346</v>
      </c>
      <c r="F46" s="331"/>
      <c r="G46" s="331">
        <v>45075</v>
      </c>
      <c r="H46" s="331"/>
      <c r="I46" s="331"/>
      <c r="J46" s="330" t="s">
        <v>5434</v>
      </c>
      <c r="K46" s="330" t="s">
        <v>18</v>
      </c>
      <c r="L46" s="171">
        <v>45104</v>
      </c>
      <c r="M46" s="168">
        <v>45120</v>
      </c>
      <c r="N46" s="169">
        <v>45120</v>
      </c>
      <c r="O46" s="168"/>
      <c r="P46" s="168"/>
      <c r="Q46" s="168" t="s">
        <v>1029</v>
      </c>
      <c r="R46" s="168" t="s">
        <v>129</v>
      </c>
    </row>
    <row r="47" spans="1:18" hidden="1">
      <c r="A47" s="330">
        <f>COUNTA($D$3:$D$47)</f>
        <v>45</v>
      </c>
      <c r="B47" s="330" t="s">
        <v>5493</v>
      </c>
      <c r="C47" s="330" t="s">
        <v>1106</v>
      </c>
      <c r="D47" s="330" t="s">
        <v>58</v>
      </c>
      <c r="E47" s="331" t="s">
        <v>2621</v>
      </c>
      <c r="F47" s="331"/>
      <c r="G47" s="331"/>
      <c r="H47" s="331"/>
      <c r="I47" s="331"/>
      <c r="J47" s="330" t="s">
        <v>5542</v>
      </c>
      <c r="K47" s="332" t="s">
        <v>1102</v>
      </c>
      <c r="L47" s="171">
        <v>45104</v>
      </c>
      <c r="M47" s="168" t="s">
        <v>3</v>
      </c>
      <c r="N47" s="169">
        <v>45093</v>
      </c>
      <c r="O47" s="168"/>
      <c r="P47" s="168"/>
      <c r="Q47" s="168" t="s">
        <v>62</v>
      </c>
      <c r="R47" s="168" t="s">
        <v>129</v>
      </c>
    </row>
    <row r="48" spans="1:18" hidden="1">
      <c r="A48" s="330">
        <f>COUNTA($D$3:$D$48)</f>
        <v>46</v>
      </c>
      <c r="B48" s="330" t="s">
        <v>5341</v>
      </c>
      <c r="C48" s="330" t="s">
        <v>1804</v>
      </c>
      <c r="D48" s="330" t="s">
        <v>1805</v>
      </c>
      <c r="E48" s="331" t="s">
        <v>1806</v>
      </c>
      <c r="F48" s="331">
        <v>45071</v>
      </c>
      <c r="G48" s="331">
        <v>45075</v>
      </c>
      <c r="H48" s="331"/>
      <c r="I48" s="331">
        <v>45071</v>
      </c>
      <c r="J48" s="330" t="s">
        <v>5433</v>
      </c>
      <c r="K48" s="332" t="s">
        <v>5407</v>
      </c>
      <c r="L48" s="171">
        <v>45104</v>
      </c>
      <c r="M48" s="289" t="s">
        <v>5566</v>
      </c>
      <c r="N48" s="169">
        <v>45093</v>
      </c>
      <c r="O48" s="168"/>
      <c r="P48" s="168">
        <v>14476</v>
      </c>
      <c r="Q48" s="168"/>
      <c r="R48" s="168" t="s">
        <v>22</v>
      </c>
    </row>
    <row r="49" spans="1:18" hidden="1">
      <c r="A49" s="330">
        <f>COUNTA($D$3:$D$49)</f>
        <v>47</v>
      </c>
      <c r="B49" s="330" t="s">
        <v>5117</v>
      </c>
      <c r="C49" s="330" t="s">
        <v>3868</v>
      </c>
      <c r="D49" s="330" t="s">
        <v>64</v>
      </c>
      <c r="E49" s="331" t="s">
        <v>4435</v>
      </c>
      <c r="F49" s="331">
        <v>45044</v>
      </c>
      <c r="G49" s="331">
        <v>45043</v>
      </c>
      <c r="H49" s="331"/>
      <c r="I49" s="331">
        <v>45044</v>
      </c>
      <c r="J49" s="330"/>
      <c r="K49" s="332" t="s">
        <v>54</v>
      </c>
      <c r="L49" s="171">
        <v>45096</v>
      </c>
      <c r="M49" s="168" t="s">
        <v>2959</v>
      </c>
      <c r="N49" s="169">
        <v>45069</v>
      </c>
      <c r="O49" s="168"/>
      <c r="P49" s="168">
        <v>1100</v>
      </c>
      <c r="Q49" s="168" t="s">
        <v>35</v>
      </c>
      <c r="R49" s="168" t="s">
        <v>129</v>
      </c>
    </row>
    <row r="50" spans="1:18" hidden="1">
      <c r="A50" s="330">
        <f>COUNTA($D$3:$D$50)</f>
        <v>48</v>
      </c>
      <c r="B50" s="330" t="s">
        <v>4723</v>
      </c>
      <c r="C50" s="330" t="s">
        <v>4724</v>
      </c>
      <c r="D50" s="330" t="s">
        <v>16</v>
      </c>
      <c r="E50" s="331" t="s">
        <v>4725</v>
      </c>
      <c r="F50" s="331">
        <v>44965</v>
      </c>
      <c r="G50" s="331"/>
      <c r="H50" s="331"/>
      <c r="I50" s="331">
        <v>44965</v>
      </c>
      <c r="J50" s="330" t="s">
        <v>4726</v>
      </c>
      <c r="K50" s="332" t="s">
        <v>54</v>
      </c>
      <c r="L50" s="171">
        <v>45096</v>
      </c>
      <c r="M50" s="168" t="s">
        <v>5638</v>
      </c>
      <c r="N50" s="169">
        <v>45089</v>
      </c>
      <c r="O50" s="168"/>
      <c r="P50" s="168">
        <v>4224</v>
      </c>
      <c r="Q50" s="168" t="s">
        <v>35</v>
      </c>
      <c r="R50" s="168" t="s">
        <v>129</v>
      </c>
    </row>
    <row r="51" spans="1:18" hidden="1">
      <c r="A51" s="330">
        <f>COUNTA($D$3:$D$51)</f>
        <v>49</v>
      </c>
      <c r="B51" s="330" t="s">
        <v>5342</v>
      </c>
      <c r="C51" s="330" t="s">
        <v>44</v>
      </c>
      <c r="D51" s="330" t="s">
        <v>1129</v>
      </c>
      <c r="E51" s="331" t="s">
        <v>5343</v>
      </c>
      <c r="F51" s="331"/>
      <c r="G51" s="331"/>
      <c r="H51" s="331"/>
      <c r="I51" s="331"/>
      <c r="J51" s="330"/>
      <c r="K51" s="332" t="s">
        <v>18</v>
      </c>
      <c r="L51" s="171">
        <v>45089</v>
      </c>
      <c r="M51" s="168" t="s">
        <v>5477</v>
      </c>
      <c r="N51" s="169">
        <v>45076</v>
      </c>
      <c r="O51" s="168"/>
      <c r="P51" s="168"/>
      <c r="Q51" s="168"/>
      <c r="R51" s="168" t="s">
        <v>22</v>
      </c>
    </row>
    <row r="52" spans="1:18" hidden="1">
      <c r="A52" s="330">
        <f>COUNTA($D$3:$D$52)</f>
        <v>50</v>
      </c>
      <c r="B52" s="330" t="s">
        <v>5198</v>
      </c>
      <c r="C52" s="330" t="s">
        <v>5199</v>
      </c>
      <c r="D52" s="330" t="s">
        <v>52</v>
      </c>
      <c r="E52" s="331" t="s">
        <v>5200</v>
      </c>
      <c r="F52" s="331"/>
      <c r="G52" s="331">
        <v>45082</v>
      </c>
      <c r="H52" s="331"/>
      <c r="I52" s="331"/>
      <c r="J52" s="330" t="s">
        <v>5318</v>
      </c>
      <c r="K52" s="332" t="s">
        <v>54</v>
      </c>
      <c r="L52" s="171">
        <v>45089</v>
      </c>
      <c r="M52" s="168" t="s">
        <v>5565</v>
      </c>
      <c r="N52" s="169">
        <v>45070</v>
      </c>
      <c r="O52" s="168"/>
      <c r="P52" s="168"/>
      <c r="Q52" s="168" t="s">
        <v>1056</v>
      </c>
      <c r="R52" s="168" t="s">
        <v>129</v>
      </c>
    </row>
    <row r="53" spans="1:18" hidden="1">
      <c r="A53" s="330">
        <f>COUNTA($D$3:$D$53)</f>
        <v>51</v>
      </c>
      <c r="B53" s="330" t="s">
        <v>5314</v>
      </c>
      <c r="C53" s="330" t="s">
        <v>1171</v>
      </c>
      <c r="D53" s="330" t="s">
        <v>1123</v>
      </c>
      <c r="E53" s="331" t="s">
        <v>1997</v>
      </c>
      <c r="F53" s="331"/>
      <c r="G53" s="331"/>
      <c r="H53" s="331"/>
      <c r="I53" s="331"/>
      <c r="J53" s="330"/>
      <c r="K53" s="332" t="s">
        <v>18</v>
      </c>
      <c r="L53" s="171">
        <v>45089</v>
      </c>
      <c r="M53" s="168" t="s">
        <v>5476</v>
      </c>
      <c r="N53" s="169">
        <v>45076</v>
      </c>
      <c r="O53" s="168"/>
      <c r="P53" s="168"/>
      <c r="Q53" s="168"/>
      <c r="R53" s="168" t="s">
        <v>22</v>
      </c>
    </row>
    <row r="54" spans="1:18" hidden="1">
      <c r="A54" s="330">
        <f>COUNTA($D$3:$D$54)</f>
        <v>52</v>
      </c>
      <c r="B54" s="330" t="s">
        <v>5204</v>
      </c>
      <c r="C54" s="330" t="s">
        <v>44</v>
      </c>
      <c r="D54" s="330" t="s">
        <v>30</v>
      </c>
      <c r="E54" s="331" t="s">
        <v>1117</v>
      </c>
      <c r="F54" s="331"/>
      <c r="G54" s="331"/>
      <c r="H54" s="331"/>
      <c r="I54" s="331"/>
      <c r="J54" s="330"/>
      <c r="K54" s="332" t="s">
        <v>18</v>
      </c>
      <c r="L54" s="171">
        <v>45082</v>
      </c>
      <c r="M54" s="168" t="s">
        <v>5525</v>
      </c>
      <c r="N54" s="169">
        <v>45083</v>
      </c>
      <c r="O54" s="168"/>
      <c r="P54" s="168"/>
      <c r="Q54" s="168"/>
      <c r="R54" s="168" t="s">
        <v>22</v>
      </c>
    </row>
    <row r="55" spans="1:18" hidden="1">
      <c r="A55" s="330">
        <f>COUNTA($D$3:$D$55)</f>
        <v>53</v>
      </c>
      <c r="B55" s="330" t="s">
        <v>5172</v>
      </c>
      <c r="C55" s="330" t="s">
        <v>5173</v>
      </c>
      <c r="D55" s="330" t="s">
        <v>38</v>
      </c>
      <c r="E55" s="331" t="s">
        <v>5174</v>
      </c>
      <c r="F55" s="331">
        <v>45069</v>
      </c>
      <c r="G55" s="331">
        <v>45057</v>
      </c>
      <c r="H55" s="331"/>
      <c r="I55" s="331">
        <v>45069</v>
      </c>
      <c r="J55" s="330"/>
      <c r="K55" s="332" t="s">
        <v>1277</v>
      </c>
      <c r="L55" s="171">
        <v>45082</v>
      </c>
      <c r="M55" s="168" t="s">
        <v>5359</v>
      </c>
      <c r="N55" s="169">
        <v>45069</v>
      </c>
      <c r="O55" s="168"/>
      <c r="P55" s="168">
        <v>2616</v>
      </c>
      <c r="Q55" s="168" t="s">
        <v>35</v>
      </c>
      <c r="R55" s="168" t="s">
        <v>129</v>
      </c>
    </row>
    <row r="56" spans="1:18">
      <c r="A56" s="330">
        <f>COUNTA($D$3:$D$56)</f>
        <v>54</v>
      </c>
      <c r="B56" s="330" t="s">
        <v>4708</v>
      </c>
      <c r="C56" s="330" t="s">
        <v>41</v>
      </c>
      <c r="D56" s="330" t="s">
        <v>1124</v>
      </c>
      <c r="E56" s="331" t="s">
        <v>1183</v>
      </c>
      <c r="F56" s="331" t="s">
        <v>66</v>
      </c>
      <c r="G56" s="331">
        <v>44963</v>
      </c>
      <c r="H56" s="331"/>
      <c r="I56" s="331" t="s">
        <v>66</v>
      </c>
      <c r="J56" s="330"/>
      <c r="K56" s="332" t="s">
        <v>2032</v>
      </c>
      <c r="L56" s="171">
        <v>45082</v>
      </c>
      <c r="M56" s="168"/>
      <c r="O56" s="168"/>
      <c r="P56" s="168">
        <v>1368</v>
      </c>
      <c r="Q56" s="168" t="s">
        <v>28</v>
      </c>
      <c r="R56" s="168" t="s">
        <v>22</v>
      </c>
    </row>
    <row r="57" spans="1:18" hidden="1">
      <c r="A57" s="330">
        <f>COUNTA($D$3:$D$57)</f>
        <v>55</v>
      </c>
      <c r="B57" s="330" t="s">
        <v>5057</v>
      </c>
      <c r="C57" s="330" t="s">
        <v>3439</v>
      </c>
      <c r="D57" s="330" t="s">
        <v>30</v>
      </c>
      <c r="E57" s="331" t="s">
        <v>5058</v>
      </c>
      <c r="F57" s="331">
        <v>45030</v>
      </c>
      <c r="G57" s="331">
        <v>45029</v>
      </c>
      <c r="H57" s="331"/>
      <c r="I57" s="331">
        <v>45030</v>
      </c>
      <c r="J57" s="330"/>
      <c r="K57" s="332" t="s">
        <v>53</v>
      </c>
      <c r="L57" s="171">
        <v>45082</v>
      </c>
      <c r="M57" s="168" t="s">
        <v>5404</v>
      </c>
      <c r="N57" s="169">
        <v>45054</v>
      </c>
      <c r="O57" s="168"/>
      <c r="P57" s="168">
        <v>8790</v>
      </c>
      <c r="Q57" s="168"/>
      <c r="R57" s="168" t="s">
        <v>129</v>
      </c>
    </row>
    <row r="58" spans="1:18" hidden="1">
      <c r="A58" s="330">
        <f>COUNTA($D$3:$D$58)</f>
        <v>56</v>
      </c>
      <c r="B58" s="330" t="s">
        <v>4924</v>
      </c>
      <c r="C58" s="330" t="s">
        <v>1077</v>
      </c>
      <c r="D58" s="330" t="s">
        <v>16</v>
      </c>
      <c r="E58" s="331" t="s">
        <v>4078</v>
      </c>
      <c r="F58" s="331">
        <v>45015</v>
      </c>
      <c r="G58" s="331">
        <v>45009</v>
      </c>
      <c r="H58" s="331"/>
      <c r="I58" s="331">
        <v>45015</v>
      </c>
      <c r="J58" s="330"/>
      <c r="K58" s="332" t="s">
        <v>18</v>
      </c>
      <c r="L58" s="171">
        <v>45082</v>
      </c>
      <c r="M58" s="168" t="s">
        <v>5403</v>
      </c>
      <c r="N58" s="169">
        <v>45174</v>
      </c>
      <c r="O58" s="168"/>
      <c r="P58" s="168">
        <v>4358</v>
      </c>
      <c r="Q58" s="168"/>
      <c r="R58" s="168" t="s">
        <v>22</v>
      </c>
    </row>
    <row r="59" spans="1:18" hidden="1">
      <c r="A59" s="330">
        <f>COUNTA($D$3:$D$59)</f>
        <v>57</v>
      </c>
      <c r="B59" s="330" t="s">
        <v>5035</v>
      </c>
      <c r="C59" s="330" t="s">
        <v>1165</v>
      </c>
      <c r="D59" s="330" t="s">
        <v>282</v>
      </c>
      <c r="E59" s="331" t="s">
        <v>5036</v>
      </c>
      <c r="F59" s="331"/>
      <c r="G59" s="331"/>
      <c r="H59" s="331"/>
      <c r="I59" s="331"/>
      <c r="J59" s="330" t="s">
        <v>5278</v>
      </c>
      <c r="K59" s="332" t="s">
        <v>287</v>
      </c>
      <c r="L59" s="171">
        <v>45069</v>
      </c>
      <c r="M59" s="168" t="s">
        <v>5330</v>
      </c>
      <c r="N59" s="169">
        <v>45068</v>
      </c>
      <c r="O59" s="168"/>
      <c r="P59" s="168"/>
      <c r="Q59" s="168" t="s">
        <v>62</v>
      </c>
      <c r="R59" s="168" t="s">
        <v>22</v>
      </c>
    </row>
    <row r="60" spans="1:18">
      <c r="A60" s="330">
        <f>COUNTA($D$3:$D$60)</f>
        <v>58</v>
      </c>
      <c r="B60" s="330" t="s">
        <v>4634</v>
      </c>
      <c r="C60" s="330" t="s">
        <v>40</v>
      </c>
      <c r="D60" s="330" t="s">
        <v>27</v>
      </c>
      <c r="E60" s="331" t="s">
        <v>4625</v>
      </c>
      <c r="F60" s="331">
        <v>44936</v>
      </c>
      <c r="G60" s="331">
        <v>44938</v>
      </c>
      <c r="H60" s="331"/>
      <c r="I60" s="331">
        <v>44936</v>
      </c>
      <c r="J60" s="330" t="s">
        <v>1093</v>
      </c>
      <c r="K60" s="332" t="s">
        <v>125</v>
      </c>
      <c r="L60" s="171">
        <v>45061</v>
      </c>
      <c r="M60" s="168" t="s">
        <v>6197</v>
      </c>
      <c r="O60" s="168"/>
      <c r="P60" s="168">
        <v>10598</v>
      </c>
      <c r="Q60" s="168" t="s">
        <v>3611</v>
      </c>
      <c r="R60" s="168" t="s">
        <v>129</v>
      </c>
    </row>
    <row r="61" spans="1:18">
      <c r="A61" s="330">
        <f>COUNTA($D$3:$D$61)</f>
        <v>59</v>
      </c>
      <c r="B61" s="330" t="s">
        <v>4633</v>
      </c>
      <c r="C61" s="330" t="s">
        <v>44</v>
      </c>
      <c r="D61" s="330" t="s">
        <v>27</v>
      </c>
      <c r="E61" s="331" t="s">
        <v>206</v>
      </c>
      <c r="F61" s="331" t="s">
        <v>66</v>
      </c>
      <c r="G61" s="331">
        <v>44938</v>
      </c>
      <c r="H61" s="331"/>
      <c r="I61" s="331" t="s">
        <v>66</v>
      </c>
      <c r="J61" s="330" t="s">
        <v>1093</v>
      </c>
      <c r="K61" s="332" t="s">
        <v>125</v>
      </c>
      <c r="L61" s="171">
        <v>45061</v>
      </c>
      <c r="M61" s="168"/>
      <c r="O61" s="168"/>
      <c r="P61" s="168"/>
      <c r="Q61" s="168" t="s">
        <v>1055</v>
      </c>
      <c r="R61" s="168" t="s">
        <v>129</v>
      </c>
    </row>
    <row r="62" spans="1:18">
      <c r="A62" s="330">
        <f>COUNTA($D$3:$D$62)</f>
        <v>60</v>
      </c>
      <c r="B62" s="330" t="s">
        <v>4660</v>
      </c>
      <c r="C62" s="330" t="s">
        <v>41</v>
      </c>
      <c r="D62" s="330" t="s">
        <v>30</v>
      </c>
      <c r="E62" s="330" t="s">
        <v>1656</v>
      </c>
      <c r="F62" s="331" t="s">
        <v>66</v>
      </c>
      <c r="G62" s="331">
        <v>44942</v>
      </c>
      <c r="H62" s="331"/>
      <c r="I62" s="331" t="s">
        <v>66</v>
      </c>
      <c r="J62" s="330" t="s">
        <v>4661</v>
      </c>
      <c r="K62" s="332" t="s">
        <v>1295</v>
      </c>
      <c r="L62" s="171">
        <v>45061</v>
      </c>
      <c r="M62" s="170"/>
      <c r="O62" s="168"/>
      <c r="P62" s="168">
        <v>2820</v>
      </c>
      <c r="Q62" s="168" t="s">
        <v>60</v>
      </c>
      <c r="R62" s="168" t="s">
        <v>129</v>
      </c>
    </row>
    <row r="63" spans="1:18" hidden="1">
      <c r="A63" s="330">
        <f>COUNTA($D$3:$D$63)</f>
        <v>61</v>
      </c>
      <c r="B63" s="330" t="s">
        <v>4675</v>
      </c>
      <c r="C63" s="330" t="s">
        <v>1716</v>
      </c>
      <c r="D63" s="330" t="s">
        <v>64</v>
      </c>
      <c r="E63" s="331" t="s">
        <v>4677</v>
      </c>
      <c r="F63" s="331">
        <v>44942</v>
      </c>
      <c r="G63" s="331">
        <v>44953</v>
      </c>
      <c r="H63" s="331"/>
      <c r="I63" s="331">
        <v>44942</v>
      </c>
      <c r="J63" s="330" t="s">
        <v>4678</v>
      </c>
      <c r="K63" s="332" t="s">
        <v>1294</v>
      </c>
      <c r="L63" s="171">
        <v>45061</v>
      </c>
      <c r="M63" s="168" t="s">
        <v>2384</v>
      </c>
      <c r="N63" s="169">
        <v>45054</v>
      </c>
      <c r="O63" s="168"/>
      <c r="P63" s="168">
        <v>6497</v>
      </c>
      <c r="Q63" s="168" t="s">
        <v>35</v>
      </c>
      <c r="R63" s="168" t="s">
        <v>22</v>
      </c>
    </row>
    <row r="64" spans="1:18" hidden="1">
      <c r="A64" s="330">
        <f>COUNTA($D$3:$D$64)</f>
        <v>62</v>
      </c>
      <c r="B64" s="330" t="s">
        <v>4670</v>
      </c>
      <c r="C64" s="330" t="s">
        <v>1106</v>
      </c>
      <c r="D64" s="330" t="s">
        <v>16</v>
      </c>
      <c r="E64" s="331" t="s">
        <v>4671</v>
      </c>
      <c r="F64" s="331">
        <v>44958</v>
      </c>
      <c r="G64" s="331">
        <v>44953</v>
      </c>
      <c r="H64" s="331"/>
      <c r="I64" s="331">
        <v>44958</v>
      </c>
      <c r="J64" s="330" t="s">
        <v>4672</v>
      </c>
      <c r="K64" s="332" t="s">
        <v>1287</v>
      </c>
      <c r="L64" s="171">
        <v>45061</v>
      </c>
      <c r="M64" s="168"/>
      <c r="N64" s="169">
        <v>45117</v>
      </c>
      <c r="O64" s="168"/>
      <c r="P64" s="168">
        <v>6677</v>
      </c>
      <c r="Q64" s="168" t="s">
        <v>35</v>
      </c>
      <c r="R64" s="168" t="s">
        <v>129</v>
      </c>
    </row>
    <row r="65" spans="1:18">
      <c r="A65" s="330">
        <f>COUNTA($D$3:$D$65)</f>
        <v>63</v>
      </c>
      <c r="B65" s="330" t="s">
        <v>4642</v>
      </c>
      <c r="C65" s="330" t="s">
        <v>21</v>
      </c>
      <c r="D65" s="330" t="s">
        <v>32</v>
      </c>
      <c r="E65" s="331" t="s">
        <v>1655</v>
      </c>
      <c r="F65" s="331">
        <v>44936</v>
      </c>
      <c r="G65" s="331">
        <v>44938</v>
      </c>
      <c r="H65" s="331"/>
      <c r="I65" s="331">
        <v>44936</v>
      </c>
      <c r="J65" s="330" t="s">
        <v>1659</v>
      </c>
      <c r="K65" s="332" t="s">
        <v>53</v>
      </c>
      <c r="L65" s="171">
        <v>45061</v>
      </c>
      <c r="M65" s="168"/>
      <c r="O65" s="168"/>
      <c r="P65" s="168">
        <v>4308</v>
      </c>
      <c r="Q65" s="168" t="s">
        <v>35</v>
      </c>
      <c r="R65" s="168" t="s">
        <v>129</v>
      </c>
    </row>
    <row r="66" spans="1:18">
      <c r="A66" s="330">
        <f>COUNTA($D$3:$D$66)</f>
        <v>64</v>
      </c>
      <c r="B66" s="330" t="s">
        <v>4641</v>
      </c>
      <c r="C66" s="330" t="s">
        <v>21</v>
      </c>
      <c r="D66" s="330" t="s">
        <v>30</v>
      </c>
      <c r="E66" s="331" t="s">
        <v>4629</v>
      </c>
      <c r="F66" s="331">
        <v>44936</v>
      </c>
      <c r="G66" s="331">
        <v>44938</v>
      </c>
      <c r="H66" s="331"/>
      <c r="I66" s="331">
        <v>44936</v>
      </c>
      <c r="J66" s="330" t="s">
        <v>4830</v>
      </c>
      <c r="K66" s="332" t="s">
        <v>1296</v>
      </c>
      <c r="L66" s="171">
        <v>45061</v>
      </c>
      <c r="M66" s="168"/>
      <c r="O66" s="168"/>
      <c r="P66" s="168">
        <v>2074</v>
      </c>
      <c r="Q66" s="168" t="s">
        <v>35</v>
      </c>
      <c r="R66" s="168" t="s">
        <v>129</v>
      </c>
    </row>
    <row r="67" spans="1:18">
      <c r="A67" s="330">
        <f>COUNTA($D$3:$D$67)</f>
        <v>65</v>
      </c>
      <c r="B67" s="330" t="s">
        <v>4640</v>
      </c>
      <c r="C67" s="330" t="s">
        <v>21</v>
      </c>
      <c r="D67" s="330" t="s">
        <v>30</v>
      </c>
      <c r="E67" s="331" t="s">
        <v>3315</v>
      </c>
      <c r="F67" s="331">
        <v>44936</v>
      </c>
      <c r="G67" s="331">
        <v>44938</v>
      </c>
      <c r="H67" s="331"/>
      <c r="I67" s="331">
        <v>44936</v>
      </c>
      <c r="J67" s="330" t="s">
        <v>1662</v>
      </c>
      <c r="K67" s="332" t="s">
        <v>1296</v>
      </c>
      <c r="L67" s="171">
        <v>45061</v>
      </c>
      <c r="M67" s="168"/>
      <c r="O67" s="168"/>
      <c r="P67" s="168">
        <v>1549</v>
      </c>
      <c r="Q67" s="168" t="s">
        <v>35</v>
      </c>
      <c r="R67" s="168" t="s">
        <v>129</v>
      </c>
    </row>
    <row r="68" spans="1:18">
      <c r="A68" s="330">
        <f>COUNTA($D$3:$D$68)</f>
        <v>66</v>
      </c>
      <c r="B68" s="330" t="s">
        <v>4639</v>
      </c>
      <c r="C68" s="330" t="s">
        <v>21</v>
      </c>
      <c r="D68" s="330" t="s">
        <v>30</v>
      </c>
      <c r="E68" s="331" t="s">
        <v>4628</v>
      </c>
      <c r="F68" s="331">
        <v>44936</v>
      </c>
      <c r="G68" s="331">
        <v>44938</v>
      </c>
      <c r="H68" s="331"/>
      <c r="I68" s="331">
        <v>44936</v>
      </c>
      <c r="J68" s="330" t="s">
        <v>4829</v>
      </c>
      <c r="K68" s="332" t="s">
        <v>1296</v>
      </c>
      <c r="L68" s="171">
        <v>45061</v>
      </c>
      <c r="M68" s="172"/>
      <c r="O68" s="168"/>
      <c r="P68" s="168">
        <v>1810</v>
      </c>
      <c r="Q68" s="168" t="s">
        <v>35</v>
      </c>
      <c r="R68" s="168" t="s">
        <v>129</v>
      </c>
    </row>
    <row r="69" spans="1:18">
      <c r="A69" s="330">
        <f>COUNTA($D$3:$D$69)</f>
        <v>67</v>
      </c>
      <c r="B69" s="330" t="s">
        <v>4651</v>
      </c>
      <c r="C69" s="330" t="s">
        <v>41</v>
      </c>
      <c r="D69" s="330" t="s">
        <v>16</v>
      </c>
      <c r="E69" s="331" t="s">
        <v>1161</v>
      </c>
      <c r="F69" s="331" t="s">
        <v>66</v>
      </c>
      <c r="G69" s="331">
        <v>44942</v>
      </c>
      <c r="H69" s="331"/>
      <c r="I69" s="331" t="s">
        <v>66</v>
      </c>
      <c r="J69" s="330" t="s">
        <v>4832</v>
      </c>
      <c r="K69" s="332" t="s">
        <v>1295</v>
      </c>
      <c r="L69" s="171">
        <v>45061</v>
      </c>
      <c r="M69" s="168"/>
      <c r="O69" s="168"/>
      <c r="P69" s="168">
        <v>3865</v>
      </c>
      <c r="Q69" s="168" t="s">
        <v>28</v>
      </c>
      <c r="R69" s="168" t="s">
        <v>129</v>
      </c>
    </row>
    <row r="70" spans="1:18">
      <c r="A70" s="330">
        <f>COUNTA($D$3:$D$70)</f>
        <v>68</v>
      </c>
      <c r="B70" s="330" t="s">
        <v>4667</v>
      </c>
      <c r="C70" s="330" t="s">
        <v>286</v>
      </c>
      <c r="D70" s="330" t="s">
        <v>34</v>
      </c>
      <c r="E70" s="331" t="s">
        <v>1250</v>
      </c>
      <c r="F70" s="331" t="s">
        <v>66</v>
      </c>
      <c r="G70" s="331">
        <v>44956</v>
      </c>
      <c r="H70" s="331"/>
      <c r="I70" s="331" t="s">
        <v>66</v>
      </c>
      <c r="J70" s="330" t="s">
        <v>1724</v>
      </c>
      <c r="K70" s="332" t="s">
        <v>2032</v>
      </c>
      <c r="L70" s="171">
        <v>45061</v>
      </c>
      <c r="M70" s="168"/>
      <c r="O70" s="168"/>
      <c r="P70" s="168">
        <v>2138</v>
      </c>
      <c r="Q70" s="168" t="s">
        <v>28</v>
      </c>
      <c r="R70" s="168" t="s">
        <v>22</v>
      </c>
    </row>
    <row r="71" spans="1:18" hidden="1">
      <c r="A71" s="330">
        <f>COUNTA($D$3:$D$71)</f>
        <v>69</v>
      </c>
      <c r="B71" s="330" t="s">
        <v>4658</v>
      </c>
      <c r="C71" s="330" t="s">
        <v>41</v>
      </c>
      <c r="D71" s="330" t="s">
        <v>1124</v>
      </c>
      <c r="E71" s="331" t="s">
        <v>3308</v>
      </c>
      <c r="F71" s="331" t="s">
        <v>66</v>
      </c>
      <c r="G71" s="331">
        <v>44942</v>
      </c>
      <c r="H71" s="331"/>
      <c r="I71" s="331" t="s">
        <v>66</v>
      </c>
      <c r="J71" s="330" t="s">
        <v>4659</v>
      </c>
      <c r="K71" s="332" t="s">
        <v>287</v>
      </c>
      <c r="L71" s="171">
        <v>45061</v>
      </c>
      <c r="M71" s="168" t="s">
        <v>6043</v>
      </c>
      <c r="N71" s="169">
        <v>45103</v>
      </c>
      <c r="O71" s="168"/>
      <c r="P71" s="168">
        <v>2243</v>
      </c>
      <c r="Q71" s="168" t="s">
        <v>28</v>
      </c>
      <c r="R71" s="168" t="s">
        <v>22</v>
      </c>
    </row>
    <row r="72" spans="1:18" hidden="1">
      <c r="A72" s="330">
        <f>COUNTA($D$3:$D$72)</f>
        <v>70</v>
      </c>
      <c r="B72" s="330" t="s">
        <v>4944</v>
      </c>
      <c r="C72" s="330" t="s">
        <v>2776</v>
      </c>
      <c r="D72" s="330" t="s">
        <v>1124</v>
      </c>
      <c r="E72" s="331" t="s">
        <v>2777</v>
      </c>
      <c r="F72" s="331"/>
      <c r="G72" s="331"/>
      <c r="H72" s="331"/>
      <c r="I72" s="331"/>
      <c r="J72" s="330"/>
      <c r="K72" s="332" t="s">
        <v>18</v>
      </c>
      <c r="L72" s="171">
        <v>45027</v>
      </c>
      <c r="M72" s="168" t="s">
        <v>5049</v>
      </c>
      <c r="N72" s="169">
        <v>45083</v>
      </c>
      <c r="O72" s="168"/>
      <c r="P72" s="168"/>
      <c r="Q72" s="168" t="s">
        <v>1053</v>
      </c>
      <c r="R72" s="168" t="s">
        <v>22</v>
      </c>
    </row>
    <row r="73" spans="1:18" hidden="1">
      <c r="A73" s="330">
        <f>COUNTA($D$3:$D$73)</f>
        <v>71</v>
      </c>
      <c r="B73" s="330" t="s">
        <v>4825</v>
      </c>
      <c r="C73" s="330" t="s">
        <v>2014</v>
      </c>
      <c r="D73" s="330" t="s">
        <v>1121</v>
      </c>
      <c r="E73" s="331" t="s">
        <v>2015</v>
      </c>
      <c r="F73" s="331"/>
      <c r="G73" s="331">
        <v>45005</v>
      </c>
      <c r="H73" s="331"/>
      <c r="I73" s="331"/>
      <c r="J73" s="330" t="s">
        <v>4826</v>
      </c>
      <c r="K73" s="332" t="s">
        <v>54</v>
      </c>
      <c r="L73" s="171">
        <v>45020</v>
      </c>
      <c r="M73" s="168"/>
      <c r="N73" s="169">
        <v>45017</v>
      </c>
      <c r="O73" s="168"/>
      <c r="P73" s="168"/>
      <c r="Q73" s="168" t="s">
        <v>1029</v>
      </c>
      <c r="R73" s="168" t="s">
        <v>129</v>
      </c>
    </row>
    <row r="74" spans="1:18" hidden="1">
      <c r="A74" s="330">
        <f>COUNTA($D$3:$D$74)</f>
        <v>72</v>
      </c>
      <c r="B74" s="330" t="s">
        <v>4423</v>
      </c>
      <c r="C74" s="330" t="s">
        <v>2760</v>
      </c>
      <c r="D74" s="330" t="s">
        <v>16</v>
      </c>
      <c r="E74" s="331" t="s">
        <v>4424</v>
      </c>
      <c r="F74" s="331">
        <v>44910</v>
      </c>
      <c r="G74" s="331">
        <v>44902</v>
      </c>
      <c r="H74" s="331"/>
      <c r="I74" s="331">
        <v>44910</v>
      </c>
      <c r="J74" s="330" t="s">
        <v>4425</v>
      </c>
      <c r="K74" s="332" t="s">
        <v>1295</v>
      </c>
      <c r="L74" s="171">
        <v>45020</v>
      </c>
      <c r="M74" s="168"/>
      <c r="N74" s="169">
        <v>44925</v>
      </c>
      <c r="O74" s="168"/>
      <c r="P74" s="168">
        <v>5399</v>
      </c>
      <c r="Q74" s="168" t="s">
        <v>35</v>
      </c>
      <c r="R74" s="168" t="s">
        <v>129</v>
      </c>
    </row>
    <row r="75" spans="1:18">
      <c r="A75" s="330">
        <f>COUNTA($D$3:$D$75)</f>
        <v>73</v>
      </c>
      <c r="B75" s="330" t="s">
        <v>4463</v>
      </c>
      <c r="C75" s="330" t="s">
        <v>21</v>
      </c>
      <c r="D75" s="330" t="s">
        <v>1169</v>
      </c>
      <c r="E75" s="331" t="s">
        <v>1268</v>
      </c>
      <c r="F75" s="331">
        <v>44909</v>
      </c>
      <c r="G75" s="331">
        <v>44909</v>
      </c>
      <c r="H75" s="331"/>
      <c r="I75" s="331">
        <v>44909</v>
      </c>
      <c r="J75" s="330" t="s">
        <v>4464</v>
      </c>
      <c r="K75" s="332" t="s">
        <v>1295</v>
      </c>
      <c r="L75" s="171">
        <v>45020</v>
      </c>
      <c r="M75" s="168"/>
      <c r="O75" s="168"/>
      <c r="P75" s="168">
        <v>6231</v>
      </c>
      <c r="Q75" s="168" t="s">
        <v>35</v>
      </c>
      <c r="R75" s="168" t="s">
        <v>129</v>
      </c>
    </row>
    <row r="76" spans="1:18" hidden="1">
      <c r="A76" s="330">
        <f>COUNTA($D$3:$D$76)</f>
        <v>74</v>
      </c>
      <c r="B76" s="330" t="s">
        <v>4422</v>
      </c>
      <c r="C76" s="330" t="s">
        <v>3041</v>
      </c>
      <c r="D76" s="330" t="s">
        <v>104</v>
      </c>
      <c r="E76" s="331" t="s">
        <v>3042</v>
      </c>
      <c r="F76" s="331">
        <v>44910</v>
      </c>
      <c r="G76" s="331">
        <v>44909</v>
      </c>
      <c r="H76" s="331"/>
      <c r="I76" s="331">
        <v>44910</v>
      </c>
      <c r="J76" s="330" t="s">
        <v>2797</v>
      </c>
      <c r="K76" s="332" t="s">
        <v>1295</v>
      </c>
      <c r="L76" s="171">
        <v>45020</v>
      </c>
      <c r="M76" s="168"/>
      <c r="N76" s="169">
        <v>45070</v>
      </c>
      <c r="O76" s="168"/>
      <c r="P76" s="168">
        <v>6520</v>
      </c>
      <c r="Q76" s="168" t="s">
        <v>35</v>
      </c>
      <c r="R76" s="168" t="s">
        <v>129</v>
      </c>
    </row>
    <row r="77" spans="1:18">
      <c r="A77" s="330">
        <f>COUNTA($D$3:$D$77)</f>
        <v>75</v>
      </c>
      <c r="B77" s="330" t="s">
        <v>4436</v>
      </c>
      <c r="C77" s="330" t="s">
        <v>21</v>
      </c>
      <c r="D77" s="330" t="s">
        <v>34</v>
      </c>
      <c r="E77" s="331" t="s">
        <v>3777</v>
      </c>
      <c r="F77" s="331">
        <v>44913</v>
      </c>
      <c r="G77" s="331">
        <v>44904</v>
      </c>
      <c r="H77" s="331"/>
      <c r="I77" s="331">
        <v>44913</v>
      </c>
      <c r="J77" s="330" t="s">
        <v>1672</v>
      </c>
      <c r="K77" s="332" t="s">
        <v>1295</v>
      </c>
      <c r="L77" s="171">
        <v>45020</v>
      </c>
      <c r="M77" s="168" t="s">
        <v>6201</v>
      </c>
      <c r="O77" s="168"/>
      <c r="P77" s="168">
        <v>3297</v>
      </c>
      <c r="Q77" s="168" t="s">
        <v>35</v>
      </c>
      <c r="R77" s="168" t="s">
        <v>129</v>
      </c>
    </row>
    <row r="78" spans="1:18">
      <c r="A78" s="330">
        <f>COUNTA($D$3:$D$78)</f>
        <v>76</v>
      </c>
      <c r="B78" s="330" t="s">
        <v>4583</v>
      </c>
      <c r="C78" s="330" t="s">
        <v>37</v>
      </c>
      <c r="D78" s="330" t="s">
        <v>34</v>
      </c>
      <c r="E78" s="331" t="s">
        <v>3375</v>
      </c>
      <c r="F78" s="331">
        <v>44957</v>
      </c>
      <c r="G78" s="331">
        <v>44935</v>
      </c>
      <c r="H78" s="331"/>
      <c r="I78" s="331">
        <v>44957</v>
      </c>
      <c r="J78" s="330" t="s">
        <v>4616</v>
      </c>
      <c r="K78" s="332" t="s">
        <v>1295</v>
      </c>
      <c r="L78" s="171">
        <v>45020</v>
      </c>
      <c r="M78" s="168"/>
      <c r="O78" s="168"/>
      <c r="P78" s="168">
        <v>2476</v>
      </c>
      <c r="Q78" s="168" t="s">
        <v>35</v>
      </c>
      <c r="R78" s="168" t="s">
        <v>129</v>
      </c>
    </row>
    <row r="79" spans="1:18">
      <c r="A79" s="330">
        <f>COUNTA($D$3:$D$79)</f>
        <v>77</v>
      </c>
      <c r="B79" s="330" t="s">
        <v>4579</v>
      </c>
      <c r="C79" s="330" t="s">
        <v>37</v>
      </c>
      <c r="D79" s="330" t="s">
        <v>30</v>
      </c>
      <c r="E79" s="331" t="s">
        <v>3367</v>
      </c>
      <c r="F79" s="331">
        <v>44957</v>
      </c>
      <c r="G79" s="331">
        <v>44935</v>
      </c>
      <c r="H79" s="331"/>
      <c r="I79" s="331">
        <v>44957</v>
      </c>
      <c r="J79" s="330" t="s">
        <v>4615</v>
      </c>
      <c r="K79" s="332" t="s">
        <v>1295</v>
      </c>
      <c r="L79" s="171">
        <v>45020</v>
      </c>
      <c r="M79" s="168"/>
      <c r="O79" s="168"/>
      <c r="P79" s="168">
        <v>3514</v>
      </c>
      <c r="Q79" s="168" t="s">
        <v>35</v>
      </c>
      <c r="R79" s="168" t="s">
        <v>129</v>
      </c>
    </row>
    <row r="80" spans="1:18">
      <c r="A80" s="330">
        <f>COUNTA($D$3:$D$80)</f>
        <v>78</v>
      </c>
      <c r="B80" s="330" t="s">
        <v>4444</v>
      </c>
      <c r="C80" s="330" t="s">
        <v>21</v>
      </c>
      <c r="D80" s="330" t="s">
        <v>34</v>
      </c>
      <c r="E80" s="331" t="s">
        <v>3691</v>
      </c>
      <c r="F80" s="331">
        <v>44913</v>
      </c>
      <c r="G80" s="331">
        <v>44907</v>
      </c>
      <c r="H80" s="331"/>
      <c r="I80" s="331">
        <v>44913</v>
      </c>
      <c r="J80" s="330" t="s">
        <v>4445</v>
      </c>
      <c r="K80" s="332" t="s">
        <v>1295</v>
      </c>
      <c r="L80" s="171">
        <v>45020</v>
      </c>
      <c r="M80" s="168"/>
      <c r="O80" s="168"/>
      <c r="P80" s="168">
        <v>11164</v>
      </c>
      <c r="Q80" s="168" t="s">
        <v>35</v>
      </c>
      <c r="R80" s="168" t="s">
        <v>129</v>
      </c>
    </row>
    <row r="81" spans="1:18">
      <c r="A81" s="330">
        <f>COUNTA($D$3:$D$81)</f>
        <v>79</v>
      </c>
      <c r="B81" s="330" t="s">
        <v>4447</v>
      </c>
      <c r="C81" s="330" t="s">
        <v>21</v>
      </c>
      <c r="D81" s="330" t="s">
        <v>34</v>
      </c>
      <c r="E81" s="331" t="s">
        <v>3711</v>
      </c>
      <c r="F81" s="331">
        <v>44913</v>
      </c>
      <c r="G81" s="331">
        <v>44907</v>
      </c>
      <c r="H81" s="331"/>
      <c r="I81" s="331">
        <v>44913</v>
      </c>
      <c r="J81" s="330" t="s">
        <v>3849</v>
      </c>
      <c r="K81" s="332" t="s">
        <v>1287</v>
      </c>
      <c r="L81" s="171">
        <v>45020</v>
      </c>
      <c r="M81" s="168"/>
      <c r="O81" s="168"/>
      <c r="P81" s="168">
        <v>8687</v>
      </c>
      <c r="Q81" s="168" t="s">
        <v>35</v>
      </c>
      <c r="R81" s="168" t="s">
        <v>129</v>
      </c>
    </row>
    <row r="82" spans="1:18">
      <c r="A82" s="330">
        <f>COUNTA($D$3:$D$82)</f>
        <v>80</v>
      </c>
      <c r="B82" s="330" t="s">
        <v>4446</v>
      </c>
      <c r="C82" s="330" t="s">
        <v>21</v>
      </c>
      <c r="D82" s="330" t="s">
        <v>1080</v>
      </c>
      <c r="E82" s="331" t="s">
        <v>3781</v>
      </c>
      <c r="F82" s="331">
        <v>44913</v>
      </c>
      <c r="G82" s="331">
        <v>44907</v>
      </c>
      <c r="H82" s="331"/>
      <c r="I82" s="331">
        <v>44913</v>
      </c>
      <c r="J82" s="330" t="s">
        <v>1875</v>
      </c>
      <c r="K82" s="332" t="s">
        <v>1295</v>
      </c>
      <c r="L82" s="171">
        <v>45020</v>
      </c>
      <c r="M82" s="168"/>
      <c r="O82" s="168"/>
      <c r="P82" s="168">
        <v>8294</v>
      </c>
      <c r="Q82" s="168" t="s">
        <v>35</v>
      </c>
      <c r="R82" s="168" t="s">
        <v>129</v>
      </c>
    </row>
    <row r="83" spans="1:18" hidden="1">
      <c r="A83" s="330">
        <f>COUNTA($D$3:$D$83)</f>
        <v>81</v>
      </c>
      <c r="B83" s="330" t="s">
        <v>4441</v>
      </c>
      <c r="C83" s="330" t="s">
        <v>1233</v>
      </c>
      <c r="D83" s="330" t="s">
        <v>58</v>
      </c>
      <c r="E83" s="331" t="s">
        <v>1234</v>
      </c>
      <c r="F83" s="331">
        <v>44908</v>
      </c>
      <c r="G83" s="331">
        <v>44904</v>
      </c>
      <c r="H83" s="331"/>
      <c r="I83" s="331">
        <v>44908</v>
      </c>
      <c r="J83" s="330" t="s">
        <v>1670</v>
      </c>
      <c r="K83" s="332" t="s">
        <v>2032</v>
      </c>
      <c r="L83" s="171">
        <v>45020</v>
      </c>
      <c r="M83" s="168"/>
      <c r="N83" s="169">
        <v>45083</v>
      </c>
      <c r="O83" s="168"/>
      <c r="P83" s="168">
        <v>2376</v>
      </c>
      <c r="Q83" s="168" t="s">
        <v>35</v>
      </c>
      <c r="R83" s="168" t="s">
        <v>22</v>
      </c>
    </row>
    <row r="84" spans="1:18" hidden="1">
      <c r="A84" s="330">
        <f>COUNTA($D$3:$D$84)</f>
        <v>82</v>
      </c>
      <c r="B84" s="330" t="s">
        <v>4438</v>
      </c>
      <c r="C84" s="330" t="s">
        <v>1106</v>
      </c>
      <c r="D84" s="330" t="s">
        <v>19</v>
      </c>
      <c r="E84" s="331" t="s">
        <v>4439</v>
      </c>
      <c r="F84" s="331">
        <v>44914</v>
      </c>
      <c r="G84" s="331">
        <v>44907</v>
      </c>
      <c r="H84" s="331"/>
      <c r="I84" s="331">
        <v>44914</v>
      </c>
      <c r="J84" s="330" t="s">
        <v>4453</v>
      </c>
      <c r="K84" s="332" t="s">
        <v>1295</v>
      </c>
      <c r="L84" s="171">
        <v>45020</v>
      </c>
      <c r="M84" s="168"/>
      <c r="N84" s="169">
        <v>45130</v>
      </c>
      <c r="O84" s="168"/>
      <c r="P84" s="168">
        <v>9835</v>
      </c>
      <c r="Q84" s="168" t="s">
        <v>35</v>
      </c>
      <c r="R84" s="168" t="s">
        <v>129</v>
      </c>
    </row>
    <row r="85" spans="1:18">
      <c r="A85" s="330">
        <f>COUNTA($D$3:$D$85)</f>
        <v>83</v>
      </c>
      <c r="B85" s="330" t="s">
        <v>4437</v>
      </c>
      <c r="C85" s="330" t="s">
        <v>21</v>
      </c>
      <c r="D85" s="330" t="s">
        <v>30</v>
      </c>
      <c r="E85" s="331" t="s">
        <v>1890</v>
      </c>
      <c r="F85" s="331">
        <v>44913</v>
      </c>
      <c r="G85" s="331">
        <v>44904</v>
      </c>
      <c r="H85" s="331"/>
      <c r="I85" s="331">
        <v>44913</v>
      </c>
      <c r="J85" s="330" t="s">
        <v>3849</v>
      </c>
      <c r="K85" s="332" t="s">
        <v>1287</v>
      </c>
      <c r="L85" s="171">
        <v>45020</v>
      </c>
      <c r="M85" s="168"/>
      <c r="O85" s="168"/>
      <c r="P85" s="168">
        <v>7946</v>
      </c>
      <c r="Q85" s="168" t="s">
        <v>35</v>
      </c>
      <c r="R85" s="168" t="s">
        <v>129</v>
      </c>
    </row>
    <row r="86" spans="1:18" hidden="1">
      <c r="A86" s="330">
        <f>COUNTA($D$3:$D$86)</f>
        <v>84</v>
      </c>
      <c r="B86" s="330" t="s">
        <v>4434</v>
      </c>
      <c r="C86" s="330" t="s">
        <v>3868</v>
      </c>
      <c r="D86" s="330" t="s">
        <v>64</v>
      </c>
      <c r="E86" s="331" t="s">
        <v>4435</v>
      </c>
      <c r="F86" s="331">
        <v>44932</v>
      </c>
      <c r="G86" s="331">
        <v>44907</v>
      </c>
      <c r="H86" s="331"/>
      <c r="I86" s="331">
        <v>44932</v>
      </c>
      <c r="J86" s="330" t="s">
        <v>1485</v>
      </c>
      <c r="K86" s="332" t="s">
        <v>1295</v>
      </c>
      <c r="L86" s="171">
        <v>45020</v>
      </c>
      <c r="M86" s="168"/>
      <c r="N86" s="169">
        <v>45051</v>
      </c>
      <c r="O86" s="168"/>
      <c r="P86" s="168">
        <v>1041</v>
      </c>
      <c r="Q86" s="168" t="s">
        <v>35</v>
      </c>
      <c r="R86" s="168" t="s">
        <v>129</v>
      </c>
    </row>
    <row r="87" spans="1:18">
      <c r="A87" s="330">
        <f>COUNTA($D$3:$D$87)</f>
        <v>85</v>
      </c>
      <c r="B87" s="330" t="s">
        <v>4432</v>
      </c>
      <c r="C87" s="330" t="s">
        <v>21</v>
      </c>
      <c r="D87" s="330" t="s">
        <v>30</v>
      </c>
      <c r="E87" s="331" t="s">
        <v>3159</v>
      </c>
      <c r="F87" s="331">
        <v>44913</v>
      </c>
      <c r="G87" s="331">
        <v>44904</v>
      </c>
      <c r="H87" s="331">
        <v>44921</v>
      </c>
      <c r="I87" s="331">
        <v>44913</v>
      </c>
      <c r="J87" s="330" t="s">
        <v>1659</v>
      </c>
      <c r="K87" s="332" t="s">
        <v>1287</v>
      </c>
      <c r="L87" s="171">
        <v>45020</v>
      </c>
      <c r="M87" s="168" t="s">
        <v>6201</v>
      </c>
      <c r="O87" s="168"/>
      <c r="P87" s="168">
        <v>1594</v>
      </c>
      <c r="Q87" s="168" t="s">
        <v>35</v>
      </c>
      <c r="R87" s="168" t="s">
        <v>129</v>
      </c>
    </row>
    <row r="88" spans="1:18">
      <c r="A88" s="330">
        <f>COUNTA($D$3:$D$88)</f>
        <v>86</v>
      </c>
      <c r="B88" s="330" t="s">
        <v>4471</v>
      </c>
      <c r="C88" s="330" t="s">
        <v>21</v>
      </c>
      <c r="D88" s="330" t="s">
        <v>16</v>
      </c>
      <c r="E88" s="331" t="s">
        <v>4472</v>
      </c>
      <c r="F88" s="331">
        <v>44909</v>
      </c>
      <c r="G88" s="331">
        <v>44909</v>
      </c>
      <c r="H88" s="331"/>
      <c r="I88" s="331">
        <v>44909</v>
      </c>
      <c r="J88" s="330" t="s">
        <v>4473</v>
      </c>
      <c r="K88" s="332" t="s">
        <v>1295</v>
      </c>
      <c r="L88" s="171">
        <v>45020</v>
      </c>
      <c r="M88" s="168"/>
      <c r="O88" s="168"/>
      <c r="P88" s="168">
        <v>7887</v>
      </c>
      <c r="Q88" s="168" t="s">
        <v>35</v>
      </c>
      <c r="R88" s="168" t="s">
        <v>129</v>
      </c>
    </row>
    <row r="89" spans="1:18">
      <c r="A89" s="330">
        <f>COUNTA($D$3:$D$89)</f>
        <v>87</v>
      </c>
      <c r="B89" s="330" t="s">
        <v>4455</v>
      </c>
      <c r="C89" s="330" t="s">
        <v>21</v>
      </c>
      <c r="D89" s="330" t="s">
        <v>1169</v>
      </c>
      <c r="E89" s="331" t="s">
        <v>1259</v>
      </c>
      <c r="F89" s="331">
        <v>44908</v>
      </c>
      <c r="G89" s="331">
        <v>44909</v>
      </c>
      <c r="H89" s="331"/>
      <c r="I89" s="331">
        <v>44908</v>
      </c>
      <c r="J89" s="330" t="s">
        <v>4456</v>
      </c>
      <c r="K89" s="332" t="s">
        <v>1295</v>
      </c>
      <c r="L89" s="171">
        <v>45020</v>
      </c>
      <c r="M89" s="168"/>
      <c r="O89" s="168"/>
      <c r="P89" s="168">
        <v>5486</v>
      </c>
      <c r="Q89" s="168" t="s">
        <v>35</v>
      </c>
      <c r="R89" s="168" t="s">
        <v>129</v>
      </c>
    </row>
    <row r="90" spans="1:18">
      <c r="A90" s="330">
        <f>COUNTA($D$3:$D$90)</f>
        <v>88</v>
      </c>
      <c r="B90" s="330" t="s">
        <v>4575</v>
      </c>
      <c r="C90" s="330" t="s">
        <v>37</v>
      </c>
      <c r="D90" s="330" t="s">
        <v>30</v>
      </c>
      <c r="E90" s="331" t="s">
        <v>3377</v>
      </c>
      <c r="F90" s="331">
        <v>44957</v>
      </c>
      <c r="G90" s="331">
        <v>44935</v>
      </c>
      <c r="H90" s="331"/>
      <c r="I90" s="331">
        <v>44957</v>
      </c>
      <c r="J90" s="330" t="s">
        <v>4614</v>
      </c>
      <c r="K90" s="332" t="s">
        <v>1295</v>
      </c>
      <c r="L90" s="171">
        <v>45020</v>
      </c>
      <c r="M90" s="168"/>
      <c r="O90" s="168"/>
      <c r="P90" s="168">
        <v>2388</v>
      </c>
      <c r="Q90" s="168" t="s">
        <v>35</v>
      </c>
      <c r="R90" s="168" t="s">
        <v>129</v>
      </c>
    </row>
    <row r="91" spans="1:18">
      <c r="A91" s="330">
        <f>COUNTA($D$3:$D$91)</f>
        <v>89</v>
      </c>
      <c r="B91" s="330" t="s">
        <v>4451</v>
      </c>
      <c r="C91" s="330" t="s">
        <v>21</v>
      </c>
      <c r="D91" s="330" t="s">
        <v>30</v>
      </c>
      <c r="E91" s="331" t="s">
        <v>3700</v>
      </c>
      <c r="F91" s="331">
        <v>44909</v>
      </c>
      <c r="G91" s="331">
        <v>44909</v>
      </c>
      <c r="H91" s="331"/>
      <c r="I91" s="331">
        <v>44909</v>
      </c>
      <c r="J91" s="330" t="s">
        <v>4452</v>
      </c>
      <c r="K91" s="332" t="s">
        <v>1295</v>
      </c>
      <c r="L91" s="171">
        <v>45020</v>
      </c>
      <c r="M91" s="168"/>
      <c r="O91" s="168"/>
      <c r="P91" s="168">
        <v>10400</v>
      </c>
      <c r="Q91" s="168" t="s">
        <v>35</v>
      </c>
      <c r="R91" s="168" t="s">
        <v>129</v>
      </c>
    </row>
    <row r="92" spans="1:18">
      <c r="A92" s="330">
        <f>COUNTA($D$3:$D$92)</f>
        <v>90</v>
      </c>
      <c r="B92" s="330" t="s">
        <v>4474</v>
      </c>
      <c r="C92" s="330" t="s">
        <v>21</v>
      </c>
      <c r="D92" s="330" t="s">
        <v>32</v>
      </c>
      <c r="E92" s="331" t="s">
        <v>3688</v>
      </c>
      <c r="F92" s="331">
        <v>44909</v>
      </c>
      <c r="G92" s="331">
        <v>44909</v>
      </c>
      <c r="H92" s="331"/>
      <c r="I92" s="331">
        <v>44909</v>
      </c>
      <c r="J92" s="330" t="s">
        <v>4475</v>
      </c>
      <c r="K92" s="332" t="s">
        <v>1295</v>
      </c>
      <c r="L92" s="171">
        <v>45020</v>
      </c>
      <c r="M92" s="168"/>
      <c r="O92" s="168"/>
      <c r="P92" s="168">
        <v>8759</v>
      </c>
      <c r="Q92" s="168" t="s">
        <v>35</v>
      </c>
      <c r="R92" s="168" t="s">
        <v>129</v>
      </c>
    </row>
    <row r="93" spans="1:18">
      <c r="A93" s="330">
        <f>COUNTA($D$3:$D$93)</f>
        <v>91</v>
      </c>
      <c r="B93" s="330" t="s">
        <v>4476</v>
      </c>
      <c r="C93" s="330" t="s">
        <v>21</v>
      </c>
      <c r="D93" s="330" t="s">
        <v>32</v>
      </c>
      <c r="E93" s="331" t="s">
        <v>3687</v>
      </c>
      <c r="F93" s="331">
        <v>44909</v>
      </c>
      <c r="G93" s="331">
        <v>44909</v>
      </c>
      <c r="H93" s="331"/>
      <c r="I93" s="331">
        <v>44909</v>
      </c>
      <c r="J93" s="330" t="s">
        <v>4477</v>
      </c>
      <c r="K93" s="332" t="s">
        <v>1287</v>
      </c>
      <c r="L93" s="171">
        <v>45020</v>
      </c>
      <c r="M93" s="168"/>
      <c r="O93" s="168"/>
      <c r="P93" s="168">
        <v>8106</v>
      </c>
      <c r="Q93" s="168" t="s">
        <v>35</v>
      </c>
      <c r="R93" s="168" t="s">
        <v>129</v>
      </c>
    </row>
    <row r="94" spans="1:18">
      <c r="A94" s="330">
        <f>COUNTA($D$3:$D$94)</f>
        <v>92</v>
      </c>
      <c r="B94" s="330" t="s">
        <v>4467</v>
      </c>
      <c r="C94" s="330" t="s">
        <v>21</v>
      </c>
      <c r="D94" s="330" t="s">
        <v>30</v>
      </c>
      <c r="E94" s="331" t="s">
        <v>3685</v>
      </c>
      <c r="F94" s="331">
        <v>44909</v>
      </c>
      <c r="G94" s="331">
        <v>44909</v>
      </c>
      <c r="H94" s="331"/>
      <c r="I94" s="331">
        <v>44909</v>
      </c>
      <c r="J94" s="330" t="s">
        <v>4468</v>
      </c>
      <c r="K94" s="332" t="s">
        <v>1287</v>
      </c>
      <c r="L94" s="171">
        <v>45020</v>
      </c>
      <c r="M94" s="168"/>
      <c r="O94" s="168"/>
      <c r="P94" s="168">
        <v>9272</v>
      </c>
      <c r="Q94" s="168" t="s">
        <v>35</v>
      </c>
      <c r="R94" s="168" t="s">
        <v>129</v>
      </c>
    </row>
    <row r="95" spans="1:18">
      <c r="A95" s="330">
        <f>COUNTA($D$3:$D$95)</f>
        <v>93</v>
      </c>
      <c r="B95" s="330" t="s">
        <v>4465</v>
      </c>
      <c r="C95" s="330" t="s">
        <v>21</v>
      </c>
      <c r="D95" s="330" t="s">
        <v>34</v>
      </c>
      <c r="E95" s="331" t="s">
        <v>3678</v>
      </c>
      <c r="F95" s="331">
        <v>44909</v>
      </c>
      <c r="G95" s="331">
        <v>44909</v>
      </c>
      <c r="H95" s="331"/>
      <c r="I95" s="331">
        <v>44909</v>
      </c>
      <c r="J95" s="330" t="s">
        <v>4466</v>
      </c>
      <c r="K95" s="332" t="s">
        <v>1295</v>
      </c>
      <c r="L95" s="171">
        <v>45020</v>
      </c>
      <c r="M95" s="168"/>
      <c r="O95" s="168"/>
      <c r="P95" s="168">
        <v>6088</v>
      </c>
      <c r="Q95" s="168" t="s">
        <v>35</v>
      </c>
      <c r="R95" s="168" t="s">
        <v>129</v>
      </c>
    </row>
    <row r="96" spans="1:18">
      <c r="A96" s="330">
        <f>COUNTA($D$3:$D$96)</f>
        <v>94</v>
      </c>
      <c r="B96" s="330" t="s">
        <v>4440</v>
      </c>
      <c r="C96" s="330" t="s">
        <v>65</v>
      </c>
      <c r="D96" s="330" t="s">
        <v>31</v>
      </c>
      <c r="E96" s="331" t="s">
        <v>1226</v>
      </c>
      <c r="F96" s="331">
        <v>44909</v>
      </c>
      <c r="G96" s="331">
        <v>44909</v>
      </c>
      <c r="H96" s="331"/>
      <c r="I96" s="331">
        <v>44909</v>
      </c>
      <c r="J96" s="330" t="s">
        <v>1758</v>
      </c>
      <c r="K96" s="332" t="s">
        <v>287</v>
      </c>
      <c r="L96" s="171">
        <v>45020</v>
      </c>
      <c r="M96" s="168"/>
      <c r="O96" s="168"/>
      <c r="P96" s="168">
        <v>8158</v>
      </c>
      <c r="Q96" s="168" t="s">
        <v>35</v>
      </c>
      <c r="R96" s="168" t="s">
        <v>22</v>
      </c>
    </row>
    <row r="97" spans="1:18">
      <c r="A97" s="330">
        <f>COUNTA($D$3:$D97)</f>
        <v>95</v>
      </c>
      <c r="B97" s="330" t="s">
        <v>4479</v>
      </c>
      <c r="C97" s="330" t="s">
        <v>21</v>
      </c>
      <c r="D97" s="330" t="s">
        <v>30</v>
      </c>
      <c r="E97" s="331" t="s">
        <v>1204</v>
      </c>
      <c r="F97" s="331">
        <v>44911</v>
      </c>
      <c r="G97" s="331">
        <v>44910</v>
      </c>
      <c r="H97" s="331"/>
      <c r="I97" s="331">
        <v>44911</v>
      </c>
      <c r="J97" s="330" t="s">
        <v>4480</v>
      </c>
      <c r="K97" s="332" t="s">
        <v>1295</v>
      </c>
      <c r="L97" s="171">
        <v>45020</v>
      </c>
      <c r="M97" s="168"/>
      <c r="O97" s="168"/>
      <c r="P97" s="168">
        <v>4630</v>
      </c>
      <c r="Q97" s="168" t="s">
        <v>35</v>
      </c>
      <c r="R97" s="168" t="s">
        <v>129</v>
      </c>
    </row>
    <row r="98" spans="1:18">
      <c r="A98" s="330">
        <f>COUNTA($D$3:$D98)</f>
        <v>96</v>
      </c>
      <c r="B98" s="330" t="s">
        <v>4506</v>
      </c>
      <c r="C98" s="330" t="s">
        <v>21</v>
      </c>
      <c r="D98" s="330" t="s">
        <v>1264</v>
      </c>
      <c r="E98" s="330" t="s">
        <v>3479</v>
      </c>
      <c r="F98" s="331">
        <v>44911</v>
      </c>
      <c r="G98" s="331">
        <v>44910</v>
      </c>
      <c r="H98" s="331"/>
      <c r="I98" s="331">
        <v>44911</v>
      </c>
      <c r="J98" s="330" t="s">
        <v>1093</v>
      </c>
      <c r="K98" s="332" t="s">
        <v>1295</v>
      </c>
      <c r="L98" s="171">
        <v>45020</v>
      </c>
      <c r="M98" s="168" t="s">
        <v>6201</v>
      </c>
      <c r="O98" s="168"/>
      <c r="P98" s="168">
        <v>2042</v>
      </c>
      <c r="Q98" s="168" t="s">
        <v>3611</v>
      </c>
      <c r="R98" s="168" t="s">
        <v>129</v>
      </c>
    </row>
    <row r="99" spans="1:18">
      <c r="A99" s="330">
        <f>COUNTA($D$3:$D99)</f>
        <v>97</v>
      </c>
      <c r="B99" s="330" t="s">
        <v>4507</v>
      </c>
      <c r="C99" s="330" t="s">
        <v>21</v>
      </c>
      <c r="D99" s="330" t="s">
        <v>27</v>
      </c>
      <c r="E99" s="330" t="s">
        <v>3310</v>
      </c>
      <c r="F99" s="331">
        <v>44911</v>
      </c>
      <c r="G99" s="331">
        <v>44910</v>
      </c>
      <c r="H99" s="331"/>
      <c r="I99" s="331">
        <v>44911</v>
      </c>
      <c r="J99" s="330" t="s">
        <v>1093</v>
      </c>
      <c r="K99" s="332" t="s">
        <v>1295</v>
      </c>
      <c r="L99" s="171">
        <v>45020</v>
      </c>
      <c r="M99" s="168"/>
      <c r="O99" s="168"/>
      <c r="P99" s="168">
        <v>10212</v>
      </c>
      <c r="Q99" s="168" t="s">
        <v>3611</v>
      </c>
      <c r="R99" s="168" t="s">
        <v>129</v>
      </c>
    </row>
    <row r="100" spans="1:18">
      <c r="A100" s="330">
        <f>COUNTA($D$3:$D100)</f>
        <v>98</v>
      </c>
      <c r="B100" s="330" t="s">
        <v>4510</v>
      </c>
      <c r="C100" s="330" t="s">
        <v>21</v>
      </c>
      <c r="D100" s="330" t="s">
        <v>45</v>
      </c>
      <c r="E100" s="330" t="s">
        <v>3312</v>
      </c>
      <c r="F100" s="331">
        <v>44914</v>
      </c>
      <c r="G100" s="331"/>
      <c r="H100" s="331"/>
      <c r="I100" s="331">
        <v>44914</v>
      </c>
      <c r="J100" s="330" t="s">
        <v>1639</v>
      </c>
      <c r="K100" s="332" t="s">
        <v>1295</v>
      </c>
      <c r="L100" s="171">
        <v>45020</v>
      </c>
      <c r="M100" s="168"/>
      <c r="O100" s="168"/>
      <c r="P100" s="168">
        <v>1545</v>
      </c>
      <c r="Q100" s="168" t="s">
        <v>3611</v>
      </c>
      <c r="R100" s="168" t="s">
        <v>129</v>
      </c>
    </row>
    <row r="101" spans="1:18">
      <c r="A101" s="330">
        <f>COUNTA($D$3:$D101)</f>
        <v>99</v>
      </c>
      <c r="B101" s="330" t="s">
        <v>4501</v>
      </c>
      <c r="C101" s="330" t="s">
        <v>21</v>
      </c>
      <c r="D101" s="330" t="s">
        <v>34</v>
      </c>
      <c r="E101" s="330" t="s">
        <v>3689</v>
      </c>
      <c r="F101" s="331">
        <v>44923</v>
      </c>
      <c r="G101" s="331">
        <v>44921</v>
      </c>
      <c r="H101" s="331"/>
      <c r="I101" s="331">
        <v>44923</v>
      </c>
      <c r="J101" s="330" t="s">
        <v>4502</v>
      </c>
      <c r="K101" s="332" t="s">
        <v>1296</v>
      </c>
      <c r="L101" s="171">
        <v>45020</v>
      </c>
      <c r="M101" s="168" t="s">
        <v>6201</v>
      </c>
      <c r="O101" s="168"/>
      <c r="P101" s="168">
        <v>3290</v>
      </c>
      <c r="Q101" s="168" t="s">
        <v>35</v>
      </c>
      <c r="R101" s="168" t="s">
        <v>129</v>
      </c>
    </row>
    <row r="102" spans="1:18">
      <c r="A102" s="330">
        <f>COUNTA($D$3:$D102)</f>
        <v>100</v>
      </c>
      <c r="B102" s="330" t="s">
        <v>4500</v>
      </c>
      <c r="C102" s="330" t="s">
        <v>21</v>
      </c>
      <c r="D102" s="330" t="s">
        <v>3165</v>
      </c>
      <c r="E102" s="330" t="s">
        <v>3166</v>
      </c>
      <c r="F102" s="331">
        <v>44911</v>
      </c>
      <c r="G102" s="331">
        <v>44910</v>
      </c>
      <c r="H102" s="331"/>
      <c r="I102" s="331">
        <v>44911</v>
      </c>
      <c r="J102" s="330" t="s">
        <v>3167</v>
      </c>
      <c r="K102" s="332" t="s">
        <v>1295</v>
      </c>
      <c r="L102" s="171">
        <v>45020</v>
      </c>
      <c r="M102" s="168"/>
      <c r="O102" s="168"/>
      <c r="P102" s="168">
        <v>10962</v>
      </c>
      <c r="Q102" s="168" t="s">
        <v>35</v>
      </c>
      <c r="R102" s="168" t="s">
        <v>129</v>
      </c>
    </row>
    <row r="103" spans="1:18" hidden="1">
      <c r="A103" s="330">
        <f>COUNTA($D$3:$D103)</f>
        <v>101</v>
      </c>
      <c r="B103" s="330" t="s">
        <v>4503</v>
      </c>
      <c r="C103" s="330" t="s">
        <v>21</v>
      </c>
      <c r="D103" s="330" t="s">
        <v>30</v>
      </c>
      <c r="E103" s="330" t="s">
        <v>1251</v>
      </c>
      <c r="F103" s="331">
        <v>44911</v>
      </c>
      <c r="G103" s="331">
        <v>44910</v>
      </c>
      <c r="H103" s="331"/>
      <c r="I103" s="331">
        <v>44911</v>
      </c>
      <c r="J103" s="330" t="s">
        <v>2256</v>
      </c>
      <c r="K103" s="332" t="s">
        <v>1287</v>
      </c>
      <c r="L103" s="171">
        <v>45020</v>
      </c>
      <c r="M103" s="168" t="s">
        <v>6201</v>
      </c>
      <c r="N103" s="169">
        <v>45132</v>
      </c>
      <c r="O103" s="168"/>
      <c r="P103" s="168">
        <v>2964</v>
      </c>
      <c r="Q103" s="168" t="s">
        <v>35</v>
      </c>
      <c r="R103" s="168" t="s">
        <v>129</v>
      </c>
    </row>
    <row r="104" spans="1:18">
      <c r="A104" s="330">
        <f>COUNTA($D$3:$D104)</f>
        <v>102</v>
      </c>
      <c r="B104" s="330" t="s">
        <v>4504</v>
      </c>
      <c r="C104" s="330" t="s">
        <v>21</v>
      </c>
      <c r="D104" s="330" t="s">
        <v>32</v>
      </c>
      <c r="E104" s="330" t="s">
        <v>3693</v>
      </c>
      <c r="F104" s="331">
        <v>44911</v>
      </c>
      <c r="G104" s="331">
        <v>44910</v>
      </c>
      <c r="H104" s="331"/>
      <c r="I104" s="331">
        <v>44911</v>
      </c>
      <c r="J104" s="330" t="s">
        <v>4505</v>
      </c>
      <c r="K104" s="332" t="s">
        <v>1295</v>
      </c>
      <c r="L104" s="171">
        <v>45020</v>
      </c>
      <c r="M104" s="168" t="s">
        <v>6201</v>
      </c>
      <c r="O104" s="168"/>
      <c r="P104" s="168">
        <v>4953</v>
      </c>
      <c r="Q104" s="168" t="s">
        <v>35</v>
      </c>
      <c r="R104" s="168" t="s">
        <v>129</v>
      </c>
    </row>
    <row r="105" spans="1:18">
      <c r="A105" s="330">
        <f>COUNTA($D$3:$D105)</f>
        <v>103</v>
      </c>
      <c r="B105" s="330" t="s">
        <v>4508</v>
      </c>
      <c r="C105" s="330" t="s">
        <v>21</v>
      </c>
      <c r="D105" s="330" t="s">
        <v>16</v>
      </c>
      <c r="E105" s="330" t="s">
        <v>3699</v>
      </c>
      <c r="F105" s="331">
        <v>44923</v>
      </c>
      <c r="G105" s="331">
        <v>44921</v>
      </c>
      <c r="H105" s="331"/>
      <c r="I105" s="331">
        <v>44923</v>
      </c>
      <c r="J105" s="330" t="s">
        <v>4509</v>
      </c>
      <c r="K105" s="332" t="s">
        <v>1296</v>
      </c>
      <c r="L105" s="171">
        <v>45020</v>
      </c>
      <c r="M105" s="168"/>
      <c r="O105" s="168"/>
      <c r="P105" s="168">
        <v>7628</v>
      </c>
      <c r="Q105" s="168" t="s">
        <v>35</v>
      </c>
      <c r="R105" s="168" t="s">
        <v>129</v>
      </c>
    </row>
    <row r="106" spans="1:18">
      <c r="A106" s="330">
        <f>COUNTA($D$3:$D106)</f>
        <v>104</v>
      </c>
      <c r="B106" s="330" t="s">
        <v>4481</v>
      </c>
      <c r="C106" s="330" t="s">
        <v>21</v>
      </c>
      <c r="D106" s="330" t="s">
        <v>32</v>
      </c>
      <c r="E106" s="330" t="s">
        <v>3697</v>
      </c>
      <c r="F106" s="331">
        <v>44911</v>
      </c>
      <c r="G106" s="331">
        <v>44910</v>
      </c>
      <c r="H106" s="331"/>
      <c r="I106" s="331">
        <v>44911</v>
      </c>
      <c r="J106" s="330" t="s">
        <v>4482</v>
      </c>
      <c r="K106" s="332" t="s">
        <v>1287</v>
      </c>
      <c r="L106" s="171">
        <v>45020</v>
      </c>
      <c r="M106" s="168"/>
      <c r="O106" s="168"/>
      <c r="P106" s="168">
        <v>5847</v>
      </c>
      <c r="Q106" s="168" t="s">
        <v>35</v>
      </c>
      <c r="R106" s="168" t="s">
        <v>129</v>
      </c>
    </row>
    <row r="107" spans="1:18">
      <c r="A107" s="330">
        <f>COUNTA($D$3:$D107)</f>
        <v>105</v>
      </c>
      <c r="B107" s="330" t="s">
        <v>4491</v>
      </c>
      <c r="C107" s="330" t="s">
        <v>21</v>
      </c>
      <c r="D107" s="330" t="s">
        <v>34</v>
      </c>
      <c r="E107" s="330" t="s">
        <v>3690</v>
      </c>
      <c r="F107" s="331">
        <v>44923</v>
      </c>
      <c r="G107" s="331">
        <v>44921</v>
      </c>
      <c r="H107" s="331"/>
      <c r="I107" s="331">
        <v>44923</v>
      </c>
      <c r="J107" s="330" t="s">
        <v>4492</v>
      </c>
      <c r="K107" s="332" t="s">
        <v>1296</v>
      </c>
      <c r="L107" s="171">
        <v>45020</v>
      </c>
      <c r="M107" s="168"/>
      <c r="O107" s="168"/>
      <c r="P107" s="168">
        <v>10050</v>
      </c>
      <c r="Q107" s="168" t="s">
        <v>35</v>
      </c>
      <c r="R107" s="168" t="s">
        <v>129</v>
      </c>
    </row>
    <row r="108" spans="1:18">
      <c r="A108" s="330">
        <f>COUNTA($D$3:$D108)</f>
        <v>106</v>
      </c>
      <c r="B108" s="330" t="s">
        <v>4511</v>
      </c>
      <c r="C108" s="330" t="s">
        <v>21</v>
      </c>
      <c r="D108" s="330" t="s">
        <v>32</v>
      </c>
      <c r="E108" s="330" t="s">
        <v>3686</v>
      </c>
      <c r="F108" s="331">
        <v>44911</v>
      </c>
      <c r="G108" s="331"/>
      <c r="H108" s="331"/>
      <c r="I108" s="331">
        <v>44911</v>
      </c>
      <c r="J108" s="330" t="s">
        <v>4512</v>
      </c>
      <c r="K108" s="332" t="s">
        <v>1287</v>
      </c>
      <c r="L108" s="171">
        <v>45020</v>
      </c>
      <c r="M108" s="168"/>
      <c r="O108" s="168"/>
      <c r="P108" s="168">
        <v>8106</v>
      </c>
      <c r="Q108" s="168" t="s">
        <v>35</v>
      </c>
      <c r="R108" s="168" t="s">
        <v>129</v>
      </c>
    </row>
    <row r="109" spans="1:18" hidden="1">
      <c r="A109" s="330">
        <f>COUNTA($D$3:$D109)</f>
        <v>107</v>
      </c>
      <c r="B109" s="330" t="s">
        <v>4483</v>
      </c>
      <c r="C109" s="330" t="s">
        <v>2602</v>
      </c>
      <c r="D109" s="330" t="s">
        <v>1145</v>
      </c>
      <c r="E109" s="330" t="s">
        <v>2603</v>
      </c>
      <c r="F109" s="331">
        <v>44911</v>
      </c>
      <c r="G109" s="331">
        <v>44910</v>
      </c>
      <c r="H109" s="331">
        <v>45012</v>
      </c>
      <c r="I109" s="331">
        <v>44911</v>
      </c>
      <c r="J109" s="330" t="s">
        <v>4484</v>
      </c>
      <c r="K109" s="332" t="s">
        <v>2032</v>
      </c>
      <c r="L109" s="171">
        <v>45020</v>
      </c>
      <c r="M109" s="168" t="s">
        <v>5094</v>
      </c>
      <c r="N109" s="169">
        <v>45012</v>
      </c>
      <c r="O109" s="168"/>
      <c r="P109" s="168">
        <v>45076</v>
      </c>
      <c r="Q109" s="168" t="s">
        <v>28</v>
      </c>
      <c r="R109" s="168" t="s">
        <v>22</v>
      </c>
    </row>
    <row r="110" spans="1:18">
      <c r="A110" s="330">
        <f>COUNTA($D$3:$D110)</f>
        <v>108</v>
      </c>
      <c r="B110" s="330" t="s">
        <v>4529</v>
      </c>
      <c r="C110" s="330" t="s">
        <v>21</v>
      </c>
      <c r="D110" s="330" t="s">
        <v>32</v>
      </c>
      <c r="E110" s="330" t="s">
        <v>1257</v>
      </c>
      <c r="F110" s="331">
        <v>44922</v>
      </c>
      <c r="G110" s="331">
        <v>44921</v>
      </c>
      <c r="H110" s="331"/>
      <c r="I110" s="331">
        <v>44922</v>
      </c>
      <c r="J110" s="330" t="s">
        <v>4530</v>
      </c>
      <c r="K110" s="332" t="s">
        <v>1296</v>
      </c>
      <c r="L110" s="171">
        <v>45020</v>
      </c>
      <c r="M110" s="168" t="s">
        <v>6201</v>
      </c>
      <c r="O110" s="168"/>
      <c r="P110" s="168">
        <v>2349</v>
      </c>
      <c r="Q110" s="168" t="s">
        <v>35</v>
      </c>
      <c r="R110" s="168" t="s">
        <v>129</v>
      </c>
    </row>
    <row r="111" spans="1:18">
      <c r="A111" s="330">
        <f>COUNTA($D$3:$D111)</f>
        <v>109</v>
      </c>
      <c r="B111" s="330" t="s">
        <v>4486</v>
      </c>
      <c r="C111" s="330" t="s">
        <v>65</v>
      </c>
      <c r="D111" s="330" t="s">
        <v>4487</v>
      </c>
      <c r="E111" s="330" t="s">
        <v>4488</v>
      </c>
      <c r="F111" s="331">
        <v>44911</v>
      </c>
      <c r="G111" s="331">
        <v>44911</v>
      </c>
      <c r="H111" s="331"/>
      <c r="I111" s="331">
        <v>44911</v>
      </c>
      <c r="J111" s="330" t="s">
        <v>2256</v>
      </c>
      <c r="K111" s="332" t="s">
        <v>1294</v>
      </c>
      <c r="L111" s="171">
        <v>45020</v>
      </c>
      <c r="M111" s="168"/>
      <c r="O111" s="168"/>
      <c r="P111" s="168">
        <v>2400</v>
      </c>
      <c r="Q111" s="168" t="s">
        <v>35</v>
      </c>
      <c r="R111" s="168" t="s">
        <v>22</v>
      </c>
    </row>
    <row r="112" spans="1:18">
      <c r="A112" s="330">
        <f>COUNTA($D$3:$D$112)</f>
        <v>110</v>
      </c>
      <c r="B112" s="330" t="s">
        <v>4527</v>
      </c>
      <c r="C112" s="330" t="s">
        <v>21</v>
      </c>
      <c r="D112" s="330" t="s">
        <v>32</v>
      </c>
      <c r="E112" s="331" t="s">
        <v>3698</v>
      </c>
      <c r="F112" s="331">
        <v>44923</v>
      </c>
      <c r="G112" s="331">
        <v>44921</v>
      </c>
      <c r="H112" s="331"/>
      <c r="I112" s="331">
        <v>44923</v>
      </c>
      <c r="J112" s="330" t="s">
        <v>4528</v>
      </c>
      <c r="K112" s="332" t="s">
        <v>1296</v>
      </c>
      <c r="L112" s="171">
        <v>45020</v>
      </c>
      <c r="M112" s="168"/>
      <c r="O112" s="168"/>
      <c r="P112" s="168">
        <v>5853</v>
      </c>
      <c r="Q112" s="168" t="s">
        <v>35</v>
      </c>
      <c r="R112" s="168" t="s">
        <v>129</v>
      </c>
    </row>
    <row r="113" spans="1:18">
      <c r="A113" s="330">
        <f>COUNTA($D$3:$D$113)</f>
        <v>111</v>
      </c>
      <c r="B113" s="330" t="s">
        <v>4395</v>
      </c>
      <c r="C113" s="330" t="s">
        <v>41</v>
      </c>
      <c r="D113" s="330" t="s">
        <v>34</v>
      </c>
      <c r="E113" s="331" t="s">
        <v>2803</v>
      </c>
      <c r="F113" s="331" t="s">
        <v>66</v>
      </c>
      <c r="G113" s="331">
        <v>44914</v>
      </c>
      <c r="H113" s="331">
        <v>44967</v>
      </c>
      <c r="I113" s="331" t="s">
        <v>66</v>
      </c>
      <c r="J113" s="330" t="s">
        <v>4531</v>
      </c>
      <c r="K113" s="332" t="s">
        <v>1294</v>
      </c>
      <c r="L113" s="171">
        <v>45020</v>
      </c>
      <c r="M113" s="168"/>
      <c r="O113" s="168"/>
      <c r="P113" s="168">
        <v>2284</v>
      </c>
      <c r="Q113" s="168" t="s">
        <v>28</v>
      </c>
      <c r="R113" s="168" t="s">
        <v>22</v>
      </c>
    </row>
    <row r="114" spans="1:18">
      <c r="A114" s="330">
        <f>COUNTA($D$3:$D$114)</f>
        <v>112</v>
      </c>
      <c r="B114" s="330" t="s">
        <v>4494</v>
      </c>
      <c r="C114" s="330" t="s">
        <v>4495</v>
      </c>
      <c r="D114" s="330" t="s">
        <v>32</v>
      </c>
      <c r="E114" s="331" t="s">
        <v>4496</v>
      </c>
      <c r="F114" s="331">
        <v>44911</v>
      </c>
      <c r="G114" s="331">
        <v>44911</v>
      </c>
      <c r="H114" s="331">
        <v>45012</v>
      </c>
      <c r="I114" s="331">
        <v>44911</v>
      </c>
      <c r="J114" s="330" t="s">
        <v>4532</v>
      </c>
      <c r="K114" s="332" t="s">
        <v>1294</v>
      </c>
      <c r="L114" s="171">
        <v>45020</v>
      </c>
      <c r="M114" s="168" t="s">
        <v>5094</v>
      </c>
      <c r="O114" s="168"/>
      <c r="P114" s="168">
        <v>45076</v>
      </c>
      <c r="Q114" s="168" t="s">
        <v>28</v>
      </c>
      <c r="R114" s="168" t="s">
        <v>22</v>
      </c>
    </row>
    <row r="115" spans="1:18">
      <c r="A115" s="330">
        <f>COUNTA($D$3:$D$115)</f>
        <v>113</v>
      </c>
      <c r="B115" s="330" t="s">
        <v>4524</v>
      </c>
      <c r="C115" s="330" t="s">
        <v>21</v>
      </c>
      <c r="D115" s="330" t="s">
        <v>32</v>
      </c>
      <c r="E115" s="331" t="s">
        <v>4525</v>
      </c>
      <c r="F115" s="331">
        <v>44923</v>
      </c>
      <c r="G115" s="331">
        <v>44914</v>
      </c>
      <c r="H115" s="331"/>
      <c r="I115" s="331">
        <v>44923</v>
      </c>
      <c r="J115" s="330" t="s">
        <v>4526</v>
      </c>
      <c r="K115" s="332" t="s">
        <v>1295</v>
      </c>
      <c r="L115" s="171">
        <v>45020</v>
      </c>
      <c r="M115" s="168"/>
      <c r="O115" s="168"/>
      <c r="P115" s="168">
        <v>8106</v>
      </c>
      <c r="Q115" s="168" t="s">
        <v>35</v>
      </c>
      <c r="R115" s="168" t="s">
        <v>129</v>
      </c>
    </row>
    <row r="116" spans="1:18">
      <c r="A116" s="330">
        <f>COUNTA($D$3:$D$116)</f>
        <v>114</v>
      </c>
      <c r="B116" s="330" t="s">
        <v>4426</v>
      </c>
      <c r="C116" s="330" t="s">
        <v>21</v>
      </c>
      <c r="D116" s="330" t="s">
        <v>30</v>
      </c>
      <c r="E116" s="331" t="s">
        <v>1242</v>
      </c>
      <c r="F116" s="331">
        <v>44913</v>
      </c>
      <c r="G116" s="331">
        <v>44904</v>
      </c>
      <c r="H116" s="331"/>
      <c r="I116" s="331">
        <v>44913</v>
      </c>
      <c r="J116" s="330" t="s">
        <v>4427</v>
      </c>
      <c r="K116" s="332" t="s">
        <v>1287</v>
      </c>
      <c r="L116" s="171">
        <v>45020</v>
      </c>
      <c r="M116" s="168" t="s">
        <v>6201</v>
      </c>
      <c r="O116" s="168"/>
      <c r="P116" s="168">
        <v>2183</v>
      </c>
      <c r="Q116" s="168" t="s">
        <v>35</v>
      </c>
      <c r="R116" s="168" t="s">
        <v>129</v>
      </c>
    </row>
    <row r="117" spans="1:18" hidden="1">
      <c r="A117" s="330">
        <f>COUNTA($D$3:$D$117)</f>
        <v>115</v>
      </c>
      <c r="B117" s="330" t="s">
        <v>4537</v>
      </c>
      <c r="C117" s="330" t="s">
        <v>4538</v>
      </c>
      <c r="D117" s="330" t="s">
        <v>52</v>
      </c>
      <c r="E117" s="331" t="s">
        <v>4539</v>
      </c>
      <c r="F117" s="331">
        <v>44922</v>
      </c>
      <c r="G117" s="331">
        <v>44918</v>
      </c>
      <c r="H117" s="331"/>
      <c r="I117" s="331">
        <v>44922</v>
      </c>
      <c r="J117" s="330" t="s">
        <v>4565</v>
      </c>
      <c r="K117" s="332" t="s">
        <v>287</v>
      </c>
      <c r="L117" s="171">
        <v>45020</v>
      </c>
      <c r="M117" s="168"/>
      <c r="N117" s="169">
        <v>45083</v>
      </c>
      <c r="O117" s="168"/>
      <c r="P117" s="168">
        <v>1519</v>
      </c>
      <c r="Q117" s="168" t="s">
        <v>3611</v>
      </c>
      <c r="R117" s="168" t="s">
        <v>22</v>
      </c>
    </row>
    <row r="118" spans="1:18">
      <c r="A118" s="330">
        <f>COUNTA($D$3:$D$118)</f>
        <v>116</v>
      </c>
      <c r="B118" s="330" t="s">
        <v>4493</v>
      </c>
      <c r="C118" s="330" t="s">
        <v>41</v>
      </c>
      <c r="D118" s="330" t="s">
        <v>1124</v>
      </c>
      <c r="E118" s="330" t="s">
        <v>1185</v>
      </c>
      <c r="F118" s="331" t="s">
        <v>66</v>
      </c>
      <c r="G118" s="331">
        <v>44914</v>
      </c>
      <c r="H118" s="331"/>
      <c r="I118" s="331" t="s">
        <v>66</v>
      </c>
      <c r="J118" s="330" t="s">
        <v>4545</v>
      </c>
      <c r="K118" s="332" t="s">
        <v>2032</v>
      </c>
      <c r="L118" s="171">
        <v>45020</v>
      </c>
      <c r="M118" s="168"/>
      <c r="O118" s="168"/>
      <c r="P118" s="168">
        <v>852</v>
      </c>
      <c r="Q118" s="168" t="s">
        <v>28</v>
      </c>
      <c r="R118" s="168" t="s">
        <v>22</v>
      </c>
    </row>
    <row r="119" spans="1:18">
      <c r="A119" s="330">
        <f>COUNTA($D$3:$D$119)</f>
        <v>117</v>
      </c>
      <c r="B119" s="330" t="s">
        <v>4535</v>
      </c>
      <c r="C119" s="330" t="s">
        <v>21</v>
      </c>
      <c r="D119" s="330" t="s">
        <v>32</v>
      </c>
      <c r="E119" s="331" t="s">
        <v>3638</v>
      </c>
      <c r="F119" s="331">
        <v>44932</v>
      </c>
      <c r="G119" s="331">
        <v>44918</v>
      </c>
      <c r="H119" s="331"/>
      <c r="I119" s="331">
        <v>44932</v>
      </c>
      <c r="J119" s="330" t="s">
        <v>4536</v>
      </c>
      <c r="K119" s="332" t="s">
        <v>2032</v>
      </c>
      <c r="L119" s="171">
        <v>45020</v>
      </c>
      <c r="M119" s="168"/>
      <c r="O119" s="168"/>
      <c r="P119" s="168">
        <v>7825</v>
      </c>
      <c r="Q119" s="168" t="s">
        <v>35</v>
      </c>
      <c r="R119" s="168" t="s">
        <v>22</v>
      </c>
    </row>
    <row r="120" spans="1:18">
      <c r="A120" s="330">
        <f>COUNTA($D$3:$D$120)</f>
        <v>118</v>
      </c>
      <c r="B120" s="330" t="s">
        <v>4485</v>
      </c>
      <c r="C120" s="330" t="s">
        <v>41</v>
      </c>
      <c r="D120" s="330" t="s">
        <v>1103</v>
      </c>
      <c r="E120" s="331" t="s">
        <v>3717</v>
      </c>
      <c r="F120" s="331" t="s">
        <v>66</v>
      </c>
      <c r="G120" s="331">
        <v>44929</v>
      </c>
      <c r="H120" s="331"/>
      <c r="I120" s="331" t="s">
        <v>66</v>
      </c>
      <c r="J120" s="330" t="s">
        <v>2656</v>
      </c>
      <c r="K120" s="332" t="s">
        <v>1294</v>
      </c>
      <c r="L120" s="171">
        <v>45020</v>
      </c>
      <c r="M120" s="168"/>
      <c r="O120" s="168"/>
      <c r="P120" s="168">
        <v>2769</v>
      </c>
      <c r="Q120" s="168" t="s">
        <v>28</v>
      </c>
      <c r="R120" s="168" t="s">
        <v>22</v>
      </c>
    </row>
    <row r="121" spans="1:18">
      <c r="A121" s="330">
        <f>COUNTA($D$3:$D$121)</f>
        <v>119</v>
      </c>
      <c r="B121" s="330" t="s">
        <v>4519</v>
      </c>
      <c r="C121" s="330" t="s">
        <v>1092</v>
      </c>
      <c r="D121" s="330" t="s">
        <v>1145</v>
      </c>
      <c r="E121" s="331" t="s">
        <v>4520</v>
      </c>
      <c r="F121" s="331">
        <v>44932</v>
      </c>
      <c r="G121" s="331">
        <v>44929</v>
      </c>
      <c r="H121" s="331"/>
      <c r="I121" s="331">
        <v>44932</v>
      </c>
      <c r="J121" s="330" t="s">
        <v>17</v>
      </c>
      <c r="K121" s="332" t="s">
        <v>1274</v>
      </c>
      <c r="L121" s="171">
        <v>45020</v>
      </c>
      <c r="M121" s="168"/>
      <c r="O121" s="168"/>
      <c r="P121" s="168">
        <v>9758</v>
      </c>
      <c r="Q121" s="168" t="s">
        <v>35</v>
      </c>
      <c r="R121" s="168" t="s">
        <v>129</v>
      </c>
    </row>
    <row r="122" spans="1:18" hidden="1">
      <c r="A122" s="330">
        <f>COUNTA($D$3:$D$122)</f>
        <v>120</v>
      </c>
      <c r="B122" s="330" t="s">
        <v>4478</v>
      </c>
      <c r="C122" s="330" t="s">
        <v>4296</v>
      </c>
      <c r="D122" s="330" t="s">
        <v>1121</v>
      </c>
      <c r="E122" s="331" t="s">
        <v>4297</v>
      </c>
      <c r="F122" s="331">
        <v>44957</v>
      </c>
      <c r="G122" s="331">
        <v>44930</v>
      </c>
      <c r="H122" s="331"/>
      <c r="I122" s="331">
        <v>44957</v>
      </c>
      <c r="J122" s="330" t="s">
        <v>4564</v>
      </c>
      <c r="K122" s="332" t="s">
        <v>1295</v>
      </c>
      <c r="L122" s="171">
        <v>45020</v>
      </c>
      <c r="M122" s="168"/>
      <c r="N122" s="169">
        <v>45027</v>
      </c>
      <c r="O122" s="168"/>
      <c r="P122" s="168">
        <v>9277</v>
      </c>
      <c r="Q122" s="168" t="s">
        <v>35</v>
      </c>
      <c r="R122" s="168" t="s">
        <v>129</v>
      </c>
    </row>
    <row r="123" spans="1:18" hidden="1">
      <c r="A123" s="330">
        <f>COUNTA($D$3:$D$123)</f>
        <v>121</v>
      </c>
      <c r="B123" s="330" t="s">
        <v>4557</v>
      </c>
      <c r="C123" s="330" t="s">
        <v>2726</v>
      </c>
      <c r="D123" s="330" t="s">
        <v>31</v>
      </c>
      <c r="E123" s="331" t="s">
        <v>4558</v>
      </c>
      <c r="F123" s="331">
        <v>44932</v>
      </c>
      <c r="G123" s="331">
        <v>44918</v>
      </c>
      <c r="H123" s="331">
        <v>45070</v>
      </c>
      <c r="I123" s="331">
        <v>44932</v>
      </c>
      <c r="J123" s="330" t="s">
        <v>17</v>
      </c>
      <c r="K123" s="332" t="s">
        <v>1294</v>
      </c>
      <c r="L123" s="171">
        <v>45020</v>
      </c>
      <c r="M123" s="168"/>
      <c r="N123" s="169">
        <v>45070</v>
      </c>
      <c r="O123" s="168"/>
      <c r="P123" s="168">
        <v>8153</v>
      </c>
      <c r="Q123" s="168" t="s">
        <v>35</v>
      </c>
      <c r="R123" s="168" t="s">
        <v>22</v>
      </c>
    </row>
    <row r="124" spans="1:18">
      <c r="A124" s="330">
        <f>COUNTA($D$3:$D$124)</f>
        <v>122</v>
      </c>
      <c r="B124" s="330" t="s">
        <v>4584</v>
      </c>
      <c r="C124" s="330" t="s">
        <v>37</v>
      </c>
      <c r="D124" s="330" t="s">
        <v>34</v>
      </c>
      <c r="E124" s="331" t="s">
        <v>2035</v>
      </c>
      <c r="F124" s="331">
        <v>44957</v>
      </c>
      <c r="G124" s="331">
        <v>44921</v>
      </c>
      <c r="H124" s="331"/>
      <c r="I124" s="331">
        <v>44957</v>
      </c>
      <c r="J124" s="330" t="s">
        <v>4403</v>
      </c>
      <c r="K124" s="332" t="s">
        <v>1287</v>
      </c>
      <c r="L124" s="171">
        <v>45020</v>
      </c>
      <c r="M124" s="168"/>
      <c r="O124" s="168"/>
      <c r="P124" s="168">
        <v>6195</v>
      </c>
      <c r="Q124" s="168" t="s">
        <v>35</v>
      </c>
      <c r="R124" s="168" t="s">
        <v>129</v>
      </c>
    </row>
    <row r="125" spans="1:18">
      <c r="A125" s="330">
        <f>COUNTA($D$3:$D$125)</f>
        <v>123</v>
      </c>
      <c r="B125" s="330" t="s">
        <v>4576</v>
      </c>
      <c r="C125" s="330" t="s">
        <v>37</v>
      </c>
      <c r="D125" s="330" t="s">
        <v>30</v>
      </c>
      <c r="E125" s="331" t="s">
        <v>4577</v>
      </c>
      <c r="F125" s="331">
        <v>44957</v>
      </c>
      <c r="G125" s="331">
        <v>44929</v>
      </c>
      <c r="H125" s="331"/>
      <c r="I125" s="331">
        <v>44957</v>
      </c>
      <c r="J125" s="330" t="s">
        <v>4067</v>
      </c>
      <c r="K125" s="332" t="s">
        <v>1287</v>
      </c>
      <c r="L125" s="171">
        <v>45020</v>
      </c>
      <c r="M125" s="168"/>
      <c r="O125" s="168"/>
      <c r="P125" s="168">
        <v>234</v>
      </c>
      <c r="Q125" s="168" t="s">
        <v>35</v>
      </c>
      <c r="R125" s="168" t="s">
        <v>129</v>
      </c>
    </row>
    <row r="126" spans="1:18">
      <c r="A126" s="330">
        <f>COUNTA($D$3:$D$125)</f>
        <v>123</v>
      </c>
      <c r="B126" s="330" t="s">
        <v>4517</v>
      </c>
      <c r="C126" s="330" t="s">
        <v>37</v>
      </c>
      <c r="D126" s="330" t="s">
        <v>45</v>
      </c>
      <c r="E126" s="331" t="s">
        <v>4518</v>
      </c>
      <c r="F126" s="331">
        <v>44957</v>
      </c>
      <c r="G126" s="331">
        <v>44929</v>
      </c>
      <c r="H126" s="331"/>
      <c r="I126" s="331">
        <v>44957</v>
      </c>
      <c r="J126" s="330" t="s">
        <v>1639</v>
      </c>
      <c r="K126" s="332" t="s">
        <v>1287</v>
      </c>
      <c r="L126" s="171">
        <v>45020</v>
      </c>
      <c r="M126" s="168"/>
      <c r="O126" s="168"/>
      <c r="P126" s="168">
        <v>1254</v>
      </c>
      <c r="Q126" s="168" t="s">
        <v>3611</v>
      </c>
      <c r="R126" s="168" t="s">
        <v>129</v>
      </c>
    </row>
    <row r="127" spans="1:18">
      <c r="A127" s="330">
        <f>COUNTA($D$3:$D$127)</f>
        <v>125</v>
      </c>
      <c r="B127" s="330" t="s">
        <v>4603</v>
      </c>
      <c r="C127" s="330" t="s">
        <v>21</v>
      </c>
      <c r="D127" s="330" t="s">
        <v>34</v>
      </c>
      <c r="E127" s="331" t="s">
        <v>1256</v>
      </c>
      <c r="F127" s="331">
        <v>44930</v>
      </c>
      <c r="G127" s="331">
        <v>44929</v>
      </c>
      <c r="H127" s="331"/>
      <c r="I127" s="331">
        <v>44930</v>
      </c>
      <c r="J127" s="330" t="s">
        <v>4604</v>
      </c>
      <c r="K127" s="332" t="s">
        <v>1287</v>
      </c>
      <c r="L127" s="171">
        <v>45020</v>
      </c>
      <c r="M127" s="168"/>
      <c r="O127" s="168"/>
      <c r="P127" s="168">
        <v>5445</v>
      </c>
      <c r="Q127" s="168" t="s">
        <v>35</v>
      </c>
      <c r="R127" s="168" t="s">
        <v>129</v>
      </c>
    </row>
    <row r="128" spans="1:18" hidden="1">
      <c r="A128" s="330">
        <f>COUNTA($D$3:$D$128)</f>
        <v>126</v>
      </c>
      <c r="B128" s="330" t="s">
        <v>4612</v>
      </c>
      <c r="C128" s="330" t="s">
        <v>21</v>
      </c>
      <c r="D128" s="330" t="s">
        <v>1193</v>
      </c>
      <c r="E128" s="331" t="s">
        <v>3813</v>
      </c>
      <c r="F128" s="331">
        <v>44913</v>
      </c>
      <c r="G128" s="331">
        <v>44929</v>
      </c>
      <c r="H128" s="331"/>
      <c r="I128" s="331">
        <v>44913</v>
      </c>
      <c r="J128" s="330" t="s">
        <v>3814</v>
      </c>
      <c r="K128" s="332" t="s">
        <v>1295</v>
      </c>
      <c r="L128" s="171">
        <v>45020</v>
      </c>
      <c r="M128" s="168"/>
      <c r="N128" s="169">
        <v>45117</v>
      </c>
      <c r="O128" s="168"/>
      <c r="P128" s="168">
        <v>1784</v>
      </c>
      <c r="Q128" s="168" t="s">
        <v>35</v>
      </c>
      <c r="R128" s="168" t="s">
        <v>129</v>
      </c>
    </row>
    <row r="129" spans="1:18">
      <c r="A129" s="330">
        <f>COUNTA($D$3:$D$129)</f>
        <v>127</v>
      </c>
      <c r="B129" s="330" t="s">
        <v>4580</v>
      </c>
      <c r="C129" s="330" t="s">
        <v>41</v>
      </c>
      <c r="D129" s="330" t="s">
        <v>1193</v>
      </c>
      <c r="E129" s="331" t="s">
        <v>4581</v>
      </c>
      <c r="F129" s="331" t="s">
        <v>66</v>
      </c>
      <c r="G129" s="331">
        <v>44935</v>
      </c>
      <c r="H129" s="331"/>
      <c r="I129" s="331" t="s">
        <v>66</v>
      </c>
      <c r="J129" s="330" t="s">
        <v>1724</v>
      </c>
      <c r="K129" s="332" t="s">
        <v>1295</v>
      </c>
      <c r="L129" s="171">
        <v>45020</v>
      </c>
      <c r="M129" s="168"/>
      <c r="O129" s="168"/>
      <c r="P129" s="168">
        <v>1100</v>
      </c>
      <c r="Q129" s="168" t="s">
        <v>60</v>
      </c>
      <c r="R129" s="168" t="s">
        <v>129</v>
      </c>
    </row>
    <row r="130" spans="1:18">
      <c r="A130" s="330">
        <f>COUNTA($D$3:$D$130)</f>
        <v>128</v>
      </c>
      <c r="B130" s="330" t="s">
        <v>4613</v>
      </c>
      <c r="C130" s="330" t="s">
        <v>21</v>
      </c>
      <c r="D130" s="330" t="s">
        <v>30</v>
      </c>
      <c r="E130" s="331" t="s">
        <v>3863</v>
      </c>
      <c r="F130" s="331">
        <v>44957</v>
      </c>
      <c r="G130" s="331">
        <v>44929</v>
      </c>
      <c r="H130" s="331"/>
      <c r="I130" s="331">
        <v>44957</v>
      </c>
      <c r="J130" s="330" t="s">
        <v>1700</v>
      </c>
      <c r="K130" s="332" t="s">
        <v>1287</v>
      </c>
      <c r="L130" s="171">
        <v>45020</v>
      </c>
      <c r="M130" s="168" t="s">
        <v>6201</v>
      </c>
      <c r="O130" s="168"/>
      <c r="P130" s="168">
        <v>2077</v>
      </c>
      <c r="Q130" s="168" t="s">
        <v>35</v>
      </c>
      <c r="R130" s="168" t="s">
        <v>129</v>
      </c>
    </row>
    <row r="131" spans="1:18" hidden="1">
      <c r="A131" s="330">
        <f>COUNTA($D$3:$D$131)</f>
        <v>129</v>
      </c>
      <c r="B131" s="330" t="s">
        <v>4843</v>
      </c>
      <c r="C131" s="330" t="s">
        <v>1106</v>
      </c>
      <c r="D131" s="330" t="s">
        <v>58</v>
      </c>
      <c r="E131" s="331" t="s">
        <v>2621</v>
      </c>
      <c r="F131" s="331"/>
      <c r="G131" s="331"/>
      <c r="H131" s="331"/>
      <c r="I131" s="331"/>
      <c r="J131" s="330"/>
      <c r="K131" s="332" t="s">
        <v>4844</v>
      </c>
      <c r="L131" s="171">
        <v>44998</v>
      </c>
      <c r="M131" s="168"/>
      <c r="N131" s="169">
        <v>45120</v>
      </c>
      <c r="O131" s="168"/>
      <c r="P131" s="168"/>
      <c r="Q131" s="168" t="s">
        <v>1053</v>
      </c>
      <c r="R131" s="168" t="s">
        <v>129</v>
      </c>
    </row>
    <row r="132" spans="1:18">
      <c r="A132" s="330">
        <f>COUNTA($D$3:$D$132)</f>
        <v>130</v>
      </c>
      <c r="B132" s="330" t="s">
        <v>4733</v>
      </c>
      <c r="C132" s="330" t="s">
        <v>41</v>
      </c>
      <c r="D132" s="330" t="s">
        <v>1181</v>
      </c>
      <c r="E132" s="331" t="s">
        <v>1284</v>
      </c>
      <c r="F132" s="331"/>
      <c r="G132" s="331"/>
      <c r="H132" s="331"/>
      <c r="I132" s="331"/>
      <c r="J132" s="330"/>
      <c r="K132" s="332"/>
      <c r="L132" s="171">
        <v>44991</v>
      </c>
      <c r="M132" s="168"/>
      <c r="O132" s="168"/>
      <c r="P132" s="168"/>
      <c r="Q132" s="168" t="s">
        <v>1057</v>
      </c>
      <c r="R132" s="168" t="s">
        <v>129</v>
      </c>
    </row>
    <row r="133" spans="1:18" hidden="1">
      <c r="A133" s="330">
        <f>COUNTA($D$3:$D$133)</f>
        <v>131</v>
      </c>
      <c r="B133" s="330" t="s">
        <v>4734</v>
      </c>
      <c r="C133" s="330" t="s">
        <v>41</v>
      </c>
      <c r="D133" s="330" t="s">
        <v>1181</v>
      </c>
      <c r="E133" s="331" t="s">
        <v>3589</v>
      </c>
      <c r="F133" s="331"/>
      <c r="G133" s="331"/>
      <c r="H133" s="331"/>
      <c r="I133" s="331"/>
      <c r="J133" s="330"/>
      <c r="K133" s="332"/>
      <c r="L133" s="171">
        <v>44991</v>
      </c>
      <c r="M133" s="168"/>
      <c r="N133" s="169">
        <v>45114</v>
      </c>
      <c r="O133" s="168"/>
      <c r="P133" s="168"/>
      <c r="Q133" s="168" t="s">
        <v>1057</v>
      </c>
      <c r="R133" s="168" t="s">
        <v>129</v>
      </c>
    </row>
    <row r="134" spans="1:18">
      <c r="A134" s="330">
        <f>COUNTA($D$3:$D$134)</f>
        <v>132</v>
      </c>
      <c r="B134" s="330" t="s">
        <v>4282</v>
      </c>
      <c r="C134" s="330" t="s">
        <v>21</v>
      </c>
      <c r="D134" s="330" t="s">
        <v>45</v>
      </c>
      <c r="E134" s="330" t="s">
        <v>4304</v>
      </c>
      <c r="F134" s="331">
        <v>44886</v>
      </c>
      <c r="G134" s="331">
        <v>44879</v>
      </c>
      <c r="H134" s="331"/>
      <c r="I134" s="331">
        <v>44886</v>
      </c>
      <c r="J134" s="330" t="s">
        <v>4305</v>
      </c>
      <c r="K134" s="332" t="s">
        <v>1287</v>
      </c>
      <c r="L134" s="171">
        <v>44991</v>
      </c>
      <c r="M134" s="168"/>
      <c r="O134" s="168"/>
      <c r="P134" s="168">
        <v>3720</v>
      </c>
      <c r="Q134" s="168" t="s">
        <v>1726</v>
      </c>
      <c r="R134" s="168" t="s">
        <v>129</v>
      </c>
    </row>
    <row r="135" spans="1:18">
      <c r="A135" s="330">
        <f>COUNTA($D$3:$D$135)</f>
        <v>133</v>
      </c>
      <c r="B135" s="330" t="s">
        <v>4284</v>
      </c>
      <c r="C135" s="330" t="s">
        <v>21</v>
      </c>
      <c r="D135" s="330" t="s">
        <v>27</v>
      </c>
      <c r="E135" s="331" t="s">
        <v>4306</v>
      </c>
      <c r="F135" s="331">
        <v>44886</v>
      </c>
      <c r="G135" s="331">
        <v>44876</v>
      </c>
      <c r="H135" s="331"/>
      <c r="I135" s="331">
        <v>44886</v>
      </c>
      <c r="J135" s="330" t="s">
        <v>1093</v>
      </c>
      <c r="K135" s="332" t="s">
        <v>1287</v>
      </c>
      <c r="L135" s="171">
        <v>44991</v>
      </c>
      <c r="M135" s="168"/>
      <c r="O135" s="168"/>
      <c r="P135" s="168">
        <v>10200</v>
      </c>
      <c r="Q135" s="168" t="s">
        <v>1726</v>
      </c>
      <c r="R135" s="168" t="s">
        <v>129</v>
      </c>
    </row>
    <row r="136" spans="1:18">
      <c r="A136" s="330">
        <f>COUNTA($D$3:$D$136)</f>
        <v>134</v>
      </c>
      <c r="B136" s="330" t="s">
        <v>4317</v>
      </c>
      <c r="C136" s="330" t="s">
        <v>1154</v>
      </c>
      <c r="D136" s="330" t="s">
        <v>27</v>
      </c>
      <c r="E136" s="331" t="s">
        <v>4318</v>
      </c>
      <c r="F136" s="331">
        <v>44887</v>
      </c>
      <c r="G136" s="331">
        <v>44886</v>
      </c>
      <c r="H136" s="331"/>
      <c r="I136" s="331">
        <v>44887</v>
      </c>
      <c r="J136" s="330" t="s">
        <v>1093</v>
      </c>
      <c r="K136" s="332" t="s">
        <v>287</v>
      </c>
      <c r="L136" s="171">
        <v>44991</v>
      </c>
      <c r="M136" s="168"/>
      <c r="O136" s="168"/>
      <c r="P136" s="168">
        <v>10453</v>
      </c>
      <c r="Q136" s="168" t="s">
        <v>3611</v>
      </c>
      <c r="R136" s="168" t="s">
        <v>22</v>
      </c>
    </row>
    <row r="137" spans="1:18">
      <c r="A137" s="330">
        <f>COUNTA($D$3:$D$137)</f>
        <v>135</v>
      </c>
      <c r="B137" s="330" t="s">
        <v>4406</v>
      </c>
      <c r="C137" s="330" t="s">
        <v>37</v>
      </c>
      <c r="D137" s="330" t="s">
        <v>45</v>
      </c>
      <c r="E137" s="331" t="s">
        <v>4407</v>
      </c>
      <c r="F137" s="331">
        <v>44957</v>
      </c>
      <c r="G137" s="331">
        <v>44902</v>
      </c>
      <c r="H137" s="331"/>
      <c r="I137" s="331">
        <v>44957</v>
      </c>
      <c r="J137" s="330" t="s">
        <v>1639</v>
      </c>
      <c r="K137" s="332" t="s">
        <v>1287</v>
      </c>
      <c r="L137" s="171">
        <v>44991</v>
      </c>
      <c r="M137" s="168"/>
      <c r="O137" s="168"/>
      <c r="P137" s="168">
        <v>1237</v>
      </c>
      <c r="Q137" s="168" t="s">
        <v>3611</v>
      </c>
      <c r="R137" s="168" t="s">
        <v>129</v>
      </c>
    </row>
    <row r="138" spans="1:18">
      <c r="A138" s="330">
        <f>COUNTA($D$3:$D$138)</f>
        <v>136</v>
      </c>
      <c r="B138" s="330" t="s">
        <v>4351</v>
      </c>
      <c r="C138" s="330" t="s">
        <v>41</v>
      </c>
      <c r="D138" s="330" t="s">
        <v>34</v>
      </c>
      <c r="E138" s="331" t="s">
        <v>3936</v>
      </c>
      <c r="F138" s="331" t="s">
        <v>66</v>
      </c>
      <c r="G138" s="331">
        <v>44890</v>
      </c>
      <c r="H138" s="331"/>
      <c r="I138" s="331" t="s">
        <v>66</v>
      </c>
      <c r="J138" s="330" t="s">
        <v>1657</v>
      </c>
      <c r="K138" s="332" t="s">
        <v>1287</v>
      </c>
      <c r="L138" s="171">
        <v>44991</v>
      </c>
      <c r="M138" s="168"/>
      <c r="O138" s="168"/>
      <c r="P138" s="168">
        <v>3368</v>
      </c>
      <c r="Q138" s="168" t="s">
        <v>60</v>
      </c>
      <c r="R138" s="168" t="s">
        <v>129</v>
      </c>
    </row>
    <row r="139" spans="1:18">
      <c r="A139" s="330">
        <f>COUNTA($D$3:$D$139)</f>
        <v>137</v>
      </c>
      <c r="B139" s="330" t="s">
        <v>4346</v>
      </c>
      <c r="C139" s="330" t="s">
        <v>37</v>
      </c>
      <c r="D139" s="330" t="s">
        <v>30</v>
      </c>
      <c r="E139" s="331" t="s">
        <v>1232</v>
      </c>
      <c r="F139" s="331">
        <v>44932</v>
      </c>
      <c r="G139" s="331">
        <v>44886</v>
      </c>
      <c r="H139" s="331"/>
      <c r="I139" s="331">
        <v>44932</v>
      </c>
      <c r="J139" s="330" t="s">
        <v>4347</v>
      </c>
      <c r="K139" s="332" t="s">
        <v>1287</v>
      </c>
      <c r="L139" s="171">
        <v>44991</v>
      </c>
      <c r="M139" s="168"/>
      <c r="O139" s="168"/>
      <c r="P139" s="168">
        <v>5554</v>
      </c>
      <c r="Q139" s="168" t="s">
        <v>35</v>
      </c>
      <c r="R139" s="168" t="s">
        <v>129</v>
      </c>
    </row>
    <row r="140" spans="1:18">
      <c r="A140" s="330">
        <f>COUNTA($D$3:$D$140)</f>
        <v>138</v>
      </c>
      <c r="B140" s="330" t="s">
        <v>4344</v>
      </c>
      <c r="C140" s="330" t="s">
        <v>21</v>
      </c>
      <c r="D140" s="330" t="s">
        <v>30</v>
      </c>
      <c r="E140" s="331" t="s">
        <v>3028</v>
      </c>
      <c r="F140" s="331">
        <v>44886</v>
      </c>
      <c r="G140" s="331">
        <v>44886</v>
      </c>
      <c r="H140" s="331"/>
      <c r="I140" s="331">
        <v>44886</v>
      </c>
      <c r="J140" s="330" t="s">
        <v>4345</v>
      </c>
      <c r="K140" s="332" t="s">
        <v>1295</v>
      </c>
      <c r="L140" s="171">
        <v>44991</v>
      </c>
      <c r="M140" s="168"/>
      <c r="O140" s="168"/>
      <c r="P140" s="168">
        <v>7000</v>
      </c>
      <c r="Q140" s="168" t="s">
        <v>35</v>
      </c>
      <c r="R140" s="168" t="s">
        <v>129</v>
      </c>
    </row>
    <row r="141" spans="1:18" hidden="1">
      <c r="A141" s="330">
        <f>COUNTA($D$3:$D$141)</f>
        <v>139</v>
      </c>
      <c r="B141" s="330" t="s">
        <v>4341</v>
      </c>
      <c r="C141" s="330" t="s">
        <v>4326</v>
      </c>
      <c r="D141" s="330" t="s">
        <v>36</v>
      </c>
      <c r="E141" s="330" t="s">
        <v>4342</v>
      </c>
      <c r="F141" s="331">
        <v>44886</v>
      </c>
      <c r="G141" s="331">
        <v>44886</v>
      </c>
      <c r="H141" s="331"/>
      <c r="I141" s="331">
        <v>44886</v>
      </c>
      <c r="J141" s="330" t="s">
        <v>4343</v>
      </c>
      <c r="K141" s="332" t="s">
        <v>1296</v>
      </c>
      <c r="L141" s="171">
        <v>44991</v>
      </c>
      <c r="M141" s="168" t="s">
        <v>2954</v>
      </c>
      <c r="N141" s="169">
        <v>45019</v>
      </c>
      <c r="O141" s="168"/>
      <c r="P141" s="168">
        <v>8320</v>
      </c>
      <c r="Q141" s="168" t="s">
        <v>35</v>
      </c>
      <c r="R141" s="168" t="s">
        <v>129</v>
      </c>
    </row>
    <row r="142" spans="1:18">
      <c r="A142" s="330">
        <f>COUNTA($D$3:$D$142)</f>
        <v>140</v>
      </c>
      <c r="B142" s="330" t="s">
        <v>4339</v>
      </c>
      <c r="C142" s="330" t="s">
        <v>4330</v>
      </c>
      <c r="D142" s="330" t="s">
        <v>36</v>
      </c>
      <c r="E142" s="331" t="s">
        <v>4340</v>
      </c>
      <c r="F142" s="331">
        <v>44886</v>
      </c>
      <c r="G142" s="331">
        <v>44887</v>
      </c>
      <c r="H142" s="331"/>
      <c r="I142" s="331">
        <v>44886</v>
      </c>
      <c r="J142" s="330" t="s">
        <v>4384</v>
      </c>
      <c r="K142" s="332" t="s">
        <v>1287</v>
      </c>
      <c r="L142" s="171">
        <v>44991</v>
      </c>
      <c r="M142" s="168"/>
      <c r="O142" s="168"/>
      <c r="P142" s="168">
        <v>7360</v>
      </c>
      <c r="Q142" s="168" t="s">
        <v>35</v>
      </c>
      <c r="R142" s="168" t="s">
        <v>129</v>
      </c>
    </row>
    <row r="143" spans="1:18" hidden="1">
      <c r="A143" s="330">
        <f>COUNTA($D$3:$D$143)</f>
        <v>141</v>
      </c>
      <c r="B143" s="330" t="s">
        <v>4336</v>
      </c>
      <c r="C143" s="330" t="s">
        <v>4326</v>
      </c>
      <c r="D143" s="330" t="s">
        <v>38</v>
      </c>
      <c r="E143" s="331" t="s">
        <v>4337</v>
      </c>
      <c r="F143" s="331">
        <v>44895</v>
      </c>
      <c r="G143" s="331">
        <v>44886</v>
      </c>
      <c r="H143" s="331"/>
      <c r="I143" s="331">
        <v>44895</v>
      </c>
      <c r="J143" s="330" t="s">
        <v>4338</v>
      </c>
      <c r="K143" s="332" t="s">
        <v>1295</v>
      </c>
      <c r="L143" s="171">
        <v>44991</v>
      </c>
      <c r="M143" s="168"/>
      <c r="N143" s="169">
        <v>45028</v>
      </c>
      <c r="O143" s="168"/>
      <c r="P143" s="168">
        <v>1718</v>
      </c>
      <c r="Q143" s="168" t="s">
        <v>35</v>
      </c>
      <c r="R143" s="168" t="s">
        <v>129</v>
      </c>
    </row>
    <row r="144" spans="1:18">
      <c r="A144" s="330">
        <f>COUNTA($D$3:$D$144)</f>
        <v>142</v>
      </c>
      <c r="B144" s="330" t="s">
        <v>4333</v>
      </c>
      <c r="C144" s="330" t="s">
        <v>4330</v>
      </c>
      <c r="D144" s="330" t="s">
        <v>1103</v>
      </c>
      <c r="E144" s="330" t="s">
        <v>4334</v>
      </c>
      <c r="F144" s="331">
        <v>44887</v>
      </c>
      <c r="G144" s="331">
        <v>44886</v>
      </c>
      <c r="H144" s="331"/>
      <c r="I144" s="331">
        <v>44887</v>
      </c>
      <c r="J144" s="330" t="s">
        <v>4335</v>
      </c>
      <c r="K144" s="332" t="s">
        <v>1287</v>
      </c>
      <c r="L144" s="171">
        <v>44991</v>
      </c>
      <c r="M144" s="168"/>
      <c r="O144" s="168"/>
      <c r="P144" s="168">
        <v>3440</v>
      </c>
      <c r="Q144" s="168" t="s">
        <v>35</v>
      </c>
      <c r="R144" s="168" t="s">
        <v>129</v>
      </c>
    </row>
    <row r="145" spans="1:18" hidden="1">
      <c r="A145" s="330">
        <f>COUNTA($D$3:$D$145)</f>
        <v>143</v>
      </c>
      <c r="B145" s="330" t="s">
        <v>4113</v>
      </c>
      <c r="C145" s="330" t="s">
        <v>1149</v>
      </c>
      <c r="D145" s="330" t="s">
        <v>58</v>
      </c>
      <c r="E145" s="331" t="s">
        <v>1150</v>
      </c>
      <c r="F145" s="331">
        <v>44845</v>
      </c>
      <c r="G145" s="331">
        <v>44847</v>
      </c>
      <c r="H145" s="331"/>
      <c r="I145" s="331">
        <v>44845</v>
      </c>
      <c r="J145" s="330" t="s">
        <v>1679</v>
      </c>
      <c r="K145" s="332" t="s">
        <v>2032</v>
      </c>
      <c r="L145" s="171">
        <v>44991</v>
      </c>
      <c r="M145" s="168"/>
      <c r="N145" s="169">
        <v>45138</v>
      </c>
      <c r="O145" s="168"/>
      <c r="P145" s="168">
        <v>2560</v>
      </c>
      <c r="Q145" s="168" t="s">
        <v>35</v>
      </c>
      <c r="R145" s="168" t="s">
        <v>22</v>
      </c>
    </row>
    <row r="146" spans="1:18">
      <c r="A146" s="330">
        <f>COUNTA($D$3:$D$146)</f>
        <v>144</v>
      </c>
      <c r="B146" s="330" t="s">
        <v>4325</v>
      </c>
      <c r="C146" s="330" t="s">
        <v>4326</v>
      </c>
      <c r="D146" s="330" t="s">
        <v>1103</v>
      </c>
      <c r="E146" s="331" t="s">
        <v>4327</v>
      </c>
      <c r="F146" s="331">
        <v>44895</v>
      </c>
      <c r="G146" s="331">
        <v>44886</v>
      </c>
      <c r="H146" s="331"/>
      <c r="I146" s="331">
        <v>44895</v>
      </c>
      <c r="J146" s="330" t="s">
        <v>4328</v>
      </c>
      <c r="K146" s="332" t="s">
        <v>1295</v>
      </c>
      <c r="L146" s="171">
        <v>44991</v>
      </c>
      <c r="M146" s="168"/>
      <c r="O146" s="168"/>
      <c r="P146" s="168">
        <v>8106</v>
      </c>
      <c r="Q146" s="168" t="s">
        <v>35</v>
      </c>
      <c r="R146" s="168" t="s">
        <v>129</v>
      </c>
    </row>
    <row r="147" spans="1:18" hidden="1">
      <c r="A147" s="330">
        <f>COUNTA($D$3:$D$147)</f>
        <v>145</v>
      </c>
      <c r="B147" s="330" t="s">
        <v>4292</v>
      </c>
      <c r="C147" s="330" t="s">
        <v>1106</v>
      </c>
      <c r="D147" s="330" t="s">
        <v>58</v>
      </c>
      <c r="E147" s="331" t="s">
        <v>2495</v>
      </c>
      <c r="F147" s="331">
        <v>44627</v>
      </c>
      <c r="G147" s="331">
        <v>44883</v>
      </c>
      <c r="H147" s="331"/>
      <c r="I147" s="331">
        <v>44627</v>
      </c>
      <c r="J147" s="330" t="s">
        <v>4314</v>
      </c>
      <c r="K147" s="332" t="s">
        <v>1296</v>
      </c>
      <c r="L147" s="171">
        <v>44991</v>
      </c>
      <c r="M147" s="168"/>
      <c r="N147" s="169">
        <v>45117</v>
      </c>
      <c r="O147" s="168"/>
      <c r="P147" s="168">
        <v>3040</v>
      </c>
      <c r="Q147" s="168" t="s">
        <v>35</v>
      </c>
      <c r="R147" s="168" t="s">
        <v>129</v>
      </c>
    </row>
    <row r="148" spans="1:18" hidden="1">
      <c r="A148" s="330">
        <f>COUNTA($D$3:$D$148)</f>
        <v>146</v>
      </c>
      <c r="B148" s="330" t="s">
        <v>4283</v>
      </c>
      <c r="C148" s="330" t="s">
        <v>2042</v>
      </c>
      <c r="D148" s="330" t="s">
        <v>1103</v>
      </c>
      <c r="E148" s="331" t="s">
        <v>2043</v>
      </c>
      <c r="F148" s="331">
        <v>44881</v>
      </c>
      <c r="G148" s="331">
        <v>44879</v>
      </c>
      <c r="H148" s="331"/>
      <c r="I148" s="331">
        <v>44881</v>
      </c>
      <c r="J148" s="330" t="s">
        <v>1659</v>
      </c>
      <c r="K148" s="332" t="s">
        <v>1295</v>
      </c>
      <c r="L148" s="171">
        <v>44991</v>
      </c>
      <c r="M148" s="168"/>
      <c r="N148" s="169">
        <v>45030</v>
      </c>
      <c r="O148" s="168"/>
      <c r="P148" s="168">
        <v>4560</v>
      </c>
      <c r="Q148" s="168" t="s">
        <v>35</v>
      </c>
      <c r="R148" s="168" t="s">
        <v>129</v>
      </c>
    </row>
    <row r="149" spans="1:18" hidden="1">
      <c r="A149" s="330">
        <f>COUNTA($D$3:$D$149)</f>
        <v>147</v>
      </c>
      <c r="B149" s="330" t="s">
        <v>4250</v>
      </c>
      <c r="C149" s="330" t="s">
        <v>2484</v>
      </c>
      <c r="D149" s="330" t="s">
        <v>1121</v>
      </c>
      <c r="E149" s="331" t="s">
        <v>4262</v>
      </c>
      <c r="F149" s="331">
        <v>44914</v>
      </c>
      <c r="G149" s="331">
        <v>44876</v>
      </c>
      <c r="H149" s="331"/>
      <c r="I149" s="331">
        <v>44914</v>
      </c>
      <c r="J149" s="330" t="s">
        <v>4263</v>
      </c>
      <c r="K149" s="332" t="s">
        <v>2032</v>
      </c>
      <c r="L149" s="171">
        <v>44991</v>
      </c>
      <c r="M149" s="168"/>
      <c r="N149" s="169">
        <v>45083</v>
      </c>
      <c r="O149" s="168"/>
      <c r="P149" s="168">
        <v>9519</v>
      </c>
      <c r="Q149" s="168" t="s">
        <v>35</v>
      </c>
      <c r="R149" s="168" t="s">
        <v>22</v>
      </c>
    </row>
    <row r="150" spans="1:18" hidden="1">
      <c r="A150" s="330">
        <f>COUNTA($D$3:$D$150)</f>
        <v>148</v>
      </c>
      <c r="B150" s="330" t="s">
        <v>4329</v>
      </c>
      <c r="C150" s="330" t="s">
        <v>4330</v>
      </c>
      <c r="D150" s="330" t="s">
        <v>1103</v>
      </c>
      <c r="E150" s="331" t="s">
        <v>4331</v>
      </c>
      <c r="F150" s="331">
        <v>44886</v>
      </c>
      <c r="G150" s="331">
        <v>44886</v>
      </c>
      <c r="H150" s="331"/>
      <c r="I150" s="331">
        <v>44886</v>
      </c>
      <c r="J150" s="330" t="s">
        <v>4332</v>
      </c>
      <c r="K150" s="332" t="s">
        <v>1295</v>
      </c>
      <c r="L150" s="171">
        <v>44991</v>
      </c>
      <c r="M150" s="168"/>
      <c r="N150" s="169">
        <v>45130</v>
      </c>
      <c r="O150" s="168"/>
      <c r="P150" s="168">
        <v>2720</v>
      </c>
      <c r="Q150" s="168" t="s">
        <v>35</v>
      </c>
      <c r="R150" s="168" t="s">
        <v>129</v>
      </c>
    </row>
    <row r="151" spans="1:18">
      <c r="A151" s="330">
        <f>COUNTA($D$3:$D$151)</f>
        <v>149</v>
      </c>
      <c r="B151" s="330" t="s">
        <v>4399</v>
      </c>
      <c r="C151" s="330" t="s">
        <v>21</v>
      </c>
      <c r="D151" s="330" t="s">
        <v>34</v>
      </c>
      <c r="E151" s="331" t="s">
        <v>4400</v>
      </c>
      <c r="F151" s="331">
        <v>44923</v>
      </c>
      <c r="G151" s="331">
        <v>44902</v>
      </c>
      <c r="H151" s="331"/>
      <c r="I151" s="331">
        <v>44923</v>
      </c>
      <c r="J151" s="330" t="s">
        <v>4356</v>
      </c>
      <c r="K151" s="332" t="s">
        <v>1287</v>
      </c>
      <c r="L151" s="171">
        <v>44991</v>
      </c>
      <c r="M151" s="168" t="s">
        <v>6201</v>
      </c>
      <c r="O151" s="168"/>
      <c r="P151" s="168">
        <v>3100</v>
      </c>
      <c r="Q151" s="168" t="s">
        <v>35</v>
      </c>
      <c r="R151" s="168" t="s">
        <v>129</v>
      </c>
    </row>
    <row r="152" spans="1:18">
      <c r="A152" s="330">
        <f>COUNTA($D$3:$D$152)</f>
        <v>150</v>
      </c>
      <c r="B152" s="330" t="s">
        <v>4418</v>
      </c>
      <c r="C152" s="330" t="s">
        <v>21</v>
      </c>
      <c r="D152" s="330" t="s">
        <v>30</v>
      </c>
      <c r="E152" s="331" t="s">
        <v>2736</v>
      </c>
      <c r="F152" s="331">
        <v>44922</v>
      </c>
      <c r="G152" s="331">
        <v>44900</v>
      </c>
      <c r="H152" s="331"/>
      <c r="I152" s="331">
        <v>44922</v>
      </c>
      <c r="J152" s="330" t="s">
        <v>4419</v>
      </c>
      <c r="K152" s="332" t="s">
        <v>1295</v>
      </c>
      <c r="L152" s="171">
        <v>44991</v>
      </c>
      <c r="M152" s="168" t="s">
        <v>6201</v>
      </c>
      <c r="O152" s="168"/>
      <c r="P152" s="168">
        <v>3822</v>
      </c>
      <c r="Q152" s="168" t="s">
        <v>35</v>
      </c>
      <c r="R152" s="168" t="s">
        <v>129</v>
      </c>
    </row>
    <row r="153" spans="1:18">
      <c r="A153" s="330">
        <f>COUNTA($D$3:$D$153)</f>
        <v>151</v>
      </c>
      <c r="B153" s="330" t="s">
        <v>4416</v>
      </c>
      <c r="C153" s="330" t="s">
        <v>21</v>
      </c>
      <c r="D153" s="330" t="s">
        <v>30</v>
      </c>
      <c r="E153" s="331" t="s">
        <v>3712</v>
      </c>
      <c r="F153" s="331">
        <v>44923</v>
      </c>
      <c r="G153" s="331">
        <v>44900</v>
      </c>
      <c r="H153" s="331"/>
      <c r="I153" s="331">
        <v>44923</v>
      </c>
      <c r="J153" s="330" t="s">
        <v>4417</v>
      </c>
      <c r="K153" s="332" t="s">
        <v>1295</v>
      </c>
      <c r="L153" s="171">
        <v>44991</v>
      </c>
      <c r="M153" s="168"/>
      <c r="O153" s="168"/>
      <c r="P153" s="168">
        <v>3026</v>
      </c>
      <c r="Q153" s="168" t="s">
        <v>35</v>
      </c>
      <c r="R153" s="168" t="s">
        <v>129</v>
      </c>
    </row>
    <row r="154" spans="1:18">
      <c r="A154" s="330">
        <f>COUNTA($D$3:$D$154)</f>
        <v>152</v>
      </c>
      <c r="B154" s="330" t="s">
        <v>4412</v>
      </c>
      <c r="C154" s="330" t="s">
        <v>21</v>
      </c>
      <c r="D154" s="330" t="s">
        <v>30</v>
      </c>
      <c r="E154" s="331" t="s">
        <v>4413</v>
      </c>
      <c r="F154" s="331">
        <v>44901</v>
      </c>
      <c r="G154" s="331">
        <v>44900</v>
      </c>
      <c r="H154" s="331"/>
      <c r="I154" s="331">
        <v>44901</v>
      </c>
      <c r="J154" s="330" t="s">
        <v>2560</v>
      </c>
      <c r="K154" s="332" t="s">
        <v>1295</v>
      </c>
      <c r="L154" s="171">
        <v>44991</v>
      </c>
      <c r="M154" s="168"/>
      <c r="O154" s="168"/>
      <c r="P154" s="168">
        <v>4100</v>
      </c>
      <c r="Q154" s="168" t="s">
        <v>35</v>
      </c>
      <c r="R154" s="168" t="s">
        <v>129</v>
      </c>
    </row>
    <row r="155" spans="1:18">
      <c r="A155" s="330">
        <f>COUNTA($D$3:$D$155)</f>
        <v>153</v>
      </c>
      <c r="B155" s="330" t="s">
        <v>4411</v>
      </c>
      <c r="C155" s="330" t="s">
        <v>21</v>
      </c>
      <c r="D155" s="330" t="s">
        <v>30</v>
      </c>
      <c r="E155" s="331" t="s">
        <v>2572</v>
      </c>
      <c r="F155" s="331">
        <v>44929</v>
      </c>
      <c r="G155" s="331">
        <v>44900</v>
      </c>
      <c r="H155" s="331"/>
      <c r="I155" s="331">
        <v>44929</v>
      </c>
      <c r="J155" s="330" t="s">
        <v>3787</v>
      </c>
      <c r="K155" s="332" t="s">
        <v>1295</v>
      </c>
      <c r="L155" s="171">
        <v>44991</v>
      </c>
      <c r="M155" s="168"/>
      <c r="O155" s="168"/>
      <c r="P155" s="168">
        <v>5640</v>
      </c>
      <c r="Q155" s="168" t="s">
        <v>35</v>
      </c>
      <c r="R155" s="168" t="s">
        <v>129</v>
      </c>
    </row>
    <row r="156" spans="1:18" hidden="1">
      <c r="A156" s="330">
        <f>COUNTA($D$3:$D156)</f>
        <v>154</v>
      </c>
      <c r="B156" s="330" t="s">
        <v>4404</v>
      </c>
      <c r="C156" s="330" t="s">
        <v>21</v>
      </c>
      <c r="D156" s="330" t="s">
        <v>34</v>
      </c>
      <c r="E156" s="330" t="s">
        <v>4405</v>
      </c>
      <c r="F156" s="331">
        <v>44913</v>
      </c>
      <c r="G156" s="331">
        <v>44909</v>
      </c>
      <c r="H156" s="331"/>
      <c r="I156" s="331">
        <v>44913</v>
      </c>
      <c r="J156" s="330" t="s">
        <v>4460</v>
      </c>
      <c r="K156" s="332" t="s">
        <v>1296</v>
      </c>
      <c r="L156" s="171">
        <v>44991</v>
      </c>
      <c r="M156" s="168"/>
      <c r="N156" s="169">
        <v>45134</v>
      </c>
      <c r="O156" s="168"/>
      <c r="P156" s="168">
        <v>3284</v>
      </c>
      <c r="Q156" s="168" t="s">
        <v>35</v>
      </c>
      <c r="R156" s="168" t="s">
        <v>129</v>
      </c>
    </row>
    <row r="157" spans="1:18">
      <c r="A157" s="330">
        <f>COUNTA($D$3:$D157)</f>
        <v>155</v>
      </c>
      <c r="B157" s="330" t="s">
        <v>4348</v>
      </c>
      <c r="C157" s="330" t="s">
        <v>37</v>
      </c>
      <c r="D157" s="330" t="s">
        <v>30</v>
      </c>
      <c r="E157" s="330" t="s">
        <v>4349</v>
      </c>
      <c r="F157" s="331">
        <v>44957</v>
      </c>
      <c r="G157" s="331">
        <v>44887</v>
      </c>
      <c r="H157" s="331"/>
      <c r="I157" s="331">
        <v>44957</v>
      </c>
      <c r="J157" s="330" t="s">
        <v>2234</v>
      </c>
      <c r="K157" s="332" t="s">
        <v>1287</v>
      </c>
      <c r="L157" s="171">
        <v>44991</v>
      </c>
      <c r="M157" s="168"/>
      <c r="O157" s="168"/>
      <c r="P157" s="168">
        <v>3590</v>
      </c>
      <c r="Q157" s="168" t="s">
        <v>35</v>
      </c>
      <c r="R157" s="168" t="s">
        <v>129</v>
      </c>
    </row>
    <row r="158" spans="1:18" hidden="1">
      <c r="A158" s="330">
        <f>COUNTA($D$3:$D158)</f>
        <v>156</v>
      </c>
      <c r="B158" s="330" t="s">
        <v>4401</v>
      </c>
      <c r="C158" s="330" t="s">
        <v>21</v>
      </c>
      <c r="D158" s="330" t="s">
        <v>30</v>
      </c>
      <c r="E158" s="330" t="s">
        <v>2055</v>
      </c>
      <c r="F158" s="333">
        <v>44908</v>
      </c>
      <c r="G158" s="333">
        <v>44900</v>
      </c>
      <c r="H158" s="331"/>
      <c r="I158" s="331">
        <v>44908</v>
      </c>
      <c r="J158" s="330" t="s">
        <v>1485</v>
      </c>
      <c r="K158" s="332" t="s">
        <v>1295</v>
      </c>
      <c r="L158" s="171">
        <v>44991</v>
      </c>
      <c r="M158" s="168" t="s">
        <v>6201</v>
      </c>
      <c r="N158" s="169">
        <v>45134</v>
      </c>
      <c r="O158" s="168"/>
      <c r="P158" s="168">
        <v>900</v>
      </c>
      <c r="Q158" s="168" t="s">
        <v>35</v>
      </c>
      <c r="R158" s="168" t="s">
        <v>129</v>
      </c>
    </row>
    <row r="159" spans="1:18">
      <c r="A159" s="330">
        <f>COUNTA($D$3:$D159)</f>
        <v>157</v>
      </c>
      <c r="B159" s="330" t="s">
        <v>4350</v>
      </c>
      <c r="C159" s="330" t="s">
        <v>37</v>
      </c>
      <c r="D159" s="330" t="s">
        <v>34</v>
      </c>
      <c r="E159" s="330" t="s">
        <v>3227</v>
      </c>
      <c r="F159" s="331">
        <v>44932</v>
      </c>
      <c r="G159" s="333">
        <v>44887</v>
      </c>
      <c r="H159" s="331"/>
      <c r="I159" s="331">
        <v>44932</v>
      </c>
      <c r="J159" s="330" t="s">
        <v>1667</v>
      </c>
      <c r="K159" s="332" t="s">
        <v>1296</v>
      </c>
      <c r="L159" s="171">
        <v>44991</v>
      </c>
      <c r="M159" s="168"/>
      <c r="O159" s="168"/>
      <c r="P159" s="168">
        <v>3292</v>
      </c>
      <c r="Q159" s="168" t="s">
        <v>35</v>
      </c>
      <c r="R159" s="168" t="s">
        <v>129</v>
      </c>
    </row>
    <row r="160" spans="1:18" hidden="1">
      <c r="A160" s="330">
        <f>COUNTA($D$3:$D160)</f>
        <v>158</v>
      </c>
      <c r="B160" s="330" t="s">
        <v>4398</v>
      </c>
      <c r="C160" s="330" t="s">
        <v>21</v>
      </c>
      <c r="D160" s="330" t="s">
        <v>30</v>
      </c>
      <c r="E160" s="330" t="s">
        <v>1252</v>
      </c>
      <c r="F160" s="331">
        <v>44914</v>
      </c>
      <c r="G160" s="333">
        <v>44904</v>
      </c>
      <c r="H160" s="331"/>
      <c r="I160" s="331">
        <v>44914</v>
      </c>
      <c r="J160" s="330" t="s">
        <v>4428</v>
      </c>
      <c r="K160" s="332" t="s">
        <v>1296</v>
      </c>
      <c r="L160" s="171">
        <v>44991</v>
      </c>
      <c r="M160" s="168" t="s">
        <v>6201</v>
      </c>
      <c r="N160" s="169">
        <v>45134</v>
      </c>
      <c r="O160" s="168"/>
      <c r="P160" s="186">
        <v>2189</v>
      </c>
      <c r="Q160" s="168" t="s">
        <v>35</v>
      </c>
      <c r="R160" s="168" t="s">
        <v>129</v>
      </c>
    </row>
    <row r="161" spans="1:18" hidden="1">
      <c r="A161" s="330">
        <f>COUNTA($D$3:$D161)</f>
        <v>159</v>
      </c>
      <c r="B161" s="330" t="s">
        <v>4392</v>
      </c>
      <c r="C161" s="330" t="s">
        <v>2602</v>
      </c>
      <c r="D161" s="330" t="s">
        <v>49</v>
      </c>
      <c r="E161" s="330" t="s">
        <v>4393</v>
      </c>
      <c r="F161" s="331">
        <v>44914</v>
      </c>
      <c r="G161" s="333">
        <v>44897</v>
      </c>
      <c r="H161" s="331">
        <v>45012</v>
      </c>
      <c r="I161" s="331">
        <v>44914</v>
      </c>
      <c r="J161" s="330" t="s">
        <v>1679</v>
      </c>
      <c r="K161" s="332" t="s">
        <v>1294</v>
      </c>
      <c r="L161" s="171">
        <v>44991</v>
      </c>
      <c r="M161" s="168" t="s">
        <v>4952</v>
      </c>
      <c r="N161" s="169">
        <v>45069</v>
      </c>
      <c r="O161" s="168"/>
      <c r="P161" s="186"/>
      <c r="Q161" s="168" t="s">
        <v>28</v>
      </c>
      <c r="R161" s="168" t="s">
        <v>22</v>
      </c>
    </row>
    <row r="162" spans="1:18">
      <c r="A162" s="330">
        <f>COUNTA($D$3:$D162)</f>
        <v>160</v>
      </c>
      <c r="B162" s="330" t="s">
        <v>4377</v>
      </c>
      <c r="C162" s="330" t="s">
        <v>65</v>
      </c>
      <c r="D162" s="330" t="s">
        <v>282</v>
      </c>
      <c r="E162" s="330" t="s">
        <v>4378</v>
      </c>
      <c r="F162" s="331">
        <v>44888</v>
      </c>
      <c r="G162" s="333">
        <v>44890</v>
      </c>
      <c r="H162" s="331">
        <v>45027</v>
      </c>
      <c r="I162" s="331">
        <v>44888</v>
      </c>
      <c r="J162" s="330" t="s">
        <v>4379</v>
      </c>
      <c r="K162" s="332" t="s">
        <v>1294</v>
      </c>
      <c r="L162" s="171">
        <v>44991</v>
      </c>
      <c r="M162" s="168" t="s">
        <v>5095</v>
      </c>
      <c r="O162" s="168"/>
      <c r="P162" s="186">
        <v>4362</v>
      </c>
      <c r="Q162" s="168" t="s">
        <v>28</v>
      </c>
      <c r="R162" s="168" t="s">
        <v>22</v>
      </c>
    </row>
    <row r="163" spans="1:18" hidden="1">
      <c r="A163" s="330">
        <f>COUNTA($D$3:$D163)</f>
        <v>161</v>
      </c>
      <c r="B163" s="330" t="s">
        <v>4364</v>
      </c>
      <c r="C163" s="330" t="s">
        <v>2767</v>
      </c>
      <c r="D163" s="330" t="s">
        <v>16</v>
      </c>
      <c r="E163" s="330" t="s">
        <v>3277</v>
      </c>
      <c r="F163" s="331">
        <v>44901</v>
      </c>
      <c r="G163" s="333">
        <v>44887</v>
      </c>
      <c r="H163" s="331">
        <v>45033</v>
      </c>
      <c r="I163" s="331">
        <v>44901</v>
      </c>
      <c r="J163" s="330" t="s">
        <v>4357</v>
      </c>
      <c r="K163" s="332" t="s">
        <v>1296</v>
      </c>
      <c r="L163" s="171">
        <v>44991</v>
      </c>
      <c r="M163" s="168" t="s">
        <v>4954</v>
      </c>
      <c r="N163" s="169">
        <v>45152</v>
      </c>
      <c r="O163" s="168"/>
      <c r="P163" s="168">
        <v>1480</v>
      </c>
      <c r="Q163" s="168" t="s">
        <v>28</v>
      </c>
      <c r="R163" s="168" t="s">
        <v>129</v>
      </c>
    </row>
    <row r="164" spans="1:18">
      <c r="A164" s="330">
        <f>COUNTA($D$3:$D164)</f>
        <v>162</v>
      </c>
      <c r="B164" s="330" t="s">
        <v>4354</v>
      </c>
      <c r="C164" s="330" t="s">
        <v>37</v>
      </c>
      <c r="D164" s="330" t="s">
        <v>34</v>
      </c>
      <c r="E164" s="330" t="s">
        <v>4355</v>
      </c>
      <c r="F164" s="331">
        <v>44886</v>
      </c>
      <c r="G164" s="333">
        <v>44886</v>
      </c>
      <c r="H164" s="331"/>
      <c r="I164" s="331">
        <v>44886</v>
      </c>
      <c r="J164" s="330" t="s">
        <v>4356</v>
      </c>
      <c r="K164" s="332" t="s">
        <v>1295</v>
      </c>
      <c r="L164" s="171">
        <v>44991</v>
      </c>
      <c r="M164" s="168"/>
      <c r="O164" s="168"/>
      <c r="P164" s="168">
        <v>3640</v>
      </c>
      <c r="Q164" s="168" t="s">
        <v>35</v>
      </c>
      <c r="R164" s="168" t="s">
        <v>129</v>
      </c>
    </row>
    <row r="165" spans="1:18">
      <c r="A165" s="330">
        <f>COUNTA($D$3:$D165)</f>
        <v>163</v>
      </c>
      <c r="B165" s="330" t="s">
        <v>4352</v>
      </c>
      <c r="C165" s="330" t="s">
        <v>37</v>
      </c>
      <c r="D165" s="330" t="s">
        <v>34</v>
      </c>
      <c r="E165" s="330" t="s">
        <v>4353</v>
      </c>
      <c r="F165" s="331">
        <v>44886</v>
      </c>
      <c r="G165" s="333">
        <v>44886</v>
      </c>
      <c r="H165" s="331"/>
      <c r="I165" s="331">
        <v>44886</v>
      </c>
      <c r="J165" s="330" t="s">
        <v>1678</v>
      </c>
      <c r="K165" s="332" t="s">
        <v>1296</v>
      </c>
      <c r="L165" s="171">
        <v>44991</v>
      </c>
      <c r="M165" s="168"/>
      <c r="O165" s="168"/>
      <c r="P165" s="168">
        <v>3280</v>
      </c>
      <c r="Q165" s="168" t="s">
        <v>35</v>
      </c>
      <c r="R165" s="168" t="s">
        <v>129</v>
      </c>
    </row>
    <row r="166" spans="1:18">
      <c r="A166" s="330">
        <f>COUNTA($D$3:$D166)</f>
        <v>164</v>
      </c>
      <c r="B166" s="330" t="s">
        <v>4402</v>
      </c>
      <c r="C166" s="330" t="s">
        <v>21</v>
      </c>
      <c r="D166" s="330" t="s">
        <v>30</v>
      </c>
      <c r="E166" s="330" t="s">
        <v>2023</v>
      </c>
      <c r="F166" s="331">
        <v>44923</v>
      </c>
      <c r="G166" s="333">
        <v>44900</v>
      </c>
      <c r="H166" s="331"/>
      <c r="I166" s="331">
        <v>44923</v>
      </c>
      <c r="J166" s="330" t="s">
        <v>4403</v>
      </c>
      <c r="K166" s="332" t="s">
        <v>1295</v>
      </c>
      <c r="L166" s="171">
        <v>44991</v>
      </c>
      <c r="M166" s="168"/>
      <c r="O166" s="168"/>
      <c r="P166" s="168">
        <v>3620</v>
      </c>
      <c r="Q166" s="168" t="s">
        <v>35</v>
      </c>
      <c r="R166" s="168" t="s">
        <v>129</v>
      </c>
    </row>
    <row r="167" spans="1:18">
      <c r="A167" s="330">
        <f>COUNTA($D$3:$D167)</f>
        <v>165</v>
      </c>
      <c r="B167" s="330" t="s">
        <v>4315</v>
      </c>
      <c r="C167" s="330" t="s">
        <v>41</v>
      </c>
      <c r="D167" s="330" t="s">
        <v>30</v>
      </c>
      <c r="E167" s="330" t="s">
        <v>1046</v>
      </c>
      <c r="F167" s="331" t="s">
        <v>66</v>
      </c>
      <c r="G167" s="333">
        <v>44886</v>
      </c>
      <c r="H167" s="331"/>
      <c r="I167" s="331" t="s">
        <v>66</v>
      </c>
      <c r="J167" s="330" t="s">
        <v>4365</v>
      </c>
      <c r="K167" s="332" t="s">
        <v>1296</v>
      </c>
      <c r="L167" s="171">
        <v>44991</v>
      </c>
      <c r="M167" s="168"/>
      <c r="O167" s="168"/>
      <c r="P167" s="186">
        <v>560</v>
      </c>
      <c r="Q167" s="168" t="s">
        <v>28</v>
      </c>
      <c r="R167" s="168" t="s">
        <v>129</v>
      </c>
    </row>
    <row r="168" spans="1:18" hidden="1">
      <c r="A168" s="330">
        <f>COUNTA($D$3:$D168)</f>
        <v>166</v>
      </c>
      <c r="B168" s="330" t="s">
        <v>4756</v>
      </c>
      <c r="C168" s="330" t="s">
        <v>3299</v>
      </c>
      <c r="D168" s="330" t="s">
        <v>27</v>
      </c>
      <c r="E168" s="330" t="s">
        <v>4757</v>
      </c>
      <c r="F168" s="331"/>
      <c r="G168" s="333">
        <v>44977</v>
      </c>
      <c r="H168" s="331"/>
      <c r="I168" s="331"/>
      <c r="J168" s="330" t="s">
        <v>1093</v>
      </c>
      <c r="K168" s="332" t="s">
        <v>54</v>
      </c>
      <c r="L168" s="171">
        <v>44987</v>
      </c>
      <c r="M168" s="168" t="s">
        <v>5001</v>
      </c>
      <c r="N168" s="169">
        <v>44987</v>
      </c>
      <c r="O168" s="168"/>
      <c r="P168" s="168"/>
      <c r="Q168" s="168" t="s">
        <v>1056</v>
      </c>
      <c r="R168" s="168" t="s">
        <v>129</v>
      </c>
    </row>
    <row r="169" spans="1:18">
      <c r="A169" s="330">
        <f>COUNTA($D$3:$D169)</f>
        <v>167</v>
      </c>
      <c r="B169" s="330" t="s">
        <v>4709</v>
      </c>
      <c r="C169" s="330" t="s">
        <v>41</v>
      </c>
      <c r="D169" s="330" t="s">
        <v>3816</v>
      </c>
      <c r="E169" s="330" t="s">
        <v>3817</v>
      </c>
      <c r="F169" s="331" t="s">
        <v>66</v>
      </c>
      <c r="G169" s="333">
        <v>44967</v>
      </c>
      <c r="H169" s="331"/>
      <c r="I169" s="331" t="s">
        <v>66</v>
      </c>
      <c r="J169" s="330"/>
      <c r="K169" s="332" t="s">
        <v>54</v>
      </c>
      <c r="L169" s="171">
        <v>44984</v>
      </c>
      <c r="M169" s="168"/>
      <c r="O169" s="168"/>
      <c r="P169" s="186"/>
      <c r="Q169" s="168" t="s">
        <v>60</v>
      </c>
      <c r="R169" s="168" t="s">
        <v>129</v>
      </c>
    </row>
    <row r="170" spans="1:18" hidden="1">
      <c r="A170" s="330">
        <f>COUNTA($D$3:$D170)</f>
        <v>168</v>
      </c>
      <c r="B170" s="330" t="s">
        <v>4690</v>
      </c>
      <c r="C170" s="330" t="s">
        <v>2675</v>
      </c>
      <c r="D170" s="330" t="s">
        <v>2683</v>
      </c>
      <c r="E170" s="330" t="s">
        <v>2684</v>
      </c>
      <c r="F170" s="331"/>
      <c r="G170" s="333">
        <v>44963</v>
      </c>
      <c r="H170" s="331"/>
      <c r="I170" s="331"/>
      <c r="J170" s="330" t="s">
        <v>4691</v>
      </c>
      <c r="K170" s="332" t="s">
        <v>54</v>
      </c>
      <c r="L170" s="171">
        <v>44973</v>
      </c>
      <c r="M170" s="168" t="s">
        <v>4749</v>
      </c>
      <c r="N170" s="169">
        <v>44964</v>
      </c>
      <c r="O170" s="168"/>
      <c r="P170" s="186"/>
      <c r="Q170" s="168" t="s">
        <v>1029</v>
      </c>
      <c r="R170" s="168" t="s">
        <v>129</v>
      </c>
    </row>
    <row r="171" spans="1:18" hidden="1">
      <c r="A171" s="330">
        <f>COUNTA($D$3:$D171)</f>
        <v>169</v>
      </c>
      <c r="B171" s="330" t="s">
        <v>4210</v>
      </c>
      <c r="C171" s="330" t="s">
        <v>57</v>
      </c>
      <c r="D171" s="330" t="s">
        <v>34</v>
      </c>
      <c r="E171" s="330" t="s">
        <v>2902</v>
      </c>
      <c r="F171" s="331">
        <v>44867</v>
      </c>
      <c r="G171" s="333">
        <v>44872</v>
      </c>
      <c r="H171" s="331"/>
      <c r="I171" s="331">
        <v>44867</v>
      </c>
      <c r="J171" s="330" t="s">
        <v>2247</v>
      </c>
      <c r="K171" s="332" t="s">
        <v>2032</v>
      </c>
      <c r="L171" s="171">
        <v>44965</v>
      </c>
      <c r="M171" s="168"/>
      <c r="N171" s="169">
        <v>45083</v>
      </c>
      <c r="O171" s="168"/>
      <c r="P171" s="186">
        <v>7960</v>
      </c>
      <c r="Q171" s="168" t="s">
        <v>35</v>
      </c>
      <c r="R171" s="168" t="s">
        <v>22</v>
      </c>
    </row>
    <row r="172" spans="1:18" hidden="1">
      <c r="A172" s="330">
        <f>COUNTA($D$3:$D172)</f>
        <v>170</v>
      </c>
      <c r="B172" s="330" t="s">
        <v>4204</v>
      </c>
      <c r="C172" s="330" t="s">
        <v>3041</v>
      </c>
      <c r="D172" s="330" t="s">
        <v>1111</v>
      </c>
      <c r="E172" s="330" t="s">
        <v>1112</v>
      </c>
      <c r="F172" s="331">
        <v>44882</v>
      </c>
      <c r="G172" s="333"/>
      <c r="H172" s="331"/>
      <c r="I172" s="331">
        <v>44882</v>
      </c>
      <c r="J172" s="330" t="s">
        <v>4269</v>
      </c>
      <c r="K172" s="332" t="s">
        <v>1295</v>
      </c>
      <c r="L172" s="171">
        <v>44965</v>
      </c>
      <c r="M172" s="168"/>
      <c r="N172" s="169">
        <v>45069</v>
      </c>
      <c r="O172" s="168"/>
      <c r="P172" s="168">
        <v>1480</v>
      </c>
      <c r="Q172" s="168" t="s">
        <v>35</v>
      </c>
      <c r="R172" s="168" t="s">
        <v>129</v>
      </c>
    </row>
    <row r="173" spans="1:18" hidden="1">
      <c r="A173" s="330">
        <f>COUNTA($D$3:$D173)</f>
        <v>171</v>
      </c>
      <c r="B173" s="330" t="s">
        <v>4245</v>
      </c>
      <c r="C173" s="330" t="s">
        <v>41</v>
      </c>
      <c r="D173" s="330" t="s">
        <v>104</v>
      </c>
      <c r="E173" s="330" t="s">
        <v>293</v>
      </c>
      <c r="F173" s="331"/>
      <c r="G173" s="333">
        <v>44872</v>
      </c>
      <c r="H173" s="331"/>
      <c r="I173" s="331"/>
      <c r="J173" s="330" t="s">
        <v>1643</v>
      </c>
      <c r="K173" s="332" t="s">
        <v>2032</v>
      </c>
      <c r="L173" s="171">
        <v>44965</v>
      </c>
      <c r="M173" s="168"/>
      <c r="N173" s="169">
        <v>45083</v>
      </c>
      <c r="O173" s="168"/>
      <c r="P173" s="186">
        <v>285</v>
      </c>
      <c r="Q173" s="168" t="s">
        <v>28</v>
      </c>
      <c r="R173" s="168" t="s">
        <v>22</v>
      </c>
    </row>
    <row r="174" spans="1:18">
      <c r="A174" s="330">
        <f>COUNTA($D$3:$D$174)</f>
        <v>172</v>
      </c>
      <c r="B174" s="330" t="s">
        <v>4249</v>
      </c>
      <c r="C174" s="330" t="s">
        <v>21</v>
      </c>
      <c r="D174" s="330" t="s">
        <v>30</v>
      </c>
      <c r="E174" s="330" t="s">
        <v>3030</v>
      </c>
      <c r="F174" s="331">
        <v>44913</v>
      </c>
      <c r="G174" s="331">
        <v>44876</v>
      </c>
      <c r="H174" s="331"/>
      <c r="I174" s="331">
        <v>44913</v>
      </c>
      <c r="J174" s="330" t="s">
        <v>17</v>
      </c>
      <c r="K174" s="332" t="s">
        <v>1287</v>
      </c>
      <c r="L174" s="171">
        <v>44965</v>
      </c>
      <c r="M174" s="168"/>
      <c r="O174" s="168"/>
      <c r="P174" s="186">
        <v>6764</v>
      </c>
      <c r="Q174" s="168" t="s">
        <v>35</v>
      </c>
      <c r="R174" s="168" t="s">
        <v>129</v>
      </c>
    </row>
    <row r="175" spans="1:18">
      <c r="A175" s="330">
        <f>COUNTA($D$3:$D$175)</f>
        <v>173</v>
      </c>
      <c r="B175" s="330" t="s">
        <v>4131</v>
      </c>
      <c r="C175" s="330" t="s">
        <v>37</v>
      </c>
      <c r="D175" s="330" t="s">
        <v>30</v>
      </c>
      <c r="E175" s="330" t="s">
        <v>4132</v>
      </c>
      <c r="F175" s="331">
        <v>44853</v>
      </c>
      <c r="G175" s="331">
        <v>44865</v>
      </c>
      <c r="H175" s="331"/>
      <c r="I175" s="331">
        <v>44853</v>
      </c>
      <c r="J175" s="330" t="s">
        <v>2665</v>
      </c>
      <c r="K175" s="332" t="s">
        <v>1295</v>
      </c>
      <c r="L175" s="171">
        <v>44965</v>
      </c>
      <c r="M175" s="168"/>
      <c r="O175" s="168"/>
      <c r="P175" s="186">
        <v>2520</v>
      </c>
      <c r="Q175" s="168" t="s">
        <v>35</v>
      </c>
      <c r="R175" s="168" t="s">
        <v>129</v>
      </c>
    </row>
    <row r="176" spans="1:18">
      <c r="A176" s="330">
        <f>COUNTA($D$3:$D$176)</f>
        <v>174</v>
      </c>
      <c r="B176" s="330" t="s">
        <v>4130</v>
      </c>
      <c r="C176" s="330" t="s">
        <v>37</v>
      </c>
      <c r="D176" s="330" t="s">
        <v>30</v>
      </c>
      <c r="E176" s="330" t="s">
        <v>2273</v>
      </c>
      <c r="F176" s="331">
        <v>44852</v>
      </c>
      <c r="G176" s="331">
        <v>44852</v>
      </c>
      <c r="H176" s="331"/>
      <c r="I176" s="331">
        <v>44852</v>
      </c>
      <c r="J176" s="330" t="s">
        <v>4152</v>
      </c>
      <c r="K176" s="332" t="s">
        <v>1296</v>
      </c>
      <c r="L176" s="171">
        <v>44965</v>
      </c>
      <c r="M176" s="168"/>
      <c r="O176" s="168"/>
      <c r="P176" s="186">
        <v>2480</v>
      </c>
      <c r="Q176" s="168" t="s">
        <v>35</v>
      </c>
      <c r="R176" s="168" t="s">
        <v>129</v>
      </c>
    </row>
    <row r="177" spans="1:18">
      <c r="A177" s="330">
        <f>COUNTA($D$3:$D$177)</f>
        <v>175</v>
      </c>
      <c r="B177" s="330" t="s">
        <v>4126</v>
      </c>
      <c r="C177" s="330" t="s">
        <v>37</v>
      </c>
      <c r="D177" s="330" t="s">
        <v>30</v>
      </c>
      <c r="E177" s="330" t="s">
        <v>4127</v>
      </c>
      <c r="F177" s="331">
        <v>44853</v>
      </c>
      <c r="G177" s="331">
        <v>44853</v>
      </c>
      <c r="H177" s="331"/>
      <c r="I177" s="331">
        <v>44853</v>
      </c>
      <c r="J177" s="330" t="s">
        <v>1678</v>
      </c>
      <c r="K177" s="332" t="s">
        <v>1287</v>
      </c>
      <c r="L177" s="171">
        <v>44965</v>
      </c>
      <c r="M177" s="168"/>
      <c r="O177" s="168"/>
      <c r="P177" s="186">
        <v>2640</v>
      </c>
      <c r="Q177" s="168" t="s">
        <v>35</v>
      </c>
      <c r="R177" s="168" t="s">
        <v>129</v>
      </c>
    </row>
    <row r="178" spans="1:18">
      <c r="A178" s="330">
        <f>COUNTA($D$3:$D$178)</f>
        <v>176</v>
      </c>
      <c r="B178" s="330" t="s">
        <v>4133</v>
      </c>
      <c r="C178" s="330" t="s">
        <v>2581</v>
      </c>
      <c r="D178" s="330" t="s">
        <v>38</v>
      </c>
      <c r="E178" s="330" t="s">
        <v>4134</v>
      </c>
      <c r="F178" s="331">
        <v>44886</v>
      </c>
      <c r="G178" s="331">
        <v>44860</v>
      </c>
      <c r="H178" s="331"/>
      <c r="I178" s="331">
        <v>44886</v>
      </c>
      <c r="J178" s="330" t="s">
        <v>4178</v>
      </c>
      <c r="K178" s="332" t="s">
        <v>1287</v>
      </c>
      <c r="L178" s="171">
        <v>44965</v>
      </c>
      <c r="M178" s="168"/>
      <c r="O178" s="168"/>
      <c r="P178" s="186">
        <v>6520</v>
      </c>
      <c r="Q178" s="168" t="s">
        <v>35</v>
      </c>
      <c r="R178" s="168" t="s">
        <v>129</v>
      </c>
    </row>
    <row r="179" spans="1:18" hidden="1">
      <c r="A179" s="330">
        <f>COUNTA($D$3:$D$179)</f>
        <v>177</v>
      </c>
      <c r="B179" s="330" t="s">
        <v>4184</v>
      </c>
      <c r="C179" s="330" t="s">
        <v>1246</v>
      </c>
      <c r="D179" s="330" t="s">
        <v>16</v>
      </c>
      <c r="E179" s="330" t="s">
        <v>4193</v>
      </c>
      <c r="F179" s="331">
        <v>44861</v>
      </c>
      <c r="G179" s="331">
        <v>44862</v>
      </c>
      <c r="H179" s="331">
        <v>45027</v>
      </c>
      <c r="I179" s="331">
        <v>44861</v>
      </c>
      <c r="J179" s="330" t="s">
        <v>4194</v>
      </c>
      <c r="K179" s="332" t="s">
        <v>2032</v>
      </c>
      <c r="L179" s="171">
        <v>44965</v>
      </c>
      <c r="M179" s="168"/>
      <c r="N179" s="169">
        <v>45020</v>
      </c>
      <c r="O179" s="168"/>
      <c r="P179" s="168">
        <v>2560</v>
      </c>
      <c r="Q179" s="168" t="s">
        <v>35</v>
      </c>
      <c r="R179" s="168" t="s">
        <v>22</v>
      </c>
    </row>
    <row r="180" spans="1:18" hidden="1">
      <c r="A180" s="330">
        <f>COUNTA($D$3:$D$180)</f>
        <v>178</v>
      </c>
      <c r="B180" s="330" t="s">
        <v>4183</v>
      </c>
      <c r="C180" s="330" t="s">
        <v>4165</v>
      </c>
      <c r="D180" s="330" t="s">
        <v>32</v>
      </c>
      <c r="E180" s="330" t="s">
        <v>4191</v>
      </c>
      <c r="F180" s="331">
        <v>44861</v>
      </c>
      <c r="G180" s="331">
        <v>44862</v>
      </c>
      <c r="H180" s="331"/>
      <c r="I180" s="331">
        <v>44861</v>
      </c>
      <c r="J180" s="330" t="s">
        <v>4192</v>
      </c>
      <c r="K180" s="332" t="s">
        <v>2032</v>
      </c>
      <c r="L180" s="171">
        <v>44965</v>
      </c>
      <c r="M180" s="168" t="s">
        <v>4722</v>
      </c>
      <c r="N180" s="169">
        <v>44967</v>
      </c>
      <c r="O180" s="168"/>
      <c r="P180" s="168">
        <v>9280</v>
      </c>
      <c r="Q180" s="168" t="s">
        <v>35</v>
      </c>
      <c r="R180" s="168" t="s">
        <v>22</v>
      </c>
    </row>
    <row r="181" spans="1:18">
      <c r="A181" s="330">
        <f>COUNTA($D$3:$D$181)</f>
        <v>179</v>
      </c>
      <c r="B181" s="330" t="s">
        <v>4198</v>
      </c>
      <c r="C181" s="330" t="s">
        <v>2431</v>
      </c>
      <c r="D181" s="330" t="s">
        <v>31</v>
      </c>
      <c r="E181" s="330" t="s">
        <v>4199</v>
      </c>
      <c r="F181" s="331">
        <v>44886</v>
      </c>
      <c r="G181" s="331">
        <v>44865</v>
      </c>
      <c r="H181" s="331"/>
      <c r="I181" s="331">
        <v>44886</v>
      </c>
      <c r="J181" s="330" t="s">
        <v>4200</v>
      </c>
      <c r="K181" s="332" t="s">
        <v>1295</v>
      </c>
      <c r="L181" s="171">
        <v>44965</v>
      </c>
      <c r="M181" s="168"/>
      <c r="O181" s="168"/>
      <c r="P181" s="168">
        <v>9320</v>
      </c>
      <c r="Q181" s="168" t="s">
        <v>35</v>
      </c>
      <c r="R181" s="168" t="s">
        <v>129</v>
      </c>
    </row>
    <row r="182" spans="1:18">
      <c r="A182" s="330">
        <f>COUNTA($D$3:$D$182)</f>
        <v>180</v>
      </c>
      <c r="B182" s="330" t="s">
        <v>4082</v>
      </c>
      <c r="C182" s="330" t="s">
        <v>21</v>
      </c>
      <c r="D182" s="330" t="s">
        <v>30</v>
      </c>
      <c r="E182" s="330" t="s">
        <v>2025</v>
      </c>
      <c r="F182" s="331">
        <v>44852</v>
      </c>
      <c r="G182" s="331">
        <v>44851</v>
      </c>
      <c r="H182" s="331"/>
      <c r="I182" s="331">
        <v>44852</v>
      </c>
      <c r="J182" s="330" t="s">
        <v>4142</v>
      </c>
      <c r="K182" s="332" t="s">
        <v>1296</v>
      </c>
      <c r="L182" s="171">
        <v>44938</v>
      </c>
      <c r="M182" s="168" t="s">
        <v>6201</v>
      </c>
      <c r="O182" s="168"/>
      <c r="P182" s="186">
        <v>2000</v>
      </c>
      <c r="Q182" s="168" t="s">
        <v>35</v>
      </c>
      <c r="R182" s="168" t="s">
        <v>129</v>
      </c>
    </row>
    <row r="183" spans="1:18" hidden="1">
      <c r="A183" s="330">
        <f>COUNTA($D$3:$D$183)</f>
        <v>181</v>
      </c>
      <c r="B183" s="330" t="s">
        <v>4081</v>
      </c>
      <c r="C183" s="330" t="s">
        <v>3766</v>
      </c>
      <c r="D183" s="330" t="s">
        <v>64</v>
      </c>
      <c r="E183" s="330" t="s">
        <v>2283</v>
      </c>
      <c r="F183" s="331">
        <v>44848</v>
      </c>
      <c r="G183" s="331">
        <v>44851</v>
      </c>
      <c r="H183" s="331"/>
      <c r="I183" s="331">
        <v>44848</v>
      </c>
      <c r="J183" s="330" t="s">
        <v>2656</v>
      </c>
      <c r="K183" s="332" t="s">
        <v>2032</v>
      </c>
      <c r="L183" s="171">
        <v>44938</v>
      </c>
      <c r="M183" s="168" t="s">
        <v>2549</v>
      </c>
      <c r="N183" s="169">
        <v>44967</v>
      </c>
      <c r="O183" s="168"/>
      <c r="P183" s="186">
        <v>1800</v>
      </c>
      <c r="Q183" s="168" t="s">
        <v>35</v>
      </c>
      <c r="R183" s="168" t="s">
        <v>22</v>
      </c>
    </row>
    <row r="184" spans="1:18">
      <c r="A184" s="330">
        <f>COUNTA($D$3:$D$184)</f>
        <v>182</v>
      </c>
      <c r="B184" s="330" t="s">
        <v>4090</v>
      </c>
      <c r="C184" s="330" t="s">
        <v>40</v>
      </c>
      <c r="D184" s="330" t="s">
        <v>34</v>
      </c>
      <c r="E184" s="330" t="s">
        <v>4091</v>
      </c>
      <c r="F184" s="331">
        <v>44846</v>
      </c>
      <c r="G184" s="331">
        <v>44846</v>
      </c>
      <c r="H184" s="331"/>
      <c r="I184" s="331">
        <v>44846</v>
      </c>
      <c r="J184" s="330" t="s">
        <v>4145</v>
      </c>
      <c r="K184" s="332" t="s">
        <v>1287</v>
      </c>
      <c r="L184" s="171">
        <v>44938</v>
      </c>
      <c r="M184" s="168" t="s">
        <v>6197</v>
      </c>
      <c r="O184" s="168"/>
      <c r="P184" s="186">
        <v>5720</v>
      </c>
      <c r="Q184" s="168" t="s">
        <v>35</v>
      </c>
      <c r="R184" s="168" t="s">
        <v>129</v>
      </c>
    </row>
    <row r="185" spans="1:18">
      <c r="A185" s="330">
        <f>COUNTA($D$3:$D$185)</f>
        <v>183</v>
      </c>
      <c r="B185" s="330" t="s">
        <v>4085</v>
      </c>
      <c r="C185" s="330" t="s">
        <v>21</v>
      </c>
      <c r="D185" s="330" t="s">
        <v>34</v>
      </c>
      <c r="E185" s="330" t="s">
        <v>4086</v>
      </c>
      <c r="F185" s="331">
        <v>44846</v>
      </c>
      <c r="G185" s="331">
        <v>44846</v>
      </c>
      <c r="H185" s="331"/>
      <c r="I185" s="331">
        <v>44846</v>
      </c>
      <c r="J185" s="330" t="s">
        <v>1678</v>
      </c>
      <c r="K185" s="332" t="s">
        <v>1296</v>
      </c>
      <c r="L185" s="171">
        <v>44938</v>
      </c>
      <c r="M185" s="168" t="s">
        <v>6201</v>
      </c>
      <c r="O185" s="168"/>
      <c r="P185" s="186">
        <v>3600</v>
      </c>
      <c r="Q185" s="168" t="s">
        <v>35</v>
      </c>
      <c r="R185" s="168" t="s">
        <v>129</v>
      </c>
    </row>
    <row r="186" spans="1:18" hidden="1">
      <c r="A186" s="330">
        <f>COUNTA($D$3:$D$186)</f>
        <v>184</v>
      </c>
      <c r="B186" s="330" t="s">
        <v>4088</v>
      </c>
      <c r="C186" s="330" t="s">
        <v>40</v>
      </c>
      <c r="D186" s="330" t="s">
        <v>51</v>
      </c>
      <c r="E186" s="330" t="s">
        <v>4089</v>
      </c>
      <c r="F186" s="331">
        <v>44852</v>
      </c>
      <c r="G186" s="331">
        <v>44851</v>
      </c>
      <c r="H186" s="331">
        <v>45155</v>
      </c>
      <c r="I186" s="331">
        <v>44852</v>
      </c>
      <c r="J186" s="330" t="s">
        <v>4144</v>
      </c>
      <c r="K186" s="332" t="s">
        <v>1296</v>
      </c>
      <c r="L186" s="171">
        <v>44938</v>
      </c>
      <c r="M186" s="168"/>
      <c r="N186" s="169">
        <v>45102</v>
      </c>
      <c r="O186" s="168"/>
      <c r="P186" s="186">
        <v>2960</v>
      </c>
      <c r="Q186" s="168" t="s">
        <v>28</v>
      </c>
      <c r="R186" s="168" t="s">
        <v>129</v>
      </c>
    </row>
    <row r="187" spans="1:18" hidden="1">
      <c r="A187" s="330">
        <f>COUNTA($D$3:$D$187)</f>
        <v>185</v>
      </c>
      <c r="B187" s="330" t="s">
        <v>4072</v>
      </c>
      <c r="C187" s="330" t="s">
        <v>1106</v>
      </c>
      <c r="D187" s="330" t="s">
        <v>16</v>
      </c>
      <c r="E187" s="330" t="s">
        <v>2847</v>
      </c>
      <c r="F187" s="331">
        <v>44852</v>
      </c>
      <c r="G187" s="331">
        <v>44851</v>
      </c>
      <c r="H187" s="331"/>
      <c r="I187" s="331">
        <v>44852</v>
      </c>
      <c r="J187" s="330" t="s">
        <v>4140</v>
      </c>
      <c r="K187" s="332" t="s">
        <v>1296</v>
      </c>
      <c r="L187" s="171">
        <v>44938</v>
      </c>
      <c r="M187" s="168"/>
      <c r="N187" s="169">
        <v>45117</v>
      </c>
      <c r="O187" s="168"/>
      <c r="P187" s="168">
        <v>6800</v>
      </c>
      <c r="Q187" s="168" t="s">
        <v>35</v>
      </c>
      <c r="R187" s="168" t="s">
        <v>129</v>
      </c>
    </row>
    <row r="188" spans="1:18">
      <c r="A188" s="330">
        <f>COUNTA($D$3:$D$188)</f>
        <v>186</v>
      </c>
      <c r="B188" s="330" t="s">
        <v>4083</v>
      </c>
      <c r="C188" s="330" t="s">
        <v>21</v>
      </c>
      <c r="D188" s="330" t="s">
        <v>30</v>
      </c>
      <c r="E188" s="330" t="s">
        <v>2640</v>
      </c>
      <c r="F188" s="331">
        <v>44845</v>
      </c>
      <c r="G188" s="331">
        <v>44846</v>
      </c>
      <c r="H188" s="331"/>
      <c r="I188" s="331">
        <v>44845</v>
      </c>
      <c r="J188" s="330" t="s">
        <v>4143</v>
      </c>
      <c r="K188" s="332" t="s">
        <v>1287</v>
      </c>
      <c r="L188" s="171">
        <v>44938</v>
      </c>
      <c r="M188" s="168"/>
      <c r="O188" s="168"/>
      <c r="P188" s="168">
        <v>11720</v>
      </c>
      <c r="Q188" s="168" t="s">
        <v>35</v>
      </c>
      <c r="R188" s="168" t="s">
        <v>129</v>
      </c>
    </row>
    <row r="189" spans="1:18">
      <c r="A189" s="330">
        <f>COUNTA($D$3:$D$189)</f>
        <v>187</v>
      </c>
      <c r="B189" s="330" t="s">
        <v>4027</v>
      </c>
      <c r="C189" s="330" t="s">
        <v>21</v>
      </c>
      <c r="D189" s="330" t="s">
        <v>34</v>
      </c>
      <c r="E189" s="331" t="s">
        <v>3035</v>
      </c>
      <c r="F189" s="331">
        <v>44837</v>
      </c>
      <c r="G189" s="331">
        <v>44837</v>
      </c>
      <c r="H189" s="331"/>
      <c r="I189" s="331">
        <v>44837</v>
      </c>
      <c r="J189" s="330" t="s">
        <v>1667</v>
      </c>
      <c r="K189" s="332" t="s">
        <v>1296</v>
      </c>
      <c r="L189" s="171">
        <v>44938</v>
      </c>
      <c r="M189" s="168" t="s">
        <v>6201</v>
      </c>
      <c r="O189" s="168"/>
      <c r="P189" s="186">
        <v>3913.0434783000001</v>
      </c>
      <c r="Q189" s="168" t="s">
        <v>35</v>
      </c>
      <c r="R189" s="168" t="s">
        <v>129</v>
      </c>
    </row>
    <row r="190" spans="1:18">
      <c r="A190" s="330">
        <f>COUNTA($D$3:$D$190)</f>
        <v>188</v>
      </c>
      <c r="B190" s="330" t="s">
        <v>4021</v>
      </c>
      <c r="C190" s="330" t="s">
        <v>37</v>
      </c>
      <c r="D190" s="330" t="s">
        <v>30</v>
      </c>
      <c r="E190" s="331" t="s">
        <v>3259</v>
      </c>
      <c r="F190" s="331">
        <v>44837</v>
      </c>
      <c r="G190" s="331">
        <v>44837</v>
      </c>
      <c r="H190" s="331"/>
      <c r="I190" s="331">
        <v>44837</v>
      </c>
      <c r="J190" s="330" t="s">
        <v>2234</v>
      </c>
      <c r="K190" s="332" t="s">
        <v>1296</v>
      </c>
      <c r="L190" s="171">
        <v>44938</v>
      </c>
      <c r="M190" s="168"/>
      <c r="O190" s="168"/>
      <c r="P190" s="186">
        <v>2695.6521739</v>
      </c>
      <c r="Q190" s="168" t="s">
        <v>35</v>
      </c>
      <c r="R190" s="168" t="s">
        <v>129</v>
      </c>
    </row>
    <row r="191" spans="1:18">
      <c r="A191" s="330">
        <f>COUNTA($D$3:$D$191)</f>
        <v>189</v>
      </c>
      <c r="B191" s="330" t="s">
        <v>4020</v>
      </c>
      <c r="C191" s="330" t="s">
        <v>37</v>
      </c>
      <c r="D191" s="330" t="s">
        <v>34</v>
      </c>
      <c r="E191" s="331" t="s">
        <v>2443</v>
      </c>
      <c r="F191" s="331">
        <v>44837</v>
      </c>
      <c r="G191" s="331">
        <v>44837</v>
      </c>
      <c r="H191" s="331"/>
      <c r="I191" s="331">
        <v>44837</v>
      </c>
      <c r="J191" s="330" t="s">
        <v>1662</v>
      </c>
      <c r="K191" s="332" t="s">
        <v>1296</v>
      </c>
      <c r="L191" s="171">
        <v>44938</v>
      </c>
      <c r="M191" s="168"/>
      <c r="O191" s="168"/>
      <c r="P191" s="186">
        <v>2608.6956522</v>
      </c>
      <c r="Q191" s="168" t="s">
        <v>35</v>
      </c>
      <c r="R191" s="168" t="s">
        <v>129</v>
      </c>
    </row>
    <row r="192" spans="1:18">
      <c r="A192" s="330">
        <f>COUNTA($D$3:$D$192)</f>
        <v>190</v>
      </c>
      <c r="B192" s="330" t="s">
        <v>4026</v>
      </c>
      <c r="C192" s="330" t="s">
        <v>21</v>
      </c>
      <c r="D192" s="330" t="s">
        <v>30</v>
      </c>
      <c r="E192" s="331" t="s">
        <v>2569</v>
      </c>
      <c r="F192" s="331">
        <v>44837</v>
      </c>
      <c r="G192" s="331">
        <v>44844</v>
      </c>
      <c r="H192" s="331"/>
      <c r="I192" s="331">
        <v>44837</v>
      </c>
      <c r="J192" s="330" t="s">
        <v>3908</v>
      </c>
      <c r="K192" s="332" t="s">
        <v>1296</v>
      </c>
      <c r="L192" s="171">
        <v>44938</v>
      </c>
      <c r="M192" s="168"/>
      <c r="O192" s="168"/>
      <c r="P192" s="168">
        <v>10173.913043</v>
      </c>
      <c r="Q192" s="168" t="s">
        <v>35</v>
      </c>
      <c r="R192" s="168" t="s">
        <v>129</v>
      </c>
    </row>
    <row r="193" spans="1:18" hidden="1">
      <c r="A193" s="330">
        <f>COUNTA($D$3:$D$193)</f>
        <v>191</v>
      </c>
      <c r="B193" s="330" t="s">
        <v>4606</v>
      </c>
      <c r="C193" s="330" t="s">
        <v>41</v>
      </c>
      <c r="D193" s="330" t="s">
        <v>51</v>
      </c>
      <c r="E193" s="331" t="s">
        <v>4607</v>
      </c>
      <c r="F193" s="331"/>
      <c r="G193" s="331"/>
      <c r="H193" s="331"/>
      <c r="I193" s="331"/>
      <c r="J193" s="330" t="s">
        <v>1650</v>
      </c>
      <c r="K193" s="332" t="s">
        <v>1294</v>
      </c>
      <c r="L193" s="171">
        <v>44929</v>
      </c>
      <c r="M193" s="168" t="s">
        <v>4623</v>
      </c>
      <c r="N193" s="169">
        <v>45051</v>
      </c>
      <c r="O193" s="168"/>
      <c r="P193" s="186"/>
      <c r="Q193" s="168"/>
      <c r="R193" s="168" t="s">
        <v>22</v>
      </c>
    </row>
    <row r="194" spans="1:18">
      <c r="A194" s="330">
        <f>COUNTA($D$3:$D$194)</f>
        <v>192</v>
      </c>
      <c r="B194" s="330" t="s">
        <v>4035</v>
      </c>
      <c r="C194" s="330" t="s">
        <v>57</v>
      </c>
      <c r="D194" s="330" t="s">
        <v>30</v>
      </c>
      <c r="E194" s="331" t="s">
        <v>4036</v>
      </c>
      <c r="F194" s="331">
        <v>44859</v>
      </c>
      <c r="G194" s="331">
        <v>44846</v>
      </c>
      <c r="H194" s="331"/>
      <c r="I194" s="331">
        <v>44859</v>
      </c>
      <c r="J194" s="330" t="s">
        <v>4139</v>
      </c>
      <c r="K194" s="332" t="s">
        <v>287</v>
      </c>
      <c r="L194" s="171">
        <v>44929</v>
      </c>
      <c r="M194" s="168"/>
      <c r="O194" s="168"/>
      <c r="P194" s="186">
        <v>4913.0434999999998</v>
      </c>
      <c r="Q194" s="168" t="s">
        <v>35</v>
      </c>
      <c r="R194" s="168" t="s">
        <v>22</v>
      </c>
    </row>
    <row r="195" spans="1:18" hidden="1">
      <c r="A195" s="330">
        <f>COUNTA($D$3:$D$195)</f>
        <v>193</v>
      </c>
      <c r="B195" s="330" t="s">
        <v>4030</v>
      </c>
      <c r="C195" s="330" t="s">
        <v>4031</v>
      </c>
      <c r="D195" s="330" t="s">
        <v>30</v>
      </c>
      <c r="E195" s="331" t="s">
        <v>4032</v>
      </c>
      <c r="F195" s="331">
        <v>44839</v>
      </c>
      <c r="G195" s="331">
        <v>44833</v>
      </c>
      <c r="H195" s="331"/>
      <c r="I195" s="331">
        <v>44839</v>
      </c>
      <c r="J195" s="330" t="s">
        <v>4033</v>
      </c>
      <c r="K195" s="332" t="s">
        <v>2032</v>
      </c>
      <c r="L195" s="171">
        <v>44929</v>
      </c>
      <c r="M195" s="168"/>
      <c r="N195" s="169">
        <v>45083</v>
      </c>
      <c r="O195" s="168"/>
      <c r="P195" s="186">
        <v>2434.7826</v>
      </c>
      <c r="Q195" s="168" t="s">
        <v>35</v>
      </c>
      <c r="R195" s="168" t="s">
        <v>22</v>
      </c>
    </row>
    <row r="196" spans="1:18">
      <c r="A196" s="330">
        <f>COUNTA($D$3:$D$196)</f>
        <v>194</v>
      </c>
      <c r="B196" s="330" t="s">
        <v>4034</v>
      </c>
      <c r="C196" s="330" t="s">
        <v>41</v>
      </c>
      <c r="D196" s="330" t="s">
        <v>1169</v>
      </c>
      <c r="E196" s="331" t="s">
        <v>3147</v>
      </c>
      <c r="F196" s="331" t="s">
        <v>66</v>
      </c>
      <c r="G196" s="331">
        <v>44844</v>
      </c>
      <c r="H196" s="331"/>
      <c r="I196" s="331" t="s">
        <v>66</v>
      </c>
      <c r="J196" s="330" t="s">
        <v>3076</v>
      </c>
      <c r="K196" s="332" t="s">
        <v>1294</v>
      </c>
      <c r="L196" s="171">
        <v>44929</v>
      </c>
      <c r="M196" s="168"/>
      <c r="O196" s="168"/>
      <c r="P196" s="186">
        <v>521</v>
      </c>
      <c r="Q196" s="168" t="s">
        <v>28</v>
      </c>
      <c r="R196" s="168" t="s">
        <v>22</v>
      </c>
    </row>
    <row r="197" spans="1:18" hidden="1">
      <c r="A197" s="330">
        <f>COUNTA($D$3:$D$197)</f>
        <v>195</v>
      </c>
      <c r="B197" s="330" t="s">
        <v>4549</v>
      </c>
      <c r="C197" s="330" t="s">
        <v>41</v>
      </c>
      <c r="D197" s="330" t="s">
        <v>2539</v>
      </c>
      <c r="E197" s="331" t="s">
        <v>4550</v>
      </c>
      <c r="F197" s="331"/>
      <c r="G197" s="331"/>
      <c r="H197" s="331"/>
      <c r="I197" s="331"/>
      <c r="J197" s="330" t="s">
        <v>1650</v>
      </c>
      <c r="K197" s="332" t="s">
        <v>1294</v>
      </c>
      <c r="L197" s="171">
        <v>44921</v>
      </c>
      <c r="M197" s="168" t="s">
        <v>4587</v>
      </c>
      <c r="N197" s="169">
        <v>44918</v>
      </c>
      <c r="O197" s="168"/>
      <c r="P197" s="186"/>
      <c r="Q197" s="168"/>
      <c r="R197" s="168" t="s">
        <v>22</v>
      </c>
    </row>
    <row r="198" spans="1:18" hidden="1">
      <c r="A198" s="330">
        <f>COUNTA($D$3:$D$198)</f>
        <v>196</v>
      </c>
      <c r="B198" s="330" t="s">
        <v>3967</v>
      </c>
      <c r="C198" s="330" t="s">
        <v>1149</v>
      </c>
      <c r="D198" s="330" t="s">
        <v>16</v>
      </c>
      <c r="E198" s="331" t="s">
        <v>3968</v>
      </c>
      <c r="F198" s="331">
        <v>44825</v>
      </c>
      <c r="G198" s="331">
        <v>44827</v>
      </c>
      <c r="H198" s="331"/>
      <c r="I198" s="331">
        <v>44825</v>
      </c>
      <c r="J198" s="330" t="s">
        <v>3969</v>
      </c>
      <c r="K198" s="332" t="s">
        <v>2032</v>
      </c>
      <c r="L198" s="171">
        <v>44921</v>
      </c>
      <c r="M198" s="168"/>
      <c r="N198" s="169">
        <v>45138</v>
      </c>
      <c r="O198" s="168"/>
      <c r="P198" s="168">
        <v>5043.4782999999998</v>
      </c>
      <c r="Q198" s="168" t="s">
        <v>35</v>
      </c>
      <c r="R198" s="168" t="s">
        <v>22</v>
      </c>
    </row>
    <row r="199" spans="1:18" hidden="1">
      <c r="A199" s="330">
        <f>COUNTA($D$3:$D$199)</f>
        <v>197</v>
      </c>
      <c r="B199" s="330" t="s">
        <v>3983</v>
      </c>
      <c r="C199" s="330" t="s">
        <v>3984</v>
      </c>
      <c r="D199" s="330" t="s">
        <v>27</v>
      </c>
      <c r="E199" s="331" t="s">
        <v>3985</v>
      </c>
      <c r="F199" s="331">
        <v>44833</v>
      </c>
      <c r="G199" s="331">
        <v>44830</v>
      </c>
      <c r="H199" s="331">
        <v>45012</v>
      </c>
      <c r="I199" s="331">
        <v>44833</v>
      </c>
      <c r="J199" s="330" t="s">
        <v>1093</v>
      </c>
      <c r="K199" s="332" t="s">
        <v>1295</v>
      </c>
      <c r="L199" s="171"/>
      <c r="M199" s="168" t="s">
        <v>4954</v>
      </c>
      <c r="N199" s="169">
        <v>45152</v>
      </c>
      <c r="O199" s="168"/>
      <c r="P199" s="186">
        <v>9957</v>
      </c>
      <c r="Q199" s="168" t="s">
        <v>1055</v>
      </c>
      <c r="R199" s="168" t="s">
        <v>129</v>
      </c>
    </row>
    <row r="200" spans="1:18" hidden="1">
      <c r="A200" s="330">
        <f>COUNTA($D$3:$D$200)</f>
        <v>198</v>
      </c>
      <c r="B200" s="330" t="s">
        <v>3987</v>
      </c>
      <c r="C200" s="330" t="s">
        <v>2675</v>
      </c>
      <c r="D200" s="330" t="s">
        <v>2683</v>
      </c>
      <c r="E200" s="331" t="s">
        <v>2684</v>
      </c>
      <c r="F200" s="331">
        <v>44844</v>
      </c>
      <c r="G200" s="331">
        <v>44827</v>
      </c>
      <c r="H200" s="331"/>
      <c r="I200" s="331">
        <v>44844</v>
      </c>
      <c r="J200" s="330" t="s">
        <v>1678</v>
      </c>
      <c r="K200" s="332" t="s">
        <v>1296</v>
      </c>
      <c r="L200" s="171">
        <v>44921</v>
      </c>
      <c r="M200" s="168" t="s">
        <v>4589</v>
      </c>
      <c r="N200" s="169">
        <v>44937</v>
      </c>
      <c r="O200" s="168"/>
      <c r="P200" s="186"/>
      <c r="Q200" s="168" t="s">
        <v>35</v>
      </c>
      <c r="R200" s="168" t="s">
        <v>129</v>
      </c>
    </row>
    <row r="201" spans="1:18" hidden="1">
      <c r="A201" s="330">
        <f>COUNTA($D$3:$D$201)</f>
        <v>199</v>
      </c>
      <c r="B201" s="330" t="s">
        <v>4161</v>
      </c>
      <c r="C201" s="330" t="s">
        <v>4165</v>
      </c>
      <c r="D201" s="330" t="s">
        <v>32</v>
      </c>
      <c r="E201" s="331" t="s">
        <v>4168</v>
      </c>
      <c r="F201" s="331">
        <v>44854</v>
      </c>
      <c r="G201" s="331">
        <v>44858</v>
      </c>
      <c r="H201" s="331"/>
      <c r="I201" s="331">
        <v>44854</v>
      </c>
      <c r="J201" s="330" t="s">
        <v>2866</v>
      </c>
      <c r="K201" s="332" t="s">
        <v>1294</v>
      </c>
      <c r="L201" s="171">
        <v>44921</v>
      </c>
      <c r="M201" s="172" t="s">
        <v>4588</v>
      </c>
      <c r="N201" s="169">
        <v>44918</v>
      </c>
      <c r="O201" s="168"/>
      <c r="P201" s="168">
        <v>9520</v>
      </c>
      <c r="Q201" s="168"/>
      <c r="R201" s="168" t="s">
        <v>22</v>
      </c>
    </row>
    <row r="202" spans="1:18" hidden="1">
      <c r="A202" s="330">
        <f>COUNTA($D$3:$D$202)</f>
        <v>200</v>
      </c>
      <c r="B202" s="330" t="s">
        <v>4160</v>
      </c>
      <c r="C202" s="330" t="s">
        <v>4165</v>
      </c>
      <c r="D202" s="330" t="s">
        <v>32</v>
      </c>
      <c r="E202" s="331" t="s">
        <v>4166</v>
      </c>
      <c r="F202" s="331">
        <v>44854</v>
      </c>
      <c r="G202" s="331">
        <v>44858</v>
      </c>
      <c r="H202" s="331"/>
      <c r="I202" s="331">
        <v>44854</v>
      </c>
      <c r="J202" s="330" t="s">
        <v>4167</v>
      </c>
      <c r="K202" s="332" t="s">
        <v>1294</v>
      </c>
      <c r="L202" s="171">
        <v>44921</v>
      </c>
      <c r="M202" s="168" t="s">
        <v>4588</v>
      </c>
      <c r="N202" s="169">
        <v>44918</v>
      </c>
      <c r="O202" s="168"/>
      <c r="P202" s="168">
        <v>10200</v>
      </c>
      <c r="Q202" s="168"/>
      <c r="R202" s="168" t="s">
        <v>22</v>
      </c>
    </row>
    <row r="203" spans="1:18" hidden="1">
      <c r="A203" s="330">
        <f>COUNTA($D$3:$D$203)</f>
        <v>201</v>
      </c>
      <c r="B203" s="330" t="s">
        <v>4121</v>
      </c>
      <c r="C203" s="330" t="s">
        <v>4122</v>
      </c>
      <c r="D203" s="330" t="s">
        <v>16</v>
      </c>
      <c r="E203" s="331" t="s">
        <v>4123</v>
      </c>
      <c r="F203" s="331">
        <v>44861</v>
      </c>
      <c r="G203" s="331">
        <v>44851</v>
      </c>
      <c r="H203" s="331"/>
      <c r="I203" s="331">
        <v>44861</v>
      </c>
      <c r="J203" s="330" t="s">
        <v>1657</v>
      </c>
      <c r="K203" s="332" t="s">
        <v>1294</v>
      </c>
      <c r="L203" s="171">
        <v>44921</v>
      </c>
      <c r="M203" s="168" t="s">
        <v>4588</v>
      </c>
      <c r="N203" s="169">
        <v>44918</v>
      </c>
      <c r="O203" s="168"/>
      <c r="P203" s="168">
        <v>640</v>
      </c>
      <c r="Q203" s="168"/>
      <c r="R203" s="168" t="s">
        <v>22</v>
      </c>
    </row>
    <row r="204" spans="1:18" hidden="1">
      <c r="A204" s="330">
        <f>COUNTA($D$3:$D$204)</f>
        <v>202</v>
      </c>
      <c r="B204" s="330" t="s">
        <v>4118</v>
      </c>
      <c r="C204" s="330" t="s">
        <v>4059</v>
      </c>
      <c r="D204" s="330" t="s">
        <v>34</v>
      </c>
      <c r="E204" s="331" t="s">
        <v>4119</v>
      </c>
      <c r="F204" s="331">
        <v>44851</v>
      </c>
      <c r="G204" s="331">
        <v>44851</v>
      </c>
      <c r="H204" s="331"/>
      <c r="I204" s="331">
        <v>44851</v>
      </c>
      <c r="J204" s="330" t="s">
        <v>4120</v>
      </c>
      <c r="K204" s="332" t="s">
        <v>2032</v>
      </c>
      <c r="L204" s="171">
        <v>44921</v>
      </c>
      <c r="M204" s="168" t="s">
        <v>4588</v>
      </c>
      <c r="N204" s="169">
        <v>44918</v>
      </c>
      <c r="O204" s="168"/>
      <c r="P204" s="168">
        <v>5000</v>
      </c>
      <c r="Q204" s="168"/>
      <c r="R204" s="168" t="s">
        <v>22</v>
      </c>
    </row>
    <row r="205" spans="1:18" hidden="1">
      <c r="A205" s="330">
        <f>COUNTA($D$3:$D$205)</f>
        <v>203</v>
      </c>
      <c r="B205" s="330" t="s">
        <v>4005</v>
      </c>
      <c r="C205" s="330" t="s">
        <v>2370</v>
      </c>
      <c r="D205" s="330" t="s">
        <v>1123</v>
      </c>
      <c r="E205" s="331" t="s">
        <v>1176</v>
      </c>
      <c r="F205" s="331">
        <v>44844</v>
      </c>
      <c r="G205" s="331">
        <v>44833</v>
      </c>
      <c r="H205" s="331">
        <v>45012</v>
      </c>
      <c r="I205" s="331">
        <v>44844</v>
      </c>
      <c r="J205" s="330" t="s">
        <v>1485</v>
      </c>
      <c r="K205" s="332" t="s">
        <v>2032</v>
      </c>
      <c r="L205" s="171">
        <v>44921</v>
      </c>
      <c r="M205" s="168" t="s">
        <v>4952</v>
      </c>
      <c r="N205" s="169">
        <v>45083</v>
      </c>
      <c r="O205" s="168"/>
      <c r="P205" s="168">
        <v>45076</v>
      </c>
      <c r="Q205" s="168" t="s">
        <v>28</v>
      </c>
      <c r="R205" s="168" t="s">
        <v>22</v>
      </c>
    </row>
    <row r="206" spans="1:18" hidden="1">
      <c r="A206" s="330">
        <f>COUNTA($D$3:$D$206)</f>
        <v>204</v>
      </c>
      <c r="B206" s="330" t="s">
        <v>3991</v>
      </c>
      <c r="C206" s="330" t="s">
        <v>1171</v>
      </c>
      <c r="D206" s="330" t="s">
        <v>1123</v>
      </c>
      <c r="E206" s="331" t="s">
        <v>1997</v>
      </c>
      <c r="F206" s="331">
        <v>44833</v>
      </c>
      <c r="G206" s="331">
        <v>44833</v>
      </c>
      <c r="H206" s="331"/>
      <c r="I206" s="331">
        <v>44833</v>
      </c>
      <c r="J206" s="330" t="s">
        <v>1649</v>
      </c>
      <c r="K206" s="332" t="s">
        <v>2032</v>
      </c>
      <c r="L206" s="171">
        <v>44921</v>
      </c>
      <c r="M206" s="168"/>
      <c r="N206" s="169">
        <v>45083</v>
      </c>
      <c r="O206" s="168"/>
      <c r="P206" s="168">
        <v>304.34780000000001</v>
      </c>
      <c r="Q206" s="168" t="s">
        <v>35</v>
      </c>
      <c r="R206" s="168" t="s">
        <v>22</v>
      </c>
    </row>
    <row r="207" spans="1:18" hidden="1">
      <c r="A207" s="330">
        <f>COUNTA($D$3:$D$207)</f>
        <v>205</v>
      </c>
      <c r="B207" s="330" t="s">
        <v>4489</v>
      </c>
      <c r="C207" s="330" t="s">
        <v>41</v>
      </c>
      <c r="D207" s="330" t="s">
        <v>1125</v>
      </c>
      <c r="E207" s="331" t="s">
        <v>2879</v>
      </c>
      <c r="F207" s="331"/>
      <c r="G207" s="331"/>
      <c r="H207" s="331"/>
      <c r="I207" s="331"/>
      <c r="J207" s="330" t="s">
        <v>1650</v>
      </c>
      <c r="K207" s="332" t="s">
        <v>2032</v>
      </c>
      <c r="L207" s="171">
        <v>44914</v>
      </c>
      <c r="M207" s="168" t="s">
        <v>4546</v>
      </c>
      <c r="N207" s="169">
        <v>44907</v>
      </c>
      <c r="O207" s="168"/>
      <c r="P207" s="186"/>
      <c r="Q207" s="168"/>
      <c r="R207" s="168" t="s">
        <v>22</v>
      </c>
    </row>
    <row r="208" spans="1:18" hidden="1">
      <c r="A208" s="330">
        <f>COUNTA($D$3:$D$208)</f>
        <v>206</v>
      </c>
      <c r="B208" s="330" t="s">
        <v>3884</v>
      </c>
      <c r="C208" s="330" t="s">
        <v>1171</v>
      </c>
      <c r="D208" s="330" t="s">
        <v>1220</v>
      </c>
      <c r="E208" s="331" t="s">
        <v>3885</v>
      </c>
      <c r="F208" s="331">
        <v>44817</v>
      </c>
      <c r="G208" s="331">
        <v>44813</v>
      </c>
      <c r="H208" s="331"/>
      <c r="I208" s="331">
        <v>44817</v>
      </c>
      <c r="J208" s="330" t="s">
        <v>3886</v>
      </c>
      <c r="K208" s="332" t="s">
        <v>2032</v>
      </c>
      <c r="L208" s="171">
        <v>44914</v>
      </c>
      <c r="M208" s="168"/>
      <c r="N208" s="169">
        <v>45083</v>
      </c>
      <c r="O208" s="168"/>
      <c r="P208" s="168">
        <v>3440</v>
      </c>
      <c r="Q208" s="168" t="s">
        <v>35</v>
      </c>
      <c r="R208" s="168" t="s">
        <v>22</v>
      </c>
    </row>
    <row r="209" spans="1:18" hidden="1">
      <c r="A209" s="330">
        <f>COUNTA($D$3:$D$209)</f>
        <v>207</v>
      </c>
      <c r="B209" s="330" t="s">
        <v>3897</v>
      </c>
      <c r="C209" s="330" t="s">
        <v>2340</v>
      </c>
      <c r="D209" s="330" t="s">
        <v>2341</v>
      </c>
      <c r="E209" s="331" t="s">
        <v>2910</v>
      </c>
      <c r="F209" s="331">
        <v>44826</v>
      </c>
      <c r="G209" s="331">
        <v>44819</v>
      </c>
      <c r="H209" s="331"/>
      <c r="I209" s="331">
        <v>44826</v>
      </c>
      <c r="J209" s="330" t="s">
        <v>1485</v>
      </c>
      <c r="K209" s="332" t="s">
        <v>1294</v>
      </c>
      <c r="L209" s="171">
        <v>44914</v>
      </c>
      <c r="M209" s="168"/>
      <c r="N209" s="169">
        <v>45021</v>
      </c>
      <c r="O209" s="168"/>
      <c r="P209" s="186">
        <v>1973</v>
      </c>
      <c r="Q209" s="168" t="s">
        <v>35</v>
      </c>
      <c r="R209" s="168" t="s">
        <v>22</v>
      </c>
    </row>
    <row r="210" spans="1:18" hidden="1">
      <c r="A210" s="330">
        <f>COUNTA($D$3:$D$210)</f>
        <v>208</v>
      </c>
      <c r="B210" s="330" t="s">
        <v>3887</v>
      </c>
      <c r="C210" s="330" t="s">
        <v>1171</v>
      </c>
      <c r="D210" s="330" t="s">
        <v>31</v>
      </c>
      <c r="E210" s="331" t="s">
        <v>3552</v>
      </c>
      <c r="F210" s="331">
        <v>44817</v>
      </c>
      <c r="G210" s="331">
        <v>44813</v>
      </c>
      <c r="H210" s="331"/>
      <c r="I210" s="331">
        <v>44817</v>
      </c>
      <c r="J210" s="330" t="s">
        <v>2061</v>
      </c>
      <c r="K210" s="332" t="s">
        <v>1294</v>
      </c>
      <c r="L210" s="171">
        <v>44914</v>
      </c>
      <c r="M210" s="168"/>
      <c r="N210" s="169">
        <v>45083</v>
      </c>
      <c r="O210" s="168"/>
      <c r="P210" s="186">
        <v>2240</v>
      </c>
      <c r="Q210" s="168" t="s">
        <v>35</v>
      </c>
      <c r="R210" s="168" t="s">
        <v>22</v>
      </c>
    </row>
    <row r="211" spans="1:18" hidden="1">
      <c r="A211" s="330">
        <f>COUNTA($D$3:$D$211)</f>
        <v>209</v>
      </c>
      <c r="B211" s="330" t="s">
        <v>3907</v>
      </c>
      <c r="C211" s="330" t="s">
        <v>40</v>
      </c>
      <c r="D211" s="330" t="s">
        <v>34</v>
      </c>
      <c r="E211" s="331" t="s">
        <v>2681</v>
      </c>
      <c r="F211" s="331">
        <v>44816</v>
      </c>
      <c r="G211" s="331">
        <v>44827</v>
      </c>
      <c r="H211" s="331"/>
      <c r="I211" s="331">
        <v>44816</v>
      </c>
      <c r="J211" s="330" t="s">
        <v>1747</v>
      </c>
      <c r="K211" s="332" t="s">
        <v>1295</v>
      </c>
      <c r="L211" s="171">
        <v>44914</v>
      </c>
      <c r="M211" s="168"/>
      <c r="N211" s="169" t="s">
        <v>6197</v>
      </c>
      <c r="O211" s="168"/>
      <c r="P211" s="186">
        <v>12940</v>
      </c>
      <c r="Q211" s="168" t="s">
        <v>35</v>
      </c>
      <c r="R211" s="168" t="s">
        <v>129</v>
      </c>
    </row>
    <row r="212" spans="1:18">
      <c r="A212" s="330">
        <f>COUNTA($D$3:$D$212)</f>
        <v>210</v>
      </c>
      <c r="B212" s="330" t="s">
        <v>3898</v>
      </c>
      <c r="C212" s="330" t="s">
        <v>37</v>
      </c>
      <c r="D212" s="330" t="s">
        <v>30</v>
      </c>
      <c r="E212" s="331" t="s">
        <v>3899</v>
      </c>
      <c r="F212" s="331">
        <v>44816</v>
      </c>
      <c r="G212" s="331">
        <v>44819</v>
      </c>
      <c r="H212" s="331"/>
      <c r="I212" s="331">
        <v>44816</v>
      </c>
      <c r="J212" s="330" t="s">
        <v>1485</v>
      </c>
      <c r="K212" s="332" t="s">
        <v>1296</v>
      </c>
      <c r="L212" s="171">
        <v>44914</v>
      </c>
      <c r="M212" s="168"/>
      <c r="O212" s="168"/>
      <c r="P212" s="186">
        <v>1554</v>
      </c>
      <c r="Q212" s="168" t="s">
        <v>35</v>
      </c>
      <c r="R212" s="168" t="s">
        <v>129</v>
      </c>
    </row>
    <row r="213" spans="1:18">
      <c r="A213" s="330">
        <f>COUNTA($D$3:$D$213)</f>
        <v>211</v>
      </c>
      <c r="B213" s="330" t="s">
        <v>3892</v>
      </c>
      <c r="C213" s="330" t="s">
        <v>37</v>
      </c>
      <c r="D213" s="330" t="s">
        <v>30</v>
      </c>
      <c r="E213" s="331" t="s">
        <v>3893</v>
      </c>
      <c r="F213" s="331">
        <v>44816</v>
      </c>
      <c r="G213" s="331">
        <v>44819</v>
      </c>
      <c r="H213" s="331"/>
      <c r="I213" s="331">
        <v>44816</v>
      </c>
      <c r="J213" s="330" t="s">
        <v>357</v>
      </c>
      <c r="K213" s="332" t="s">
        <v>1295</v>
      </c>
      <c r="L213" s="171">
        <v>44914</v>
      </c>
      <c r="M213" s="168"/>
      <c r="O213" s="168"/>
      <c r="P213" s="168">
        <v>1973</v>
      </c>
      <c r="Q213" s="168" t="s">
        <v>35</v>
      </c>
      <c r="R213" s="168" t="s">
        <v>129</v>
      </c>
    </row>
    <row r="214" spans="1:18" hidden="1">
      <c r="A214" s="330">
        <f>COUNTA($D$3:$D$214)</f>
        <v>212</v>
      </c>
      <c r="B214" s="330" t="s">
        <v>3945</v>
      </c>
      <c r="C214" s="330" t="s">
        <v>1279</v>
      </c>
      <c r="D214" s="330" t="s">
        <v>1103</v>
      </c>
      <c r="E214" s="331" t="s">
        <v>1281</v>
      </c>
      <c r="F214" s="331">
        <v>44826</v>
      </c>
      <c r="G214" s="331">
        <v>44830</v>
      </c>
      <c r="H214" s="331"/>
      <c r="I214" s="331">
        <v>44826</v>
      </c>
      <c r="J214" s="330" t="s">
        <v>1485</v>
      </c>
      <c r="K214" s="332" t="s">
        <v>1295</v>
      </c>
      <c r="L214" s="171">
        <v>44914</v>
      </c>
      <c r="M214" s="168" t="s">
        <v>5002</v>
      </c>
      <c r="N214" s="169">
        <v>45012</v>
      </c>
      <c r="O214" s="168"/>
      <c r="P214" s="186">
        <v>2739.1304</v>
      </c>
      <c r="Q214" s="168" t="s">
        <v>35</v>
      </c>
      <c r="R214" s="168" t="s">
        <v>129</v>
      </c>
    </row>
    <row r="215" spans="1:18" hidden="1">
      <c r="A215" s="330">
        <f>COUNTA($D$3:$D$215)</f>
        <v>213</v>
      </c>
      <c r="B215" s="330" t="s">
        <v>3931</v>
      </c>
      <c r="C215" s="330" t="s">
        <v>41</v>
      </c>
      <c r="D215" s="330" t="s">
        <v>32</v>
      </c>
      <c r="E215" s="331" t="s">
        <v>1190</v>
      </c>
      <c r="F215" s="331"/>
      <c r="G215" s="331"/>
      <c r="H215" s="331"/>
      <c r="I215" s="331"/>
      <c r="J215" s="330" t="s">
        <v>1212</v>
      </c>
      <c r="K215" s="332" t="s">
        <v>1294</v>
      </c>
      <c r="L215" s="171">
        <v>44914</v>
      </c>
      <c r="M215" s="168" t="s">
        <v>4547</v>
      </c>
      <c r="N215" s="169">
        <v>44907</v>
      </c>
      <c r="O215" s="168"/>
      <c r="P215" s="186">
        <v>617</v>
      </c>
      <c r="Q215" s="168" t="s">
        <v>28</v>
      </c>
      <c r="R215" s="168" t="s">
        <v>22</v>
      </c>
    </row>
    <row r="216" spans="1:18" hidden="1">
      <c r="A216" s="330">
        <f>COUNTA($D$3:$D$216)</f>
        <v>214</v>
      </c>
      <c r="B216" s="330" t="s">
        <v>4414</v>
      </c>
      <c r="C216" s="330" t="s">
        <v>41</v>
      </c>
      <c r="D216" s="330" t="s">
        <v>1083</v>
      </c>
      <c r="E216" s="331" t="s">
        <v>4415</v>
      </c>
      <c r="F216" s="331"/>
      <c r="G216" s="331"/>
      <c r="H216" s="331"/>
      <c r="I216" s="331"/>
      <c r="J216" s="330" t="s">
        <v>1650</v>
      </c>
      <c r="K216" s="332" t="s">
        <v>1295</v>
      </c>
      <c r="L216" s="171">
        <v>44907</v>
      </c>
      <c r="M216" s="168" t="s">
        <v>4443</v>
      </c>
      <c r="N216" s="169">
        <v>45272</v>
      </c>
      <c r="O216" s="168"/>
      <c r="P216" s="186"/>
      <c r="Q216" s="168"/>
      <c r="R216" s="168" t="s">
        <v>129</v>
      </c>
    </row>
    <row r="217" spans="1:18" hidden="1">
      <c r="A217" s="330">
        <f>COUNTA($D$3:$D$217)</f>
        <v>215</v>
      </c>
      <c r="B217" s="330" t="s">
        <v>4207</v>
      </c>
      <c r="C217" s="330" t="s">
        <v>2590</v>
      </c>
      <c r="D217" s="330" t="s">
        <v>1098</v>
      </c>
      <c r="E217" s="331" t="s">
        <v>4208</v>
      </c>
      <c r="F217" s="331">
        <v>44867</v>
      </c>
      <c r="G217" s="331">
        <v>44872</v>
      </c>
      <c r="H217" s="331"/>
      <c r="I217" s="331">
        <v>44867</v>
      </c>
      <c r="J217" s="330" t="s">
        <v>1093</v>
      </c>
      <c r="K217" s="332"/>
      <c r="L217" s="171">
        <v>44907</v>
      </c>
      <c r="M217" s="168" t="s">
        <v>2380</v>
      </c>
      <c r="N217" s="169">
        <v>44907</v>
      </c>
      <c r="O217" s="168"/>
      <c r="P217" s="186">
        <v>5040</v>
      </c>
      <c r="Q217" s="168" t="s">
        <v>1726</v>
      </c>
      <c r="R217" s="168" t="s">
        <v>129</v>
      </c>
    </row>
    <row r="218" spans="1:18" hidden="1">
      <c r="A218" s="330">
        <f>COUNTA($D$3:$D218)</f>
        <v>216</v>
      </c>
      <c r="B218" s="330" t="s">
        <v>4409</v>
      </c>
      <c r="C218" s="330" t="s">
        <v>1752</v>
      </c>
      <c r="D218" s="330" t="s">
        <v>1145</v>
      </c>
      <c r="E218" s="331" t="s">
        <v>4410</v>
      </c>
      <c r="F218" s="331"/>
      <c r="G218" s="331"/>
      <c r="H218" s="331"/>
      <c r="I218" s="331"/>
      <c r="J218" s="330"/>
      <c r="K218" s="332"/>
      <c r="L218" s="171">
        <v>44907</v>
      </c>
      <c r="M218" s="168" t="s">
        <v>2217</v>
      </c>
      <c r="N218" s="169">
        <v>44910</v>
      </c>
      <c r="O218" s="168"/>
      <c r="P218" s="186"/>
      <c r="Q218" s="168" t="s">
        <v>1053</v>
      </c>
      <c r="R218" s="168" t="s">
        <v>129</v>
      </c>
    </row>
    <row r="219" spans="1:18" hidden="1">
      <c r="A219" s="330">
        <f>COUNTA($D$3:$D219)</f>
        <v>217</v>
      </c>
      <c r="B219" s="330" t="s">
        <v>4286</v>
      </c>
      <c r="C219" s="330" t="s">
        <v>4301</v>
      </c>
      <c r="D219" s="330" t="s">
        <v>2683</v>
      </c>
      <c r="E219" s="331" t="s">
        <v>4312</v>
      </c>
      <c r="F219" s="331">
        <v>44880</v>
      </c>
      <c r="G219" s="331"/>
      <c r="H219" s="331"/>
      <c r="I219" s="331">
        <v>44880</v>
      </c>
      <c r="J219" s="330" t="s">
        <v>4313</v>
      </c>
      <c r="K219" s="332" t="s">
        <v>2032</v>
      </c>
      <c r="L219" s="171">
        <v>44907</v>
      </c>
      <c r="M219" s="168" t="s">
        <v>4454</v>
      </c>
      <c r="N219" s="169">
        <v>44907</v>
      </c>
      <c r="O219" s="168"/>
      <c r="P219" s="186">
        <v>3520</v>
      </c>
      <c r="Q219" s="168"/>
      <c r="R219" s="168" t="s">
        <v>22</v>
      </c>
    </row>
    <row r="220" spans="1:18" hidden="1">
      <c r="A220" s="330">
        <f>COUNTA($D$3:$D220)</f>
        <v>218</v>
      </c>
      <c r="B220" s="334" t="s">
        <v>4287</v>
      </c>
      <c r="C220" s="330" t="s">
        <v>4301</v>
      </c>
      <c r="D220" s="330" t="s">
        <v>38</v>
      </c>
      <c r="E220" s="331" t="s">
        <v>4307</v>
      </c>
      <c r="F220" s="331">
        <v>44880</v>
      </c>
      <c r="G220" s="331">
        <v>44879</v>
      </c>
      <c r="H220" s="331"/>
      <c r="I220" s="331">
        <v>44880</v>
      </c>
      <c r="J220" s="330" t="s">
        <v>4308</v>
      </c>
      <c r="K220" s="332" t="s">
        <v>2032</v>
      </c>
      <c r="L220" s="171">
        <v>44907</v>
      </c>
      <c r="M220" s="168" t="s">
        <v>4454</v>
      </c>
      <c r="N220" s="169">
        <v>44907</v>
      </c>
      <c r="O220" s="168"/>
      <c r="P220" s="186">
        <v>7680</v>
      </c>
      <c r="Q220" s="168"/>
      <c r="R220" s="168" t="s">
        <v>22</v>
      </c>
    </row>
    <row r="221" spans="1:18" hidden="1">
      <c r="A221" s="330">
        <f>COUNTA($D$3:$D221)</f>
        <v>219</v>
      </c>
      <c r="B221" s="330" t="s">
        <v>4288</v>
      </c>
      <c r="C221" s="330" t="s">
        <v>4301</v>
      </c>
      <c r="D221" s="330" t="s">
        <v>38</v>
      </c>
      <c r="E221" s="331" t="s">
        <v>4302</v>
      </c>
      <c r="F221" s="331">
        <v>44880</v>
      </c>
      <c r="G221" s="331">
        <v>44879</v>
      </c>
      <c r="H221" s="331"/>
      <c r="I221" s="331">
        <v>44880</v>
      </c>
      <c r="J221" s="330" t="s">
        <v>4303</v>
      </c>
      <c r="K221" s="332" t="s">
        <v>2032</v>
      </c>
      <c r="L221" s="171">
        <v>44907</v>
      </c>
      <c r="M221" s="168" t="s">
        <v>4454</v>
      </c>
      <c r="N221" s="169">
        <v>44907</v>
      </c>
      <c r="O221" s="168"/>
      <c r="P221" s="168">
        <v>1440</v>
      </c>
      <c r="Q221" s="168"/>
      <c r="R221" s="168" t="s">
        <v>22</v>
      </c>
    </row>
    <row r="222" spans="1:18" hidden="1">
      <c r="A222" s="330">
        <f>COUNTA($D$3:$D222)</f>
        <v>220</v>
      </c>
      <c r="B222" s="330" t="s">
        <v>4361</v>
      </c>
      <c r="C222" s="330" t="s">
        <v>105</v>
      </c>
      <c r="D222" s="330" t="s">
        <v>1124</v>
      </c>
      <c r="E222" s="330" t="s">
        <v>4362</v>
      </c>
      <c r="F222" s="331">
        <v>44886</v>
      </c>
      <c r="G222" s="331">
        <v>44883</v>
      </c>
      <c r="H222" s="331"/>
      <c r="I222" s="331">
        <v>44886</v>
      </c>
      <c r="J222" s="330" t="s">
        <v>1679</v>
      </c>
      <c r="K222" s="332" t="s">
        <v>2032</v>
      </c>
      <c r="L222" s="171">
        <v>44907</v>
      </c>
      <c r="M222" s="168" t="s">
        <v>4462</v>
      </c>
      <c r="N222" s="169">
        <v>44903</v>
      </c>
      <c r="O222" s="168"/>
      <c r="P222" s="168">
        <v>1760</v>
      </c>
      <c r="Q222" s="168" t="s">
        <v>2671</v>
      </c>
      <c r="R222" s="168" t="s">
        <v>22</v>
      </c>
    </row>
    <row r="223" spans="1:18" hidden="1">
      <c r="A223" s="330">
        <f>COUNTA($D$3:$D223)</f>
        <v>221</v>
      </c>
      <c r="B223" s="330" t="s">
        <v>3826</v>
      </c>
      <c r="C223" s="330" t="s">
        <v>40</v>
      </c>
      <c r="D223" s="330" t="s">
        <v>1123</v>
      </c>
      <c r="E223" s="330" t="s">
        <v>2852</v>
      </c>
      <c r="F223" s="331">
        <v>44816</v>
      </c>
      <c r="G223" s="331">
        <v>44819</v>
      </c>
      <c r="H223" s="331">
        <v>45155</v>
      </c>
      <c r="I223" s="331">
        <v>44816</v>
      </c>
      <c r="J223" s="330" t="s">
        <v>1093</v>
      </c>
      <c r="K223" s="332" t="s">
        <v>1274</v>
      </c>
      <c r="L223" s="171">
        <v>44907</v>
      </c>
      <c r="M223" s="168" t="s">
        <v>5582</v>
      </c>
      <c r="N223" s="169">
        <v>45097</v>
      </c>
      <c r="O223" s="168"/>
      <c r="P223" s="168">
        <v>336</v>
      </c>
      <c r="Q223" s="168" t="s">
        <v>35</v>
      </c>
      <c r="R223" s="168" t="s">
        <v>129</v>
      </c>
    </row>
    <row r="224" spans="1:18" hidden="1">
      <c r="A224" s="330">
        <f>COUNTA($D$3:$D224)</f>
        <v>222</v>
      </c>
      <c r="B224" s="330" t="s">
        <v>3840</v>
      </c>
      <c r="C224" s="330" t="s">
        <v>1106</v>
      </c>
      <c r="D224" s="330" t="s">
        <v>1098</v>
      </c>
      <c r="E224" s="330" t="s">
        <v>3841</v>
      </c>
      <c r="F224" s="331">
        <v>44811</v>
      </c>
      <c r="G224" s="331">
        <v>44811</v>
      </c>
      <c r="H224" s="331"/>
      <c r="I224" s="331">
        <v>44811</v>
      </c>
      <c r="J224" s="330" t="s">
        <v>1093</v>
      </c>
      <c r="K224" s="332" t="s">
        <v>1287</v>
      </c>
      <c r="L224" s="171">
        <v>44902</v>
      </c>
      <c r="M224" s="168" t="s">
        <v>4421</v>
      </c>
      <c r="N224" s="169">
        <v>44943</v>
      </c>
      <c r="O224" s="168"/>
      <c r="P224" s="168">
        <v>546</v>
      </c>
      <c r="Q224" s="168" t="s">
        <v>1726</v>
      </c>
      <c r="R224" s="168" t="s">
        <v>129</v>
      </c>
    </row>
    <row r="225" spans="1:18" hidden="1">
      <c r="A225" s="330">
        <f>COUNTA($D$3:$D225)</f>
        <v>223</v>
      </c>
      <c r="B225" s="330" t="s">
        <v>3839</v>
      </c>
      <c r="C225" s="330" t="s">
        <v>1106</v>
      </c>
      <c r="D225" s="330" t="s">
        <v>1098</v>
      </c>
      <c r="E225" s="330" t="s">
        <v>2826</v>
      </c>
      <c r="F225" s="331">
        <v>44811</v>
      </c>
      <c r="G225" s="331">
        <v>44811</v>
      </c>
      <c r="H225" s="331"/>
      <c r="I225" s="331">
        <v>44811</v>
      </c>
      <c r="J225" s="330" t="s">
        <v>1093</v>
      </c>
      <c r="K225" s="332" t="s">
        <v>1287</v>
      </c>
      <c r="L225" s="171">
        <v>44902</v>
      </c>
      <c r="M225" s="168" t="s">
        <v>4421</v>
      </c>
      <c r="N225" s="169">
        <v>44943</v>
      </c>
      <c r="O225" s="168"/>
      <c r="P225" s="168">
        <v>546</v>
      </c>
      <c r="Q225" s="168" t="s">
        <v>1726</v>
      </c>
      <c r="R225" s="168" t="s">
        <v>129</v>
      </c>
    </row>
    <row r="226" spans="1:18" hidden="1">
      <c r="A226" s="330">
        <f>COUNTA($D$3:$D226)</f>
        <v>224</v>
      </c>
      <c r="B226" s="330" t="s">
        <v>3875</v>
      </c>
      <c r="C226" s="330" t="s">
        <v>2042</v>
      </c>
      <c r="D226" s="330" t="s">
        <v>16</v>
      </c>
      <c r="E226" s="330" t="s">
        <v>3876</v>
      </c>
      <c r="F226" s="331">
        <v>44816</v>
      </c>
      <c r="G226" s="331">
        <v>44819</v>
      </c>
      <c r="H226" s="331"/>
      <c r="I226" s="331">
        <v>44816</v>
      </c>
      <c r="J226" s="330" t="s">
        <v>3908</v>
      </c>
      <c r="K226" s="332" t="s">
        <v>1296</v>
      </c>
      <c r="L226" s="171">
        <v>44902</v>
      </c>
      <c r="M226" s="168"/>
      <c r="N226" s="169">
        <v>45030</v>
      </c>
      <c r="O226" s="168"/>
      <c r="P226" s="168">
        <v>5966</v>
      </c>
      <c r="Q226" s="168" t="s">
        <v>35</v>
      </c>
      <c r="R226" s="168" t="s">
        <v>129</v>
      </c>
    </row>
    <row r="227" spans="1:18" hidden="1">
      <c r="A227" s="330">
        <f>COUNTA($D$3:$D227)</f>
        <v>225</v>
      </c>
      <c r="B227" s="330" t="s">
        <v>3812</v>
      </c>
      <c r="C227" s="330" t="s">
        <v>21</v>
      </c>
      <c r="D227" s="330" t="s">
        <v>1193</v>
      </c>
      <c r="E227" s="330" t="s">
        <v>3813</v>
      </c>
      <c r="F227" s="331">
        <v>44811</v>
      </c>
      <c r="G227" s="331">
        <v>44810</v>
      </c>
      <c r="H227" s="331"/>
      <c r="I227" s="331">
        <v>44811</v>
      </c>
      <c r="J227" s="330" t="s">
        <v>3814</v>
      </c>
      <c r="K227" s="332" t="s">
        <v>1296</v>
      </c>
      <c r="L227" s="171">
        <v>44902</v>
      </c>
      <c r="M227" s="168" t="s">
        <v>4420</v>
      </c>
      <c r="N227" s="169">
        <v>44959</v>
      </c>
      <c r="O227" s="168"/>
      <c r="P227" s="168">
        <v>3067</v>
      </c>
      <c r="Q227" s="168" t="s">
        <v>35</v>
      </c>
      <c r="R227" s="168" t="s">
        <v>129</v>
      </c>
    </row>
    <row r="228" spans="1:18" hidden="1">
      <c r="A228" s="330">
        <f>COUNTA($D$3:$D228)</f>
        <v>226</v>
      </c>
      <c r="B228" s="330" t="s">
        <v>3808</v>
      </c>
      <c r="C228" s="330" t="s">
        <v>3809</v>
      </c>
      <c r="D228" s="330" t="s">
        <v>16</v>
      </c>
      <c r="E228" s="330" t="s">
        <v>3810</v>
      </c>
      <c r="F228" s="331" t="s">
        <v>55</v>
      </c>
      <c r="G228" s="331"/>
      <c r="H228" s="331"/>
      <c r="I228" s="331" t="s">
        <v>55</v>
      </c>
      <c r="J228" s="330" t="s">
        <v>1485</v>
      </c>
      <c r="K228" s="332" t="s">
        <v>1296</v>
      </c>
      <c r="L228" s="171">
        <v>44902</v>
      </c>
      <c r="M228" s="168" t="s">
        <v>5003</v>
      </c>
      <c r="N228" s="169">
        <v>44902</v>
      </c>
      <c r="O228" s="168"/>
      <c r="P228" s="168"/>
      <c r="Q228" s="168" t="s">
        <v>28</v>
      </c>
      <c r="R228" s="168" t="s">
        <v>129</v>
      </c>
    </row>
    <row r="229" spans="1:18" hidden="1">
      <c r="A229" s="330">
        <f>COUNTA($D$3:$D229)</f>
        <v>227</v>
      </c>
      <c r="B229" s="330" t="s">
        <v>3853</v>
      </c>
      <c r="C229" s="330" t="s">
        <v>21</v>
      </c>
      <c r="D229" s="330" t="s">
        <v>30</v>
      </c>
      <c r="E229" s="330" t="s">
        <v>3863</v>
      </c>
      <c r="F229" s="331">
        <v>44811</v>
      </c>
      <c r="G229" s="331">
        <v>44810</v>
      </c>
      <c r="H229" s="331"/>
      <c r="I229" s="331">
        <v>44811</v>
      </c>
      <c r="J229" s="330" t="s">
        <v>1700</v>
      </c>
      <c r="K229" s="332" t="s">
        <v>1296</v>
      </c>
      <c r="L229" s="171">
        <v>44902</v>
      </c>
      <c r="M229" s="168" t="s">
        <v>4371</v>
      </c>
      <c r="N229" s="169">
        <v>44959</v>
      </c>
      <c r="O229" s="168"/>
      <c r="P229" s="168">
        <v>2730</v>
      </c>
      <c r="Q229" s="168" t="s">
        <v>35</v>
      </c>
      <c r="R229" s="168" t="s">
        <v>129</v>
      </c>
    </row>
    <row r="230" spans="1:18" hidden="1">
      <c r="A230" s="330">
        <f>COUNTA($D$3:$D230)</f>
        <v>228</v>
      </c>
      <c r="B230" s="330" t="s">
        <v>4205</v>
      </c>
      <c r="C230" s="330" t="s">
        <v>1261</v>
      </c>
      <c r="D230" s="330" t="s">
        <v>30</v>
      </c>
      <c r="E230" s="330" t="s">
        <v>4206</v>
      </c>
      <c r="F230" s="331">
        <v>44867</v>
      </c>
      <c r="G230" s="331">
        <v>44872</v>
      </c>
      <c r="H230" s="331"/>
      <c r="I230" s="331">
        <v>44867</v>
      </c>
      <c r="J230" s="330" t="s">
        <v>4223</v>
      </c>
      <c r="K230" s="332"/>
      <c r="L230" s="171">
        <v>44894</v>
      </c>
      <c r="M230" s="168" t="s">
        <v>3187</v>
      </c>
      <c r="N230" s="169">
        <v>44875</v>
      </c>
      <c r="O230" s="168"/>
      <c r="P230" s="168">
        <v>3541.6666666666665</v>
      </c>
      <c r="Q230" s="168" t="s">
        <v>35</v>
      </c>
      <c r="R230" s="168" t="s">
        <v>129</v>
      </c>
    </row>
    <row r="231" spans="1:18" hidden="1">
      <c r="A231" s="330">
        <f>COUNTA($D$3:$D231)</f>
        <v>229</v>
      </c>
      <c r="B231" s="330" t="s">
        <v>4281</v>
      </c>
      <c r="C231" s="330" t="s">
        <v>4296</v>
      </c>
      <c r="D231" s="330" t="s">
        <v>1121</v>
      </c>
      <c r="E231" s="330" t="s">
        <v>4297</v>
      </c>
      <c r="F231" s="331">
        <v>44879</v>
      </c>
      <c r="G231" s="331">
        <v>44879</v>
      </c>
      <c r="H231" s="331">
        <v>44886</v>
      </c>
      <c r="I231" s="331">
        <v>44879</v>
      </c>
      <c r="J231" s="330" t="s">
        <v>2597</v>
      </c>
      <c r="K231" s="332"/>
      <c r="L231" s="171">
        <v>44894</v>
      </c>
      <c r="M231" s="168" t="s">
        <v>4390</v>
      </c>
      <c r="N231" s="169">
        <v>44881</v>
      </c>
      <c r="O231" s="168"/>
      <c r="P231" s="168">
        <v>1458.3333333333333</v>
      </c>
      <c r="Q231" s="168" t="s">
        <v>28</v>
      </c>
      <c r="R231" s="168" t="s">
        <v>129</v>
      </c>
    </row>
    <row r="232" spans="1:18" hidden="1">
      <c r="A232" s="330">
        <f>COUNTA($D$3:$D232)</f>
        <v>230</v>
      </c>
      <c r="B232" s="330" t="s">
        <v>4211</v>
      </c>
      <c r="C232" s="330" t="s">
        <v>57</v>
      </c>
      <c r="D232" s="330" t="s">
        <v>27</v>
      </c>
      <c r="E232" s="330" t="s">
        <v>4212</v>
      </c>
      <c r="F232" s="331">
        <v>44866</v>
      </c>
      <c r="G232" s="331">
        <v>44865</v>
      </c>
      <c r="H232" s="331"/>
      <c r="I232" s="331">
        <v>44866</v>
      </c>
      <c r="J232" s="330" t="s">
        <v>1840</v>
      </c>
      <c r="K232" s="332" t="s">
        <v>287</v>
      </c>
      <c r="L232" s="171">
        <v>44894</v>
      </c>
      <c r="M232" s="168" t="s">
        <v>4375</v>
      </c>
      <c r="N232" s="169">
        <v>44907</v>
      </c>
      <c r="O232" s="168"/>
      <c r="P232" s="168">
        <v>1000</v>
      </c>
      <c r="Q232" s="168"/>
      <c r="R232" s="168" t="s">
        <v>22</v>
      </c>
    </row>
    <row r="233" spans="1:18" hidden="1">
      <c r="A233" s="330">
        <f>COUNTA($D$3:$D233)</f>
        <v>231</v>
      </c>
      <c r="B233" s="330" t="s">
        <v>4209</v>
      </c>
      <c r="C233" s="330" t="s">
        <v>41</v>
      </c>
      <c r="D233" s="330" t="s">
        <v>30</v>
      </c>
      <c r="E233" s="330" t="s">
        <v>2970</v>
      </c>
      <c r="F233" s="331" t="s">
        <v>66</v>
      </c>
      <c r="G233" s="331">
        <v>44872</v>
      </c>
      <c r="H233" s="331"/>
      <c r="I233" s="331" t="s">
        <v>66</v>
      </c>
      <c r="J233" s="330" t="s">
        <v>4270</v>
      </c>
      <c r="K233" s="332" t="s">
        <v>287</v>
      </c>
      <c r="L233" s="171">
        <v>44886</v>
      </c>
      <c r="M233" s="168" t="s">
        <v>4373</v>
      </c>
      <c r="N233" s="169">
        <v>44907</v>
      </c>
      <c r="O233" s="168"/>
      <c r="P233" s="168">
        <v>1514</v>
      </c>
      <c r="Q233" s="168" t="s">
        <v>60</v>
      </c>
      <c r="R233" s="168" t="s">
        <v>22</v>
      </c>
    </row>
    <row r="234" spans="1:18">
      <c r="A234" s="330">
        <f>COUNTA($D$3:$D234)</f>
        <v>232</v>
      </c>
      <c r="B234" s="330" t="s">
        <v>4024</v>
      </c>
      <c r="C234" s="330" t="s">
        <v>41</v>
      </c>
      <c r="D234" s="330" t="s">
        <v>1139</v>
      </c>
      <c r="E234" s="330" t="s">
        <v>4025</v>
      </c>
      <c r="F234" s="331" t="s">
        <v>66</v>
      </c>
      <c r="G234" s="331">
        <v>44844</v>
      </c>
      <c r="H234" s="331"/>
      <c r="I234" s="331" t="s">
        <v>66</v>
      </c>
      <c r="J234" s="330" t="s">
        <v>4094</v>
      </c>
      <c r="K234" s="332" t="s">
        <v>1296</v>
      </c>
      <c r="L234" s="171">
        <v>44886</v>
      </c>
      <c r="M234" s="168"/>
      <c r="O234" s="168"/>
      <c r="P234" s="168">
        <v>3770</v>
      </c>
      <c r="Q234" s="168" t="s">
        <v>60</v>
      </c>
      <c r="R234" s="168" t="s">
        <v>129</v>
      </c>
    </row>
    <row r="235" spans="1:18">
      <c r="A235" s="330">
        <f>COUNTA($D$3:$D235)</f>
        <v>233</v>
      </c>
      <c r="B235" s="330" t="s">
        <v>4280</v>
      </c>
      <c r="C235" s="330" t="s">
        <v>41</v>
      </c>
      <c r="D235" s="330" t="s">
        <v>1115</v>
      </c>
      <c r="E235" s="330" t="s">
        <v>3275</v>
      </c>
      <c r="F235" s="331" t="s">
        <v>66</v>
      </c>
      <c r="G235" s="331">
        <v>44879</v>
      </c>
      <c r="H235" s="331"/>
      <c r="I235" s="331" t="s">
        <v>66</v>
      </c>
      <c r="J235" s="330" t="s">
        <v>4295</v>
      </c>
      <c r="K235" s="332" t="s">
        <v>1296</v>
      </c>
      <c r="L235" s="171">
        <v>44886</v>
      </c>
      <c r="M235" s="168"/>
      <c r="O235" s="168"/>
      <c r="P235" s="168">
        <v>2166</v>
      </c>
      <c r="Q235" s="168" t="s">
        <v>60</v>
      </c>
      <c r="R235" s="168" t="s">
        <v>129</v>
      </c>
    </row>
    <row r="236" spans="1:18" hidden="1">
      <c r="A236" s="330">
        <f>COUNTA($D$3:$D236)</f>
        <v>234</v>
      </c>
      <c r="B236" s="330" t="s">
        <v>3972</v>
      </c>
      <c r="C236" s="330" t="s">
        <v>1218</v>
      </c>
      <c r="D236" s="330" t="s">
        <v>27</v>
      </c>
      <c r="E236" s="330" t="s">
        <v>3973</v>
      </c>
      <c r="F236" s="331">
        <v>44844</v>
      </c>
      <c r="G236" s="331">
        <v>44830</v>
      </c>
      <c r="H236" s="331">
        <v>45012</v>
      </c>
      <c r="I236" s="331">
        <v>44844</v>
      </c>
      <c r="J236" s="330" t="s">
        <v>1093</v>
      </c>
      <c r="K236" s="332" t="s">
        <v>1295</v>
      </c>
      <c r="L236" s="171">
        <v>44886</v>
      </c>
      <c r="M236" s="168" t="s">
        <v>4954</v>
      </c>
      <c r="N236" s="169">
        <v>44837</v>
      </c>
      <c r="O236" s="168"/>
      <c r="P236" s="168" t="s">
        <v>4101</v>
      </c>
      <c r="Q236" s="168" t="s">
        <v>1055</v>
      </c>
      <c r="R236" s="168" t="s">
        <v>129</v>
      </c>
    </row>
    <row r="237" spans="1:18">
      <c r="A237" s="330">
        <f>COUNTA($D$3:$D237)</f>
        <v>235</v>
      </c>
      <c r="B237" s="330" t="s">
        <v>3786</v>
      </c>
      <c r="C237" s="330" t="s">
        <v>2767</v>
      </c>
      <c r="D237" s="330" t="s">
        <v>16</v>
      </c>
      <c r="E237" s="330" t="s">
        <v>2768</v>
      </c>
      <c r="F237" s="331">
        <v>44795</v>
      </c>
      <c r="G237" s="331">
        <v>44795</v>
      </c>
      <c r="H237" s="331"/>
      <c r="I237" s="331">
        <v>44795</v>
      </c>
      <c r="J237" s="330" t="s">
        <v>3787</v>
      </c>
      <c r="K237" s="332" t="s">
        <v>1295</v>
      </c>
      <c r="L237" s="171">
        <v>44886</v>
      </c>
      <c r="M237" s="168"/>
      <c r="O237" s="168"/>
      <c r="P237" s="168">
        <v>7750</v>
      </c>
      <c r="Q237" s="168" t="s">
        <v>35</v>
      </c>
      <c r="R237" s="168" t="s">
        <v>129</v>
      </c>
    </row>
    <row r="238" spans="1:18" hidden="1">
      <c r="A238" s="330">
        <f>COUNTA($D$3:$D238)</f>
        <v>236</v>
      </c>
      <c r="B238" s="330" t="s">
        <v>4138</v>
      </c>
      <c r="C238" s="330" t="s">
        <v>41</v>
      </c>
      <c r="D238" s="330" t="s">
        <v>1123</v>
      </c>
      <c r="E238" s="330" t="s">
        <v>3064</v>
      </c>
      <c r="F238" s="331" t="s">
        <v>66</v>
      </c>
      <c r="G238" s="331">
        <v>44852</v>
      </c>
      <c r="H238" s="331"/>
      <c r="I238" s="331" t="s">
        <v>66</v>
      </c>
      <c r="J238" s="330" t="s">
        <v>4156</v>
      </c>
      <c r="K238" s="332" t="s">
        <v>1296</v>
      </c>
      <c r="L238" s="171">
        <v>44886</v>
      </c>
      <c r="M238" s="168" t="s">
        <v>4372</v>
      </c>
      <c r="N238" s="169">
        <v>44907</v>
      </c>
      <c r="O238" s="168"/>
      <c r="P238" s="168">
        <v>1274</v>
      </c>
      <c r="Q238" s="168" t="s">
        <v>60</v>
      </c>
      <c r="R238" s="168" t="s">
        <v>129</v>
      </c>
    </row>
    <row r="239" spans="1:18" hidden="1">
      <c r="A239" s="330">
        <f>COUNTA($D$3:$D239)</f>
        <v>237</v>
      </c>
      <c r="B239" s="330" t="s">
        <v>3780</v>
      </c>
      <c r="C239" s="330" t="s">
        <v>21</v>
      </c>
      <c r="D239" s="330" t="s">
        <v>1080</v>
      </c>
      <c r="E239" s="330" t="s">
        <v>3781</v>
      </c>
      <c r="F239" s="331">
        <v>44795</v>
      </c>
      <c r="G239" s="331">
        <v>44795</v>
      </c>
      <c r="H239" s="331"/>
      <c r="I239" s="331">
        <v>44795</v>
      </c>
      <c r="J239" s="330" t="s">
        <v>1875</v>
      </c>
      <c r="K239" s="332" t="s">
        <v>1295</v>
      </c>
      <c r="L239" s="171">
        <v>44886</v>
      </c>
      <c r="M239" s="168" t="s">
        <v>4370</v>
      </c>
      <c r="N239" s="169">
        <v>44907</v>
      </c>
      <c r="O239" s="168"/>
      <c r="P239" s="168">
        <v>8250</v>
      </c>
      <c r="Q239" s="168" t="s">
        <v>35</v>
      </c>
      <c r="R239" s="168" t="s">
        <v>129</v>
      </c>
    </row>
    <row r="240" spans="1:18" hidden="1">
      <c r="A240" s="330">
        <f>COUNTA($D$3:$D240)</f>
        <v>238</v>
      </c>
      <c r="B240" s="330" t="s">
        <v>3778</v>
      </c>
      <c r="C240" s="330" t="s">
        <v>21</v>
      </c>
      <c r="D240" s="330" t="s">
        <v>34</v>
      </c>
      <c r="E240" s="330" t="s">
        <v>1256</v>
      </c>
      <c r="F240" s="331">
        <v>44795</v>
      </c>
      <c r="G240" s="331">
        <v>44791</v>
      </c>
      <c r="H240" s="331"/>
      <c r="I240" s="331">
        <v>44795</v>
      </c>
      <c r="J240" s="330" t="s">
        <v>3779</v>
      </c>
      <c r="K240" s="332" t="s">
        <v>1287</v>
      </c>
      <c r="L240" s="171">
        <v>44886</v>
      </c>
      <c r="M240" s="168" t="s">
        <v>4370</v>
      </c>
      <c r="N240" s="169">
        <v>44967</v>
      </c>
      <c r="O240" s="168"/>
      <c r="P240" s="168">
        <v>1708.3333333333333</v>
      </c>
      <c r="Q240" s="168" t="s">
        <v>35</v>
      </c>
      <c r="R240" s="168" t="s">
        <v>129</v>
      </c>
    </row>
    <row r="241" spans="1:18" hidden="1">
      <c r="A241" s="330">
        <f>COUNTA($D$3:$D241)</f>
        <v>239</v>
      </c>
      <c r="B241" s="330" t="s">
        <v>3776</v>
      </c>
      <c r="C241" s="330" t="s">
        <v>21</v>
      </c>
      <c r="D241" s="330" t="s">
        <v>34</v>
      </c>
      <c r="E241" s="330" t="s">
        <v>3777</v>
      </c>
      <c r="F241" s="331">
        <v>44795</v>
      </c>
      <c r="G241" s="331">
        <v>44795</v>
      </c>
      <c r="H241" s="331"/>
      <c r="I241" s="331">
        <v>44795</v>
      </c>
      <c r="J241" s="330" t="s">
        <v>1672</v>
      </c>
      <c r="K241" s="332" t="s">
        <v>1296</v>
      </c>
      <c r="L241" s="171">
        <v>44886</v>
      </c>
      <c r="M241" s="168" t="s">
        <v>4369</v>
      </c>
      <c r="N241" s="169">
        <v>44907</v>
      </c>
      <c r="O241" s="168"/>
      <c r="P241" s="168">
        <v>3750</v>
      </c>
      <c r="Q241" s="168" t="s">
        <v>35</v>
      </c>
      <c r="R241" s="168" t="s">
        <v>129</v>
      </c>
    </row>
    <row r="242" spans="1:18">
      <c r="A242" s="330">
        <f>COUNTA($D$3:$D242)</f>
        <v>240</v>
      </c>
      <c r="B242" s="330" t="s">
        <v>4084</v>
      </c>
      <c r="C242" s="330" t="s">
        <v>41</v>
      </c>
      <c r="D242" s="330" t="s">
        <v>1125</v>
      </c>
      <c r="E242" s="330" t="s">
        <v>1135</v>
      </c>
      <c r="F242" s="331" t="s">
        <v>66</v>
      </c>
      <c r="G242" s="331">
        <v>44865</v>
      </c>
      <c r="H242" s="331"/>
      <c r="I242" s="331" t="s">
        <v>66</v>
      </c>
      <c r="J242" s="330" t="s">
        <v>4177</v>
      </c>
      <c r="K242" s="332" t="s">
        <v>1295</v>
      </c>
      <c r="L242" s="171">
        <v>44886</v>
      </c>
      <c r="M242" s="168"/>
      <c r="O242" s="168"/>
      <c r="P242" s="168">
        <v>5563</v>
      </c>
      <c r="Q242" s="168" t="s">
        <v>60</v>
      </c>
      <c r="R242" s="168" t="s">
        <v>129</v>
      </c>
    </row>
    <row r="243" spans="1:18" hidden="1">
      <c r="A243" s="330">
        <f>COUNTA($D$3:$D243)</f>
        <v>241</v>
      </c>
      <c r="B243" s="330" t="s">
        <v>4185</v>
      </c>
      <c r="C243" s="330" t="s">
        <v>4196</v>
      </c>
      <c r="D243" s="330" t="s">
        <v>16</v>
      </c>
      <c r="E243" s="330" t="s">
        <v>4197</v>
      </c>
      <c r="F243" s="331">
        <v>44860</v>
      </c>
      <c r="G243" s="331">
        <v>44862</v>
      </c>
      <c r="H243" s="331"/>
      <c r="I243" s="331">
        <v>44860</v>
      </c>
      <c r="J243" s="330" t="s">
        <v>1485</v>
      </c>
      <c r="K243" s="332" t="s">
        <v>2032</v>
      </c>
      <c r="L243" s="171">
        <v>44886</v>
      </c>
      <c r="M243" s="168" t="s">
        <v>4368</v>
      </c>
      <c r="N243" s="169">
        <v>44881</v>
      </c>
      <c r="O243" s="168"/>
      <c r="P243" s="168">
        <v>1166.6666666666667</v>
      </c>
      <c r="Q243" s="168" t="s">
        <v>35</v>
      </c>
      <c r="R243" s="168" t="s">
        <v>22</v>
      </c>
    </row>
    <row r="244" spans="1:18" hidden="1">
      <c r="A244" s="330">
        <f>COUNTA($D$3:$D244)</f>
        <v>242</v>
      </c>
      <c r="B244" s="330" t="s">
        <v>3796</v>
      </c>
      <c r="C244" s="330" t="s">
        <v>57</v>
      </c>
      <c r="D244" s="330" t="s">
        <v>30</v>
      </c>
      <c r="E244" s="330" t="s">
        <v>3797</v>
      </c>
      <c r="F244" s="331">
        <v>44826</v>
      </c>
      <c r="G244" s="331">
        <v>44809</v>
      </c>
      <c r="H244" s="331"/>
      <c r="I244" s="331">
        <v>44826</v>
      </c>
      <c r="J244" s="330" t="s">
        <v>3849</v>
      </c>
      <c r="K244" s="332" t="s">
        <v>2032</v>
      </c>
      <c r="L244" s="171">
        <v>44886</v>
      </c>
      <c r="M244" s="168" t="s">
        <v>4371</v>
      </c>
      <c r="N244" s="169">
        <v>44895</v>
      </c>
      <c r="O244" s="168"/>
      <c r="P244" s="168">
        <v>3583.3333333333335</v>
      </c>
      <c r="Q244" s="168" t="s">
        <v>35</v>
      </c>
      <c r="R244" s="168" t="s">
        <v>22</v>
      </c>
    </row>
    <row r="245" spans="1:18" hidden="1">
      <c r="A245" s="330">
        <f>COUNTA($D$3:$D245)</f>
        <v>243</v>
      </c>
      <c r="B245" s="330" t="s">
        <v>4077</v>
      </c>
      <c r="C245" s="330" t="s">
        <v>1077</v>
      </c>
      <c r="D245" s="330" t="s">
        <v>16</v>
      </c>
      <c r="E245" s="330" t="s">
        <v>4078</v>
      </c>
      <c r="F245" s="331">
        <v>44848</v>
      </c>
      <c r="G245" s="331">
        <v>44851</v>
      </c>
      <c r="H245" s="331"/>
      <c r="I245" s="331">
        <v>44848</v>
      </c>
      <c r="J245" s="330" t="s">
        <v>4141</v>
      </c>
      <c r="K245" s="332" t="s">
        <v>1294</v>
      </c>
      <c r="L245" s="171">
        <v>44883</v>
      </c>
      <c r="M245" s="168" t="s">
        <v>4293</v>
      </c>
      <c r="N245" s="169">
        <v>44881</v>
      </c>
      <c r="O245" s="168"/>
      <c r="P245" s="168">
        <v>4125</v>
      </c>
      <c r="Q245" s="168" t="s">
        <v>35</v>
      </c>
      <c r="R245" s="168" t="s">
        <v>22</v>
      </c>
    </row>
    <row r="246" spans="1:18" hidden="1">
      <c r="A246" s="330">
        <f>COUNTA($D$3:$D246)</f>
        <v>244</v>
      </c>
      <c r="B246" s="330" t="s">
        <v>4115</v>
      </c>
      <c r="C246" s="330" t="s">
        <v>2484</v>
      </c>
      <c r="D246" s="330" t="s">
        <v>31</v>
      </c>
      <c r="E246" s="330" t="s">
        <v>4116</v>
      </c>
      <c r="F246" s="331">
        <v>44851</v>
      </c>
      <c r="G246" s="331">
        <v>44851</v>
      </c>
      <c r="H246" s="331"/>
      <c r="I246" s="331">
        <v>44851</v>
      </c>
      <c r="J246" s="330" t="s">
        <v>4117</v>
      </c>
      <c r="K246" s="332" t="s">
        <v>1294</v>
      </c>
      <c r="L246" s="171">
        <v>44883</v>
      </c>
      <c r="M246" s="168" t="s">
        <v>4277</v>
      </c>
      <c r="N246" s="169">
        <v>44876</v>
      </c>
      <c r="O246" s="168"/>
      <c r="P246" s="168">
        <v>3083.3333333333335</v>
      </c>
      <c r="Q246" s="168" t="s">
        <v>35</v>
      </c>
      <c r="R246" s="168" t="s">
        <v>22</v>
      </c>
    </row>
    <row r="247" spans="1:18" hidden="1">
      <c r="A247" s="330">
        <f>COUNTA($D$3:$D247)</f>
        <v>245</v>
      </c>
      <c r="B247" s="330" t="s">
        <v>3977</v>
      </c>
      <c r="C247" s="330" t="s">
        <v>3978</v>
      </c>
      <c r="D247" s="330" t="s">
        <v>104</v>
      </c>
      <c r="E247" s="330" t="s">
        <v>3979</v>
      </c>
      <c r="F247" s="331">
        <v>44833</v>
      </c>
      <c r="G247" s="331">
        <v>44833</v>
      </c>
      <c r="H247" s="331"/>
      <c r="I247" s="331">
        <v>44833</v>
      </c>
      <c r="J247" s="330" t="s">
        <v>3132</v>
      </c>
      <c r="K247" s="332"/>
      <c r="L247" s="171">
        <v>44872</v>
      </c>
      <c r="M247" s="168" t="s">
        <v>2384</v>
      </c>
      <c r="N247" s="169">
        <v>44860</v>
      </c>
      <c r="O247" s="168"/>
      <c r="P247" s="168">
        <v>7666.666666666667</v>
      </c>
      <c r="Q247" s="168" t="s">
        <v>35</v>
      </c>
      <c r="R247" s="168" t="s">
        <v>129</v>
      </c>
    </row>
    <row r="248" spans="1:18" hidden="1">
      <c r="A248" s="330">
        <f>COUNTA($D$3:$D248)</f>
        <v>246</v>
      </c>
      <c r="B248" s="330" t="s">
        <v>3974</v>
      </c>
      <c r="C248" s="330" t="s">
        <v>3299</v>
      </c>
      <c r="D248" s="330" t="s">
        <v>31</v>
      </c>
      <c r="E248" s="330" t="s">
        <v>3975</v>
      </c>
      <c r="F248" s="331">
        <v>44833</v>
      </c>
      <c r="G248" s="331">
        <v>44827</v>
      </c>
      <c r="H248" s="331"/>
      <c r="I248" s="331">
        <v>44833</v>
      </c>
      <c r="J248" s="330" t="s">
        <v>3976</v>
      </c>
      <c r="K248" s="332"/>
      <c r="L248" s="171">
        <v>44872</v>
      </c>
      <c r="M248" s="168" t="s">
        <v>2384</v>
      </c>
      <c r="N248" s="169">
        <v>44860</v>
      </c>
      <c r="O248" s="168"/>
      <c r="P248" s="168">
        <v>8166.666666666667</v>
      </c>
      <c r="Q248" s="168" t="s">
        <v>35</v>
      </c>
      <c r="R248" s="168" t="s">
        <v>129</v>
      </c>
    </row>
    <row r="249" spans="1:18" hidden="1">
      <c r="A249" s="330">
        <f>COUNTA($D$3:$D249)</f>
        <v>247</v>
      </c>
      <c r="B249" s="330" t="s">
        <v>4220</v>
      </c>
      <c r="C249" s="330" t="s">
        <v>44</v>
      </c>
      <c r="D249" s="330" t="s">
        <v>30</v>
      </c>
      <c r="E249" s="330" t="s">
        <v>1117</v>
      </c>
      <c r="F249" s="331"/>
      <c r="G249" s="331"/>
      <c r="H249" s="331"/>
      <c r="I249" s="331"/>
      <c r="J249" s="330" t="s">
        <v>1650</v>
      </c>
      <c r="K249" s="332" t="s">
        <v>1294</v>
      </c>
      <c r="L249" s="171">
        <v>44872</v>
      </c>
      <c r="M249" s="168" t="s">
        <v>4251</v>
      </c>
      <c r="N249" s="169">
        <v>44867</v>
      </c>
      <c r="O249" s="168"/>
      <c r="P249" s="168"/>
      <c r="Q249" s="168"/>
      <c r="R249" s="168" t="s">
        <v>22</v>
      </c>
    </row>
    <row r="250" spans="1:18" hidden="1">
      <c r="A250" s="330">
        <f>COUNTA($D$3:$D250)</f>
        <v>248</v>
      </c>
      <c r="B250" s="330" t="s">
        <v>4256</v>
      </c>
      <c r="C250" s="330" t="s">
        <v>41</v>
      </c>
      <c r="D250" s="330" t="s">
        <v>1193</v>
      </c>
      <c r="E250" s="330" t="s">
        <v>4257</v>
      </c>
      <c r="F250" s="331"/>
      <c r="G250" s="331"/>
      <c r="H250" s="331"/>
      <c r="I250" s="331"/>
      <c r="J250" s="330"/>
      <c r="K250" s="332"/>
      <c r="L250" s="171">
        <v>44872</v>
      </c>
      <c r="M250" s="168" t="s">
        <v>4272</v>
      </c>
      <c r="N250" s="169">
        <v>44867</v>
      </c>
      <c r="O250" s="168"/>
      <c r="P250" s="168"/>
      <c r="Q250" s="168"/>
      <c r="R250" s="168" t="s">
        <v>22</v>
      </c>
    </row>
    <row r="251" spans="1:18" hidden="1">
      <c r="A251" s="330">
        <f>COUNTA($D$3:$D251)</f>
        <v>249</v>
      </c>
      <c r="B251" s="330" t="s">
        <v>4259</v>
      </c>
      <c r="C251" s="330" t="s">
        <v>57</v>
      </c>
      <c r="D251" s="330" t="s">
        <v>30</v>
      </c>
      <c r="E251" s="330" t="s">
        <v>4260</v>
      </c>
      <c r="F251" s="331"/>
      <c r="G251" s="331"/>
      <c r="H251" s="331"/>
      <c r="I251" s="331"/>
      <c r="J251" s="330"/>
      <c r="K251" s="332"/>
      <c r="L251" s="171">
        <v>44872</v>
      </c>
      <c r="M251" s="168" t="s">
        <v>4273</v>
      </c>
      <c r="N251" s="169">
        <v>44876</v>
      </c>
      <c r="O251" s="168"/>
      <c r="P251" s="168"/>
      <c r="Q251" s="168" t="s">
        <v>1053</v>
      </c>
      <c r="R251" s="168" t="s">
        <v>22</v>
      </c>
    </row>
    <row r="252" spans="1:18">
      <c r="A252" s="330">
        <f>COUNTA($D$3:$D252)</f>
        <v>250</v>
      </c>
      <c r="B252" s="330" t="s">
        <v>3559</v>
      </c>
      <c r="C252" s="330" t="s">
        <v>21</v>
      </c>
      <c r="D252" s="330" t="s">
        <v>16</v>
      </c>
      <c r="E252" s="330" t="s">
        <v>2637</v>
      </c>
      <c r="F252" s="331">
        <v>44769</v>
      </c>
      <c r="G252" s="331">
        <v>44770</v>
      </c>
      <c r="H252" s="331"/>
      <c r="I252" s="331">
        <v>44769</v>
      </c>
      <c r="J252" s="330" t="s">
        <v>3573</v>
      </c>
      <c r="K252" s="332" t="s">
        <v>1287</v>
      </c>
      <c r="L252" s="171">
        <v>44872</v>
      </c>
      <c r="M252" s="168"/>
      <c r="O252" s="168"/>
      <c r="P252" s="168">
        <v>5208.333333333333</v>
      </c>
      <c r="Q252" s="168" t="s">
        <v>35</v>
      </c>
      <c r="R252" s="168" t="s">
        <v>129</v>
      </c>
    </row>
    <row r="253" spans="1:18" hidden="1">
      <c r="A253" s="330">
        <f>COUNTA($D$3:$D253)</f>
        <v>251</v>
      </c>
      <c r="B253" s="330" t="s">
        <v>3579</v>
      </c>
      <c r="C253" s="330" t="s">
        <v>109</v>
      </c>
      <c r="D253" s="330" t="s">
        <v>16</v>
      </c>
      <c r="E253" s="330" t="s">
        <v>3580</v>
      </c>
      <c r="F253" s="331">
        <v>44774</v>
      </c>
      <c r="G253" s="331">
        <v>44771</v>
      </c>
      <c r="H253" s="331"/>
      <c r="I253" s="331">
        <v>44774</v>
      </c>
      <c r="J253" s="330" t="s">
        <v>3581</v>
      </c>
      <c r="K253" s="332" t="s">
        <v>1295</v>
      </c>
      <c r="L253" s="171">
        <v>44872</v>
      </c>
      <c r="M253" s="168" t="s">
        <v>4229</v>
      </c>
      <c r="N253" s="169">
        <v>44777</v>
      </c>
      <c r="O253" s="168"/>
      <c r="P253" s="168">
        <v>3375</v>
      </c>
      <c r="Q253" s="168" t="s">
        <v>35</v>
      </c>
      <c r="R253" s="168" t="s">
        <v>129</v>
      </c>
    </row>
    <row r="254" spans="1:18" hidden="1">
      <c r="A254" s="330">
        <f>COUNTA($D$3:$D254)</f>
        <v>252</v>
      </c>
      <c r="B254" s="330" t="s">
        <v>3586</v>
      </c>
      <c r="C254" s="330" t="s">
        <v>2581</v>
      </c>
      <c r="D254" s="330" t="s">
        <v>52</v>
      </c>
      <c r="E254" s="330" t="s">
        <v>3587</v>
      </c>
      <c r="F254" s="331">
        <v>44775</v>
      </c>
      <c r="G254" s="331">
        <v>44781</v>
      </c>
      <c r="H254" s="331"/>
      <c r="I254" s="331">
        <v>44775</v>
      </c>
      <c r="J254" s="330" t="s">
        <v>1840</v>
      </c>
      <c r="K254" s="332" t="s">
        <v>1295</v>
      </c>
      <c r="L254" s="171">
        <v>44872</v>
      </c>
      <c r="M254" s="168"/>
      <c r="N254" s="169">
        <v>45114</v>
      </c>
      <c r="O254" s="168"/>
      <c r="P254" s="168">
        <v>833.33333333333337</v>
      </c>
      <c r="Q254" s="168" t="s">
        <v>1726</v>
      </c>
      <c r="R254" s="168" t="s">
        <v>129</v>
      </c>
    </row>
    <row r="255" spans="1:18" hidden="1">
      <c r="A255" s="330">
        <f>COUNTA($D$3:$D255)</f>
        <v>253</v>
      </c>
      <c r="B255" s="330" t="s">
        <v>3584</v>
      </c>
      <c r="C255" s="330" t="s">
        <v>2581</v>
      </c>
      <c r="D255" s="330" t="s">
        <v>52</v>
      </c>
      <c r="E255" s="330" t="s">
        <v>3585</v>
      </c>
      <c r="F255" s="331">
        <v>44775</v>
      </c>
      <c r="G255" s="331">
        <v>44781</v>
      </c>
      <c r="H255" s="331"/>
      <c r="I255" s="331">
        <v>44775</v>
      </c>
      <c r="J255" s="330" t="s">
        <v>1840</v>
      </c>
      <c r="K255" s="332" t="s">
        <v>1295</v>
      </c>
      <c r="L255" s="171">
        <v>44872</v>
      </c>
      <c r="M255" s="168"/>
      <c r="N255" s="169">
        <v>45114</v>
      </c>
      <c r="O255" s="168"/>
      <c r="P255" s="168">
        <v>833.33333333333337</v>
      </c>
      <c r="Q255" s="168" t="s">
        <v>1726</v>
      </c>
      <c r="R255" s="168" t="s">
        <v>129</v>
      </c>
    </row>
    <row r="256" spans="1:18" hidden="1">
      <c r="A256" s="330">
        <f>COUNTA($D$3:$D256)</f>
        <v>254</v>
      </c>
      <c r="B256" s="330" t="s">
        <v>3599</v>
      </c>
      <c r="C256" s="330" t="s">
        <v>21</v>
      </c>
      <c r="D256" s="330" t="s">
        <v>1193</v>
      </c>
      <c r="E256" s="330" t="s">
        <v>1892</v>
      </c>
      <c r="F256" s="331">
        <v>44775</v>
      </c>
      <c r="G256" s="331">
        <v>44781</v>
      </c>
      <c r="H256" s="331"/>
      <c r="I256" s="331">
        <v>44775</v>
      </c>
      <c r="J256" s="330" t="s">
        <v>1485</v>
      </c>
      <c r="K256" s="332" t="s">
        <v>1296</v>
      </c>
      <c r="L256" s="171">
        <v>44872</v>
      </c>
      <c r="M256" s="168"/>
      <c r="N256" s="169">
        <v>45074</v>
      </c>
      <c r="O256" s="168"/>
      <c r="P256" s="168">
        <v>1375</v>
      </c>
      <c r="Q256" s="168" t="s">
        <v>28</v>
      </c>
      <c r="R256" s="168" t="s">
        <v>129</v>
      </c>
    </row>
    <row r="257" spans="1:18" hidden="1">
      <c r="A257" s="330">
        <f>COUNTA($D$3:$D257)</f>
        <v>255</v>
      </c>
      <c r="B257" s="330" t="s">
        <v>4374</v>
      </c>
      <c r="C257" s="330" t="s">
        <v>272</v>
      </c>
      <c r="D257" s="330" t="s">
        <v>104</v>
      </c>
      <c r="E257" s="330" t="s">
        <v>4195</v>
      </c>
      <c r="F257" s="331">
        <v>44854</v>
      </c>
      <c r="G257" s="331"/>
      <c r="H257" s="331"/>
      <c r="I257" s="331"/>
      <c r="J257" s="330" t="s">
        <v>1650</v>
      </c>
      <c r="K257" s="332"/>
      <c r="L257" s="171">
        <v>44865</v>
      </c>
      <c r="M257" s="168" t="s">
        <v>4230</v>
      </c>
      <c r="N257" s="169">
        <v>44854</v>
      </c>
      <c r="O257" s="168"/>
      <c r="P257" s="168"/>
      <c r="Q257" s="168" t="s">
        <v>1041</v>
      </c>
      <c r="R257" s="168" t="s">
        <v>22</v>
      </c>
    </row>
    <row r="258" spans="1:18" hidden="1">
      <c r="A258" s="330">
        <f>COUNTA($D$3:$D$258)</f>
        <v>256</v>
      </c>
      <c r="B258" s="330" t="s">
        <v>3784</v>
      </c>
      <c r="C258" s="330" t="s">
        <v>3049</v>
      </c>
      <c r="D258" s="330" t="s">
        <v>2862</v>
      </c>
      <c r="E258" s="330" t="s">
        <v>3785</v>
      </c>
      <c r="F258" s="331"/>
      <c r="G258" s="331">
        <v>44795</v>
      </c>
      <c r="H258" s="331"/>
      <c r="I258" s="331"/>
      <c r="J258" s="330" t="s">
        <v>1093</v>
      </c>
      <c r="K258" s="332"/>
      <c r="L258" s="171">
        <v>44858</v>
      </c>
      <c r="M258" s="168" t="s">
        <v>4155</v>
      </c>
      <c r="N258" s="169">
        <v>44854</v>
      </c>
      <c r="O258" s="168"/>
      <c r="P258" s="168"/>
      <c r="Q258" s="168" t="s">
        <v>1056</v>
      </c>
      <c r="R258" s="168" t="s">
        <v>22</v>
      </c>
    </row>
    <row r="259" spans="1:18" hidden="1">
      <c r="A259" s="330">
        <f>COUNTA($D$3:$D$259)</f>
        <v>257</v>
      </c>
      <c r="B259" s="330" t="s">
        <v>3994</v>
      </c>
      <c r="C259" s="330" t="s">
        <v>3995</v>
      </c>
      <c r="D259" s="330" t="s">
        <v>1121</v>
      </c>
      <c r="E259" s="330" t="s">
        <v>3996</v>
      </c>
      <c r="F259" s="331">
        <v>44833</v>
      </c>
      <c r="G259" s="331">
        <v>44833</v>
      </c>
      <c r="H259" s="331"/>
      <c r="I259" s="331">
        <v>44833</v>
      </c>
      <c r="J259" s="330" t="s">
        <v>4042</v>
      </c>
      <c r="K259" s="332"/>
      <c r="L259" s="171">
        <v>44858</v>
      </c>
      <c r="M259" s="168" t="s">
        <v>4179</v>
      </c>
      <c r="N259" s="169">
        <v>44837</v>
      </c>
      <c r="O259" s="168"/>
      <c r="P259" s="168">
        <v>9250</v>
      </c>
      <c r="Q259" s="168" t="s">
        <v>2671</v>
      </c>
      <c r="R259" s="168" t="s">
        <v>129</v>
      </c>
    </row>
    <row r="260" spans="1:18" hidden="1">
      <c r="A260" s="330">
        <f>COUNTA($D$3:$D$260)</f>
        <v>258</v>
      </c>
      <c r="B260" s="330" t="s">
        <v>3517</v>
      </c>
      <c r="C260" s="330" t="s">
        <v>3529</v>
      </c>
      <c r="D260" s="330" t="s">
        <v>19</v>
      </c>
      <c r="E260" s="330" t="s">
        <v>3530</v>
      </c>
      <c r="F260" s="331">
        <v>44761</v>
      </c>
      <c r="G260" s="331">
        <v>44757</v>
      </c>
      <c r="H260" s="331"/>
      <c r="I260" s="331">
        <v>44761</v>
      </c>
      <c r="J260" s="330" t="s">
        <v>3536</v>
      </c>
      <c r="K260" s="332" t="s">
        <v>2032</v>
      </c>
      <c r="L260" s="171">
        <v>44858</v>
      </c>
      <c r="M260" s="168" t="s">
        <v>3533</v>
      </c>
      <c r="N260" s="169">
        <v>44876</v>
      </c>
      <c r="O260" s="168"/>
      <c r="P260" s="168">
        <v>8500</v>
      </c>
      <c r="Q260" s="168" t="s">
        <v>35</v>
      </c>
      <c r="R260" s="168" t="s">
        <v>22</v>
      </c>
    </row>
    <row r="261" spans="1:18">
      <c r="A261" s="330">
        <f>COUNTA($D$3:$D$261)</f>
        <v>259</v>
      </c>
      <c r="B261" s="330" t="s">
        <v>3488</v>
      </c>
      <c r="C261" s="330" t="s">
        <v>37</v>
      </c>
      <c r="D261" s="330" t="s">
        <v>30</v>
      </c>
      <c r="E261" s="330" t="s">
        <v>3489</v>
      </c>
      <c r="F261" s="331">
        <v>44768</v>
      </c>
      <c r="G261" s="331">
        <v>44764</v>
      </c>
      <c r="H261" s="331"/>
      <c r="I261" s="331">
        <v>44768</v>
      </c>
      <c r="J261" s="330" t="s">
        <v>1662</v>
      </c>
      <c r="K261" s="332" t="s">
        <v>1274</v>
      </c>
      <c r="L261" s="171">
        <v>44858</v>
      </c>
      <c r="M261" s="168"/>
      <c r="O261" s="168"/>
      <c r="P261" s="168">
        <v>1958.3333333333333</v>
      </c>
      <c r="Q261" s="168" t="s">
        <v>35</v>
      </c>
      <c r="R261" s="168" t="s">
        <v>129</v>
      </c>
    </row>
    <row r="262" spans="1:18" hidden="1">
      <c r="A262" s="330">
        <f>COUNTA($D$3:$D$262)</f>
        <v>260</v>
      </c>
      <c r="B262" s="330" t="s">
        <v>3537</v>
      </c>
      <c r="C262" s="330" t="s">
        <v>2345</v>
      </c>
      <c r="D262" s="330" t="s">
        <v>3538</v>
      </c>
      <c r="E262" s="330" t="s">
        <v>3539</v>
      </c>
      <c r="F262" s="331" t="s">
        <v>55</v>
      </c>
      <c r="G262" s="331"/>
      <c r="H262" s="331">
        <v>44767</v>
      </c>
      <c r="I262" s="331" t="s">
        <v>55</v>
      </c>
      <c r="J262" s="330" t="s">
        <v>3572</v>
      </c>
      <c r="K262" s="332" t="s">
        <v>1287</v>
      </c>
      <c r="L262" s="171">
        <v>44858</v>
      </c>
      <c r="M262" s="168" t="s">
        <v>4181</v>
      </c>
      <c r="N262" s="169">
        <v>44868</v>
      </c>
      <c r="O262" s="168"/>
      <c r="P262" s="168"/>
      <c r="Q262" s="168" t="s">
        <v>28</v>
      </c>
      <c r="R262" s="168" t="s">
        <v>129</v>
      </c>
    </row>
    <row r="263" spans="1:18" hidden="1">
      <c r="A263" s="330">
        <f>COUNTA($D$3:$D$263)</f>
        <v>261</v>
      </c>
      <c r="B263" s="330" t="s">
        <v>3462</v>
      </c>
      <c r="C263" s="330" t="s">
        <v>21</v>
      </c>
      <c r="D263" s="330" t="s">
        <v>30</v>
      </c>
      <c r="E263" s="330" t="s">
        <v>1204</v>
      </c>
      <c r="F263" s="331">
        <v>44757</v>
      </c>
      <c r="G263" s="331">
        <v>44753</v>
      </c>
      <c r="H263" s="331"/>
      <c r="I263" s="331">
        <v>44757</v>
      </c>
      <c r="J263" s="330" t="s">
        <v>1485</v>
      </c>
      <c r="K263" s="332" t="s">
        <v>1274</v>
      </c>
      <c r="L263" s="171">
        <v>44847</v>
      </c>
      <c r="M263" s="168" t="s">
        <v>4105</v>
      </c>
      <c r="N263" s="169">
        <v>44907</v>
      </c>
      <c r="O263" s="168"/>
      <c r="P263" s="168">
        <v>1541.6666666666667</v>
      </c>
      <c r="Q263" s="168" t="s">
        <v>35</v>
      </c>
      <c r="R263" s="168" t="s">
        <v>129</v>
      </c>
    </row>
    <row r="264" spans="1:18" hidden="1">
      <c r="A264" s="330">
        <f>COUNTA($D$3:$D$264)</f>
        <v>262</v>
      </c>
      <c r="B264" s="330" t="s">
        <v>3988</v>
      </c>
      <c r="C264" s="330" t="s">
        <v>3989</v>
      </c>
      <c r="D264" s="330" t="s">
        <v>38</v>
      </c>
      <c r="E264" s="330" t="s">
        <v>3990</v>
      </c>
      <c r="F264" s="331">
        <v>44833</v>
      </c>
      <c r="G264" s="331">
        <v>44833</v>
      </c>
      <c r="H264" s="331"/>
      <c r="I264" s="331">
        <v>44833</v>
      </c>
      <c r="J264" s="330" t="s">
        <v>1485</v>
      </c>
      <c r="K264" s="332" t="s">
        <v>287</v>
      </c>
      <c r="L264" s="171">
        <v>44847</v>
      </c>
      <c r="M264" s="168" t="s">
        <v>4147</v>
      </c>
      <c r="N264" s="169">
        <v>44847</v>
      </c>
      <c r="O264" s="168"/>
      <c r="P264" s="168">
        <v>1291.6666666666667</v>
      </c>
      <c r="Q264" s="168" t="s">
        <v>35</v>
      </c>
      <c r="R264" s="168" t="s">
        <v>22</v>
      </c>
    </row>
    <row r="265" spans="1:18" hidden="1">
      <c r="A265" s="330">
        <f>COUNTA($D$3:$D$265)</f>
        <v>263</v>
      </c>
      <c r="B265" s="330" t="s">
        <v>3478</v>
      </c>
      <c r="C265" s="330" t="s">
        <v>21</v>
      </c>
      <c r="D265" s="330" t="s">
        <v>1264</v>
      </c>
      <c r="E265" s="330" t="s">
        <v>3479</v>
      </c>
      <c r="F265" s="331">
        <v>44768</v>
      </c>
      <c r="G265" s="331">
        <v>44764</v>
      </c>
      <c r="H265" s="331"/>
      <c r="I265" s="331">
        <v>44768</v>
      </c>
      <c r="J265" s="330" t="s">
        <v>1093</v>
      </c>
      <c r="K265" s="332" t="s">
        <v>1295</v>
      </c>
      <c r="L265" s="171">
        <v>44847</v>
      </c>
      <c r="M265" s="168" t="s">
        <v>4106</v>
      </c>
      <c r="N265" s="169">
        <v>44907</v>
      </c>
      <c r="O265" s="168"/>
      <c r="P265" s="168">
        <v>1750</v>
      </c>
      <c r="Q265" s="168" t="s">
        <v>1726</v>
      </c>
      <c r="R265" s="168" t="s">
        <v>129</v>
      </c>
    </row>
    <row r="266" spans="1:18" hidden="1">
      <c r="A266" s="330">
        <f>COUNTA($D$3:$D$266)</f>
        <v>264</v>
      </c>
      <c r="B266" s="330" t="s">
        <v>3309</v>
      </c>
      <c r="C266" s="330" t="s">
        <v>21</v>
      </c>
      <c r="D266" s="330" t="s">
        <v>27</v>
      </c>
      <c r="E266" s="330" t="s">
        <v>3310</v>
      </c>
      <c r="F266" s="331">
        <v>44748</v>
      </c>
      <c r="G266" s="331">
        <v>44741</v>
      </c>
      <c r="H266" s="331"/>
      <c r="I266" s="331">
        <v>44748</v>
      </c>
      <c r="J266" s="330" t="s">
        <v>1093</v>
      </c>
      <c r="K266" s="332" t="s">
        <v>1287</v>
      </c>
      <c r="L266" s="171">
        <v>44847</v>
      </c>
      <c r="M266" s="168" t="s">
        <v>4013</v>
      </c>
      <c r="N266" s="169">
        <v>44907</v>
      </c>
      <c r="O266" s="168"/>
      <c r="P266" s="168">
        <v>9750</v>
      </c>
      <c r="Q266" s="168" t="s">
        <v>1726</v>
      </c>
      <c r="R266" s="168" t="s">
        <v>129</v>
      </c>
    </row>
    <row r="267" spans="1:18" hidden="1">
      <c r="A267" s="330">
        <f>COUNTA($D$3:$D$267)</f>
        <v>265</v>
      </c>
      <c r="B267" s="330" t="s">
        <v>3311</v>
      </c>
      <c r="C267" s="330" t="s">
        <v>21</v>
      </c>
      <c r="D267" s="330" t="s">
        <v>45</v>
      </c>
      <c r="E267" s="330" t="s">
        <v>3312</v>
      </c>
      <c r="F267" s="331">
        <v>44748</v>
      </c>
      <c r="G267" s="331">
        <v>44741</v>
      </c>
      <c r="H267" s="331"/>
      <c r="I267" s="331">
        <v>44748</v>
      </c>
      <c r="J267" s="330" t="s">
        <v>1639</v>
      </c>
      <c r="K267" s="332" t="s">
        <v>1287</v>
      </c>
      <c r="L267" s="171">
        <v>44847</v>
      </c>
      <c r="M267" s="168" t="s">
        <v>4103</v>
      </c>
      <c r="N267" s="169">
        <v>44907</v>
      </c>
      <c r="O267" s="168"/>
      <c r="P267" s="168">
        <v>1250</v>
      </c>
      <c r="Q267" s="168" t="s">
        <v>1726</v>
      </c>
      <c r="R267" s="168" t="s">
        <v>129</v>
      </c>
    </row>
    <row r="268" spans="1:18" hidden="1">
      <c r="A268" s="330">
        <f>COUNTA($D$3:$D$268)</f>
        <v>266</v>
      </c>
      <c r="B268" s="330" t="s">
        <v>3316</v>
      </c>
      <c r="C268" s="330" t="s">
        <v>21</v>
      </c>
      <c r="D268" s="330" t="s">
        <v>30</v>
      </c>
      <c r="E268" s="330" t="s">
        <v>3317</v>
      </c>
      <c r="F268" s="331" t="s">
        <v>55</v>
      </c>
      <c r="G268" s="331"/>
      <c r="H268" s="331">
        <v>44740</v>
      </c>
      <c r="I268" s="331" t="s">
        <v>55</v>
      </c>
      <c r="J268" s="330" t="s">
        <v>1723</v>
      </c>
      <c r="K268" s="332" t="s">
        <v>1274</v>
      </c>
      <c r="L268" s="171">
        <v>44847</v>
      </c>
      <c r="M268" s="168" t="s">
        <v>4104</v>
      </c>
      <c r="N268" s="169">
        <v>44844</v>
      </c>
      <c r="O268" s="168"/>
      <c r="P268" s="168"/>
      <c r="Q268" s="168" t="s">
        <v>28</v>
      </c>
      <c r="R268" s="168" t="s">
        <v>129</v>
      </c>
    </row>
    <row r="269" spans="1:18" hidden="1">
      <c r="A269" s="330">
        <f>COUNTA($D$3:$D$269)</f>
        <v>267</v>
      </c>
      <c r="B269" s="330" t="s">
        <v>3818</v>
      </c>
      <c r="C269" s="330" t="s">
        <v>109</v>
      </c>
      <c r="D269" s="330" t="s">
        <v>16</v>
      </c>
      <c r="E269" s="330" t="s">
        <v>1130</v>
      </c>
      <c r="F269" s="331">
        <v>44811</v>
      </c>
      <c r="G269" s="331">
        <v>44811</v>
      </c>
      <c r="H269" s="331"/>
      <c r="I269" s="331">
        <v>44811</v>
      </c>
      <c r="J269" s="330" t="s">
        <v>3851</v>
      </c>
      <c r="K269" s="332" t="s">
        <v>1287</v>
      </c>
      <c r="L269" s="171">
        <v>44839</v>
      </c>
      <c r="M269" s="168" t="s">
        <v>4046</v>
      </c>
      <c r="N269" s="169">
        <v>44813</v>
      </c>
      <c r="O269" s="168"/>
      <c r="P269" s="168">
        <v>6916.666666666667</v>
      </c>
      <c r="Q269" s="168" t="s">
        <v>35</v>
      </c>
      <c r="R269" s="168" t="s">
        <v>129</v>
      </c>
    </row>
    <row r="270" spans="1:18" hidden="1">
      <c r="A270" s="330">
        <f>COUNTA($D$3:$D$270)</f>
        <v>268</v>
      </c>
      <c r="B270" s="330" t="s">
        <v>3438</v>
      </c>
      <c r="C270" s="330" t="s">
        <v>3439</v>
      </c>
      <c r="D270" s="330" t="s">
        <v>1083</v>
      </c>
      <c r="E270" s="330" t="s">
        <v>3440</v>
      </c>
      <c r="F270" s="331">
        <v>44750</v>
      </c>
      <c r="G270" s="331">
        <v>44748</v>
      </c>
      <c r="H270" s="331"/>
      <c r="I270" s="331">
        <v>44750</v>
      </c>
      <c r="J270" s="330" t="s">
        <v>3441</v>
      </c>
      <c r="K270" s="332" t="s">
        <v>1295</v>
      </c>
      <c r="L270" s="171">
        <v>44839</v>
      </c>
      <c r="M270" s="168" t="s">
        <v>4044</v>
      </c>
      <c r="N270" s="169">
        <v>44784</v>
      </c>
      <c r="O270" s="168"/>
      <c r="P270" s="168">
        <v>8208.3333333333339</v>
      </c>
      <c r="Q270" s="168" t="s">
        <v>35</v>
      </c>
      <c r="R270" s="168" t="s">
        <v>129</v>
      </c>
    </row>
    <row r="271" spans="1:18">
      <c r="A271" s="330">
        <f>COUNTA($D$3:$D$271)</f>
        <v>269</v>
      </c>
      <c r="B271" s="330" t="s">
        <v>3894</v>
      </c>
      <c r="C271" s="330" t="s">
        <v>41</v>
      </c>
      <c r="D271" s="330" t="s">
        <v>1103</v>
      </c>
      <c r="E271" s="330" t="s">
        <v>3895</v>
      </c>
      <c r="F271" s="331" t="s">
        <v>66</v>
      </c>
      <c r="G271" s="331">
        <v>44813</v>
      </c>
      <c r="H271" s="331"/>
      <c r="I271" s="331" t="s">
        <v>66</v>
      </c>
      <c r="J271" s="330" t="s">
        <v>3896</v>
      </c>
      <c r="K271" s="332" t="s">
        <v>1294</v>
      </c>
      <c r="L271" s="171">
        <v>44839</v>
      </c>
      <c r="M271" s="168"/>
      <c r="O271" s="168"/>
      <c r="P271" s="168"/>
      <c r="Q271" s="168" t="s">
        <v>60</v>
      </c>
      <c r="R271" s="168" t="s">
        <v>22</v>
      </c>
    </row>
    <row r="272" spans="1:18">
      <c r="A272" s="330">
        <f>COUNTA($D$3:$D$272)</f>
        <v>270</v>
      </c>
      <c r="B272" s="330" t="s">
        <v>3854</v>
      </c>
      <c r="C272" s="330" t="s">
        <v>41</v>
      </c>
      <c r="D272" s="330" t="s">
        <v>19</v>
      </c>
      <c r="E272" s="330" t="s">
        <v>3075</v>
      </c>
      <c r="F272" s="331" t="s">
        <v>66</v>
      </c>
      <c r="G272" s="331">
        <v>44811</v>
      </c>
      <c r="H272" s="331"/>
      <c r="I272" s="331" t="s">
        <v>66</v>
      </c>
      <c r="J272" s="330" t="s">
        <v>3877</v>
      </c>
      <c r="K272" s="332" t="s">
        <v>1294</v>
      </c>
      <c r="L272" s="171">
        <v>44839</v>
      </c>
      <c r="M272" s="168"/>
      <c r="O272" s="168"/>
      <c r="P272" s="168"/>
      <c r="Q272" s="168" t="s">
        <v>60</v>
      </c>
      <c r="R272" s="168" t="s">
        <v>22</v>
      </c>
    </row>
    <row r="273" spans="1:18" hidden="1">
      <c r="A273" s="330">
        <f>COUNTA($D$3:$D$273)</f>
        <v>271</v>
      </c>
      <c r="B273" s="330" t="s">
        <v>3874</v>
      </c>
      <c r="C273" s="330" t="s">
        <v>41</v>
      </c>
      <c r="D273" s="330" t="s">
        <v>1201</v>
      </c>
      <c r="E273" s="330" t="s">
        <v>3629</v>
      </c>
      <c r="F273" s="331" t="s">
        <v>66</v>
      </c>
      <c r="G273" s="331">
        <v>44819</v>
      </c>
      <c r="H273" s="331"/>
      <c r="I273" s="331" t="s">
        <v>66</v>
      </c>
      <c r="J273" s="330" t="s">
        <v>2570</v>
      </c>
      <c r="K273" s="332" t="s">
        <v>1296</v>
      </c>
      <c r="L273" s="171">
        <v>44839</v>
      </c>
      <c r="M273" s="168" t="s">
        <v>4045</v>
      </c>
      <c r="N273" s="169">
        <v>44844</v>
      </c>
      <c r="O273" s="168"/>
      <c r="P273" s="168"/>
      <c r="Q273" s="168" t="s">
        <v>60</v>
      </c>
      <c r="R273" s="168" t="s">
        <v>129</v>
      </c>
    </row>
    <row r="274" spans="1:18" hidden="1">
      <c r="A274" s="330">
        <f>COUNTA($D$3:$D$274)</f>
        <v>272</v>
      </c>
      <c r="B274" s="330" t="s">
        <v>3594</v>
      </c>
      <c r="C274" s="330" t="s">
        <v>41</v>
      </c>
      <c r="D274" s="330" t="s">
        <v>32</v>
      </c>
      <c r="E274" s="330" t="s">
        <v>3595</v>
      </c>
      <c r="F274" s="331" t="s">
        <v>66</v>
      </c>
      <c r="G274" s="331">
        <v>44771</v>
      </c>
      <c r="H274" s="331"/>
      <c r="I274" s="331" t="s">
        <v>66</v>
      </c>
      <c r="J274" s="330" t="s">
        <v>3754</v>
      </c>
      <c r="K274" s="332" t="s">
        <v>1295</v>
      </c>
      <c r="L274" s="171">
        <v>44839</v>
      </c>
      <c r="M274" s="168" t="s">
        <v>4045</v>
      </c>
      <c r="N274" s="169">
        <v>44907</v>
      </c>
      <c r="O274" s="168"/>
      <c r="P274" s="168"/>
      <c r="Q274" s="168" t="s">
        <v>60</v>
      </c>
      <c r="R274" s="168" t="s">
        <v>129</v>
      </c>
    </row>
    <row r="275" spans="1:18" hidden="1">
      <c r="A275" s="330">
        <f>COUNTA($D$3:$D$275)</f>
        <v>273</v>
      </c>
      <c r="B275" s="330" t="s">
        <v>3614</v>
      </c>
      <c r="C275" s="330" t="s">
        <v>41</v>
      </c>
      <c r="D275" s="330" t="s">
        <v>56</v>
      </c>
      <c r="E275" s="330" t="s">
        <v>1238</v>
      </c>
      <c r="F275" s="331" t="s">
        <v>66</v>
      </c>
      <c r="G275" s="331">
        <v>44781</v>
      </c>
      <c r="H275" s="331"/>
      <c r="I275" s="331" t="s">
        <v>66</v>
      </c>
      <c r="J275" s="330" t="s">
        <v>3107</v>
      </c>
      <c r="K275" s="332" t="s">
        <v>2032</v>
      </c>
      <c r="L275" s="171">
        <v>44839</v>
      </c>
      <c r="M275" s="168"/>
      <c r="N275" s="169">
        <v>44988</v>
      </c>
      <c r="O275" s="168"/>
      <c r="P275" s="168"/>
      <c r="Q275" s="168" t="s">
        <v>60</v>
      </c>
      <c r="R275" s="168" t="s">
        <v>22</v>
      </c>
    </row>
    <row r="276" spans="1:18" hidden="1">
      <c r="A276" s="330">
        <f>COUNTA($D$3:$D$276)</f>
        <v>274</v>
      </c>
      <c r="B276" s="330" t="s">
        <v>3496</v>
      </c>
      <c r="C276" s="330" t="s">
        <v>41</v>
      </c>
      <c r="D276" s="330" t="s">
        <v>1103</v>
      </c>
      <c r="E276" s="330" t="s">
        <v>1108</v>
      </c>
      <c r="F276" s="331" t="s">
        <v>66</v>
      </c>
      <c r="G276" s="331">
        <v>44753</v>
      </c>
      <c r="H276" s="331"/>
      <c r="I276" s="331" t="s">
        <v>66</v>
      </c>
      <c r="J276" s="330" t="s">
        <v>2931</v>
      </c>
      <c r="K276" s="332" t="s">
        <v>1295</v>
      </c>
      <c r="L276" s="171">
        <v>44839</v>
      </c>
      <c r="M276" s="168" t="s">
        <v>4045</v>
      </c>
      <c r="N276" s="169">
        <v>44866</v>
      </c>
      <c r="O276" s="168"/>
      <c r="P276" s="168"/>
      <c r="Q276" s="168" t="s">
        <v>60</v>
      </c>
      <c r="R276" s="168" t="s">
        <v>129</v>
      </c>
    </row>
    <row r="277" spans="1:18" hidden="1">
      <c r="A277" s="330">
        <f>COUNTA($D$3:$D$277)</f>
        <v>275</v>
      </c>
      <c r="B277" s="330" t="s">
        <v>3774</v>
      </c>
      <c r="C277" s="330" t="s">
        <v>71</v>
      </c>
      <c r="D277" s="330" t="s">
        <v>27</v>
      </c>
      <c r="E277" s="330" t="s">
        <v>3775</v>
      </c>
      <c r="F277" s="331">
        <v>44802</v>
      </c>
      <c r="G277" s="331">
        <v>44795</v>
      </c>
      <c r="H277" s="331"/>
      <c r="I277" s="331">
        <v>44802</v>
      </c>
      <c r="J277" s="330" t="s">
        <v>1093</v>
      </c>
      <c r="K277" s="332"/>
      <c r="L277" s="171">
        <v>44832</v>
      </c>
      <c r="M277" s="168" t="s">
        <v>2380</v>
      </c>
      <c r="N277" s="169">
        <v>44823</v>
      </c>
      <c r="O277" s="168"/>
      <c r="P277" s="168">
        <v>9708.3333333333339</v>
      </c>
      <c r="Q277" s="168" t="s">
        <v>1726</v>
      </c>
      <c r="R277" s="168" t="s">
        <v>129</v>
      </c>
    </row>
    <row r="278" spans="1:18" hidden="1">
      <c r="A278" s="330">
        <f>COUNTA($D$3:$D$278)</f>
        <v>276</v>
      </c>
      <c r="B278" s="330" t="s">
        <v>3934</v>
      </c>
      <c r="C278" s="330" t="s">
        <v>41</v>
      </c>
      <c r="D278" s="330" t="s">
        <v>104</v>
      </c>
      <c r="E278" s="330" t="s">
        <v>293</v>
      </c>
      <c r="F278" s="331"/>
      <c r="G278" s="331"/>
      <c r="H278" s="331"/>
      <c r="I278" s="331"/>
      <c r="J278" s="330"/>
      <c r="K278" s="332"/>
      <c r="L278" s="171">
        <v>44832</v>
      </c>
      <c r="M278" s="168" t="s">
        <v>2217</v>
      </c>
      <c r="N278" s="169">
        <v>44866</v>
      </c>
      <c r="O278" s="168"/>
      <c r="P278" s="168"/>
      <c r="Q278" s="168" t="s">
        <v>1053</v>
      </c>
      <c r="R278" s="168" t="s">
        <v>22</v>
      </c>
    </row>
    <row r="279" spans="1:18" hidden="1">
      <c r="A279" s="330">
        <f>COUNTA($D$3:$D$279)</f>
        <v>277</v>
      </c>
      <c r="B279" s="330" t="s">
        <v>3459</v>
      </c>
      <c r="C279" s="330" t="s">
        <v>2854</v>
      </c>
      <c r="D279" s="330" t="s">
        <v>58</v>
      </c>
      <c r="E279" s="330" t="s">
        <v>3463</v>
      </c>
      <c r="F279" s="331">
        <v>44757</v>
      </c>
      <c r="G279" s="331">
        <v>44753</v>
      </c>
      <c r="H279" s="331"/>
      <c r="I279" s="331">
        <v>44757</v>
      </c>
      <c r="J279" s="330" t="s">
        <v>3464</v>
      </c>
      <c r="K279" s="332"/>
      <c r="L279" s="171">
        <v>44832</v>
      </c>
      <c r="M279" s="168" t="s">
        <v>2384</v>
      </c>
      <c r="N279" s="169">
        <v>44823</v>
      </c>
      <c r="O279" s="168"/>
      <c r="P279" s="168">
        <v>3083.3333333333335</v>
      </c>
      <c r="Q279" s="168" t="s">
        <v>35</v>
      </c>
      <c r="R279" s="168" t="s">
        <v>129</v>
      </c>
    </row>
    <row r="280" spans="1:18" hidden="1">
      <c r="A280" s="330">
        <f>COUNTA($D$3:$D$280)</f>
        <v>278</v>
      </c>
      <c r="B280" s="330" t="s">
        <v>3431</v>
      </c>
      <c r="C280" s="330" t="s">
        <v>57</v>
      </c>
      <c r="D280" s="330" t="s">
        <v>30</v>
      </c>
      <c r="E280" s="330" t="s">
        <v>2896</v>
      </c>
      <c r="F280" s="331">
        <v>44685</v>
      </c>
      <c r="G280" s="331">
        <v>44745</v>
      </c>
      <c r="H280" s="331"/>
      <c r="I280" s="331">
        <v>44685</v>
      </c>
      <c r="J280" s="330" t="s">
        <v>2897</v>
      </c>
      <c r="K280" s="332"/>
      <c r="L280" s="171">
        <v>44832</v>
      </c>
      <c r="M280" s="168"/>
      <c r="N280" s="169">
        <v>45083</v>
      </c>
      <c r="O280" s="168"/>
      <c r="P280" s="168">
        <v>14750</v>
      </c>
      <c r="Q280" s="168" t="s">
        <v>35</v>
      </c>
      <c r="R280" s="168" t="s">
        <v>22</v>
      </c>
    </row>
    <row r="281" spans="1:18">
      <c r="A281" s="330">
        <f>COUNTA($D$3:$D$281)</f>
        <v>279</v>
      </c>
      <c r="B281" s="330" t="s">
        <v>3244</v>
      </c>
      <c r="C281" s="330" t="s">
        <v>37</v>
      </c>
      <c r="D281" s="330" t="s">
        <v>45</v>
      </c>
      <c r="E281" s="330" t="s">
        <v>3255</v>
      </c>
      <c r="F281" s="331">
        <v>44748</v>
      </c>
      <c r="G281" s="331">
        <v>44729</v>
      </c>
      <c r="H281" s="331"/>
      <c r="I281" s="331">
        <v>44748</v>
      </c>
      <c r="J281" s="330" t="s">
        <v>1639</v>
      </c>
      <c r="K281" s="332" t="s">
        <v>1287</v>
      </c>
      <c r="L281" s="171">
        <v>44832</v>
      </c>
      <c r="M281" s="168"/>
      <c r="O281" s="168"/>
      <c r="P281" s="168">
        <v>1541.6666666666667</v>
      </c>
      <c r="Q281" s="168" t="s">
        <v>1726</v>
      </c>
      <c r="R281" s="168" t="s">
        <v>129</v>
      </c>
    </row>
    <row r="282" spans="1:18">
      <c r="A282" s="330">
        <f>COUNTA($D$3:$D$282)</f>
        <v>280</v>
      </c>
      <c r="B282" s="330" t="s">
        <v>3243</v>
      </c>
      <c r="C282" s="330" t="s">
        <v>37</v>
      </c>
      <c r="D282" s="330" t="s">
        <v>45</v>
      </c>
      <c r="E282" s="330" t="s">
        <v>3254</v>
      </c>
      <c r="F282" s="331">
        <v>44748</v>
      </c>
      <c r="G282" s="331">
        <v>44729</v>
      </c>
      <c r="H282" s="331"/>
      <c r="I282" s="331">
        <v>44748</v>
      </c>
      <c r="J282" s="330" t="s">
        <v>1639</v>
      </c>
      <c r="K282" s="332" t="s">
        <v>1287</v>
      </c>
      <c r="L282" s="171">
        <v>44832</v>
      </c>
      <c r="M282" s="168"/>
      <c r="O282" s="168"/>
      <c r="P282" s="168">
        <v>1541.6666666666667</v>
      </c>
      <c r="Q282" s="168" t="s">
        <v>1726</v>
      </c>
      <c r="R282" s="168" t="s">
        <v>129</v>
      </c>
    </row>
    <row r="283" spans="1:18" hidden="1">
      <c r="A283" s="330">
        <f>COUNTA($D$3:$D$283)</f>
        <v>281</v>
      </c>
      <c r="B283" s="330" t="s">
        <v>3245</v>
      </c>
      <c r="C283" s="330" t="s">
        <v>41</v>
      </c>
      <c r="D283" s="330" t="s">
        <v>23</v>
      </c>
      <c r="E283" s="330" t="s">
        <v>1272</v>
      </c>
      <c r="F283" s="331" t="s">
        <v>66</v>
      </c>
      <c r="G283" s="331">
        <v>44728</v>
      </c>
      <c r="H283" s="331"/>
      <c r="I283" s="331" t="s">
        <v>66</v>
      </c>
      <c r="J283" s="330" t="s">
        <v>3261</v>
      </c>
      <c r="K283" s="332" t="s">
        <v>1294</v>
      </c>
      <c r="L283" s="171">
        <v>44832</v>
      </c>
      <c r="M283" s="168" t="s">
        <v>2079</v>
      </c>
      <c r="N283" s="169">
        <v>44907</v>
      </c>
      <c r="O283" s="168"/>
      <c r="P283" s="168"/>
      <c r="Q283" s="168" t="s">
        <v>60</v>
      </c>
      <c r="R283" s="168" t="s">
        <v>22</v>
      </c>
    </row>
    <row r="284" spans="1:18" hidden="1">
      <c r="A284" s="330">
        <f>COUNTA($D$3:$D$284)</f>
        <v>282</v>
      </c>
      <c r="B284" s="330" t="s">
        <v>3289</v>
      </c>
      <c r="C284" s="330" t="s">
        <v>3290</v>
      </c>
      <c r="D284" s="330" t="s">
        <v>1098</v>
      </c>
      <c r="E284" s="330" t="s">
        <v>3291</v>
      </c>
      <c r="F284" s="331">
        <v>44748</v>
      </c>
      <c r="G284" s="331">
        <v>44741</v>
      </c>
      <c r="H284" s="331"/>
      <c r="I284" s="331">
        <v>44748</v>
      </c>
      <c r="J284" s="330" t="s">
        <v>1093</v>
      </c>
      <c r="K284" s="332" t="s">
        <v>1287</v>
      </c>
      <c r="L284" s="171">
        <v>44832</v>
      </c>
      <c r="M284" s="168" t="s">
        <v>4011</v>
      </c>
      <c r="N284" s="169">
        <v>44735</v>
      </c>
      <c r="O284" s="168"/>
      <c r="P284" s="168">
        <v>4958.333333333333</v>
      </c>
      <c r="Q284" s="168" t="s">
        <v>1726</v>
      </c>
      <c r="R284" s="168" t="s">
        <v>129</v>
      </c>
    </row>
    <row r="285" spans="1:18">
      <c r="A285" s="330">
        <f>COUNTA($D$3:$D$285)</f>
        <v>283</v>
      </c>
      <c r="B285" s="330" t="s">
        <v>3280</v>
      </c>
      <c r="C285" s="330" t="s">
        <v>2767</v>
      </c>
      <c r="D285" s="330" t="s">
        <v>16</v>
      </c>
      <c r="E285" s="330" t="s">
        <v>3281</v>
      </c>
      <c r="F285" s="331">
        <v>44753</v>
      </c>
      <c r="G285" s="331">
        <v>44741</v>
      </c>
      <c r="H285" s="331">
        <v>44792</v>
      </c>
      <c r="I285" s="331">
        <v>44753</v>
      </c>
      <c r="J285" s="330" t="s">
        <v>3335</v>
      </c>
      <c r="K285" s="332" t="s">
        <v>1295</v>
      </c>
      <c r="L285" s="171">
        <v>44832</v>
      </c>
      <c r="M285" s="168"/>
      <c r="O285" s="168"/>
      <c r="P285" s="168">
        <v>2916.6666666666665</v>
      </c>
      <c r="Q285" s="168" t="s">
        <v>28</v>
      </c>
      <c r="R285" s="168" t="s">
        <v>129</v>
      </c>
    </row>
    <row r="286" spans="1:18">
      <c r="A286" s="330">
        <f>COUNTA($D$3:$D$286)</f>
        <v>284</v>
      </c>
      <c r="B286" s="330" t="s">
        <v>3278</v>
      </c>
      <c r="C286" s="330" t="s">
        <v>2767</v>
      </c>
      <c r="D286" s="330" t="s">
        <v>16</v>
      </c>
      <c r="E286" s="330" t="s">
        <v>3279</v>
      </c>
      <c r="F286" s="331">
        <v>44753</v>
      </c>
      <c r="G286" s="331">
        <v>44745</v>
      </c>
      <c r="H286" s="331">
        <v>44792</v>
      </c>
      <c r="I286" s="331">
        <v>44753</v>
      </c>
      <c r="J286" s="330" t="s">
        <v>3334</v>
      </c>
      <c r="K286" s="332" t="s">
        <v>1295</v>
      </c>
      <c r="L286" s="171">
        <v>44832</v>
      </c>
      <c r="M286" s="168"/>
      <c r="O286" s="168"/>
      <c r="P286" s="168">
        <v>8333.3333333333339</v>
      </c>
      <c r="Q286" s="168" t="s">
        <v>28</v>
      </c>
      <c r="R286" s="168" t="s">
        <v>129</v>
      </c>
    </row>
    <row r="287" spans="1:18" hidden="1">
      <c r="A287" s="330">
        <f>COUNTA($D$3:$D$287)</f>
        <v>285</v>
      </c>
      <c r="B287" s="330" t="s">
        <v>3298</v>
      </c>
      <c r="C287" s="330" t="s">
        <v>3299</v>
      </c>
      <c r="D287" s="330" t="s">
        <v>1103</v>
      </c>
      <c r="E287" s="330" t="s">
        <v>3300</v>
      </c>
      <c r="F287" s="331">
        <v>44748</v>
      </c>
      <c r="G287" s="331">
        <v>44741</v>
      </c>
      <c r="H287" s="331">
        <v>44783</v>
      </c>
      <c r="I287" s="331">
        <v>44748</v>
      </c>
      <c r="J287" s="330" t="s">
        <v>3301</v>
      </c>
      <c r="K287" s="332" t="s">
        <v>1287</v>
      </c>
      <c r="L287" s="171">
        <v>44832</v>
      </c>
      <c r="M287" s="168" t="s">
        <v>4012</v>
      </c>
      <c r="N287" s="169">
        <v>44848</v>
      </c>
      <c r="O287" s="168"/>
      <c r="P287" s="168">
        <v>1333.3333333333333</v>
      </c>
      <c r="Q287" s="168" t="s">
        <v>28</v>
      </c>
      <c r="R287" s="168" t="s">
        <v>129</v>
      </c>
    </row>
    <row r="288" spans="1:18" hidden="1">
      <c r="A288" s="330">
        <f>COUNTA($D$3:$D$288)</f>
        <v>286</v>
      </c>
      <c r="B288" s="330" t="s">
        <v>3295</v>
      </c>
      <c r="C288" s="330" t="s">
        <v>3296</v>
      </c>
      <c r="D288" s="330" t="s">
        <v>36</v>
      </c>
      <c r="E288" s="330" t="s">
        <v>3297</v>
      </c>
      <c r="F288" s="331">
        <v>44748</v>
      </c>
      <c r="G288" s="331">
        <v>44745</v>
      </c>
      <c r="H288" s="331"/>
      <c r="I288" s="331">
        <v>44748</v>
      </c>
      <c r="J288" s="330" t="s">
        <v>3343</v>
      </c>
      <c r="K288" s="332" t="s">
        <v>1295</v>
      </c>
      <c r="L288" s="171">
        <v>44832</v>
      </c>
      <c r="M288" s="168"/>
      <c r="N288" s="169">
        <v>45114</v>
      </c>
      <c r="O288" s="168"/>
      <c r="P288" s="168">
        <v>5958.333333333333</v>
      </c>
      <c r="Q288" s="168" t="s">
        <v>35</v>
      </c>
      <c r="R288" s="168" t="s">
        <v>129</v>
      </c>
    </row>
    <row r="289" spans="1:18">
      <c r="A289" s="330">
        <f>COUNTA($D$3:$D$289)</f>
        <v>287</v>
      </c>
      <c r="B289" s="330" t="s">
        <v>3231</v>
      </c>
      <c r="C289" s="330" t="s">
        <v>37</v>
      </c>
      <c r="D289" s="330" t="s">
        <v>34</v>
      </c>
      <c r="E289" s="330" t="s">
        <v>3232</v>
      </c>
      <c r="F289" s="331">
        <v>44728</v>
      </c>
      <c r="G289" s="331">
        <v>44728</v>
      </c>
      <c r="H289" s="331"/>
      <c r="I289" s="331">
        <v>44728</v>
      </c>
      <c r="J289" s="330" t="s">
        <v>3233</v>
      </c>
      <c r="K289" s="332" t="s">
        <v>1296</v>
      </c>
      <c r="L289" s="171">
        <v>44824</v>
      </c>
      <c r="M289" s="168"/>
      <c r="O289" s="168"/>
      <c r="P289" s="168">
        <v>8708.3333333333339</v>
      </c>
      <c r="Q289" s="168" t="s">
        <v>35</v>
      </c>
      <c r="R289" s="168" t="s">
        <v>129</v>
      </c>
    </row>
    <row r="290" spans="1:18">
      <c r="A290" s="330">
        <f>COUNTA($D$3:$D$290)</f>
        <v>288</v>
      </c>
      <c r="B290" s="330" t="s">
        <v>3224</v>
      </c>
      <c r="C290" s="330" t="s">
        <v>37</v>
      </c>
      <c r="D290" s="330" t="s">
        <v>34</v>
      </c>
      <c r="E290" s="330" t="s">
        <v>1141</v>
      </c>
      <c r="F290" s="331">
        <v>44748</v>
      </c>
      <c r="G290" s="331">
        <v>44735</v>
      </c>
      <c r="H290" s="331"/>
      <c r="I290" s="331">
        <v>44748</v>
      </c>
      <c r="J290" s="330" t="s">
        <v>3225</v>
      </c>
      <c r="K290" s="332" t="s">
        <v>1287</v>
      </c>
      <c r="L290" s="171">
        <v>44824</v>
      </c>
      <c r="M290" s="168"/>
      <c r="O290" s="168"/>
      <c r="P290" s="168">
        <v>3666.6666666666665</v>
      </c>
      <c r="Q290" s="168" t="s">
        <v>35</v>
      </c>
      <c r="R290" s="168" t="s">
        <v>129</v>
      </c>
    </row>
    <row r="291" spans="1:18">
      <c r="A291" s="330">
        <f>COUNTA($D$3:$D$291)</f>
        <v>289</v>
      </c>
      <c r="B291" s="330" t="s">
        <v>3220</v>
      </c>
      <c r="C291" s="330" t="s">
        <v>37</v>
      </c>
      <c r="D291" s="330" t="s">
        <v>30</v>
      </c>
      <c r="E291" s="330" t="s">
        <v>3221</v>
      </c>
      <c r="F291" s="331">
        <v>44728</v>
      </c>
      <c r="G291" s="331">
        <v>44728</v>
      </c>
      <c r="H291" s="331"/>
      <c r="I291" s="331">
        <v>44728</v>
      </c>
      <c r="J291" s="330" t="s">
        <v>1485</v>
      </c>
      <c r="K291" s="332" t="s">
        <v>1287</v>
      </c>
      <c r="L291" s="171">
        <v>44824</v>
      </c>
      <c r="M291" s="168"/>
      <c r="O291" s="168"/>
      <c r="P291" s="168"/>
      <c r="Q291" s="168" t="s">
        <v>35</v>
      </c>
      <c r="R291" s="168" t="s">
        <v>129</v>
      </c>
    </row>
    <row r="292" spans="1:18">
      <c r="A292" s="330">
        <f>COUNTA($D$3:$D$292)</f>
        <v>290</v>
      </c>
      <c r="B292" s="330" t="s">
        <v>3214</v>
      </c>
      <c r="C292" s="330" t="s">
        <v>37</v>
      </c>
      <c r="D292" s="330" t="s">
        <v>30</v>
      </c>
      <c r="E292" s="330" t="s">
        <v>3215</v>
      </c>
      <c r="F292" s="331">
        <v>44728</v>
      </c>
      <c r="G292" s="331">
        <v>44728</v>
      </c>
      <c r="H292" s="331"/>
      <c r="I292" s="331">
        <v>44728</v>
      </c>
      <c r="J292" s="330" t="s">
        <v>3216</v>
      </c>
      <c r="K292" s="332" t="s">
        <v>1296</v>
      </c>
      <c r="L292" s="171">
        <v>44824</v>
      </c>
      <c r="M292" s="168"/>
      <c r="O292" s="168"/>
      <c r="P292" s="168"/>
      <c r="Q292" s="168" t="s">
        <v>35</v>
      </c>
      <c r="R292" s="168" t="s">
        <v>129</v>
      </c>
    </row>
    <row r="293" spans="1:18" hidden="1">
      <c r="A293" s="330">
        <f t="shared" ref="A293:A301" si="0">COUNTA($D$3:$D$293)</f>
        <v>291</v>
      </c>
      <c r="B293" s="330" t="s">
        <v>3210</v>
      </c>
      <c r="C293" s="330" t="s">
        <v>21</v>
      </c>
      <c r="D293" s="330" t="s">
        <v>30</v>
      </c>
      <c r="E293" s="330" t="s">
        <v>1890</v>
      </c>
      <c r="F293" s="331">
        <v>44728</v>
      </c>
      <c r="G293" s="331">
        <v>44728</v>
      </c>
      <c r="H293" s="331"/>
      <c r="I293" s="331">
        <v>44728</v>
      </c>
      <c r="J293" s="330" t="s">
        <v>3211</v>
      </c>
      <c r="K293" s="332" t="s">
        <v>1295</v>
      </c>
      <c r="L293" s="171">
        <v>44824</v>
      </c>
      <c r="M293" s="168" t="s">
        <v>3949</v>
      </c>
      <c r="N293" s="169">
        <v>44907</v>
      </c>
      <c r="O293" s="168"/>
      <c r="P293" s="168"/>
      <c r="Q293" s="168" t="s">
        <v>35</v>
      </c>
      <c r="R293" s="168" t="s">
        <v>129</v>
      </c>
    </row>
    <row r="294" spans="1:18" hidden="1">
      <c r="A294" s="330">
        <f t="shared" si="0"/>
        <v>291</v>
      </c>
      <c r="B294" s="330" t="s">
        <v>3164</v>
      </c>
      <c r="C294" s="330" t="s">
        <v>21</v>
      </c>
      <c r="D294" s="330" t="s">
        <v>3165</v>
      </c>
      <c r="E294" s="330" t="s">
        <v>3166</v>
      </c>
      <c r="F294" s="331">
        <v>44748</v>
      </c>
      <c r="G294" s="331">
        <v>44714</v>
      </c>
      <c r="H294" s="331"/>
      <c r="I294" s="331">
        <v>44748</v>
      </c>
      <c r="J294" s="330" t="s">
        <v>3167</v>
      </c>
      <c r="K294" s="332" t="s">
        <v>1295</v>
      </c>
      <c r="L294" s="151">
        <v>44824</v>
      </c>
      <c r="M294" t="s">
        <v>3949</v>
      </c>
      <c r="N294" s="169">
        <v>44907</v>
      </c>
      <c r="O294" s="168"/>
      <c r="Q294" t="s">
        <v>35</v>
      </c>
      <c r="R294" s="163" t="s">
        <v>129</v>
      </c>
    </row>
    <row r="295" spans="1:18" hidden="1">
      <c r="A295" s="330">
        <f t="shared" si="0"/>
        <v>291</v>
      </c>
      <c r="B295" s="330" t="s">
        <v>3158</v>
      </c>
      <c r="C295" s="330" t="s">
        <v>21</v>
      </c>
      <c r="D295" s="330" t="s">
        <v>30</v>
      </c>
      <c r="E295" s="330" t="s">
        <v>3159</v>
      </c>
      <c r="F295" s="331">
        <v>44748</v>
      </c>
      <c r="G295" s="331">
        <v>44728</v>
      </c>
      <c r="H295" s="331"/>
      <c r="I295" s="331">
        <v>44748</v>
      </c>
      <c r="J295" s="330" t="s">
        <v>3160</v>
      </c>
      <c r="K295" s="332" t="s">
        <v>1287</v>
      </c>
      <c r="L295" s="151">
        <v>44824</v>
      </c>
      <c r="M295" t="s">
        <v>3949</v>
      </c>
      <c r="N295" s="169">
        <v>44907</v>
      </c>
      <c r="O295" s="168"/>
      <c r="Q295" t="s">
        <v>35</v>
      </c>
      <c r="R295" s="163" t="s">
        <v>129</v>
      </c>
    </row>
    <row r="296" spans="1:18" hidden="1">
      <c r="A296" s="330">
        <f t="shared" si="0"/>
        <v>291</v>
      </c>
      <c r="B296" s="330" t="s">
        <v>3157</v>
      </c>
      <c r="C296" s="330" t="s">
        <v>21</v>
      </c>
      <c r="D296" s="330" t="s">
        <v>30</v>
      </c>
      <c r="E296" s="330" t="s">
        <v>1242</v>
      </c>
      <c r="F296" s="331">
        <v>44728</v>
      </c>
      <c r="G296" s="331">
        <v>44728</v>
      </c>
      <c r="H296" s="331"/>
      <c r="I296" s="331">
        <v>44728</v>
      </c>
      <c r="J296" s="330" t="s">
        <v>1679</v>
      </c>
      <c r="K296" s="332" t="s">
        <v>1296</v>
      </c>
      <c r="L296" s="151">
        <v>44824</v>
      </c>
      <c r="M296" t="s">
        <v>3949</v>
      </c>
      <c r="N296" s="169">
        <v>44804</v>
      </c>
      <c r="O296" s="168"/>
      <c r="Q296" t="s">
        <v>35</v>
      </c>
      <c r="R296" s="163" t="s">
        <v>129</v>
      </c>
    </row>
    <row r="297" spans="1:18" hidden="1">
      <c r="A297" s="330">
        <f t="shared" si="0"/>
        <v>291</v>
      </c>
      <c r="B297" s="330" t="s">
        <v>3118</v>
      </c>
      <c r="C297" s="330" t="s">
        <v>1106</v>
      </c>
      <c r="D297" s="330" t="s">
        <v>58</v>
      </c>
      <c r="E297" s="330" t="s">
        <v>1644</v>
      </c>
      <c r="F297" s="331">
        <v>44713</v>
      </c>
      <c r="G297" s="331">
        <v>44714</v>
      </c>
      <c r="H297" s="331"/>
      <c r="I297" s="331">
        <v>44713</v>
      </c>
      <c r="J297" s="330" t="s">
        <v>3194</v>
      </c>
      <c r="K297" s="332" t="s">
        <v>1295</v>
      </c>
      <c r="L297" s="151">
        <v>44824</v>
      </c>
      <c r="N297" s="169">
        <v>45127</v>
      </c>
      <c r="O297" s="168"/>
      <c r="Q297" t="s">
        <v>35</v>
      </c>
      <c r="R297" s="163" t="s">
        <v>129</v>
      </c>
    </row>
    <row r="298" spans="1:18">
      <c r="A298" s="330">
        <f t="shared" si="0"/>
        <v>291</v>
      </c>
      <c r="B298" s="330" t="s">
        <v>2990</v>
      </c>
      <c r="C298" s="330" t="s">
        <v>37</v>
      </c>
      <c r="D298" s="330" t="s">
        <v>30</v>
      </c>
      <c r="E298" s="330" t="s">
        <v>2991</v>
      </c>
      <c r="F298" s="331">
        <v>44714</v>
      </c>
      <c r="G298" s="331">
        <v>44689</v>
      </c>
      <c r="H298" s="331"/>
      <c r="I298" s="331">
        <v>44714</v>
      </c>
      <c r="J298" s="330" t="s">
        <v>1485</v>
      </c>
      <c r="K298" s="332" t="s">
        <v>1287</v>
      </c>
      <c r="L298" s="151">
        <v>44824</v>
      </c>
      <c r="O298" s="168"/>
      <c r="Q298" t="s">
        <v>35</v>
      </c>
      <c r="R298" s="163" t="s">
        <v>129</v>
      </c>
    </row>
    <row r="299" spans="1:18">
      <c r="A299" s="330">
        <f t="shared" si="0"/>
        <v>291</v>
      </c>
      <c r="B299" s="330" t="s">
        <v>2988</v>
      </c>
      <c r="C299" s="330" t="s">
        <v>37</v>
      </c>
      <c r="D299" s="330" t="s">
        <v>30</v>
      </c>
      <c r="E299" s="330" t="s">
        <v>2989</v>
      </c>
      <c r="F299" s="331">
        <v>44691</v>
      </c>
      <c r="G299" s="331">
        <v>44689</v>
      </c>
      <c r="H299" s="331"/>
      <c r="I299" s="331">
        <v>44691</v>
      </c>
      <c r="J299" s="330" t="s">
        <v>1485</v>
      </c>
      <c r="K299" s="332" t="s">
        <v>1274</v>
      </c>
      <c r="L299" s="151">
        <v>44824</v>
      </c>
      <c r="O299" s="168"/>
      <c r="Q299" t="s">
        <v>35</v>
      </c>
      <c r="R299" s="163" t="s">
        <v>129</v>
      </c>
    </row>
    <row r="300" spans="1:18" hidden="1">
      <c r="A300" s="330">
        <f t="shared" si="0"/>
        <v>291</v>
      </c>
      <c r="B300" s="330" t="s">
        <v>3821</v>
      </c>
      <c r="C300" s="330" t="s">
        <v>37</v>
      </c>
      <c r="D300" s="330" t="s">
        <v>45</v>
      </c>
      <c r="E300" s="330" t="s">
        <v>3822</v>
      </c>
      <c r="F300" s="331">
        <v>44803</v>
      </c>
      <c r="G300" s="331">
        <v>44804</v>
      </c>
      <c r="H300" s="331"/>
      <c r="I300" s="331">
        <v>44803</v>
      </c>
      <c r="J300" s="330" t="s">
        <v>1834</v>
      </c>
      <c r="K300" s="332" t="s">
        <v>1287</v>
      </c>
      <c r="L300" s="151">
        <v>44819</v>
      </c>
      <c r="M300" t="s">
        <v>3912</v>
      </c>
      <c r="N300" s="169">
        <v>44804</v>
      </c>
      <c r="O300" s="168"/>
      <c r="Q300" t="s">
        <v>1726</v>
      </c>
      <c r="R300" s="163" t="s">
        <v>129</v>
      </c>
    </row>
    <row r="301" spans="1:18">
      <c r="A301" s="330">
        <f t="shared" si="0"/>
        <v>291</v>
      </c>
      <c r="B301" s="330" t="s">
        <v>3238</v>
      </c>
      <c r="C301" s="330" t="s">
        <v>1168</v>
      </c>
      <c r="D301" s="330" t="s">
        <v>31</v>
      </c>
      <c r="E301" s="330" t="s">
        <v>3239</v>
      </c>
      <c r="F301" s="331">
        <v>44729</v>
      </c>
      <c r="G301" s="331">
        <v>44728</v>
      </c>
      <c r="H301" s="331"/>
      <c r="I301" s="331">
        <v>44729</v>
      </c>
      <c r="J301" s="330" t="s">
        <v>3240</v>
      </c>
      <c r="K301" s="332" t="s">
        <v>1294</v>
      </c>
      <c r="L301" s="151">
        <v>44819</v>
      </c>
      <c r="O301" s="168"/>
      <c r="Q301" t="s">
        <v>35</v>
      </c>
      <c r="R301" s="163" t="s">
        <v>22</v>
      </c>
    </row>
    <row r="302" spans="1:18" hidden="1">
      <c r="A302" s="330">
        <f>COUNTA($D$3:$D$302)</f>
        <v>300</v>
      </c>
      <c r="B302" s="330" t="s">
        <v>3212</v>
      </c>
      <c r="C302" s="330" t="s">
        <v>1090</v>
      </c>
      <c r="D302" s="330" t="s">
        <v>47</v>
      </c>
      <c r="E302" s="330" t="s">
        <v>1091</v>
      </c>
      <c r="F302" s="331">
        <v>44728</v>
      </c>
      <c r="G302" s="331">
        <v>44729</v>
      </c>
      <c r="H302" s="331"/>
      <c r="I302" s="331">
        <v>44728</v>
      </c>
      <c r="J302" s="330" t="s">
        <v>3213</v>
      </c>
      <c r="K302" s="332" t="s">
        <v>1294</v>
      </c>
      <c r="L302" s="171">
        <v>44819</v>
      </c>
      <c r="M302" t="s">
        <v>3918</v>
      </c>
      <c r="N302" s="169">
        <v>44895</v>
      </c>
      <c r="O302" s="168"/>
      <c r="Q302" t="s">
        <v>35</v>
      </c>
      <c r="R302" t="s">
        <v>22</v>
      </c>
    </row>
    <row r="303" spans="1:18" hidden="1">
      <c r="A303" s="330">
        <f>COUNTA($D$3:$D$303)</f>
        <v>301</v>
      </c>
      <c r="B303" s="330" t="s">
        <v>3152</v>
      </c>
      <c r="C303" s="330" t="s">
        <v>1752</v>
      </c>
      <c r="D303" s="330" t="s">
        <v>51</v>
      </c>
      <c r="E303" s="330" t="s">
        <v>3153</v>
      </c>
      <c r="F303" s="331">
        <v>44728</v>
      </c>
      <c r="G303" s="331">
        <v>44718</v>
      </c>
      <c r="H303" s="331"/>
      <c r="I303" s="331">
        <v>44728</v>
      </c>
      <c r="J303" s="330" t="s">
        <v>2597</v>
      </c>
      <c r="K303" s="332" t="s">
        <v>2032</v>
      </c>
      <c r="L303" s="171">
        <v>44819</v>
      </c>
      <c r="N303" s="169">
        <v>45083</v>
      </c>
      <c r="O303" s="168"/>
      <c r="Q303" t="s">
        <v>35</v>
      </c>
      <c r="R303" t="s">
        <v>22</v>
      </c>
    </row>
    <row r="304" spans="1:18" hidden="1">
      <c r="A304" s="330">
        <f>COUNTA($D$3:$D$304)</f>
        <v>302</v>
      </c>
      <c r="B304" s="330" t="s">
        <v>3098</v>
      </c>
      <c r="C304" s="330" t="s">
        <v>2370</v>
      </c>
      <c r="D304" s="330" t="s">
        <v>3099</v>
      </c>
      <c r="E304" s="330" t="s">
        <v>3100</v>
      </c>
      <c r="F304" s="331">
        <v>44714</v>
      </c>
      <c r="G304" s="331">
        <v>44708</v>
      </c>
      <c r="H304" s="331"/>
      <c r="I304" s="331">
        <v>44714</v>
      </c>
      <c r="J304" s="330" t="s">
        <v>3101</v>
      </c>
      <c r="K304" s="332" t="s">
        <v>2032</v>
      </c>
      <c r="L304" s="171">
        <v>44819</v>
      </c>
      <c r="M304" t="s">
        <v>3918</v>
      </c>
      <c r="N304" s="169">
        <v>44824</v>
      </c>
      <c r="O304" s="168"/>
      <c r="Q304" t="s">
        <v>35</v>
      </c>
      <c r="R304" t="s">
        <v>22</v>
      </c>
    </row>
    <row r="305" spans="1:18" hidden="1">
      <c r="A305" s="330">
        <f>COUNTA($D$3:$D$305)</f>
        <v>303</v>
      </c>
      <c r="B305" s="330" t="s">
        <v>2861</v>
      </c>
      <c r="C305" s="330" t="s">
        <v>2858</v>
      </c>
      <c r="D305" s="330" t="s">
        <v>2862</v>
      </c>
      <c r="E305" s="330" t="s">
        <v>2863</v>
      </c>
      <c r="F305" s="331">
        <v>44686</v>
      </c>
      <c r="G305" s="331">
        <v>44678</v>
      </c>
      <c r="H305" s="331"/>
      <c r="I305" s="331">
        <v>44686</v>
      </c>
      <c r="J305" s="330" t="s">
        <v>1093</v>
      </c>
      <c r="K305" s="332" t="s">
        <v>287</v>
      </c>
      <c r="L305" s="171">
        <v>44816</v>
      </c>
      <c r="M305" t="s">
        <v>3922</v>
      </c>
      <c r="N305" s="169">
        <v>44894</v>
      </c>
      <c r="O305" s="168"/>
      <c r="Q305" t="s">
        <v>3917</v>
      </c>
      <c r="R305" t="s">
        <v>22</v>
      </c>
    </row>
    <row r="306" spans="1:18" hidden="1">
      <c r="A306" s="330">
        <f>COUNTA($D$3:$D$306)</f>
        <v>304</v>
      </c>
      <c r="B306" s="330" t="s">
        <v>3146</v>
      </c>
      <c r="C306" s="330" t="s">
        <v>41</v>
      </c>
      <c r="D306" s="330" t="s">
        <v>1169</v>
      </c>
      <c r="E306" s="330" t="s">
        <v>3147</v>
      </c>
      <c r="F306" s="331" t="s">
        <v>66</v>
      </c>
      <c r="G306" s="331">
        <v>44728</v>
      </c>
      <c r="H306" s="331"/>
      <c r="I306" s="331" t="s">
        <v>66</v>
      </c>
      <c r="J306" s="330" t="s">
        <v>3241</v>
      </c>
      <c r="K306" s="332" t="s">
        <v>287</v>
      </c>
      <c r="L306" s="171">
        <v>44816</v>
      </c>
      <c r="M306" t="s">
        <v>3950</v>
      </c>
      <c r="N306" s="169">
        <v>44813</v>
      </c>
      <c r="O306" s="168"/>
      <c r="Q306" t="s">
        <v>3951</v>
      </c>
      <c r="R306" t="s">
        <v>22</v>
      </c>
    </row>
    <row r="307" spans="1:18">
      <c r="A307" s="330">
        <f>COUNTA($D$3:$D$307)</f>
        <v>305</v>
      </c>
      <c r="B307" s="330" t="s">
        <v>3070</v>
      </c>
      <c r="C307" s="330" t="s">
        <v>41</v>
      </c>
      <c r="D307" s="330" t="s">
        <v>3071</v>
      </c>
      <c r="E307" s="330" t="s">
        <v>3072</v>
      </c>
      <c r="F307" s="331" t="s">
        <v>66</v>
      </c>
      <c r="G307" s="331">
        <v>44708</v>
      </c>
      <c r="H307" s="331"/>
      <c r="I307" s="331" t="s">
        <v>66</v>
      </c>
      <c r="J307" s="330" t="s">
        <v>3073</v>
      </c>
      <c r="K307" s="332" t="s">
        <v>2032</v>
      </c>
      <c r="L307" s="171">
        <v>44816</v>
      </c>
      <c r="O307" s="168"/>
      <c r="Q307" t="s">
        <v>3951</v>
      </c>
      <c r="R307" t="s">
        <v>22</v>
      </c>
    </row>
    <row r="308" spans="1:18" hidden="1">
      <c r="A308" s="330">
        <f>COUNTA($D$3:$D$308)</f>
        <v>306</v>
      </c>
      <c r="B308" s="330" t="s">
        <v>3117</v>
      </c>
      <c r="C308" s="330" t="s">
        <v>2370</v>
      </c>
      <c r="D308" s="330" t="s">
        <v>30</v>
      </c>
      <c r="E308" s="330" t="s">
        <v>2106</v>
      </c>
      <c r="F308" s="331">
        <v>44714</v>
      </c>
      <c r="G308" s="331">
        <v>44708</v>
      </c>
      <c r="H308" s="331"/>
      <c r="I308" s="331">
        <v>44714</v>
      </c>
      <c r="J308" s="330" t="s">
        <v>2665</v>
      </c>
      <c r="K308" s="332" t="s">
        <v>2032</v>
      </c>
      <c r="L308" s="171">
        <v>44816</v>
      </c>
      <c r="M308" t="s">
        <v>3918</v>
      </c>
      <c r="N308" s="169">
        <v>44824</v>
      </c>
      <c r="O308" s="168"/>
      <c r="Q308" t="s">
        <v>35</v>
      </c>
      <c r="R308" t="s">
        <v>22</v>
      </c>
    </row>
    <row r="309" spans="1:18">
      <c r="A309" s="330">
        <f>COUNTA($D$3:$D$309)</f>
        <v>307</v>
      </c>
      <c r="B309" s="330" t="s">
        <v>3096</v>
      </c>
      <c r="C309" s="330" t="s">
        <v>1764</v>
      </c>
      <c r="D309" s="330" t="s">
        <v>19</v>
      </c>
      <c r="E309" s="330" t="s">
        <v>1765</v>
      </c>
      <c r="F309" s="331">
        <v>44714</v>
      </c>
      <c r="G309" s="331">
        <v>44708</v>
      </c>
      <c r="H309" s="331"/>
      <c r="I309" s="331">
        <v>44714</v>
      </c>
      <c r="J309" s="330" t="s">
        <v>3097</v>
      </c>
      <c r="K309" s="332" t="s">
        <v>287</v>
      </c>
      <c r="L309" s="171">
        <v>44816</v>
      </c>
      <c r="O309" s="168"/>
      <c r="Q309" t="s">
        <v>35</v>
      </c>
      <c r="R309" t="s">
        <v>22</v>
      </c>
    </row>
    <row r="310" spans="1:18" hidden="1">
      <c r="A310" s="330">
        <f>COUNTA($D$3:$D$310)</f>
        <v>308</v>
      </c>
      <c r="B310" s="330" t="s">
        <v>3743</v>
      </c>
      <c r="C310" s="330" t="s">
        <v>41</v>
      </c>
      <c r="D310" s="330" t="s">
        <v>49</v>
      </c>
      <c r="E310" s="330" t="s">
        <v>3744</v>
      </c>
      <c r="F310" s="331">
        <v>44802</v>
      </c>
      <c r="G310" s="331"/>
      <c r="H310" s="331"/>
      <c r="I310" s="331"/>
      <c r="J310" s="330"/>
      <c r="K310" s="332"/>
      <c r="L310" s="171">
        <v>44812</v>
      </c>
      <c r="M310" t="s">
        <v>3860</v>
      </c>
      <c r="N310" s="169">
        <v>44812</v>
      </c>
      <c r="O310" s="168"/>
      <c r="R310" t="s">
        <v>129</v>
      </c>
    </row>
    <row r="311" spans="1:18" hidden="1">
      <c r="A311" s="330">
        <f>COUNTA($D$3:$D$311)</f>
        <v>309</v>
      </c>
      <c r="B311" s="330" t="s">
        <v>3302</v>
      </c>
      <c r="C311" s="330" t="s">
        <v>3303</v>
      </c>
      <c r="D311" s="330" t="s">
        <v>1098</v>
      </c>
      <c r="E311" s="330" t="s">
        <v>3304</v>
      </c>
      <c r="F311" s="331">
        <v>44748</v>
      </c>
      <c r="G311" s="331">
        <v>44738</v>
      </c>
      <c r="H311" s="331"/>
      <c r="I311" s="331">
        <v>44748</v>
      </c>
      <c r="J311" s="330" t="s">
        <v>1093</v>
      </c>
      <c r="K311" s="332" t="s">
        <v>287</v>
      </c>
      <c r="L311" s="171">
        <v>44809</v>
      </c>
      <c r="M311" t="s">
        <v>3843</v>
      </c>
      <c r="N311" s="169">
        <v>44798</v>
      </c>
      <c r="O311" s="168"/>
      <c r="Q311" t="s">
        <v>1726</v>
      </c>
      <c r="R311" t="s">
        <v>129</v>
      </c>
    </row>
    <row r="312" spans="1:18" hidden="1">
      <c r="A312" s="330">
        <f>COUNTA($D$3:$D$312)</f>
        <v>310</v>
      </c>
      <c r="B312" s="330" t="s">
        <v>3751</v>
      </c>
      <c r="C312" s="330" t="s">
        <v>3752</v>
      </c>
      <c r="D312" s="330" t="s">
        <v>31</v>
      </c>
      <c r="E312" s="330" t="s">
        <v>3753</v>
      </c>
      <c r="F312" s="331"/>
      <c r="G312" s="331"/>
      <c r="H312" s="331"/>
      <c r="I312" s="331"/>
      <c r="J312" s="330" t="s">
        <v>459</v>
      </c>
      <c r="K312" s="332" t="s">
        <v>1295</v>
      </c>
      <c r="L312" s="148">
        <v>44798</v>
      </c>
      <c r="M312" s="10" t="s">
        <v>3792</v>
      </c>
      <c r="N312" s="169">
        <v>44789</v>
      </c>
      <c r="O312" s="168"/>
      <c r="Q312" t="s">
        <v>1053</v>
      </c>
      <c r="R312" t="s">
        <v>129</v>
      </c>
    </row>
    <row r="313" spans="1:18" hidden="1">
      <c r="A313" s="330">
        <f>COUNTA($D$3:$D$313)</f>
        <v>311</v>
      </c>
      <c r="B313" s="330" t="s">
        <v>2827</v>
      </c>
      <c r="C313" s="330" t="s">
        <v>1106</v>
      </c>
      <c r="D313" s="330" t="s">
        <v>45</v>
      </c>
      <c r="E313" s="330" t="s">
        <v>2828</v>
      </c>
      <c r="F313" s="331">
        <v>44677</v>
      </c>
      <c r="G313" s="331">
        <v>44672</v>
      </c>
      <c r="H313" s="331"/>
      <c r="I313" s="331">
        <v>44677</v>
      </c>
      <c r="J313" s="330" t="s">
        <v>1093</v>
      </c>
      <c r="K313" s="332"/>
      <c r="L313" s="148">
        <v>44791</v>
      </c>
      <c r="M313" t="s">
        <v>3762</v>
      </c>
      <c r="N313" s="169">
        <v>44844</v>
      </c>
      <c r="O313" s="168"/>
      <c r="Q313" t="s">
        <v>1055</v>
      </c>
      <c r="R313" t="s">
        <v>129</v>
      </c>
    </row>
    <row r="314" spans="1:18" hidden="1">
      <c r="A314" s="330">
        <f>COUNTA($D$3:$D$314)</f>
        <v>312</v>
      </c>
      <c r="B314" s="330" t="s">
        <v>3319</v>
      </c>
      <c r="C314" s="330" t="s">
        <v>3049</v>
      </c>
      <c r="D314" s="330" t="s">
        <v>31</v>
      </c>
      <c r="E314" s="330" t="s">
        <v>3050</v>
      </c>
      <c r="F314" s="331">
        <v>44748</v>
      </c>
      <c r="G314" s="331">
        <v>44738</v>
      </c>
      <c r="H314" s="331"/>
      <c r="I314" s="331">
        <v>44748</v>
      </c>
      <c r="J314" s="330" t="s">
        <v>1664</v>
      </c>
      <c r="K314" s="332" t="s">
        <v>1294</v>
      </c>
      <c r="L314" s="148">
        <v>44791</v>
      </c>
      <c r="M314" t="s">
        <v>3761</v>
      </c>
      <c r="N314" s="169">
        <v>44784</v>
      </c>
      <c r="O314" s="168"/>
      <c r="Q314" t="s">
        <v>35</v>
      </c>
      <c r="R314" t="s">
        <v>22</v>
      </c>
    </row>
    <row r="315" spans="1:18" hidden="1">
      <c r="A315" s="330">
        <f>COUNTA($D$3:$D$315)</f>
        <v>313</v>
      </c>
      <c r="B315" s="330" t="s">
        <v>3201</v>
      </c>
      <c r="C315" s="330" t="s">
        <v>3202</v>
      </c>
      <c r="D315" s="330" t="s">
        <v>1103</v>
      </c>
      <c r="E315" s="330" t="s">
        <v>1848</v>
      </c>
      <c r="F315" s="331">
        <v>44727</v>
      </c>
      <c r="G315" s="331">
        <v>44728</v>
      </c>
      <c r="H315" s="331"/>
      <c r="I315" s="331">
        <v>44727</v>
      </c>
      <c r="J315" s="330" t="s">
        <v>3203</v>
      </c>
      <c r="K315" s="332"/>
      <c r="L315" s="148">
        <v>44784</v>
      </c>
      <c r="N315" s="169">
        <v>45114</v>
      </c>
      <c r="O315" s="168"/>
      <c r="Q315" t="s">
        <v>35</v>
      </c>
      <c r="R315" t="s">
        <v>129</v>
      </c>
    </row>
    <row r="316" spans="1:18" hidden="1">
      <c r="A316" s="330">
        <f>COUNTA($D$3:$D$316)</f>
        <v>314</v>
      </c>
      <c r="B316" s="330" t="s">
        <v>3591</v>
      </c>
      <c r="C316" s="330" t="s">
        <v>44</v>
      </c>
      <c r="D316" s="330" t="s">
        <v>56</v>
      </c>
      <c r="E316" s="330" t="s">
        <v>118</v>
      </c>
      <c r="F316" s="331"/>
      <c r="G316" s="331"/>
      <c r="H316" s="331"/>
      <c r="I316" s="331"/>
      <c r="J316" s="330"/>
      <c r="K316" s="332" t="s">
        <v>1295</v>
      </c>
      <c r="L316" s="148">
        <v>44784</v>
      </c>
      <c r="M316" t="s">
        <v>3636</v>
      </c>
      <c r="N316" s="169">
        <v>44784</v>
      </c>
      <c r="O316" s="168"/>
      <c r="R316" t="s">
        <v>129</v>
      </c>
    </row>
    <row r="317" spans="1:18" hidden="1">
      <c r="A317" s="330">
        <f>COUNTA($D$3:$D$317)</f>
        <v>315</v>
      </c>
      <c r="B317" s="330" t="s">
        <v>3204</v>
      </c>
      <c r="C317" s="330" t="s">
        <v>3202</v>
      </c>
      <c r="D317" s="330" t="s">
        <v>16</v>
      </c>
      <c r="E317" s="330" t="s">
        <v>3205</v>
      </c>
      <c r="F317" s="331">
        <v>44727</v>
      </c>
      <c r="G317" s="331">
        <v>44728</v>
      </c>
      <c r="H317" s="331"/>
      <c r="I317" s="331">
        <v>44727</v>
      </c>
      <c r="J317" s="330" t="s">
        <v>3206</v>
      </c>
      <c r="K317" s="332"/>
      <c r="L317" s="148">
        <v>44784</v>
      </c>
      <c r="N317" s="169">
        <v>45114</v>
      </c>
      <c r="O317" s="168"/>
      <c r="Q317" t="s">
        <v>35</v>
      </c>
      <c r="R317" t="s">
        <v>129</v>
      </c>
    </row>
    <row r="318" spans="1:18" hidden="1">
      <c r="A318" s="330">
        <f>COUNTA($D$3:$D$318)</f>
        <v>316</v>
      </c>
      <c r="B318" s="330" t="s">
        <v>3515</v>
      </c>
      <c r="C318" s="330" t="s">
        <v>2484</v>
      </c>
      <c r="D318" s="330" t="s">
        <v>31</v>
      </c>
      <c r="E318" s="330" t="s">
        <v>3528</v>
      </c>
      <c r="F318" s="331">
        <v>44768</v>
      </c>
      <c r="G318" s="331">
        <v>44756</v>
      </c>
      <c r="H318" s="331"/>
      <c r="I318" s="331">
        <v>44768</v>
      </c>
      <c r="J318" s="330" t="s">
        <v>2944</v>
      </c>
      <c r="K318" s="332" t="s">
        <v>1294</v>
      </c>
      <c r="L318" s="148">
        <v>44784</v>
      </c>
      <c r="N318" s="169">
        <v>45083</v>
      </c>
      <c r="O318" s="168"/>
      <c r="Q318" t="s">
        <v>35</v>
      </c>
      <c r="R318" t="s">
        <v>22</v>
      </c>
    </row>
    <row r="319" spans="1:18" hidden="1">
      <c r="A319" s="330">
        <f>COUNTA($D$3:$D$319)</f>
        <v>317</v>
      </c>
      <c r="B319" s="330" t="s">
        <v>2787</v>
      </c>
      <c r="C319" s="330" t="s">
        <v>2788</v>
      </c>
      <c r="D319" s="330" t="s">
        <v>38</v>
      </c>
      <c r="E319" s="330" t="s">
        <v>2789</v>
      </c>
      <c r="F319" s="331">
        <v>44659</v>
      </c>
      <c r="G319" s="331">
        <v>44666</v>
      </c>
      <c r="H319" s="331"/>
      <c r="I319" s="331" t="s">
        <v>1294</v>
      </c>
      <c r="J319" s="330" t="s">
        <v>2790</v>
      </c>
      <c r="K319" s="332"/>
      <c r="L319" s="148">
        <v>44776</v>
      </c>
      <c r="M319" t="s">
        <v>1850</v>
      </c>
      <c r="N319" s="169">
        <v>44781</v>
      </c>
      <c r="O319" s="168"/>
      <c r="Q319" t="s">
        <v>35</v>
      </c>
      <c r="R319" t="s">
        <v>22</v>
      </c>
    </row>
    <row r="320" spans="1:18" hidden="1">
      <c r="A320" s="330">
        <f>COUNTA($D$3:$D$320)</f>
        <v>318</v>
      </c>
      <c r="B320" s="330" t="s">
        <v>2795</v>
      </c>
      <c r="C320" s="330" t="s">
        <v>2788</v>
      </c>
      <c r="D320" s="330" t="s">
        <v>38</v>
      </c>
      <c r="E320" s="330" t="s">
        <v>2796</v>
      </c>
      <c r="F320" s="331">
        <v>44666</v>
      </c>
      <c r="G320" s="331">
        <v>44666</v>
      </c>
      <c r="H320" s="331"/>
      <c r="I320" s="331">
        <v>44666</v>
      </c>
      <c r="J320" s="330" t="s">
        <v>2797</v>
      </c>
      <c r="K320" s="332" t="s">
        <v>287</v>
      </c>
      <c r="L320" s="148">
        <v>44776</v>
      </c>
      <c r="M320" t="s">
        <v>3623</v>
      </c>
      <c r="N320" s="169">
        <v>44781</v>
      </c>
      <c r="O320" s="168"/>
      <c r="Q320" t="s">
        <v>35</v>
      </c>
      <c r="R320" t="s">
        <v>22</v>
      </c>
    </row>
    <row r="321" spans="1:18" hidden="1">
      <c r="A321" s="330">
        <f>COUNTA($D$3:$D$321)</f>
        <v>319</v>
      </c>
      <c r="B321" s="330" t="s">
        <v>2791</v>
      </c>
      <c r="C321" s="330" t="s">
        <v>1165</v>
      </c>
      <c r="D321" s="330" t="s">
        <v>2792</v>
      </c>
      <c r="E321" s="330" t="s">
        <v>2793</v>
      </c>
      <c r="F321" s="331">
        <v>44666</v>
      </c>
      <c r="G321" s="331">
        <v>44666</v>
      </c>
      <c r="H321" s="331"/>
      <c r="I321" s="331">
        <v>44666</v>
      </c>
      <c r="J321" s="330" t="s">
        <v>2794</v>
      </c>
      <c r="K321" s="332" t="s">
        <v>2032</v>
      </c>
      <c r="L321" s="148">
        <v>44776</v>
      </c>
      <c r="M321" t="s">
        <v>3622</v>
      </c>
      <c r="N321" s="169">
        <v>44781</v>
      </c>
      <c r="O321" s="168"/>
      <c r="Q321" t="s">
        <v>35</v>
      </c>
      <c r="R321" t="s">
        <v>22</v>
      </c>
    </row>
    <row r="322" spans="1:18" hidden="1">
      <c r="A322" s="330">
        <f>COUNTA($D$3:$D$322)</f>
        <v>320</v>
      </c>
      <c r="B322" s="330" t="s">
        <v>3246</v>
      </c>
      <c r="C322" s="330" t="s">
        <v>2726</v>
      </c>
      <c r="D322" s="330" t="s">
        <v>31</v>
      </c>
      <c r="E322" s="330" t="s">
        <v>3263</v>
      </c>
      <c r="F322" s="331">
        <v>44728</v>
      </c>
      <c r="G322" s="331">
        <v>44728</v>
      </c>
      <c r="H322" s="331"/>
      <c r="I322" s="331">
        <v>44728</v>
      </c>
      <c r="J322" s="330" t="s">
        <v>3264</v>
      </c>
      <c r="K322" s="332" t="s">
        <v>287</v>
      </c>
      <c r="L322" s="148">
        <v>44776</v>
      </c>
      <c r="M322" t="s">
        <v>3612</v>
      </c>
      <c r="N322" s="169">
        <v>44781</v>
      </c>
      <c r="O322" s="168"/>
      <c r="Q322" t="s">
        <v>35</v>
      </c>
      <c r="R322" t="s">
        <v>22</v>
      </c>
    </row>
    <row r="323" spans="1:18" hidden="1">
      <c r="A323" s="330">
        <f>COUNTA($D$3:$D$323)</f>
        <v>321</v>
      </c>
      <c r="B323" s="330" t="s">
        <v>2823</v>
      </c>
      <c r="C323" s="330" t="s">
        <v>1106</v>
      </c>
      <c r="D323" s="330" t="s">
        <v>16</v>
      </c>
      <c r="E323" s="330" t="s">
        <v>2824</v>
      </c>
      <c r="F323" s="331">
        <v>44677</v>
      </c>
      <c r="G323" s="331">
        <v>44672</v>
      </c>
      <c r="H323" s="331"/>
      <c r="I323" s="331">
        <v>44677</v>
      </c>
      <c r="J323" s="330" t="s">
        <v>2885</v>
      </c>
      <c r="K323" s="332" t="s">
        <v>1287</v>
      </c>
      <c r="L323" s="148">
        <v>44776</v>
      </c>
      <c r="N323" s="169">
        <v>45124</v>
      </c>
      <c r="O323" s="168"/>
      <c r="Q323" t="s">
        <v>35</v>
      </c>
      <c r="R323" t="s">
        <v>129</v>
      </c>
    </row>
    <row r="324" spans="1:18" hidden="1">
      <c r="A324" s="330">
        <f>COUNTA($D$3:$D$324)</f>
        <v>322</v>
      </c>
      <c r="B324" s="330" t="s">
        <v>2821</v>
      </c>
      <c r="C324" s="330" t="s">
        <v>71</v>
      </c>
      <c r="D324" s="330" t="s">
        <v>16</v>
      </c>
      <c r="E324" s="330" t="s">
        <v>72</v>
      </c>
      <c r="F324" s="331">
        <v>44677</v>
      </c>
      <c r="G324" s="331">
        <v>44672</v>
      </c>
      <c r="H324" s="331"/>
      <c r="I324" s="331">
        <v>44677</v>
      </c>
      <c r="J324" s="330" t="s">
        <v>2597</v>
      </c>
      <c r="K324" s="332" t="s">
        <v>1287</v>
      </c>
      <c r="L324" s="148">
        <v>44776</v>
      </c>
      <c r="M324" t="s">
        <v>5638</v>
      </c>
      <c r="N324" s="169">
        <v>45131</v>
      </c>
      <c r="O324" s="168"/>
      <c r="Q324" t="s">
        <v>35</v>
      </c>
      <c r="R324" t="s">
        <v>129</v>
      </c>
    </row>
    <row r="325" spans="1:18" hidden="1">
      <c r="A325" s="330">
        <f>COUNTA($D$3:$D$325)</f>
        <v>323</v>
      </c>
      <c r="B325" s="330" t="s">
        <v>2841</v>
      </c>
      <c r="C325" s="330" t="s">
        <v>1106</v>
      </c>
      <c r="D325" s="330" t="s">
        <v>16</v>
      </c>
      <c r="E325" s="330" t="s">
        <v>2842</v>
      </c>
      <c r="F325" s="331">
        <v>44714</v>
      </c>
      <c r="G325" s="331">
        <v>44672</v>
      </c>
      <c r="H325" s="331">
        <v>44851</v>
      </c>
      <c r="I325" s="331">
        <v>44714</v>
      </c>
      <c r="J325" s="330" t="s">
        <v>1723</v>
      </c>
      <c r="K325" s="332" t="s">
        <v>1296</v>
      </c>
      <c r="L325" s="148">
        <v>44776</v>
      </c>
      <c r="M325" t="s">
        <v>3624</v>
      </c>
      <c r="N325" s="169">
        <v>44907</v>
      </c>
      <c r="O325" s="168"/>
      <c r="Q325" t="s">
        <v>35</v>
      </c>
      <c r="R325" t="s">
        <v>129</v>
      </c>
    </row>
    <row r="326" spans="1:18" hidden="1">
      <c r="A326" s="330">
        <f>COUNTA($D$3:$D$326)</f>
        <v>324</v>
      </c>
      <c r="B326" s="330" t="s">
        <v>2843</v>
      </c>
      <c r="C326" s="330" t="s">
        <v>1106</v>
      </c>
      <c r="D326" s="330" t="s">
        <v>16</v>
      </c>
      <c r="E326" s="330" t="s">
        <v>2844</v>
      </c>
      <c r="F326" s="331">
        <v>44687</v>
      </c>
      <c r="G326" s="331">
        <v>44672</v>
      </c>
      <c r="H326" s="331">
        <v>44851</v>
      </c>
      <c r="I326" s="331">
        <v>44687</v>
      </c>
      <c r="J326" s="330" t="s">
        <v>2845</v>
      </c>
      <c r="K326" s="332" t="s">
        <v>1295</v>
      </c>
      <c r="L326" s="148">
        <v>44776</v>
      </c>
      <c r="M326" t="s">
        <v>3625</v>
      </c>
      <c r="N326" s="169">
        <v>44907</v>
      </c>
      <c r="O326" s="168"/>
      <c r="Q326" t="s">
        <v>35</v>
      </c>
      <c r="R326" t="s">
        <v>129</v>
      </c>
    </row>
    <row r="327" spans="1:18" hidden="1">
      <c r="A327" s="330">
        <f>COUNTA($D$3:$D$327)</f>
        <v>325</v>
      </c>
      <c r="B327" s="330" t="s">
        <v>2864</v>
      </c>
      <c r="C327" s="330" t="s">
        <v>2858</v>
      </c>
      <c r="D327" s="330" t="s">
        <v>36</v>
      </c>
      <c r="E327" s="330" t="s">
        <v>2865</v>
      </c>
      <c r="F327" s="331">
        <v>44676</v>
      </c>
      <c r="G327" s="331">
        <v>44672</v>
      </c>
      <c r="H327" s="331"/>
      <c r="I327" s="331">
        <v>44676</v>
      </c>
      <c r="J327" s="330" t="s">
        <v>2866</v>
      </c>
      <c r="K327" s="332" t="s">
        <v>2032</v>
      </c>
      <c r="L327" s="148">
        <v>44776</v>
      </c>
      <c r="M327" t="s">
        <v>3627</v>
      </c>
      <c r="N327" s="169">
        <v>44894</v>
      </c>
      <c r="O327" s="168"/>
      <c r="Q327" t="s">
        <v>35</v>
      </c>
      <c r="R327" t="s">
        <v>22</v>
      </c>
    </row>
    <row r="328" spans="1:18" hidden="1">
      <c r="A328" s="330">
        <f>COUNTA($D$3:$D$328)</f>
        <v>326</v>
      </c>
      <c r="B328" s="330" t="s">
        <v>2867</v>
      </c>
      <c r="C328" s="330" t="s">
        <v>2858</v>
      </c>
      <c r="D328" s="330" t="s">
        <v>1103</v>
      </c>
      <c r="E328" s="330" t="s">
        <v>2868</v>
      </c>
      <c r="F328" s="331">
        <v>44686</v>
      </c>
      <c r="G328" s="331">
        <v>44672</v>
      </c>
      <c r="H328" s="331"/>
      <c r="I328" s="331">
        <v>44686</v>
      </c>
      <c r="J328" s="330" t="s">
        <v>2869</v>
      </c>
      <c r="K328" s="332" t="s">
        <v>2032</v>
      </c>
      <c r="L328" s="148">
        <v>44776</v>
      </c>
      <c r="M328" t="s">
        <v>3627</v>
      </c>
      <c r="N328" s="169">
        <v>44894</v>
      </c>
      <c r="O328" s="168"/>
      <c r="Q328" t="s">
        <v>35</v>
      </c>
      <c r="R328" t="s">
        <v>22</v>
      </c>
    </row>
    <row r="329" spans="1:18" hidden="1">
      <c r="A329" s="330">
        <f>COUNTA($D$3:$D$329)</f>
        <v>327</v>
      </c>
      <c r="B329" s="330" t="s">
        <v>2870</v>
      </c>
      <c r="C329" s="330" t="s">
        <v>2871</v>
      </c>
      <c r="D329" s="330" t="s">
        <v>36</v>
      </c>
      <c r="E329" s="330" t="s">
        <v>2872</v>
      </c>
      <c r="F329" s="331">
        <v>44714</v>
      </c>
      <c r="G329" s="331">
        <v>44672</v>
      </c>
      <c r="H329" s="331"/>
      <c r="I329" s="331">
        <v>44714</v>
      </c>
      <c r="J329" s="330" t="s">
        <v>2866</v>
      </c>
      <c r="K329" s="332" t="s">
        <v>1294</v>
      </c>
      <c r="L329" s="148">
        <v>44776</v>
      </c>
      <c r="N329" s="169">
        <v>45083</v>
      </c>
      <c r="O329" s="168"/>
      <c r="Q329" t="s">
        <v>35</v>
      </c>
      <c r="R329" t="s">
        <v>22</v>
      </c>
    </row>
    <row r="330" spans="1:18" hidden="1">
      <c r="A330" s="330">
        <f>COUNTA($D$3:$D$330)</f>
        <v>328</v>
      </c>
      <c r="B330" s="330" t="s">
        <v>3327</v>
      </c>
      <c r="C330" s="330" t="s">
        <v>3324</v>
      </c>
      <c r="D330" s="330" t="s">
        <v>16</v>
      </c>
      <c r="E330" s="330" t="s">
        <v>3328</v>
      </c>
      <c r="F330" s="331">
        <v>44741</v>
      </c>
      <c r="G330" s="331">
        <v>44738</v>
      </c>
      <c r="H330" s="331"/>
      <c r="I330" s="331">
        <v>44741</v>
      </c>
      <c r="J330" s="330" t="s">
        <v>1723</v>
      </c>
      <c r="K330" s="332" t="s">
        <v>2032</v>
      </c>
      <c r="L330" s="148">
        <v>44776</v>
      </c>
      <c r="M330" t="s">
        <v>3610</v>
      </c>
      <c r="N330" s="169">
        <v>44781</v>
      </c>
      <c r="O330" s="168"/>
      <c r="Q330" t="s">
        <v>35</v>
      </c>
      <c r="R330" t="s">
        <v>22</v>
      </c>
    </row>
    <row r="331" spans="1:18" hidden="1">
      <c r="A331" s="330">
        <f>COUNTA($D$3:$D$331)</f>
        <v>329</v>
      </c>
      <c r="B331" s="330" t="s">
        <v>2857</v>
      </c>
      <c r="C331" s="330" t="s">
        <v>2858</v>
      </c>
      <c r="D331" s="330" t="s">
        <v>2859</v>
      </c>
      <c r="E331" s="330" t="s">
        <v>2860</v>
      </c>
      <c r="F331" s="331">
        <v>44686</v>
      </c>
      <c r="G331" s="331">
        <v>44678</v>
      </c>
      <c r="H331" s="331"/>
      <c r="I331" s="331">
        <v>44686</v>
      </c>
      <c r="J331" s="330" t="s">
        <v>2950</v>
      </c>
      <c r="K331" s="332" t="s">
        <v>287</v>
      </c>
      <c r="L331" s="148">
        <v>44776</v>
      </c>
      <c r="M331" t="s">
        <v>3626</v>
      </c>
      <c r="N331" s="169">
        <v>44894</v>
      </c>
      <c r="O331" s="168"/>
      <c r="Q331" t="s">
        <v>1726</v>
      </c>
      <c r="R331" t="s">
        <v>22</v>
      </c>
    </row>
    <row r="332" spans="1:18" hidden="1">
      <c r="A332" s="330">
        <f>COUNTA($D$3:$D$332)</f>
        <v>330</v>
      </c>
      <c r="B332" s="330" t="s">
        <v>2921</v>
      </c>
      <c r="C332" s="330" t="s">
        <v>1168</v>
      </c>
      <c r="D332" s="330" t="s">
        <v>38</v>
      </c>
      <c r="E332" s="330" t="s">
        <v>2922</v>
      </c>
      <c r="F332" s="331">
        <v>44698</v>
      </c>
      <c r="G332" s="331">
        <v>44678</v>
      </c>
      <c r="H332" s="331">
        <v>44805</v>
      </c>
      <c r="I332" s="331">
        <v>44698</v>
      </c>
      <c r="J332" s="330" t="s">
        <v>2923</v>
      </c>
      <c r="K332" s="332" t="s">
        <v>287</v>
      </c>
      <c r="L332" s="148">
        <v>44776</v>
      </c>
      <c r="M332" t="s">
        <v>4064</v>
      </c>
      <c r="N332" s="169">
        <v>44844</v>
      </c>
      <c r="O332" s="168"/>
      <c r="Q332" t="s">
        <v>35</v>
      </c>
      <c r="R332" t="s">
        <v>22</v>
      </c>
    </row>
    <row r="333" spans="1:18" hidden="1">
      <c r="A333" s="330">
        <f>COUNTA($D$3:$D$333)</f>
        <v>331</v>
      </c>
      <c r="B333" s="330" t="s">
        <v>2926</v>
      </c>
      <c r="C333" s="330" t="s">
        <v>2927</v>
      </c>
      <c r="D333" s="330" t="s">
        <v>36</v>
      </c>
      <c r="E333" s="330" t="s">
        <v>2928</v>
      </c>
      <c r="F333" s="331">
        <v>44687</v>
      </c>
      <c r="G333" s="331">
        <v>44678</v>
      </c>
      <c r="H333" s="331"/>
      <c r="I333" s="331">
        <v>44687</v>
      </c>
      <c r="J333" s="330" t="s">
        <v>2929</v>
      </c>
      <c r="K333" s="332" t="s">
        <v>287</v>
      </c>
      <c r="L333" s="148">
        <v>44776</v>
      </c>
      <c r="N333" s="169">
        <v>45083</v>
      </c>
      <c r="O333" s="168"/>
      <c r="Q333" t="s">
        <v>35</v>
      </c>
      <c r="R333" t="s">
        <v>22</v>
      </c>
    </row>
    <row r="334" spans="1:18" hidden="1">
      <c r="A334" s="330">
        <f>COUNTA($D$3:$D$334)</f>
        <v>332</v>
      </c>
      <c r="B334" s="330" t="s">
        <v>3323</v>
      </c>
      <c r="C334" s="330" t="s">
        <v>3324</v>
      </c>
      <c r="D334" s="330" t="s">
        <v>1103</v>
      </c>
      <c r="E334" s="330" t="s">
        <v>3325</v>
      </c>
      <c r="F334" s="331">
        <v>44741</v>
      </c>
      <c r="G334" s="331">
        <v>44738</v>
      </c>
      <c r="H334" s="331"/>
      <c r="I334" s="331">
        <v>44741</v>
      </c>
      <c r="J334" s="330" t="s">
        <v>3326</v>
      </c>
      <c r="K334" s="332" t="s">
        <v>1294</v>
      </c>
      <c r="L334" s="148">
        <v>44776</v>
      </c>
      <c r="M334" t="s">
        <v>3609</v>
      </c>
      <c r="N334" s="169">
        <v>44781</v>
      </c>
      <c r="O334" s="168"/>
      <c r="Q334" t="s">
        <v>35</v>
      </c>
      <c r="R334" t="s">
        <v>22</v>
      </c>
    </row>
    <row r="335" spans="1:18" hidden="1">
      <c r="A335" s="330">
        <f>COUNTA($D$3:$D$335)</f>
        <v>333</v>
      </c>
      <c r="B335" s="330" t="s">
        <v>2972</v>
      </c>
      <c r="C335" s="330" t="s">
        <v>57</v>
      </c>
      <c r="D335" s="330" t="s">
        <v>27</v>
      </c>
      <c r="E335" s="330" t="s">
        <v>2973</v>
      </c>
      <c r="F335" s="331">
        <v>44714</v>
      </c>
      <c r="G335" s="331">
        <v>44700</v>
      </c>
      <c r="H335" s="331"/>
      <c r="I335" s="331">
        <v>44714</v>
      </c>
      <c r="J335" s="330" t="s">
        <v>1093</v>
      </c>
      <c r="K335" s="332" t="s">
        <v>287</v>
      </c>
      <c r="L335" s="148">
        <v>44771</v>
      </c>
      <c r="M335" t="s">
        <v>3563</v>
      </c>
      <c r="N335" s="169">
        <v>44781</v>
      </c>
      <c r="O335" s="168"/>
      <c r="Q335" t="s">
        <v>3611</v>
      </c>
      <c r="R335" t="s">
        <v>22</v>
      </c>
    </row>
    <row r="336" spans="1:18" hidden="1">
      <c r="A336" s="330">
        <f>COUNTA($D$3:$D$336)</f>
        <v>334</v>
      </c>
      <c r="B336" s="330" t="s">
        <v>2853</v>
      </c>
      <c r="C336" s="330" t="s">
        <v>2854</v>
      </c>
      <c r="D336" s="330" t="s">
        <v>16</v>
      </c>
      <c r="E336" s="330" t="s">
        <v>2855</v>
      </c>
      <c r="F336" s="331">
        <v>44690</v>
      </c>
      <c r="G336" s="331">
        <v>44680</v>
      </c>
      <c r="H336" s="331"/>
      <c r="I336" s="331">
        <v>44690</v>
      </c>
      <c r="J336" s="330" t="s">
        <v>2856</v>
      </c>
      <c r="K336" s="332"/>
      <c r="L336" s="148">
        <v>44764</v>
      </c>
      <c r="M336" t="s">
        <v>3512</v>
      </c>
      <c r="N336" s="169">
        <v>44781</v>
      </c>
      <c r="O336" s="168"/>
      <c r="Q336" t="s">
        <v>28</v>
      </c>
      <c r="R336" t="s">
        <v>129</v>
      </c>
    </row>
    <row r="337" spans="1:18" hidden="1">
      <c r="A337" s="330">
        <f>COUNTA($D$3:$D$337)</f>
        <v>335</v>
      </c>
      <c r="B337" s="330" t="s">
        <v>3168</v>
      </c>
      <c r="C337" s="330" t="s">
        <v>1092</v>
      </c>
      <c r="D337" s="330" t="s">
        <v>51</v>
      </c>
      <c r="E337" s="330" t="s">
        <v>3169</v>
      </c>
      <c r="F337" s="331">
        <v>44728</v>
      </c>
      <c r="G337" s="331">
        <v>44728</v>
      </c>
      <c r="H337" s="331"/>
      <c r="I337" s="331">
        <v>44728</v>
      </c>
      <c r="J337" s="330" t="s">
        <v>2202</v>
      </c>
      <c r="K337" s="332" t="s">
        <v>1287</v>
      </c>
      <c r="L337" s="148">
        <v>44764</v>
      </c>
      <c r="M337" t="s">
        <v>3513</v>
      </c>
      <c r="N337" s="169">
        <v>44781</v>
      </c>
      <c r="O337" s="168"/>
      <c r="Q337" t="s">
        <v>35</v>
      </c>
      <c r="R337" t="s">
        <v>129</v>
      </c>
    </row>
    <row r="338" spans="1:18" hidden="1">
      <c r="A338" s="330">
        <f>COUNTA($D$3:$D$338)</f>
        <v>336</v>
      </c>
      <c r="B338" s="330" t="s">
        <v>3122</v>
      </c>
      <c r="C338" s="330" t="s">
        <v>2431</v>
      </c>
      <c r="D338" s="330" t="s">
        <v>36</v>
      </c>
      <c r="E338" s="330" t="s">
        <v>3123</v>
      </c>
      <c r="F338" s="331">
        <v>44714</v>
      </c>
      <c r="G338" s="331">
        <v>44708</v>
      </c>
      <c r="H338" s="331">
        <v>45012</v>
      </c>
      <c r="I338" s="331">
        <v>44714</v>
      </c>
      <c r="J338" s="330" t="s">
        <v>3124</v>
      </c>
      <c r="K338" s="332" t="s">
        <v>1295</v>
      </c>
      <c r="L338" s="148">
        <v>44764</v>
      </c>
      <c r="M338" t="s">
        <v>4953</v>
      </c>
      <c r="N338" s="169">
        <v>45051</v>
      </c>
      <c r="O338" s="168"/>
      <c r="Q338" t="s">
        <v>28</v>
      </c>
      <c r="R338" t="s">
        <v>129</v>
      </c>
    </row>
    <row r="339" spans="1:18" hidden="1">
      <c r="A339" s="330">
        <f>COUNTA($D$3:$D$339)</f>
        <v>337</v>
      </c>
      <c r="B339" s="330" t="s">
        <v>3059</v>
      </c>
      <c r="C339" s="330" t="s">
        <v>40</v>
      </c>
      <c r="D339" s="330" t="s">
        <v>1126</v>
      </c>
      <c r="E339" s="330" t="s">
        <v>3060</v>
      </c>
      <c r="F339" s="331">
        <v>44706</v>
      </c>
      <c r="G339" s="331">
        <v>44700</v>
      </c>
      <c r="H339" s="331">
        <v>45155</v>
      </c>
      <c r="I339" s="331">
        <v>44706</v>
      </c>
      <c r="J339" s="330" t="s">
        <v>1707</v>
      </c>
      <c r="K339" s="332" t="s">
        <v>1295</v>
      </c>
      <c r="L339" s="148">
        <v>44764</v>
      </c>
      <c r="M339" t="s">
        <v>3532</v>
      </c>
      <c r="N339" s="169">
        <v>44767</v>
      </c>
      <c r="O339" s="168"/>
      <c r="Q339" t="s">
        <v>6198</v>
      </c>
      <c r="R339" t="s">
        <v>129</v>
      </c>
    </row>
    <row r="340" spans="1:18" hidden="1">
      <c r="A340" s="330">
        <f>COUNTA($D$3:$D$340)</f>
        <v>338</v>
      </c>
      <c r="B340" s="330" t="s">
        <v>3145</v>
      </c>
      <c r="C340" s="330" t="s">
        <v>1106</v>
      </c>
      <c r="D340" s="330" t="s">
        <v>58</v>
      </c>
      <c r="E340" s="330" t="s">
        <v>3142</v>
      </c>
      <c r="F340" s="331">
        <v>44713</v>
      </c>
      <c r="G340" s="331">
        <v>44714</v>
      </c>
      <c r="H340" s="331"/>
      <c r="I340" s="331">
        <v>44713</v>
      </c>
      <c r="J340" s="330" t="s">
        <v>1651</v>
      </c>
      <c r="K340" s="332" t="s">
        <v>1287</v>
      </c>
      <c r="L340" s="148">
        <v>44764</v>
      </c>
      <c r="N340" s="169">
        <v>45117</v>
      </c>
      <c r="O340" s="168"/>
      <c r="Q340" t="s">
        <v>35</v>
      </c>
      <c r="R340" t="s">
        <v>129</v>
      </c>
    </row>
    <row r="341" spans="1:18" hidden="1">
      <c r="A341" s="330">
        <f>COUNTA($D$3:$D$341)</f>
        <v>339</v>
      </c>
      <c r="B341" s="330" t="s">
        <v>3119</v>
      </c>
      <c r="C341" s="330" t="s">
        <v>1106</v>
      </c>
      <c r="D341" s="330" t="s">
        <v>16</v>
      </c>
      <c r="E341" s="330" t="s">
        <v>3120</v>
      </c>
      <c r="F341" s="331">
        <v>44713</v>
      </c>
      <c r="G341" s="331">
        <v>44708</v>
      </c>
      <c r="H341" s="331"/>
      <c r="I341" s="331">
        <v>44713</v>
      </c>
      <c r="J341" s="330" t="s">
        <v>1793</v>
      </c>
      <c r="K341" s="332" t="s">
        <v>1296</v>
      </c>
      <c r="L341" s="148">
        <v>44764</v>
      </c>
      <c r="M341" t="s">
        <v>3533</v>
      </c>
      <c r="N341" s="169">
        <v>44781</v>
      </c>
      <c r="O341" s="168"/>
      <c r="Q341" t="s">
        <v>35</v>
      </c>
      <c r="R341" t="s">
        <v>129</v>
      </c>
    </row>
    <row r="342" spans="1:18" hidden="1">
      <c r="A342" s="330">
        <f>COUNTA($D$3:$D$342)</f>
        <v>340</v>
      </c>
      <c r="B342" s="330" t="s">
        <v>2732</v>
      </c>
      <c r="C342" s="330" t="s">
        <v>41</v>
      </c>
      <c r="D342" s="330" t="s">
        <v>32</v>
      </c>
      <c r="E342" s="330" t="s">
        <v>2733</v>
      </c>
      <c r="F342" s="331"/>
      <c r="G342" s="331">
        <v>44658</v>
      </c>
      <c r="H342" s="331"/>
      <c r="I342" s="331"/>
      <c r="J342" s="330" t="s">
        <v>2779</v>
      </c>
      <c r="K342" s="332" t="s">
        <v>1287</v>
      </c>
      <c r="L342" s="148">
        <v>44754</v>
      </c>
      <c r="M342" t="s">
        <v>3469</v>
      </c>
      <c r="N342" s="169">
        <v>44781</v>
      </c>
      <c r="O342" s="168"/>
      <c r="Q342" t="s">
        <v>60</v>
      </c>
      <c r="R342" t="s">
        <v>129</v>
      </c>
    </row>
    <row r="343" spans="1:18" hidden="1">
      <c r="A343" s="330">
        <f>COUNTA($D$3:$D$343)</f>
        <v>341</v>
      </c>
      <c r="B343" s="330" t="s">
        <v>3128</v>
      </c>
      <c r="C343" s="330" t="s">
        <v>1119</v>
      </c>
      <c r="D343" s="330" t="s">
        <v>1121</v>
      </c>
      <c r="E343" s="330" t="s">
        <v>3129</v>
      </c>
      <c r="F343" s="331">
        <v>44718</v>
      </c>
      <c r="G343" s="331">
        <v>44714</v>
      </c>
      <c r="H343" s="331"/>
      <c r="I343" s="331">
        <v>44718</v>
      </c>
      <c r="J343" s="330" t="s">
        <v>3195</v>
      </c>
      <c r="K343" s="332" t="s">
        <v>1295</v>
      </c>
      <c r="L343" s="148">
        <v>44754</v>
      </c>
      <c r="M343" t="s">
        <v>3471</v>
      </c>
      <c r="N343" s="169">
        <v>44781</v>
      </c>
      <c r="O343" s="168"/>
      <c r="Q343" t="s">
        <v>35</v>
      </c>
      <c r="R343" t="s">
        <v>129</v>
      </c>
    </row>
    <row r="344" spans="1:18">
      <c r="A344" s="330">
        <f>COUNTA($D$3:$D$344)</f>
        <v>342</v>
      </c>
      <c r="B344" s="330" t="s">
        <v>2881</v>
      </c>
      <c r="C344" s="330" t="s">
        <v>2882</v>
      </c>
      <c r="D344" s="330" t="s">
        <v>49</v>
      </c>
      <c r="E344" s="330" t="s">
        <v>2883</v>
      </c>
      <c r="F344" s="331">
        <v>44690</v>
      </c>
      <c r="G344" s="331">
        <v>44680</v>
      </c>
      <c r="H344" s="331"/>
      <c r="I344" s="331">
        <v>44690</v>
      </c>
      <c r="J344" s="330" t="s">
        <v>2951</v>
      </c>
      <c r="K344" s="332" t="s">
        <v>1295</v>
      </c>
      <c r="L344" s="148">
        <v>44754</v>
      </c>
      <c r="O344" s="168"/>
      <c r="Q344" t="s">
        <v>35</v>
      </c>
      <c r="R344" t="s">
        <v>129</v>
      </c>
    </row>
    <row r="345" spans="1:18" hidden="1">
      <c r="A345" s="330">
        <f>COUNTA($D$3:$D$345)</f>
        <v>343</v>
      </c>
      <c r="B345" s="330" t="s">
        <v>2763</v>
      </c>
      <c r="C345" s="330" t="s">
        <v>2760</v>
      </c>
      <c r="D345" s="330" t="s">
        <v>16</v>
      </c>
      <c r="E345" s="330" t="s">
        <v>2764</v>
      </c>
      <c r="F345" s="331">
        <v>44657</v>
      </c>
      <c r="G345" s="331">
        <v>44658</v>
      </c>
      <c r="H345" s="331"/>
      <c r="I345" s="331">
        <v>44657</v>
      </c>
      <c r="J345" s="330" t="s">
        <v>2765</v>
      </c>
      <c r="K345" s="332" t="s">
        <v>1295</v>
      </c>
      <c r="L345" s="148">
        <v>44754</v>
      </c>
      <c r="N345" s="169">
        <v>45114</v>
      </c>
      <c r="O345" s="168"/>
      <c r="Q345" t="s">
        <v>35</v>
      </c>
      <c r="R345" t="s">
        <v>129</v>
      </c>
    </row>
    <row r="346" spans="1:18" hidden="1">
      <c r="A346" s="330">
        <f>COUNTA($D$3:$D$346)</f>
        <v>344</v>
      </c>
      <c r="B346" s="330" t="s">
        <v>2759</v>
      </c>
      <c r="C346" s="330" t="s">
        <v>2760</v>
      </c>
      <c r="D346" s="330" t="s">
        <v>16</v>
      </c>
      <c r="E346" s="330" t="s">
        <v>2761</v>
      </c>
      <c r="F346" s="331">
        <v>44657</v>
      </c>
      <c r="G346" s="331">
        <v>44658</v>
      </c>
      <c r="H346" s="331"/>
      <c r="I346" s="331">
        <v>44657</v>
      </c>
      <c r="J346" s="330" t="s">
        <v>2762</v>
      </c>
      <c r="K346" s="332" t="s">
        <v>1295</v>
      </c>
      <c r="L346" s="148">
        <v>44754</v>
      </c>
      <c r="N346" s="169">
        <v>44925</v>
      </c>
      <c r="O346" s="168"/>
      <c r="Q346" t="s">
        <v>35</v>
      </c>
      <c r="R346" t="s">
        <v>129</v>
      </c>
    </row>
    <row r="347" spans="1:18" hidden="1">
      <c r="A347" s="330">
        <f>COUNTA($D$3:$D$347)</f>
        <v>345</v>
      </c>
      <c r="B347" s="330" t="s">
        <v>2735</v>
      </c>
      <c r="C347" s="330" t="s">
        <v>21</v>
      </c>
      <c r="D347" s="330" t="s">
        <v>30</v>
      </c>
      <c r="E347" s="330" t="s">
        <v>2736</v>
      </c>
      <c r="F347" s="331">
        <v>44678</v>
      </c>
      <c r="G347" s="331">
        <v>44672</v>
      </c>
      <c r="H347" s="331"/>
      <c r="I347" s="331">
        <v>44678</v>
      </c>
      <c r="J347" s="330" t="s">
        <v>2780</v>
      </c>
      <c r="K347" s="332" t="s">
        <v>1287</v>
      </c>
      <c r="L347" s="148">
        <v>44754</v>
      </c>
      <c r="M347" t="s">
        <v>3468</v>
      </c>
      <c r="N347" s="169">
        <v>44907</v>
      </c>
      <c r="O347" s="168"/>
      <c r="Q347" t="s">
        <v>35</v>
      </c>
      <c r="R347" t="s">
        <v>129</v>
      </c>
    </row>
    <row r="348" spans="1:18">
      <c r="A348" s="330">
        <f>COUNTA($D$3:$D$348)</f>
        <v>346</v>
      </c>
      <c r="B348" s="330" t="s">
        <v>2678</v>
      </c>
      <c r="C348" s="330" t="s">
        <v>40</v>
      </c>
      <c r="D348" s="330" t="s">
        <v>30</v>
      </c>
      <c r="E348" s="330" t="s">
        <v>2679</v>
      </c>
      <c r="F348" s="331">
        <v>44657</v>
      </c>
      <c r="G348" s="331">
        <v>44651</v>
      </c>
      <c r="H348" s="331">
        <v>45155</v>
      </c>
      <c r="I348" s="331">
        <v>44657</v>
      </c>
      <c r="J348" s="330" t="s">
        <v>2737</v>
      </c>
      <c r="K348" s="332" t="s">
        <v>1287</v>
      </c>
      <c r="L348" s="148">
        <v>44754</v>
      </c>
      <c r="O348" s="168"/>
      <c r="Q348" t="s">
        <v>28</v>
      </c>
      <c r="R348" t="s">
        <v>129</v>
      </c>
    </row>
    <row r="349" spans="1:18" hidden="1">
      <c r="A349" s="330">
        <f>COUNTA($D$3:$D$349)</f>
        <v>347</v>
      </c>
      <c r="B349" s="330" t="s">
        <v>2643</v>
      </c>
      <c r="C349" s="330" t="s">
        <v>21</v>
      </c>
      <c r="D349" s="330" t="s">
        <v>30</v>
      </c>
      <c r="E349" s="330" t="s">
        <v>2644</v>
      </c>
      <c r="F349" s="331">
        <v>44652</v>
      </c>
      <c r="G349" s="331">
        <v>44651</v>
      </c>
      <c r="H349" s="331"/>
      <c r="I349" s="331">
        <v>44652</v>
      </c>
      <c r="J349" s="330" t="s">
        <v>1662</v>
      </c>
      <c r="K349" s="332" t="s">
        <v>1274</v>
      </c>
      <c r="L349" s="148">
        <v>44754</v>
      </c>
      <c r="M349" t="s">
        <v>3468</v>
      </c>
      <c r="N349" s="169">
        <v>44748</v>
      </c>
      <c r="O349" s="168"/>
      <c r="Q349" t="s">
        <v>35</v>
      </c>
      <c r="R349" t="s">
        <v>129</v>
      </c>
    </row>
    <row r="350" spans="1:18" hidden="1">
      <c r="A350" s="330">
        <f>COUNTA($D$3:$D$350)</f>
        <v>348</v>
      </c>
      <c r="B350" s="330" t="s">
        <v>2617</v>
      </c>
      <c r="C350" s="330" t="s">
        <v>1106</v>
      </c>
      <c r="D350" s="330" t="s">
        <v>104</v>
      </c>
      <c r="E350" s="330" t="s">
        <v>2618</v>
      </c>
      <c r="F350" s="331">
        <v>44636</v>
      </c>
      <c r="G350" s="331">
        <v>44637</v>
      </c>
      <c r="H350" s="331"/>
      <c r="I350" s="331">
        <v>44636</v>
      </c>
      <c r="J350" s="330" t="s">
        <v>1992</v>
      </c>
      <c r="K350" s="332" t="s">
        <v>1295</v>
      </c>
      <c r="L350" s="148">
        <v>44754</v>
      </c>
      <c r="M350" t="s">
        <v>3468</v>
      </c>
      <c r="N350" s="169">
        <v>44748</v>
      </c>
      <c r="O350" s="168"/>
      <c r="Q350" t="s">
        <v>35</v>
      </c>
      <c r="R350" t="s">
        <v>129</v>
      </c>
    </row>
    <row r="351" spans="1:18">
      <c r="A351" s="330">
        <f>COUNTA($D$3:$D$351)</f>
        <v>349</v>
      </c>
      <c r="B351" s="330" t="s">
        <v>2615</v>
      </c>
      <c r="C351" s="330" t="s">
        <v>65</v>
      </c>
      <c r="D351" s="330" t="s">
        <v>16</v>
      </c>
      <c r="E351" s="330" t="s">
        <v>2616</v>
      </c>
      <c r="F351" s="331">
        <v>44630</v>
      </c>
      <c r="G351" s="331">
        <v>44637</v>
      </c>
      <c r="H351" s="331"/>
      <c r="I351" s="331">
        <v>44630</v>
      </c>
      <c r="J351" s="330" t="s">
        <v>2606</v>
      </c>
      <c r="K351" s="332" t="s">
        <v>1294</v>
      </c>
      <c r="L351" s="148">
        <v>44754</v>
      </c>
      <c r="O351" s="168"/>
      <c r="Q351" t="s">
        <v>35</v>
      </c>
      <c r="R351" t="s">
        <v>22</v>
      </c>
    </row>
    <row r="352" spans="1:18">
      <c r="A352" s="330">
        <f>COUNTA($D$3:$D$352)</f>
        <v>350</v>
      </c>
      <c r="B352" s="330" t="s">
        <v>2584</v>
      </c>
      <c r="C352" s="330" t="s">
        <v>65</v>
      </c>
      <c r="D352" s="330" t="s">
        <v>2585</v>
      </c>
      <c r="E352" s="330" t="s">
        <v>2586</v>
      </c>
      <c r="F352" s="331">
        <v>44628</v>
      </c>
      <c r="G352" s="331">
        <v>44630</v>
      </c>
      <c r="H352" s="331"/>
      <c r="I352" s="331">
        <v>44628</v>
      </c>
      <c r="J352" s="330" t="s">
        <v>2606</v>
      </c>
      <c r="K352" s="332" t="s">
        <v>1294</v>
      </c>
      <c r="L352" s="148">
        <v>44754</v>
      </c>
      <c r="O352" s="168"/>
      <c r="Q352" t="s">
        <v>35</v>
      </c>
      <c r="R352" t="s">
        <v>22</v>
      </c>
    </row>
    <row r="353" spans="1:18" hidden="1">
      <c r="A353" s="330">
        <f>COUNTA($D$3:$D$353)</f>
        <v>351</v>
      </c>
      <c r="B353" s="330" t="s">
        <v>2583</v>
      </c>
      <c r="C353" s="330" t="s">
        <v>2581</v>
      </c>
      <c r="D353" s="330" t="s">
        <v>64</v>
      </c>
      <c r="E353" s="330" t="s">
        <v>1837</v>
      </c>
      <c r="F353" s="331">
        <v>44627</v>
      </c>
      <c r="G353" s="331">
        <v>44631</v>
      </c>
      <c r="H353" s="331"/>
      <c r="I353" s="331">
        <v>44627</v>
      </c>
      <c r="J353" s="330" t="s">
        <v>1723</v>
      </c>
      <c r="K353" s="332" t="s">
        <v>1296</v>
      </c>
      <c r="L353" s="148">
        <v>44754</v>
      </c>
      <c r="M353" t="s">
        <v>3468</v>
      </c>
      <c r="N353" s="169">
        <v>44781</v>
      </c>
      <c r="O353" s="168"/>
      <c r="Q353" t="s">
        <v>35</v>
      </c>
      <c r="R353" t="s">
        <v>129</v>
      </c>
    </row>
    <row r="354" spans="1:18" hidden="1">
      <c r="A354" s="330">
        <f>COUNTA($D$3:$D$354)</f>
        <v>352</v>
      </c>
      <c r="B354" s="330" t="s">
        <v>2580</v>
      </c>
      <c r="C354" s="330" t="s">
        <v>2581</v>
      </c>
      <c r="D354" s="330" t="s">
        <v>64</v>
      </c>
      <c r="E354" s="330" t="s">
        <v>2582</v>
      </c>
      <c r="F354" s="331">
        <v>44627</v>
      </c>
      <c r="G354" s="331">
        <v>44631</v>
      </c>
      <c r="H354" s="331"/>
      <c r="I354" s="331">
        <v>44627</v>
      </c>
      <c r="J354" s="330" t="s">
        <v>2594</v>
      </c>
      <c r="K354" s="332" t="s">
        <v>1296</v>
      </c>
      <c r="L354" s="148">
        <v>44754</v>
      </c>
      <c r="M354" t="s">
        <v>3468</v>
      </c>
      <c r="N354" s="169">
        <v>44781</v>
      </c>
      <c r="O354" s="168"/>
      <c r="Q354" t="s">
        <v>35</v>
      </c>
      <c r="R354" t="s">
        <v>129</v>
      </c>
    </row>
    <row r="355" spans="1:18" hidden="1">
      <c r="A355" s="330">
        <f>COUNTA($D$3:$D$355)</f>
        <v>353</v>
      </c>
      <c r="B355" s="330" t="s">
        <v>3292</v>
      </c>
      <c r="C355" s="330" t="s">
        <v>3293</v>
      </c>
      <c r="D355" s="330" t="s">
        <v>38</v>
      </c>
      <c r="E355" s="330" t="s">
        <v>3294</v>
      </c>
      <c r="F355" s="331"/>
      <c r="G355" s="331"/>
      <c r="H355" s="331"/>
      <c r="I355" s="331"/>
      <c r="J355" s="330" t="s">
        <v>1723</v>
      </c>
      <c r="K355" s="332"/>
      <c r="L355" s="148">
        <v>44745</v>
      </c>
      <c r="M355" t="s">
        <v>2959</v>
      </c>
      <c r="N355" s="169">
        <v>44740</v>
      </c>
      <c r="O355" s="168"/>
      <c r="R355" t="s">
        <v>129</v>
      </c>
    </row>
    <row r="356" spans="1:18" hidden="1">
      <c r="A356" s="330">
        <f>COUNTA($D$3:$D$356)</f>
        <v>354</v>
      </c>
      <c r="B356" s="330" t="s">
        <v>3228</v>
      </c>
      <c r="C356" s="330" t="s">
        <v>3229</v>
      </c>
      <c r="D356" s="330" t="s">
        <v>1083</v>
      </c>
      <c r="E356" s="330" t="s">
        <v>3230</v>
      </c>
      <c r="F356" s="331"/>
      <c r="G356" s="331"/>
      <c r="H356" s="331"/>
      <c r="I356" s="331"/>
      <c r="J356" s="330" t="s">
        <v>3253</v>
      </c>
      <c r="K356" s="332" t="s">
        <v>1294</v>
      </c>
      <c r="L356" s="148">
        <v>44745</v>
      </c>
      <c r="M356" t="s">
        <v>3340</v>
      </c>
      <c r="N356" s="169">
        <v>44748</v>
      </c>
      <c r="O356" s="168"/>
      <c r="R356" t="s">
        <v>22</v>
      </c>
    </row>
    <row r="357" spans="1:18" hidden="1">
      <c r="A357" s="330">
        <f>COUNTA($D$3:$D$357)</f>
        <v>355</v>
      </c>
      <c r="B357" s="330" t="s">
        <v>3149</v>
      </c>
      <c r="C357" s="330" t="s">
        <v>109</v>
      </c>
      <c r="D357" s="330" t="s">
        <v>104</v>
      </c>
      <c r="E357" s="330" t="s">
        <v>3150</v>
      </c>
      <c r="F357" s="331">
        <v>44718</v>
      </c>
      <c r="G357" s="331">
        <v>44718</v>
      </c>
      <c r="H357" s="331"/>
      <c r="I357" s="331">
        <v>44718</v>
      </c>
      <c r="J357" s="330" t="s">
        <v>1723</v>
      </c>
      <c r="K357" s="332" t="s">
        <v>1295</v>
      </c>
      <c r="L357" s="148">
        <v>44738</v>
      </c>
      <c r="M357" t="s">
        <v>3456</v>
      </c>
      <c r="N357" s="169">
        <v>44728</v>
      </c>
      <c r="O357" s="168"/>
      <c r="Q357" t="s">
        <v>35</v>
      </c>
      <c r="R357" t="s">
        <v>129</v>
      </c>
    </row>
    <row r="358" spans="1:18" hidden="1">
      <c r="A358" s="330">
        <f>COUNTA($D$3:$D$358)</f>
        <v>356</v>
      </c>
      <c r="B358" s="330" t="s">
        <v>2976</v>
      </c>
      <c r="C358" s="330" t="s">
        <v>2977</v>
      </c>
      <c r="D358" s="330" t="s">
        <v>16</v>
      </c>
      <c r="E358" s="330" t="s">
        <v>2978</v>
      </c>
      <c r="F358" s="331">
        <v>44691</v>
      </c>
      <c r="G358" s="331">
        <v>44689</v>
      </c>
      <c r="H358" s="331"/>
      <c r="I358" s="331">
        <v>44691</v>
      </c>
      <c r="J358" s="330" t="s">
        <v>2480</v>
      </c>
      <c r="K358" s="332" t="s">
        <v>1274</v>
      </c>
      <c r="L358" s="148">
        <v>44738</v>
      </c>
      <c r="M358" t="s">
        <v>3283</v>
      </c>
      <c r="N358" s="169">
        <v>44727</v>
      </c>
      <c r="O358" s="168"/>
      <c r="Q358" t="s">
        <v>35</v>
      </c>
      <c r="R358" t="s">
        <v>129</v>
      </c>
    </row>
    <row r="359" spans="1:18" hidden="1">
      <c r="A359" s="330">
        <f>COUNTA($D$3:$D$359)</f>
        <v>357</v>
      </c>
      <c r="B359" s="330" t="s">
        <v>3178</v>
      </c>
      <c r="C359" s="330" t="s">
        <v>41</v>
      </c>
      <c r="D359" s="330" t="s">
        <v>3179</v>
      </c>
      <c r="E359" s="330" t="s">
        <v>3180</v>
      </c>
      <c r="F359" s="331"/>
      <c r="G359" s="331"/>
      <c r="H359" s="331"/>
      <c r="I359" s="331"/>
      <c r="J359" s="330" t="s">
        <v>1650</v>
      </c>
      <c r="K359" s="332" t="s">
        <v>1294</v>
      </c>
      <c r="L359" s="148">
        <v>44728</v>
      </c>
      <c r="M359" t="s">
        <v>3191</v>
      </c>
      <c r="N359" s="169">
        <v>44748</v>
      </c>
      <c r="O359" s="168"/>
      <c r="R359" t="s">
        <v>22</v>
      </c>
    </row>
    <row r="360" spans="1:18" hidden="1">
      <c r="A360" s="330">
        <f>COUNTA($D$3:$D$360)</f>
        <v>358</v>
      </c>
      <c r="B360" s="330" t="s">
        <v>3177</v>
      </c>
      <c r="C360" s="330" t="s">
        <v>41</v>
      </c>
      <c r="D360" s="330" t="s">
        <v>1166</v>
      </c>
      <c r="E360" s="330" t="s">
        <v>2193</v>
      </c>
      <c r="F360" s="331"/>
      <c r="G360" s="331"/>
      <c r="H360" s="331"/>
      <c r="I360" s="331"/>
      <c r="J360" s="330"/>
      <c r="K360" s="332" t="s">
        <v>18</v>
      </c>
      <c r="L360" s="148">
        <v>44728</v>
      </c>
      <c r="M360" t="s">
        <v>3191</v>
      </c>
      <c r="N360" s="169">
        <v>44748</v>
      </c>
      <c r="O360" s="168"/>
      <c r="R360" t="s">
        <v>22</v>
      </c>
    </row>
    <row r="361" spans="1:18" hidden="1">
      <c r="A361" s="330">
        <f>COUNTA($D$3:$D$361)</f>
        <v>359</v>
      </c>
      <c r="B361" s="330" t="s">
        <v>3181</v>
      </c>
      <c r="C361" s="330" t="s">
        <v>41</v>
      </c>
      <c r="D361" s="330" t="s">
        <v>2539</v>
      </c>
      <c r="E361" s="330" t="s">
        <v>2540</v>
      </c>
      <c r="F361" s="331"/>
      <c r="G361" s="331"/>
      <c r="H361" s="331"/>
      <c r="I361" s="331"/>
      <c r="J361" s="330" t="s">
        <v>1650</v>
      </c>
      <c r="K361" s="332" t="s">
        <v>1294</v>
      </c>
      <c r="L361" s="148">
        <v>44728</v>
      </c>
      <c r="M361" t="s">
        <v>3191</v>
      </c>
      <c r="N361" s="169">
        <v>44748</v>
      </c>
      <c r="O361" s="168"/>
      <c r="R361" t="s">
        <v>22</v>
      </c>
    </row>
    <row r="362" spans="1:18" hidden="1">
      <c r="A362" s="330">
        <f>COUNTA($D$3:$D$362)</f>
        <v>360</v>
      </c>
      <c r="B362" s="330" t="s">
        <v>2901</v>
      </c>
      <c r="C362" s="330" t="s">
        <v>57</v>
      </c>
      <c r="D362" s="330" t="s">
        <v>34</v>
      </c>
      <c r="E362" s="330" t="s">
        <v>2902</v>
      </c>
      <c r="F362" s="331">
        <v>44676</v>
      </c>
      <c r="G362" s="331">
        <v>44673</v>
      </c>
      <c r="H362" s="331">
        <v>44757</v>
      </c>
      <c r="I362" s="331">
        <v>44676</v>
      </c>
      <c r="J362" s="330" t="s">
        <v>2903</v>
      </c>
      <c r="K362" s="332"/>
      <c r="L362" s="148">
        <v>44728</v>
      </c>
      <c r="M362" t="s">
        <v>3187</v>
      </c>
      <c r="N362" s="169">
        <v>44895</v>
      </c>
      <c r="O362" s="168"/>
      <c r="Q362" t="s">
        <v>35</v>
      </c>
      <c r="R362" t="s">
        <v>22</v>
      </c>
    </row>
    <row r="363" spans="1:18" hidden="1">
      <c r="A363" s="330">
        <f>COUNTA($D$3:$D$363)</f>
        <v>361</v>
      </c>
      <c r="B363" s="330" t="s">
        <v>2892</v>
      </c>
      <c r="C363" s="330" t="s">
        <v>57</v>
      </c>
      <c r="D363" s="330" t="s">
        <v>16</v>
      </c>
      <c r="E363" s="330" t="s">
        <v>2893</v>
      </c>
      <c r="F363" s="331">
        <v>44676</v>
      </c>
      <c r="G363" s="331">
        <v>44673</v>
      </c>
      <c r="H363" s="331">
        <v>44757</v>
      </c>
      <c r="I363" s="331">
        <v>44676</v>
      </c>
      <c r="J363" s="330" t="s">
        <v>2894</v>
      </c>
      <c r="K363" s="332"/>
      <c r="L363" s="148">
        <v>44728</v>
      </c>
      <c r="M363" t="s">
        <v>3187</v>
      </c>
      <c r="N363" s="169">
        <v>44728</v>
      </c>
      <c r="O363" s="168"/>
      <c r="Q363" t="s">
        <v>35</v>
      </c>
      <c r="R363" t="s">
        <v>22</v>
      </c>
    </row>
    <row r="364" spans="1:18" hidden="1">
      <c r="A364" s="330">
        <f>COUNTA($D$3:$D$364)</f>
        <v>362</v>
      </c>
      <c r="B364" s="330" t="s">
        <v>2895</v>
      </c>
      <c r="C364" s="330" t="s">
        <v>57</v>
      </c>
      <c r="D364" s="330" t="s">
        <v>30</v>
      </c>
      <c r="E364" s="330" t="s">
        <v>2896</v>
      </c>
      <c r="F364" s="331">
        <v>44676</v>
      </c>
      <c r="G364" s="331">
        <v>44673</v>
      </c>
      <c r="H364" s="331"/>
      <c r="I364" s="331">
        <v>44676</v>
      </c>
      <c r="J364" s="330" t="s">
        <v>2897</v>
      </c>
      <c r="K364" s="332"/>
      <c r="L364" s="148">
        <v>44728</v>
      </c>
      <c r="M364" t="s">
        <v>3187</v>
      </c>
      <c r="N364" s="169">
        <v>44728</v>
      </c>
      <c r="O364" s="168"/>
      <c r="Q364" t="s">
        <v>35</v>
      </c>
      <c r="R364" t="s">
        <v>22</v>
      </c>
    </row>
    <row r="365" spans="1:18" hidden="1">
      <c r="A365" s="330">
        <f>COUNTA($D$3:$D$365)</f>
        <v>363</v>
      </c>
      <c r="B365" s="330" t="s">
        <v>3048</v>
      </c>
      <c r="C365" s="330" t="s">
        <v>3049</v>
      </c>
      <c r="D365" s="330" t="s">
        <v>31</v>
      </c>
      <c r="E365" s="330" t="s">
        <v>3050</v>
      </c>
      <c r="F365" s="331"/>
      <c r="G365" s="331">
        <v>44700</v>
      </c>
      <c r="H365" s="331"/>
      <c r="I365" s="331"/>
      <c r="J365" s="330" t="s">
        <v>3077</v>
      </c>
      <c r="K365" s="332" t="s">
        <v>1295</v>
      </c>
      <c r="L365" s="148">
        <v>44728</v>
      </c>
      <c r="M365" t="s">
        <v>3457</v>
      </c>
      <c r="N365" s="169">
        <v>44713</v>
      </c>
      <c r="O365" s="168"/>
      <c r="Q365" t="s">
        <v>1029</v>
      </c>
      <c r="R365" t="s">
        <v>129</v>
      </c>
    </row>
    <row r="366" spans="1:18" hidden="1">
      <c r="A366" s="330">
        <f>COUNTA($D$3:$D$366)</f>
        <v>364</v>
      </c>
      <c r="B366" s="330" t="s">
        <v>2592</v>
      </c>
      <c r="C366" s="330" t="s">
        <v>2590</v>
      </c>
      <c r="D366" s="330" t="s">
        <v>16</v>
      </c>
      <c r="E366" s="330" t="s">
        <v>2593</v>
      </c>
      <c r="F366" s="331">
        <v>44629</v>
      </c>
      <c r="G366" s="331">
        <v>44631</v>
      </c>
      <c r="H366" s="331"/>
      <c r="I366" s="331">
        <v>44629</v>
      </c>
      <c r="J366" s="330" t="s">
        <v>2608</v>
      </c>
      <c r="K366" s="332" t="s">
        <v>1295</v>
      </c>
      <c r="L366" s="148">
        <v>44728</v>
      </c>
      <c r="M366" t="s">
        <v>3184</v>
      </c>
      <c r="N366" s="169">
        <v>44655</v>
      </c>
      <c r="O366" s="168"/>
      <c r="Q366" t="s">
        <v>35</v>
      </c>
      <c r="R366" t="s">
        <v>129</v>
      </c>
    </row>
    <row r="367" spans="1:18" hidden="1">
      <c r="A367" s="330">
        <f>COUNTA($D$3:$D$367)</f>
        <v>365</v>
      </c>
      <c r="B367" s="330" t="s">
        <v>2589</v>
      </c>
      <c r="C367" s="330" t="s">
        <v>2590</v>
      </c>
      <c r="D367" s="330" t="s">
        <v>58</v>
      </c>
      <c r="E367" s="330" t="s">
        <v>2591</v>
      </c>
      <c r="F367" s="331">
        <v>44634</v>
      </c>
      <c r="G367" s="331">
        <v>44638</v>
      </c>
      <c r="H367" s="331"/>
      <c r="I367" s="331">
        <v>44634</v>
      </c>
      <c r="J367" s="330" t="s">
        <v>2607</v>
      </c>
      <c r="K367" s="332" t="s">
        <v>1295</v>
      </c>
      <c r="L367" s="148">
        <v>44728</v>
      </c>
      <c r="M367" t="s">
        <v>3184</v>
      </c>
      <c r="N367" s="169">
        <v>44655</v>
      </c>
      <c r="O367" s="168"/>
      <c r="Q367" t="s">
        <v>35</v>
      </c>
      <c r="R367" t="s">
        <v>129</v>
      </c>
    </row>
    <row r="368" spans="1:18" hidden="1">
      <c r="A368" s="330">
        <f>COUNTA($D$3:$D$368)</f>
        <v>366</v>
      </c>
      <c r="B368" s="330" t="s">
        <v>2974</v>
      </c>
      <c r="C368" s="330" t="s">
        <v>41</v>
      </c>
      <c r="D368" s="330" t="s">
        <v>32</v>
      </c>
      <c r="E368" s="330" t="s">
        <v>2108</v>
      </c>
      <c r="F368" s="331" t="s">
        <v>66</v>
      </c>
      <c r="G368" s="331">
        <v>44689</v>
      </c>
      <c r="H368" s="331"/>
      <c r="I368" s="331" t="s">
        <v>66</v>
      </c>
      <c r="J368" s="330" t="s">
        <v>2997</v>
      </c>
      <c r="K368" s="332" t="s">
        <v>2032</v>
      </c>
      <c r="L368" s="148">
        <v>44728</v>
      </c>
      <c r="M368" t="s">
        <v>3188</v>
      </c>
      <c r="N368" s="169">
        <v>44781</v>
      </c>
      <c r="O368" s="168"/>
      <c r="Q368" t="s">
        <v>60</v>
      </c>
      <c r="R368" t="s">
        <v>22</v>
      </c>
    </row>
    <row r="369" spans="1:18" hidden="1">
      <c r="A369" s="330">
        <f>COUNTA($D$3:$D$369)</f>
        <v>367</v>
      </c>
      <c r="B369" s="330" t="s">
        <v>2898</v>
      </c>
      <c r="C369" s="330" t="s">
        <v>57</v>
      </c>
      <c r="D369" s="330" t="s">
        <v>1103</v>
      </c>
      <c r="E369" s="330" t="s">
        <v>2899</v>
      </c>
      <c r="F369" s="331">
        <v>44676</v>
      </c>
      <c r="G369" s="331">
        <v>44673</v>
      </c>
      <c r="H369" s="331"/>
      <c r="I369" s="331">
        <v>44676</v>
      </c>
      <c r="J369" s="330" t="s">
        <v>2900</v>
      </c>
      <c r="K369" s="332" t="s">
        <v>1294</v>
      </c>
      <c r="L369" s="148">
        <v>44728</v>
      </c>
      <c r="M369" t="s">
        <v>3186</v>
      </c>
      <c r="N369" s="169">
        <v>44728</v>
      </c>
      <c r="O369" s="168"/>
      <c r="Q369" t="s">
        <v>35</v>
      </c>
      <c r="R369" t="s">
        <v>22</v>
      </c>
    </row>
    <row r="370" spans="1:18" hidden="1">
      <c r="A370" s="330">
        <f>COUNTA($D$3:$D$370)</f>
        <v>368</v>
      </c>
      <c r="B370" s="330" t="s">
        <v>2904</v>
      </c>
      <c r="C370" s="330" t="s">
        <v>2905</v>
      </c>
      <c r="D370" s="330" t="s">
        <v>1131</v>
      </c>
      <c r="E370" s="330" t="s">
        <v>2906</v>
      </c>
      <c r="F370" s="331">
        <v>44690</v>
      </c>
      <c r="G370" s="331">
        <v>44678</v>
      </c>
      <c r="H370" s="331"/>
      <c r="I370" s="331">
        <v>44690</v>
      </c>
      <c r="J370" s="330" t="s">
        <v>1679</v>
      </c>
      <c r="K370" s="332" t="s">
        <v>1287</v>
      </c>
      <c r="L370" s="148">
        <v>44728</v>
      </c>
      <c r="N370" s="169">
        <v>45114</v>
      </c>
      <c r="O370" s="168"/>
      <c r="Q370" t="s">
        <v>35</v>
      </c>
      <c r="R370" t="s">
        <v>129</v>
      </c>
    </row>
    <row r="371" spans="1:18" hidden="1">
      <c r="A371" s="330">
        <f>COUNTA($D$3:$D$371)</f>
        <v>369</v>
      </c>
      <c r="B371" s="330" t="s">
        <v>2575</v>
      </c>
      <c r="C371" s="330" t="s">
        <v>2576</v>
      </c>
      <c r="D371" s="330" t="s">
        <v>16</v>
      </c>
      <c r="E371" s="330" t="s">
        <v>2577</v>
      </c>
      <c r="F371" s="331">
        <v>44634</v>
      </c>
      <c r="G371" s="331">
        <v>44631</v>
      </c>
      <c r="H371" s="331"/>
      <c r="I371" s="331">
        <v>44634</v>
      </c>
      <c r="J371" s="330" t="s">
        <v>2605</v>
      </c>
      <c r="K371" s="332" t="s">
        <v>1295</v>
      </c>
      <c r="L371" s="148">
        <v>44728</v>
      </c>
      <c r="N371" s="169">
        <v>45114</v>
      </c>
      <c r="O371" s="168"/>
      <c r="Q371" t="s">
        <v>35</v>
      </c>
      <c r="R371" t="s">
        <v>129</v>
      </c>
    </row>
    <row r="372" spans="1:18" hidden="1">
      <c r="A372" s="330">
        <f>COUNTA($D$3:$D$372)</f>
        <v>370</v>
      </c>
      <c r="B372" s="330" t="s">
        <v>2571</v>
      </c>
      <c r="C372" s="330" t="s">
        <v>21</v>
      </c>
      <c r="D372" s="330" t="s">
        <v>30</v>
      </c>
      <c r="E372" s="330" t="s">
        <v>2572</v>
      </c>
      <c r="F372" s="331" t="s">
        <v>2662</v>
      </c>
      <c r="G372" s="331">
        <v>44627</v>
      </c>
      <c r="H372" s="331"/>
      <c r="I372" s="331" t="s">
        <v>2662</v>
      </c>
      <c r="J372" s="330" t="s">
        <v>1687</v>
      </c>
      <c r="K372" s="332" t="s">
        <v>1274</v>
      </c>
      <c r="L372" s="148">
        <v>44728</v>
      </c>
      <c r="M372" t="s">
        <v>3183</v>
      </c>
      <c r="N372" s="169">
        <v>44907</v>
      </c>
      <c r="O372" s="168"/>
      <c r="Q372" t="s">
        <v>35</v>
      </c>
      <c r="R372" t="s">
        <v>129</v>
      </c>
    </row>
    <row r="373" spans="1:18" hidden="1">
      <c r="A373" s="330">
        <f>COUNTA($D$3:$D$373)</f>
        <v>371</v>
      </c>
      <c r="B373" s="330" t="s">
        <v>2564</v>
      </c>
      <c r="C373" s="330" t="s">
        <v>21</v>
      </c>
      <c r="D373" s="330" t="s">
        <v>30</v>
      </c>
      <c r="E373" s="330" t="s">
        <v>2565</v>
      </c>
      <c r="F373" s="331" t="s">
        <v>2614</v>
      </c>
      <c r="G373" s="331">
        <v>44627</v>
      </c>
      <c r="H373" s="331"/>
      <c r="I373" s="331" t="s">
        <v>2614</v>
      </c>
      <c r="J373" s="330" t="s">
        <v>2566</v>
      </c>
      <c r="K373" s="332" t="s">
        <v>1296</v>
      </c>
      <c r="L373" s="148">
        <v>44728</v>
      </c>
      <c r="M373" t="s">
        <v>3183</v>
      </c>
      <c r="N373" s="169">
        <v>44844</v>
      </c>
      <c r="O373" s="168"/>
      <c r="Q373" t="s">
        <v>35</v>
      </c>
      <c r="R373" t="s">
        <v>129</v>
      </c>
    </row>
    <row r="374" spans="1:18" hidden="1">
      <c r="A374" s="330">
        <f>COUNTA($D$3:$D$374)</f>
        <v>372</v>
      </c>
      <c r="B374" s="330" t="s">
        <v>2559</v>
      </c>
      <c r="C374" s="330" t="s">
        <v>37</v>
      </c>
      <c r="D374" s="330" t="s">
        <v>34</v>
      </c>
      <c r="E374" s="330" t="s">
        <v>1807</v>
      </c>
      <c r="F374" s="331">
        <v>44622</v>
      </c>
      <c r="G374" s="331">
        <v>44627</v>
      </c>
      <c r="H374" s="331"/>
      <c r="I374" s="331">
        <v>44622</v>
      </c>
      <c r="J374" s="330" t="s">
        <v>2560</v>
      </c>
      <c r="K374" s="332" t="s">
        <v>1295</v>
      </c>
      <c r="L374" s="148">
        <v>44728</v>
      </c>
      <c r="M374" t="s">
        <v>3183</v>
      </c>
      <c r="N374" s="169">
        <v>44781</v>
      </c>
      <c r="O374" s="168"/>
      <c r="Q374" t="s">
        <v>35</v>
      </c>
      <c r="R374" t="s">
        <v>129</v>
      </c>
    </row>
    <row r="375" spans="1:18" hidden="1">
      <c r="A375" s="330">
        <f>COUNTA($D$3:$D$375)</f>
        <v>373</v>
      </c>
      <c r="B375" s="330" t="s">
        <v>2531</v>
      </c>
      <c r="C375" s="330" t="s">
        <v>2370</v>
      </c>
      <c r="D375" s="330" t="s">
        <v>1220</v>
      </c>
      <c r="E375" s="330" t="s">
        <v>1221</v>
      </c>
      <c r="F375" s="331">
        <v>44620</v>
      </c>
      <c r="G375" s="331">
        <v>44617</v>
      </c>
      <c r="H375" s="331"/>
      <c r="I375" s="331">
        <v>44620</v>
      </c>
      <c r="J375" s="330" t="s">
        <v>2532</v>
      </c>
      <c r="K375" s="332" t="s">
        <v>2032</v>
      </c>
      <c r="L375" s="148">
        <v>44728</v>
      </c>
      <c r="M375" t="s">
        <v>3183</v>
      </c>
      <c r="N375" s="169">
        <v>44728</v>
      </c>
      <c r="O375" s="168"/>
      <c r="Q375" t="s">
        <v>35</v>
      </c>
      <c r="R375" t="s">
        <v>22</v>
      </c>
    </row>
    <row r="376" spans="1:18">
      <c r="A376" s="330">
        <f>COUNTA($D$3:$D$376)</f>
        <v>374</v>
      </c>
      <c r="B376" s="330" t="s">
        <v>2529</v>
      </c>
      <c r="C376" s="330" t="s">
        <v>1100</v>
      </c>
      <c r="D376" s="330" t="s">
        <v>34</v>
      </c>
      <c r="E376" s="330" t="s">
        <v>1101</v>
      </c>
      <c r="F376" s="331">
        <v>44622</v>
      </c>
      <c r="G376" s="331">
        <v>44627</v>
      </c>
      <c r="H376" s="331"/>
      <c r="I376" s="331">
        <v>44622</v>
      </c>
      <c r="J376" s="330" t="s">
        <v>17</v>
      </c>
      <c r="K376" s="332" t="s">
        <v>1295</v>
      </c>
      <c r="L376" s="148">
        <v>44728</v>
      </c>
      <c r="O376" s="168"/>
      <c r="Q376" t="s">
        <v>35</v>
      </c>
      <c r="R376" t="s">
        <v>129</v>
      </c>
    </row>
    <row r="377" spans="1:18">
      <c r="A377" s="330">
        <f>COUNTA($D$3:$D$377)</f>
        <v>375</v>
      </c>
      <c r="B377" s="330" t="s">
        <v>2509</v>
      </c>
      <c r="C377" s="330" t="s">
        <v>1154</v>
      </c>
      <c r="D377" s="330" t="s">
        <v>1103</v>
      </c>
      <c r="E377" s="330" t="s">
        <v>1155</v>
      </c>
      <c r="F377" s="331">
        <v>44614</v>
      </c>
      <c r="G377" s="331">
        <v>44610</v>
      </c>
      <c r="H377" s="331"/>
      <c r="I377" s="331">
        <v>44614</v>
      </c>
      <c r="J377" s="330" t="s">
        <v>2510</v>
      </c>
      <c r="K377" s="332" t="s">
        <v>2032</v>
      </c>
      <c r="L377" s="148">
        <v>44728</v>
      </c>
      <c r="O377" s="168"/>
      <c r="Q377" t="s">
        <v>35</v>
      </c>
      <c r="R377" t="s">
        <v>22</v>
      </c>
    </row>
    <row r="378" spans="1:18" hidden="1">
      <c r="A378" s="330">
        <f>COUNTA($D$3:$D$378)</f>
        <v>376</v>
      </c>
      <c r="B378" s="330" t="s">
        <v>2503</v>
      </c>
      <c r="C378" s="330" t="s">
        <v>65</v>
      </c>
      <c r="D378" s="330" t="s">
        <v>1080</v>
      </c>
      <c r="E378" s="330" t="s">
        <v>2504</v>
      </c>
      <c r="F378" s="331">
        <v>44609</v>
      </c>
      <c r="G378" s="331">
        <v>44617</v>
      </c>
      <c r="H378" s="331"/>
      <c r="I378" s="331">
        <v>44609</v>
      </c>
      <c r="J378" s="330" t="s">
        <v>17</v>
      </c>
      <c r="K378" s="332" t="s">
        <v>1294</v>
      </c>
      <c r="L378" s="148">
        <v>44728</v>
      </c>
      <c r="M378" t="s">
        <v>3183</v>
      </c>
      <c r="N378" s="169">
        <v>44894</v>
      </c>
      <c r="O378" s="168"/>
      <c r="Q378" t="s">
        <v>35</v>
      </c>
      <c r="R378" t="s">
        <v>22</v>
      </c>
    </row>
    <row r="379" spans="1:18" hidden="1">
      <c r="A379" s="330">
        <f>COUNTA($D$3:$D$379)</f>
        <v>377</v>
      </c>
      <c r="B379" s="330" t="s">
        <v>2497</v>
      </c>
      <c r="C379" s="330" t="s">
        <v>1261</v>
      </c>
      <c r="D379" s="330" t="s">
        <v>30</v>
      </c>
      <c r="E379" s="330" t="s">
        <v>2498</v>
      </c>
      <c r="F379" s="331">
        <v>44627</v>
      </c>
      <c r="G379" s="331">
        <v>44603</v>
      </c>
      <c r="H379" s="331"/>
      <c r="I379" s="331">
        <v>44627</v>
      </c>
      <c r="J379" s="330" t="s">
        <v>1485</v>
      </c>
      <c r="K379" s="332" t="s">
        <v>1287</v>
      </c>
      <c r="L379" s="148">
        <v>44728</v>
      </c>
      <c r="M379" t="s">
        <v>3182</v>
      </c>
      <c r="N379" s="169">
        <v>44699</v>
      </c>
      <c r="O379" s="168"/>
      <c r="Q379" t="s">
        <v>35</v>
      </c>
      <c r="R379" t="s">
        <v>129</v>
      </c>
    </row>
    <row r="380" spans="1:18" hidden="1">
      <c r="A380" s="330">
        <f>COUNTA($D$3:$D$380)</f>
        <v>378</v>
      </c>
      <c r="B380" s="330" t="s">
        <v>2876</v>
      </c>
      <c r="C380" s="330" t="s">
        <v>1716</v>
      </c>
      <c r="D380" s="330" t="s">
        <v>38</v>
      </c>
      <c r="E380" s="330" t="s">
        <v>2877</v>
      </c>
      <c r="F380" s="331">
        <v>44678</v>
      </c>
      <c r="G380" s="331">
        <v>44678</v>
      </c>
      <c r="H380" s="331"/>
      <c r="I380" s="331">
        <v>44678</v>
      </c>
      <c r="J380" s="330" t="s">
        <v>2907</v>
      </c>
      <c r="K380" s="332" t="s">
        <v>2032</v>
      </c>
      <c r="L380" s="148">
        <v>44728</v>
      </c>
      <c r="N380" s="169">
        <v>45083</v>
      </c>
      <c r="O380" s="168"/>
      <c r="Q380" t="s">
        <v>35</v>
      </c>
      <c r="R380" t="s">
        <v>22</v>
      </c>
    </row>
    <row r="381" spans="1:18" hidden="1">
      <c r="A381" s="330">
        <f>COUNTA($D$3:$D$381)</f>
        <v>379</v>
      </c>
      <c r="B381" s="330" t="s">
        <v>3126</v>
      </c>
      <c r="C381" s="330" t="s">
        <v>41</v>
      </c>
      <c r="D381" s="330" t="s">
        <v>1125</v>
      </c>
      <c r="E381" s="330" t="s">
        <v>2648</v>
      </c>
      <c r="F381" s="331"/>
      <c r="G381" s="331"/>
      <c r="H381" s="331"/>
      <c r="I381" s="331"/>
      <c r="J381" s="330" t="s">
        <v>1650</v>
      </c>
      <c r="K381" s="332" t="s">
        <v>1295</v>
      </c>
      <c r="L381" s="148">
        <v>44714</v>
      </c>
      <c r="M381" t="s">
        <v>3141</v>
      </c>
      <c r="N381" s="169">
        <v>44714</v>
      </c>
      <c r="O381" s="168"/>
      <c r="R381" t="s">
        <v>129</v>
      </c>
    </row>
    <row r="382" spans="1:18" hidden="1">
      <c r="A382" s="330">
        <f>COUNTA($D$3:$D$382)</f>
        <v>380</v>
      </c>
      <c r="B382" s="330" t="s">
        <v>3121</v>
      </c>
      <c r="C382" s="330" t="s">
        <v>41</v>
      </c>
      <c r="D382" s="330" t="s">
        <v>2052</v>
      </c>
      <c r="E382" s="330" t="s">
        <v>2114</v>
      </c>
      <c r="F382" s="331"/>
      <c r="G382" s="331"/>
      <c r="H382" s="331"/>
      <c r="I382" s="331"/>
      <c r="J382" s="330" t="s">
        <v>1650</v>
      </c>
      <c r="K382" s="332" t="s">
        <v>1295</v>
      </c>
      <c r="L382" s="148">
        <v>44714</v>
      </c>
      <c r="M382" t="s">
        <v>3141</v>
      </c>
      <c r="N382" s="169">
        <v>44714</v>
      </c>
      <c r="O382" s="168"/>
      <c r="R382" t="s">
        <v>129</v>
      </c>
    </row>
    <row r="383" spans="1:18" hidden="1">
      <c r="A383" s="330">
        <f>COUNTA($D$3:$D$383)</f>
        <v>381</v>
      </c>
      <c r="B383" s="330" t="s">
        <v>2932</v>
      </c>
      <c r="C383" s="330" t="s">
        <v>2933</v>
      </c>
      <c r="D383" s="330" t="s">
        <v>1264</v>
      </c>
      <c r="E383" s="330" t="s">
        <v>2934</v>
      </c>
      <c r="F383" s="331"/>
      <c r="G383" s="331">
        <v>44678</v>
      </c>
      <c r="H383" s="331"/>
      <c r="I383" s="331"/>
      <c r="J383" s="330" t="s">
        <v>1093</v>
      </c>
      <c r="K383" s="332"/>
      <c r="L383" s="148">
        <v>44707</v>
      </c>
      <c r="M383" t="s">
        <v>3079</v>
      </c>
      <c r="N383" s="169">
        <v>44699</v>
      </c>
      <c r="O383" s="168"/>
      <c r="Q383" t="s">
        <v>1056</v>
      </c>
      <c r="R383" t="s">
        <v>129</v>
      </c>
    </row>
    <row r="384" spans="1:18" hidden="1">
      <c r="A384" s="330">
        <f>COUNTA($D$3:$D$384)</f>
        <v>382</v>
      </c>
      <c r="B384" s="330" t="s">
        <v>2884</v>
      </c>
      <c r="C384" s="330" t="s">
        <v>1147</v>
      </c>
      <c r="D384" s="330" t="s">
        <v>16</v>
      </c>
      <c r="E384" s="330" t="s">
        <v>1148</v>
      </c>
      <c r="F384" s="331">
        <v>44690</v>
      </c>
      <c r="G384" s="331">
        <v>44678</v>
      </c>
      <c r="H384" s="331"/>
      <c r="I384" s="331">
        <v>44690</v>
      </c>
      <c r="J384" s="330" t="s">
        <v>2908</v>
      </c>
      <c r="K384" s="332" t="s">
        <v>2032</v>
      </c>
      <c r="L384" s="148">
        <v>44707</v>
      </c>
      <c r="M384" t="s">
        <v>3095</v>
      </c>
      <c r="N384" s="169">
        <v>44707</v>
      </c>
      <c r="O384" s="168"/>
      <c r="Q384" t="s">
        <v>35</v>
      </c>
      <c r="R384" t="s">
        <v>22</v>
      </c>
    </row>
    <row r="385" spans="1:18" hidden="1">
      <c r="A385" s="330">
        <f>COUNTA($D$3:$D$385)</f>
        <v>383</v>
      </c>
      <c r="B385" s="330" t="s">
        <v>3088</v>
      </c>
      <c r="C385" s="330" t="s">
        <v>41</v>
      </c>
      <c r="D385" s="330" t="s">
        <v>49</v>
      </c>
      <c r="E385" s="330" t="s">
        <v>2719</v>
      </c>
      <c r="F385" s="331"/>
      <c r="G385" s="331"/>
      <c r="H385" s="331"/>
      <c r="I385" s="331"/>
      <c r="J385" s="330" t="s">
        <v>1650</v>
      </c>
      <c r="K385" s="332" t="s">
        <v>1287</v>
      </c>
      <c r="L385" s="148">
        <v>44707</v>
      </c>
      <c r="M385" t="s">
        <v>3090</v>
      </c>
      <c r="N385" s="169">
        <v>44707</v>
      </c>
      <c r="O385" s="168"/>
      <c r="Q385" t="s">
        <v>2672</v>
      </c>
      <c r="R385" t="s">
        <v>129</v>
      </c>
    </row>
    <row r="386" spans="1:18" hidden="1">
      <c r="A386" s="330">
        <f>COUNTA($D$3:$D$386)</f>
        <v>384</v>
      </c>
      <c r="B386" s="330" t="s">
        <v>3001</v>
      </c>
      <c r="C386" s="330" t="s">
        <v>41</v>
      </c>
      <c r="D386" s="330" t="s">
        <v>1125</v>
      </c>
      <c r="E386" s="330" t="s">
        <v>3002</v>
      </c>
      <c r="F386" s="331"/>
      <c r="G386" s="331"/>
      <c r="H386" s="331"/>
      <c r="I386" s="331"/>
      <c r="J386" s="330" t="s">
        <v>1650</v>
      </c>
      <c r="K386" s="332" t="s">
        <v>1295</v>
      </c>
      <c r="L386" s="148">
        <v>44700</v>
      </c>
      <c r="M386" t="s">
        <v>3052</v>
      </c>
      <c r="N386" s="169">
        <v>44707</v>
      </c>
      <c r="O386" s="168"/>
      <c r="R386" t="s">
        <v>129</v>
      </c>
    </row>
    <row r="387" spans="1:18" hidden="1">
      <c r="A387" s="330">
        <f>COUNTA($D$3:$D$387)</f>
        <v>385</v>
      </c>
      <c r="B387" s="330" t="s">
        <v>2975</v>
      </c>
      <c r="C387" s="330" t="s">
        <v>41</v>
      </c>
      <c r="D387" s="330" t="s">
        <v>16</v>
      </c>
      <c r="E387" s="330" t="s">
        <v>1161</v>
      </c>
      <c r="F387" s="331"/>
      <c r="G387" s="331"/>
      <c r="H387" s="331"/>
      <c r="I387" s="331"/>
      <c r="J387" s="330" t="s">
        <v>1650</v>
      </c>
      <c r="K387" s="332" t="s">
        <v>1295</v>
      </c>
      <c r="L387" s="148">
        <v>44700</v>
      </c>
      <c r="M387" t="s">
        <v>3058</v>
      </c>
      <c r="N387" s="169">
        <v>44700</v>
      </c>
      <c r="O387" s="168"/>
      <c r="R387" t="s">
        <v>129</v>
      </c>
    </row>
    <row r="388" spans="1:18" hidden="1">
      <c r="A388" s="330">
        <f>COUNTA($D$3:$D$388)</f>
        <v>386</v>
      </c>
      <c r="B388" s="330" t="s">
        <v>2946</v>
      </c>
      <c r="C388" s="330" t="s">
        <v>2947</v>
      </c>
      <c r="D388" s="330" t="s">
        <v>16</v>
      </c>
      <c r="E388" s="330" t="s">
        <v>2948</v>
      </c>
      <c r="F388" s="331"/>
      <c r="G388" s="331"/>
      <c r="H388" s="331"/>
      <c r="I388" s="331"/>
      <c r="J388" s="330" t="s">
        <v>1723</v>
      </c>
      <c r="K388" s="332" t="s">
        <v>1296</v>
      </c>
      <c r="L388" s="148">
        <v>44690</v>
      </c>
      <c r="M388" t="s">
        <v>2959</v>
      </c>
      <c r="N388" s="169">
        <v>44692</v>
      </c>
      <c r="O388" s="168"/>
      <c r="R388" t="s">
        <v>129</v>
      </c>
    </row>
    <row r="389" spans="1:18" hidden="1">
      <c r="A389" s="330">
        <f>COUNTA($D$3:$D$389)</f>
        <v>387</v>
      </c>
      <c r="B389" s="330" t="s">
        <v>2992</v>
      </c>
      <c r="C389" s="330" t="s">
        <v>44</v>
      </c>
      <c r="D389" s="330" t="s">
        <v>30</v>
      </c>
      <c r="E389" s="330" t="s">
        <v>86</v>
      </c>
      <c r="F389" s="331"/>
      <c r="G389" s="331"/>
      <c r="H389" s="331"/>
      <c r="I389" s="331"/>
      <c r="J389" s="330" t="s">
        <v>1650</v>
      </c>
      <c r="K389" s="332" t="s">
        <v>1287</v>
      </c>
      <c r="L389" s="148">
        <v>44690</v>
      </c>
      <c r="M389" t="s">
        <v>2999</v>
      </c>
      <c r="N389" s="169">
        <v>44690</v>
      </c>
      <c r="O389" s="168"/>
      <c r="Q389" t="s">
        <v>1074</v>
      </c>
    </row>
    <row r="390" spans="1:18" hidden="1">
      <c r="A390" s="330">
        <f>COUNTA($D$3:$D$390)</f>
        <v>388</v>
      </c>
      <c r="B390" s="330" t="s">
        <v>2490</v>
      </c>
      <c r="C390" s="330" t="s">
        <v>41</v>
      </c>
      <c r="D390" s="330" t="s">
        <v>16</v>
      </c>
      <c r="E390" s="330" t="s">
        <v>1153</v>
      </c>
      <c r="F390" s="331" t="s">
        <v>66</v>
      </c>
      <c r="G390" s="331">
        <v>44603</v>
      </c>
      <c r="H390" s="331"/>
      <c r="I390" s="331" t="s">
        <v>66</v>
      </c>
      <c r="J390" s="330" t="s">
        <v>17</v>
      </c>
      <c r="K390" s="332" t="s">
        <v>2032</v>
      </c>
      <c r="L390" s="148">
        <v>44690</v>
      </c>
      <c r="M390" t="s">
        <v>3013</v>
      </c>
      <c r="N390" s="169">
        <v>44711</v>
      </c>
      <c r="O390" s="168"/>
      <c r="Q390" t="s">
        <v>60</v>
      </c>
    </row>
    <row r="391" spans="1:18" hidden="1">
      <c r="A391" s="330">
        <f>COUNTA($D$3:$D$391)</f>
        <v>389</v>
      </c>
      <c r="B391" s="330" t="s">
        <v>2439</v>
      </c>
      <c r="C391" s="330" t="s">
        <v>2422</v>
      </c>
      <c r="D391" s="330" t="s">
        <v>25</v>
      </c>
      <c r="E391" s="330" t="s">
        <v>2440</v>
      </c>
      <c r="F391" s="331">
        <v>44580</v>
      </c>
      <c r="G391" s="331">
        <v>44582</v>
      </c>
      <c r="H391" s="331">
        <v>44827</v>
      </c>
      <c r="I391" s="331">
        <v>44580</v>
      </c>
      <c r="J391" s="330" t="s">
        <v>2441</v>
      </c>
      <c r="K391" s="332" t="s">
        <v>2032</v>
      </c>
      <c r="L391" s="148">
        <v>44690</v>
      </c>
      <c r="M391" t="s">
        <v>3011</v>
      </c>
      <c r="N391" s="169">
        <v>44844</v>
      </c>
      <c r="O391" s="168"/>
      <c r="Q391" t="s">
        <v>28</v>
      </c>
      <c r="R391" t="s">
        <v>22</v>
      </c>
    </row>
    <row r="392" spans="1:18" hidden="1">
      <c r="A392" s="330">
        <f>COUNTA($D$3:$D$392)</f>
        <v>390</v>
      </c>
      <c r="B392" s="330" t="s">
        <v>2456</v>
      </c>
      <c r="C392" s="330" t="s">
        <v>109</v>
      </c>
      <c r="D392" s="330" t="s">
        <v>58</v>
      </c>
      <c r="E392" s="330" t="s">
        <v>1237</v>
      </c>
      <c r="F392" s="331">
        <v>44602</v>
      </c>
      <c r="G392" s="331">
        <v>44603</v>
      </c>
      <c r="H392" s="331"/>
      <c r="I392" s="331">
        <v>44602</v>
      </c>
      <c r="J392" s="330" t="s">
        <v>1683</v>
      </c>
      <c r="K392" s="332" t="s">
        <v>1295</v>
      </c>
      <c r="L392" s="148">
        <v>44690</v>
      </c>
      <c r="M392" t="s">
        <v>3012</v>
      </c>
      <c r="N392" s="169">
        <v>44781</v>
      </c>
      <c r="O392" s="168"/>
      <c r="Q392" t="s">
        <v>35</v>
      </c>
      <c r="R392" t="s">
        <v>129</v>
      </c>
    </row>
    <row r="393" spans="1:18" hidden="1">
      <c r="A393" s="330">
        <f>COUNTA($D$3:$D$393)</f>
        <v>391</v>
      </c>
      <c r="B393" s="330" t="s">
        <v>2924</v>
      </c>
      <c r="C393" s="330" t="s">
        <v>44</v>
      </c>
      <c r="D393" s="330" t="s">
        <v>30</v>
      </c>
      <c r="E393" s="330" t="s">
        <v>82</v>
      </c>
      <c r="F393" s="331"/>
      <c r="G393" s="331"/>
      <c r="H393" s="331"/>
      <c r="I393" s="331"/>
      <c r="J393" s="330" t="s">
        <v>1650</v>
      </c>
      <c r="K393" s="332" t="s">
        <v>1287</v>
      </c>
      <c r="L393" s="148">
        <v>44680</v>
      </c>
      <c r="M393" t="s">
        <v>2952</v>
      </c>
      <c r="N393" s="169">
        <v>44676</v>
      </c>
      <c r="O393" s="168"/>
    </row>
    <row r="394" spans="1:18" hidden="1">
      <c r="A394" s="330">
        <f>COUNTA($D$3:$D$394)</f>
        <v>392</v>
      </c>
      <c r="B394" s="330" t="s">
        <v>2834</v>
      </c>
      <c r="C394" s="330" t="s">
        <v>2830</v>
      </c>
      <c r="D394" s="330" t="s">
        <v>16</v>
      </c>
      <c r="E394" s="330" t="s">
        <v>2835</v>
      </c>
      <c r="F394" s="331"/>
      <c r="G394" s="331">
        <v>44672</v>
      </c>
      <c r="H394" s="331"/>
      <c r="I394" s="331"/>
      <c r="J394" s="330" t="s">
        <v>1485</v>
      </c>
      <c r="K394" s="332" t="s">
        <v>1287</v>
      </c>
      <c r="L394" s="148">
        <v>44680</v>
      </c>
      <c r="M394" t="s">
        <v>2954</v>
      </c>
      <c r="N394" s="169">
        <v>44677</v>
      </c>
      <c r="O394" s="168"/>
      <c r="Q394" t="s">
        <v>1029</v>
      </c>
      <c r="R394" t="s">
        <v>129</v>
      </c>
    </row>
    <row r="395" spans="1:18" hidden="1">
      <c r="A395" s="330">
        <f>COUNTA($D$3:$D$395)</f>
        <v>393</v>
      </c>
      <c r="B395" s="330" t="s">
        <v>2829</v>
      </c>
      <c r="C395" s="330" t="s">
        <v>2830</v>
      </c>
      <c r="D395" s="330" t="s">
        <v>31</v>
      </c>
      <c r="E395" s="330" t="s">
        <v>2831</v>
      </c>
      <c r="F395" s="331"/>
      <c r="G395" s="331">
        <v>44672</v>
      </c>
      <c r="H395" s="331"/>
      <c r="I395" s="331"/>
      <c r="J395" s="330" t="s">
        <v>1875</v>
      </c>
      <c r="K395" s="332" t="s">
        <v>1296</v>
      </c>
      <c r="L395" s="148">
        <v>44680</v>
      </c>
      <c r="M395" t="s">
        <v>2954</v>
      </c>
      <c r="N395" s="169">
        <v>44677</v>
      </c>
      <c r="O395" s="168"/>
      <c r="Q395" t="s">
        <v>1029</v>
      </c>
      <c r="R395" t="s">
        <v>129</v>
      </c>
    </row>
    <row r="396" spans="1:18" hidden="1">
      <c r="A396" s="330">
        <f>COUNTA($D$3:$D$396)</f>
        <v>394</v>
      </c>
      <c r="B396" s="330" t="s">
        <v>2878</v>
      </c>
      <c r="C396" s="330" t="s">
        <v>41</v>
      </c>
      <c r="D396" s="330" t="s">
        <v>1125</v>
      </c>
      <c r="E396" s="330" t="s">
        <v>2879</v>
      </c>
      <c r="F396" s="331"/>
      <c r="G396" s="331"/>
      <c r="H396" s="331"/>
      <c r="I396" s="331"/>
      <c r="J396" s="330"/>
      <c r="K396" s="332"/>
      <c r="L396" s="148">
        <v>44678</v>
      </c>
      <c r="M396" t="s">
        <v>2912</v>
      </c>
      <c r="N396" s="169">
        <v>44678</v>
      </c>
      <c r="O396" s="168"/>
    </row>
    <row r="397" spans="1:18" hidden="1">
      <c r="A397" s="330">
        <f>COUNTA($D$3:$D$397)</f>
        <v>395</v>
      </c>
      <c r="B397" s="330" t="s">
        <v>2750</v>
      </c>
      <c r="C397" s="330" t="s">
        <v>41</v>
      </c>
      <c r="D397" s="330" t="s">
        <v>2751</v>
      </c>
      <c r="E397" s="330" t="s">
        <v>2752</v>
      </c>
      <c r="F397" s="331"/>
      <c r="G397" s="331"/>
      <c r="H397" s="331"/>
      <c r="I397" s="331"/>
      <c r="J397" s="330" t="s">
        <v>1668</v>
      </c>
      <c r="K397" s="332" t="s">
        <v>2032</v>
      </c>
      <c r="L397" s="148">
        <v>44672</v>
      </c>
      <c r="M397" t="s">
        <v>2812</v>
      </c>
      <c r="N397" s="169">
        <v>44672</v>
      </c>
      <c r="O397" s="168"/>
    </row>
    <row r="398" spans="1:18" hidden="1">
      <c r="A398" s="330">
        <f>COUNTA($D$3:$D$398)</f>
        <v>396</v>
      </c>
      <c r="B398" s="330" t="s">
        <v>2743</v>
      </c>
      <c r="C398" s="330" t="s">
        <v>41</v>
      </c>
      <c r="D398" s="330" t="s">
        <v>1124</v>
      </c>
      <c r="E398" s="330" t="s">
        <v>1185</v>
      </c>
      <c r="F398" s="331"/>
      <c r="G398" s="331"/>
      <c r="H398" s="331"/>
      <c r="I398" s="331"/>
      <c r="J398" s="330" t="s">
        <v>1650</v>
      </c>
      <c r="K398" s="332" t="s">
        <v>1294</v>
      </c>
      <c r="L398" s="148">
        <v>44672</v>
      </c>
      <c r="M398" t="s">
        <v>2812</v>
      </c>
      <c r="N398" s="169">
        <v>44672</v>
      </c>
      <c r="O398" s="168"/>
    </row>
    <row r="399" spans="1:18" hidden="1">
      <c r="A399" s="330">
        <f>COUNTA($D$3:$D$399)</f>
        <v>397</v>
      </c>
      <c r="B399" s="330" t="s">
        <v>2742</v>
      </c>
      <c r="C399" s="330" t="s">
        <v>41</v>
      </c>
      <c r="D399" s="330" t="s">
        <v>1181</v>
      </c>
      <c r="E399" s="330" t="s">
        <v>1284</v>
      </c>
      <c r="F399" s="331"/>
      <c r="G399" s="331"/>
      <c r="H399" s="331"/>
      <c r="I399" s="331"/>
      <c r="J399" s="330" t="s">
        <v>1668</v>
      </c>
      <c r="K399" s="332" t="s">
        <v>2032</v>
      </c>
      <c r="L399" s="148">
        <v>44672</v>
      </c>
      <c r="M399" t="s">
        <v>2812</v>
      </c>
      <c r="N399" s="169">
        <v>44672</v>
      </c>
      <c r="O399" s="168"/>
    </row>
    <row r="400" spans="1:18" hidden="1">
      <c r="A400" s="330">
        <f>COUNTA($D$3:$D$400)</f>
        <v>398</v>
      </c>
      <c r="B400" s="330" t="s">
        <v>2773</v>
      </c>
      <c r="C400" s="330" t="s">
        <v>1279</v>
      </c>
      <c r="D400" s="330" t="s">
        <v>1098</v>
      </c>
      <c r="E400" s="330" t="s">
        <v>2774</v>
      </c>
      <c r="F400" s="331"/>
      <c r="G400" s="331"/>
      <c r="H400" s="331">
        <v>44750</v>
      </c>
      <c r="I400" s="331"/>
      <c r="J400" s="330" t="s">
        <v>2194</v>
      </c>
      <c r="K400" s="332" t="s">
        <v>1295</v>
      </c>
      <c r="L400" s="148">
        <v>44672</v>
      </c>
      <c r="M400" t="s">
        <v>2815</v>
      </c>
      <c r="N400" s="169">
        <v>44672</v>
      </c>
      <c r="O400" s="168"/>
      <c r="R400" t="s">
        <v>129</v>
      </c>
    </row>
    <row r="401" spans="1:18" hidden="1">
      <c r="A401" s="330">
        <f>COUNTA($D$3:$D$401)</f>
        <v>399</v>
      </c>
      <c r="B401" s="330" t="s">
        <v>2809</v>
      </c>
      <c r="C401" s="330" t="s">
        <v>44</v>
      </c>
      <c r="D401" s="330" t="s">
        <v>34</v>
      </c>
      <c r="E401" s="330" t="s">
        <v>88</v>
      </c>
      <c r="F401" s="331"/>
      <c r="G401" s="331"/>
      <c r="H401" s="331"/>
      <c r="I401" s="331"/>
      <c r="J401" s="330" t="s">
        <v>2597</v>
      </c>
      <c r="K401" s="332"/>
      <c r="L401" s="148">
        <v>44672</v>
      </c>
      <c r="M401" t="s">
        <v>2912</v>
      </c>
      <c r="N401" s="169">
        <v>44672</v>
      </c>
      <c r="O401" s="168"/>
    </row>
    <row r="402" spans="1:18" hidden="1">
      <c r="A402" s="330">
        <f>COUNTA($D$3:$D$402)</f>
        <v>400</v>
      </c>
      <c r="B402" s="330" t="s">
        <v>2766</v>
      </c>
      <c r="C402" s="330" t="s">
        <v>2767</v>
      </c>
      <c r="D402" s="330" t="s">
        <v>16</v>
      </c>
      <c r="E402" s="330" t="s">
        <v>2768</v>
      </c>
      <c r="F402" s="331"/>
      <c r="G402" s="331"/>
      <c r="H402" s="331"/>
      <c r="I402" s="331"/>
      <c r="J402" s="330" t="s">
        <v>17</v>
      </c>
      <c r="K402" s="332" t="s">
        <v>1295</v>
      </c>
      <c r="L402" s="148">
        <v>44672</v>
      </c>
      <c r="M402" t="s">
        <v>2813</v>
      </c>
      <c r="N402" s="169">
        <v>44672</v>
      </c>
      <c r="O402" s="168"/>
      <c r="Q402" t="s">
        <v>1053</v>
      </c>
      <c r="R402" t="s">
        <v>129</v>
      </c>
    </row>
    <row r="403" spans="1:18" hidden="1">
      <c r="A403" s="330">
        <f>COUNTA($D$3:$D$403)</f>
        <v>401</v>
      </c>
      <c r="B403" s="330" t="s">
        <v>2804</v>
      </c>
      <c r="C403" s="330" t="s">
        <v>44</v>
      </c>
      <c r="D403" s="330" t="s">
        <v>34</v>
      </c>
      <c r="E403" s="330" t="s">
        <v>255</v>
      </c>
      <c r="F403" s="331"/>
      <c r="G403" s="331"/>
      <c r="H403" s="331"/>
      <c r="I403" s="331"/>
      <c r="J403" s="330" t="s">
        <v>1650</v>
      </c>
      <c r="K403" s="332" t="s">
        <v>2032</v>
      </c>
      <c r="L403" s="148">
        <v>44672</v>
      </c>
      <c r="M403" t="s">
        <v>2912</v>
      </c>
      <c r="N403" s="169">
        <v>44672</v>
      </c>
      <c r="O403" s="168"/>
      <c r="Q403" t="s">
        <v>2800</v>
      </c>
    </row>
    <row r="404" spans="1:18" hidden="1">
      <c r="A404" s="330">
        <f>COUNTA($D$3:$D$404)</f>
        <v>402</v>
      </c>
      <c r="B404" s="330" t="s">
        <v>2505</v>
      </c>
      <c r="C404" s="330" t="s">
        <v>44</v>
      </c>
      <c r="D404" s="330" t="s">
        <v>27</v>
      </c>
      <c r="E404" s="330" t="s">
        <v>200</v>
      </c>
      <c r="F404" s="331" t="s">
        <v>66</v>
      </c>
      <c r="G404" s="331">
        <v>44617</v>
      </c>
      <c r="H404" s="331"/>
      <c r="I404" s="331" t="s">
        <v>66</v>
      </c>
      <c r="J404" s="330" t="s">
        <v>1093</v>
      </c>
      <c r="K404" s="332" t="s">
        <v>1287</v>
      </c>
      <c r="L404" s="148">
        <v>44658</v>
      </c>
      <c r="M404" t="s">
        <v>2738</v>
      </c>
      <c r="N404" s="169">
        <v>44658</v>
      </c>
      <c r="O404" s="168"/>
      <c r="Q404" t="s">
        <v>1054</v>
      </c>
    </row>
    <row r="405" spans="1:18" hidden="1">
      <c r="A405" s="330">
        <f>COUNTA($D$3:$D$405)</f>
        <v>403</v>
      </c>
      <c r="B405" s="330" t="s">
        <v>2686</v>
      </c>
      <c r="C405" s="330" t="s">
        <v>44</v>
      </c>
      <c r="D405" s="330" t="s">
        <v>56</v>
      </c>
      <c r="E405" s="330" t="s">
        <v>118</v>
      </c>
      <c r="F405" s="331" t="s">
        <v>66</v>
      </c>
      <c r="G405" s="331">
        <v>44645</v>
      </c>
      <c r="H405" s="331"/>
      <c r="I405" s="331" t="s">
        <v>66</v>
      </c>
      <c r="J405" s="330" t="s">
        <v>2687</v>
      </c>
      <c r="K405" s="332" t="s">
        <v>1296</v>
      </c>
      <c r="L405" s="148">
        <v>44658</v>
      </c>
      <c r="M405" t="s">
        <v>2739</v>
      </c>
      <c r="N405" s="169">
        <v>44658</v>
      </c>
      <c r="O405" s="168"/>
      <c r="Q405" t="s">
        <v>60</v>
      </c>
    </row>
    <row r="406" spans="1:18" hidden="1">
      <c r="A406" s="330">
        <f>COUNTA($D$3:$D$406)</f>
        <v>404</v>
      </c>
      <c r="B406" s="330" t="s">
        <v>2685</v>
      </c>
      <c r="C406" s="330" t="s">
        <v>41</v>
      </c>
      <c r="D406" s="330" t="s">
        <v>49</v>
      </c>
      <c r="E406" s="330" t="s">
        <v>1088</v>
      </c>
      <c r="F406" s="331" t="s">
        <v>66</v>
      </c>
      <c r="G406" s="331">
        <v>44645</v>
      </c>
      <c r="H406" s="331"/>
      <c r="I406" s="331" t="s">
        <v>66</v>
      </c>
      <c r="J406" s="330" t="s">
        <v>1662</v>
      </c>
      <c r="K406" s="332" t="s">
        <v>1296</v>
      </c>
      <c r="L406" s="148">
        <v>44658</v>
      </c>
      <c r="M406" t="s">
        <v>2739</v>
      </c>
      <c r="N406" s="169">
        <v>44658</v>
      </c>
      <c r="O406" s="168"/>
      <c r="Q406" t="s">
        <v>60</v>
      </c>
    </row>
    <row r="407" spans="1:18" hidden="1">
      <c r="A407" s="330">
        <f>COUNTA($D$3:$D$407)</f>
        <v>405</v>
      </c>
      <c r="B407" s="330" t="s">
        <v>2604</v>
      </c>
      <c r="C407" s="330" t="s">
        <v>41</v>
      </c>
      <c r="D407" s="330" t="s">
        <v>58</v>
      </c>
      <c r="E407" s="330" t="s">
        <v>1173</v>
      </c>
      <c r="F407" s="331" t="s">
        <v>66</v>
      </c>
      <c r="G407" s="331">
        <v>44631</v>
      </c>
      <c r="H407" s="331"/>
      <c r="I407" s="331" t="s">
        <v>66</v>
      </c>
      <c r="J407" s="330" t="s">
        <v>1485</v>
      </c>
      <c r="K407" s="332" t="s">
        <v>1295</v>
      </c>
      <c r="L407" s="148">
        <v>44658</v>
      </c>
      <c r="M407" t="s">
        <v>2739</v>
      </c>
      <c r="N407" s="169">
        <v>44658</v>
      </c>
      <c r="O407" s="168"/>
      <c r="Q407" t="s">
        <v>60</v>
      </c>
    </row>
    <row r="408" spans="1:18" hidden="1">
      <c r="A408" s="330">
        <f>COUNTA($D$3:$D$408)</f>
        <v>406</v>
      </c>
      <c r="B408" s="330" t="s">
        <v>2522</v>
      </c>
      <c r="C408" s="330" t="s">
        <v>41</v>
      </c>
      <c r="D408" s="330" t="s">
        <v>30</v>
      </c>
      <c r="E408" s="330" t="s">
        <v>1640</v>
      </c>
      <c r="F408" s="331" t="s">
        <v>66</v>
      </c>
      <c r="G408" s="331">
        <v>44617</v>
      </c>
      <c r="H408" s="331"/>
      <c r="I408" s="331" t="s">
        <v>66</v>
      </c>
      <c r="J408" s="330" t="s">
        <v>2542</v>
      </c>
      <c r="K408" s="332" t="s">
        <v>1274</v>
      </c>
      <c r="L408" s="148">
        <v>44658</v>
      </c>
      <c r="M408" t="s">
        <v>2739</v>
      </c>
      <c r="N408" s="169">
        <v>44658</v>
      </c>
      <c r="O408" s="168"/>
      <c r="Q408" t="s">
        <v>60</v>
      </c>
    </row>
    <row r="409" spans="1:18" hidden="1">
      <c r="A409" s="330">
        <f>COUNTA($D$3:$D$409)</f>
        <v>407</v>
      </c>
      <c r="B409" s="330" t="s">
        <v>2313</v>
      </c>
      <c r="C409" s="330" t="s">
        <v>41</v>
      </c>
      <c r="D409" s="330" t="s">
        <v>45</v>
      </c>
      <c r="E409" s="330" t="s">
        <v>1215</v>
      </c>
      <c r="F409" s="331" t="s">
        <v>66</v>
      </c>
      <c r="G409" s="331">
        <v>44575</v>
      </c>
      <c r="H409" s="331"/>
      <c r="I409" s="331" t="s">
        <v>66</v>
      </c>
      <c r="J409" s="330" t="s">
        <v>1834</v>
      </c>
      <c r="K409" s="332" t="s">
        <v>1287</v>
      </c>
      <c r="L409" s="148">
        <v>44649</v>
      </c>
      <c r="M409" t="s">
        <v>2709</v>
      </c>
      <c r="N409" s="169">
        <v>44649</v>
      </c>
      <c r="O409" s="168"/>
      <c r="Q409" t="s">
        <v>1054</v>
      </c>
    </row>
    <row r="410" spans="1:18" hidden="1">
      <c r="A410" s="330">
        <f>COUNTA($D$3:$D$410)</f>
        <v>408</v>
      </c>
      <c r="B410" s="330" t="s">
        <v>2318</v>
      </c>
      <c r="C410" s="330" t="s">
        <v>41</v>
      </c>
      <c r="D410" s="330" t="s">
        <v>16</v>
      </c>
      <c r="E410" s="330" t="s">
        <v>1127</v>
      </c>
      <c r="F410" s="331" t="s">
        <v>66</v>
      </c>
      <c r="G410" s="331">
        <v>44582</v>
      </c>
      <c r="H410" s="331"/>
      <c r="I410" s="331" t="s">
        <v>66</v>
      </c>
      <c r="J410" s="330" t="s">
        <v>2390</v>
      </c>
      <c r="K410" s="332" t="s">
        <v>1294</v>
      </c>
      <c r="L410" s="148">
        <v>44649</v>
      </c>
      <c r="M410" t="s">
        <v>3639</v>
      </c>
      <c r="N410" s="169">
        <v>45127</v>
      </c>
      <c r="O410" s="168"/>
      <c r="Q410" t="s">
        <v>60</v>
      </c>
      <c r="R410" t="s">
        <v>22</v>
      </c>
    </row>
    <row r="411" spans="1:18" hidden="1">
      <c r="A411" s="330">
        <f>COUNTA($D$3:$D$411)</f>
        <v>409</v>
      </c>
      <c r="B411" s="330" t="s">
        <v>2332</v>
      </c>
      <c r="C411" s="330" t="s">
        <v>41</v>
      </c>
      <c r="D411" s="330" t="s">
        <v>31</v>
      </c>
      <c r="E411" s="330" t="s">
        <v>2333</v>
      </c>
      <c r="F411" s="331" t="s">
        <v>66</v>
      </c>
      <c r="G411" s="331">
        <v>44575</v>
      </c>
      <c r="H411" s="331"/>
      <c r="I411" s="331" t="s">
        <v>66</v>
      </c>
      <c r="J411" s="330" t="s">
        <v>1670</v>
      </c>
      <c r="K411" s="332" t="s">
        <v>1295</v>
      </c>
      <c r="L411" s="148">
        <v>44649</v>
      </c>
      <c r="M411" t="s">
        <v>2711</v>
      </c>
      <c r="N411" s="169">
        <v>44649</v>
      </c>
      <c r="O411" s="168"/>
      <c r="Q411" t="s">
        <v>60</v>
      </c>
    </row>
    <row r="412" spans="1:18" hidden="1">
      <c r="A412" s="330">
        <f>COUNTA($D$3:$D$412)</f>
        <v>410</v>
      </c>
      <c r="B412" s="330" t="s">
        <v>2265</v>
      </c>
      <c r="C412" s="330" t="s">
        <v>1191</v>
      </c>
      <c r="D412" s="330" t="s">
        <v>38</v>
      </c>
      <c r="E412" s="330" t="s">
        <v>1192</v>
      </c>
      <c r="F412" s="331">
        <v>44544</v>
      </c>
      <c r="G412" s="331">
        <v>44540</v>
      </c>
      <c r="H412" s="331"/>
      <c r="I412" s="331">
        <v>44544</v>
      </c>
      <c r="J412" s="330" t="s">
        <v>2266</v>
      </c>
      <c r="K412" s="332" t="s">
        <v>1296</v>
      </c>
      <c r="L412" s="148">
        <v>44649</v>
      </c>
      <c r="M412" t="s">
        <v>2708</v>
      </c>
      <c r="N412" s="169">
        <v>44701</v>
      </c>
      <c r="O412" s="168"/>
      <c r="Q412" t="s">
        <v>35</v>
      </c>
      <c r="R412" t="s">
        <v>129</v>
      </c>
    </row>
    <row r="413" spans="1:18" hidden="1">
      <c r="A413" s="330">
        <f>COUNTA($D$3:$D$413)</f>
        <v>411</v>
      </c>
      <c r="B413" s="330" t="s">
        <v>2270</v>
      </c>
      <c r="C413" s="330" t="s">
        <v>37</v>
      </c>
      <c r="D413" s="330" t="s">
        <v>30</v>
      </c>
      <c r="E413" s="330" t="s">
        <v>1248</v>
      </c>
      <c r="F413" s="331">
        <v>44551</v>
      </c>
      <c r="G413" s="331">
        <v>44575</v>
      </c>
      <c r="H413" s="331"/>
      <c r="I413" s="331">
        <v>44551</v>
      </c>
      <c r="J413" s="330" t="s">
        <v>2271</v>
      </c>
      <c r="K413" s="332" t="s">
        <v>1295</v>
      </c>
      <c r="L413" s="148">
        <v>44649</v>
      </c>
      <c r="M413" t="s">
        <v>2708</v>
      </c>
      <c r="N413" s="169">
        <v>44781</v>
      </c>
      <c r="O413" s="168"/>
      <c r="Q413" t="s">
        <v>35</v>
      </c>
      <c r="R413" t="s">
        <v>129</v>
      </c>
    </row>
    <row r="414" spans="1:18" hidden="1">
      <c r="A414" s="330">
        <f>COUNTA($D$3:$D$414)</f>
        <v>412</v>
      </c>
      <c r="B414" s="330" t="s">
        <v>2274</v>
      </c>
      <c r="C414" s="330" t="s">
        <v>37</v>
      </c>
      <c r="D414" s="330" t="s">
        <v>34</v>
      </c>
      <c r="E414" s="330" t="s">
        <v>1676</v>
      </c>
      <c r="F414" s="331">
        <v>44546</v>
      </c>
      <c r="G414" s="331">
        <v>44575</v>
      </c>
      <c r="H414" s="331"/>
      <c r="I414" s="331">
        <v>44546</v>
      </c>
      <c r="J414" s="330" t="s">
        <v>1485</v>
      </c>
      <c r="K414" s="332" t="s">
        <v>1296</v>
      </c>
      <c r="L414" s="148">
        <v>44649</v>
      </c>
      <c r="M414" t="s">
        <v>2708</v>
      </c>
      <c r="N414" s="169">
        <v>44781</v>
      </c>
      <c r="O414" s="168"/>
      <c r="Q414" t="s">
        <v>35</v>
      </c>
      <c r="R414" t="s">
        <v>129</v>
      </c>
    </row>
    <row r="415" spans="1:18" hidden="1">
      <c r="A415" s="330">
        <f>COUNTA($D$3:$D$415)</f>
        <v>413</v>
      </c>
      <c r="B415" s="330" t="s">
        <v>2306</v>
      </c>
      <c r="C415" s="330" t="s">
        <v>21</v>
      </c>
      <c r="D415" s="330" t="s">
        <v>32</v>
      </c>
      <c r="E415" s="330" t="s">
        <v>1257</v>
      </c>
      <c r="F415" s="331">
        <v>44567</v>
      </c>
      <c r="G415" s="331">
        <v>44575</v>
      </c>
      <c r="H415" s="331"/>
      <c r="I415" s="331">
        <v>44567</v>
      </c>
      <c r="J415" s="330" t="s">
        <v>2388</v>
      </c>
      <c r="K415" s="332" t="s">
        <v>1287</v>
      </c>
      <c r="L415" s="148">
        <v>44649</v>
      </c>
      <c r="M415" t="s">
        <v>2708</v>
      </c>
      <c r="N415" s="169">
        <v>44907</v>
      </c>
      <c r="O415" s="168"/>
      <c r="Q415" t="s">
        <v>35</v>
      </c>
      <c r="R415" t="s">
        <v>129</v>
      </c>
    </row>
    <row r="416" spans="1:18" hidden="1">
      <c r="A416" s="330">
        <f>COUNTA($D$3:$D$416)</f>
        <v>414</v>
      </c>
      <c r="B416" s="330" t="s">
        <v>2257</v>
      </c>
      <c r="C416" s="330" t="s">
        <v>37</v>
      </c>
      <c r="D416" s="330" t="s">
        <v>30</v>
      </c>
      <c r="E416" s="330" t="s">
        <v>1669</v>
      </c>
      <c r="F416" s="331">
        <v>44537</v>
      </c>
      <c r="G416" s="331">
        <v>44540</v>
      </c>
      <c r="H416" s="331"/>
      <c r="I416" s="331">
        <v>44537</v>
      </c>
      <c r="J416" s="330" t="s">
        <v>1485</v>
      </c>
      <c r="K416" s="332" t="s">
        <v>1287</v>
      </c>
      <c r="L416" s="148">
        <v>44649</v>
      </c>
      <c r="M416" t="s">
        <v>2708</v>
      </c>
      <c r="N416" s="169">
        <v>44781</v>
      </c>
      <c r="O416" s="168"/>
      <c r="Q416" t="s">
        <v>35</v>
      </c>
      <c r="R416" t="s">
        <v>129</v>
      </c>
    </row>
    <row r="417" spans="1:18" hidden="1">
      <c r="A417" s="330">
        <f>COUNTA($D$3:$D$417)</f>
        <v>415</v>
      </c>
      <c r="B417" s="330" t="s">
        <v>2319</v>
      </c>
      <c r="C417" s="330" t="s">
        <v>299</v>
      </c>
      <c r="D417" s="330" t="s">
        <v>16</v>
      </c>
      <c r="E417" s="330" t="s">
        <v>1049</v>
      </c>
      <c r="F417" s="331">
        <v>44589</v>
      </c>
      <c r="G417" s="331"/>
      <c r="H417" s="331"/>
      <c r="I417" s="331">
        <v>44589</v>
      </c>
      <c r="J417" s="330" t="s">
        <v>2391</v>
      </c>
      <c r="K417" s="332" t="s">
        <v>1274</v>
      </c>
      <c r="L417" s="148">
        <v>44649</v>
      </c>
      <c r="M417" t="s">
        <v>2708</v>
      </c>
      <c r="N417" s="169">
        <v>44708</v>
      </c>
      <c r="O417" s="168"/>
      <c r="Q417" t="s">
        <v>302</v>
      </c>
      <c r="R417" t="s">
        <v>129</v>
      </c>
    </row>
    <row r="418" spans="1:18" hidden="1">
      <c r="A418" s="330">
        <f>COUNTA($D$3:$D$418)</f>
        <v>416</v>
      </c>
      <c r="B418" s="330" t="s">
        <v>2334</v>
      </c>
      <c r="C418" s="330" t="s">
        <v>37</v>
      </c>
      <c r="D418" s="330" t="s">
        <v>30</v>
      </c>
      <c r="E418" s="330" t="s">
        <v>1291</v>
      </c>
      <c r="F418" s="331">
        <v>44567</v>
      </c>
      <c r="G418" s="331">
        <v>44575</v>
      </c>
      <c r="H418" s="331"/>
      <c r="I418" s="331">
        <v>44567</v>
      </c>
      <c r="J418" s="330" t="s">
        <v>1662</v>
      </c>
      <c r="K418" s="332" t="s">
        <v>1287</v>
      </c>
      <c r="L418" s="148">
        <v>44649</v>
      </c>
      <c r="M418" t="s">
        <v>2708</v>
      </c>
      <c r="N418" s="169">
        <v>44781</v>
      </c>
      <c r="O418" s="168"/>
      <c r="Q418" t="s">
        <v>35</v>
      </c>
      <c r="R418" t="s">
        <v>129</v>
      </c>
    </row>
    <row r="419" spans="1:18" hidden="1">
      <c r="A419" s="330">
        <f>COUNTA($D$3:$D$419)</f>
        <v>417</v>
      </c>
      <c r="B419" s="330" t="s">
        <v>2335</v>
      </c>
      <c r="C419" s="330" t="s">
        <v>37</v>
      </c>
      <c r="D419" s="330" t="s">
        <v>30</v>
      </c>
      <c r="E419" s="330" t="s">
        <v>1289</v>
      </c>
      <c r="F419" s="331">
        <v>44544</v>
      </c>
      <c r="G419" s="331"/>
      <c r="H419" s="331"/>
      <c r="I419" s="331">
        <v>44544</v>
      </c>
      <c r="J419" s="330" t="s">
        <v>1659</v>
      </c>
      <c r="K419" s="332" t="s">
        <v>1295</v>
      </c>
      <c r="L419" s="148">
        <v>44649</v>
      </c>
      <c r="M419" t="s">
        <v>2708</v>
      </c>
      <c r="N419" s="169">
        <v>44554</v>
      </c>
      <c r="O419" s="168"/>
      <c r="Q419" t="s">
        <v>35</v>
      </c>
      <c r="R419" t="s">
        <v>129</v>
      </c>
    </row>
    <row r="420" spans="1:18" hidden="1">
      <c r="A420" s="330">
        <f>COUNTA($D$3:$D$420)</f>
        <v>418</v>
      </c>
      <c r="B420" s="330" t="s">
        <v>2336</v>
      </c>
      <c r="C420" s="330" t="s">
        <v>37</v>
      </c>
      <c r="D420" s="330" t="s">
        <v>30</v>
      </c>
      <c r="E420" s="330" t="s">
        <v>1122</v>
      </c>
      <c r="F420" s="331">
        <v>44567</v>
      </c>
      <c r="G420" s="331">
        <v>44575</v>
      </c>
      <c r="H420" s="331"/>
      <c r="I420" s="331">
        <v>44567</v>
      </c>
      <c r="J420" s="330" t="s">
        <v>2392</v>
      </c>
      <c r="K420" s="332" t="s">
        <v>2609</v>
      </c>
      <c r="L420" s="148">
        <v>44649</v>
      </c>
      <c r="M420" t="s">
        <v>2708</v>
      </c>
      <c r="N420" s="169">
        <v>44781</v>
      </c>
      <c r="O420" s="168"/>
      <c r="Q420" t="s">
        <v>35</v>
      </c>
      <c r="R420" t="s">
        <v>129</v>
      </c>
    </row>
    <row r="421" spans="1:18" hidden="1">
      <c r="A421" s="330">
        <f>COUNTA($D$3:$D$421)</f>
        <v>419</v>
      </c>
      <c r="B421" s="330" t="s">
        <v>2424</v>
      </c>
      <c r="C421" s="330" t="s">
        <v>1106</v>
      </c>
      <c r="D421" s="330" t="s">
        <v>25</v>
      </c>
      <c r="E421" s="330" t="s">
        <v>2425</v>
      </c>
      <c r="F421" s="331">
        <v>44589</v>
      </c>
      <c r="G421" s="331">
        <v>44575</v>
      </c>
      <c r="H421" s="331"/>
      <c r="I421" s="331">
        <v>44589</v>
      </c>
      <c r="J421" s="330" t="s">
        <v>2426</v>
      </c>
      <c r="K421" s="332" t="s">
        <v>1295</v>
      </c>
      <c r="L421" s="148">
        <v>44649</v>
      </c>
      <c r="M421" t="s">
        <v>2708</v>
      </c>
      <c r="N421" s="169">
        <v>44649</v>
      </c>
      <c r="O421" s="168"/>
      <c r="Q421" t="s">
        <v>35</v>
      </c>
      <c r="R421" t="s">
        <v>129</v>
      </c>
    </row>
    <row r="422" spans="1:18" hidden="1">
      <c r="A422" s="330">
        <f>COUNTA($D$3:$D$422)</f>
        <v>420</v>
      </c>
      <c r="B422" s="330" t="s">
        <v>2339</v>
      </c>
      <c r="C422" s="330" t="s">
        <v>2340</v>
      </c>
      <c r="D422" s="330" t="s">
        <v>2341</v>
      </c>
      <c r="E422" s="330" t="s">
        <v>2910</v>
      </c>
      <c r="F422" s="331"/>
      <c r="G422" s="331">
        <v>44582</v>
      </c>
      <c r="H422" s="331"/>
      <c r="I422" s="331"/>
      <c r="J422" s="330" t="s">
        <v>1718</v>
      </c>
      <c r="K422" s="332" t="s">
        <v>1295</v>
      </c>
      <c r="L422" s="148">
        <v>44649</v>
      </c>
      <c r="M422" t="s">
        <v>2710</v>
      </c>
      <c r="N422" s="169">
        <v>44678</v>
      </c>
      <c r="O422" s="168"/>
      <c r="Q422" t="s">
        <v>28</v>
      </c>
      <c r="R422" t="s">
        <v>129</v>
      </c>
    </row>
    <row r="423" spans="1:18" hidden="1">
      <c r="A423" s="330">
        <f>COUNTA($D$3:$D$423)</f>
        <v>421</v>
      </c>
      <c r="B423" s="330" t="s">
        <v>2326</v>
      </c>
      <c r="C423" s="330" t="s">
        <v>2327</v>
      </c>
      <c r="D423" s="330" t="s">
        <v>56</v>
      </c>
      <c r="E423" s="330" t="s">
        <v>2328</v>
      </c>
      <c r="F423" s="331" t="s">
        <v>55</v>
      </c>
      <c r="G423" s="331"/>
      <c r="H423" s="331"/>
      <c r="I423" s="331" t="s">
        <v>55</v>
      </c>
      <c r="J423" s="330" t="s">
        <v>17</v>
      </c>
      <c r="K423" s="332" t="s">
        <v>1295</v>
      </c>
      <c r="L423" s="148">
        <v>44649</v>
      </c>
      <c r="M423" t="s">
        <v>2710</v>
      </c>
      <c r="N423" s="169">
        <v>44554</v>
      </c>
      <c r="O423" s="168"/>
      <c r="Q423" t="s">
        <v>28</v>
      </c>
      <c r="R423" t="s">
        <v>129</v>
      </c>
    </row>
    <row r="424" spans="1:18" hidden="1">
      <c r="A424" s="330">
        <f>COUNTA($D$3:$D$424)</f>
        <v>422</v>
      </c>
      <c r="B424" s="330" t="s">
        <v>2285</v>
      </c>
      <c r="C424" s="330" t="s">
        <v>2286</v>
      </c>
      <c r="D424" s="330" t="s">
        <v>1098</v>
      </c>
      <c r="E424" s="330" t="s">
        <v>2287</v>
      </c>
      <c r="F424" s="331">
        <v>44551</v>
      </c>
      <c r="G424" s="331">
        <v>44575</v>
      </c>
      <c r="H424" s="331"/>
      <c r="I424" s="331">
        <v>44551</v>
      </c>
      <c r="J424" s="330" t="s">
        <v>1093</v>
      </c>
      <c r="K424" s="332" t="s">
        <v>287</v>
      </c>
      <c r="L424" s="148">
        <v>44649</v>
      </c>
      <c r="N424" s="169">
        <v>45083</v>
      </c>
      <c r="O424" s="168"/>
      <c r="Q424" t="s">
        <v>1726</v>
      </c>
      <c r="R424" t="s">
        <v>22</v>
      </c>
    </row>
    <row r="425" spans="1:18" hidden="1">
      <c r="A425" s="330">
        <f>COUNTA($D$3:$D$425)</f>
        <v>423</v>
      </c>
      <c r="B425" s="330" t="s">
        <v>2430</v>
      </c>
      <c r="C425" s="330" t="s">
        <v>2431</v>
      </c>
      <c r="D425" s="330" t="s">
        <v>1098</v>
      </c>
      <c r="E425" s="330" t="s">
        <v>2432</v>
      </c>
      <c r="F425" s="331">
        <v>44603</v>
      </c>
      <c r="G425" s="331">
        <v>44603</v>
      </c>
      <c r="H425" s="331"/>
      <c r="I425" s="331">
        <v>44603</v>
      </c>
      <c r="J425" s="330" t="s">
        <v>1707</v>
      </c>
      <c r="K425" s="332" t="s">
        <v>287</v>
      </c>
      <c r="L425" s="148">
        <v>44649</v>
      </c>
      <c r="M425" t="s">
        <v>2714</v>
      </c>
      <c r="N425" s="169">
        <v>44579</v>
      </c>
      <c r="O425" s="168"/>
      <c r="Q425" t="s">
        <v>1055</v>
      </c>
      <c r="R425" t="s">
        <v>129</v>
      </c>
    </row>
    <row r="426" spans="1:18" hidden="1">
      <c r="A426" s="330">
        <f>COUNTA($D$3:$D$426)</f>
        <v>424</v>
      </c>
      <c r="B426" s="330" t="s">
        <v>2307</v>
      </c>
      <c r="C426" s="330" t="s">
        <v>1764</v>
      </c>
      <c r="D426" s="330" t="s">
        <v>19</v>
      </c>
      <c r="E426" s="330" t="s">
        <v>1765</v>
      </c>
      <c r="F426" s="331">
        <v>44551</v>
      </c>
      <c r="G426" s="331">
        <v>44575</v>
      </c>
      <c r="H426" s="331"/>
      <c r="I426" s="331">
        <v>44551</v>
      </c>
      <c r="J426" s="330" t="s">
        <v>2389</v>
      </c>
      <c r="K426" s="332" t="s">
        <v>287</v>
      </c>
      <c r="L426" s="148">
        <v>44649</v>
      </c>
      <c r="M426" t="s">
        <v>2712</v>
      </c>
      <c r="N426" s="169">
        <v>44649</v>
      </c>
      <c r="O426" s="168"/>
      <c r="Q426" t="s">
        <v>35</v>
      </c>
      <c r="R426" t="s">
        <v>129</v>
      </c>
    </row>
    <row r="427" spans="1:18" hidden="1">
      <c r="A427" s="330">
        <f>COUNTA($D$3:$D$427)</f>
        <v>425</v>
      </c>
      <c r="B427" s="330" t="s">
        <v>2378</v>
      </c>
      <c r="C427" s="330" t="s">
        <v>57</v>
      </c>
      <c r="D427" s="330" t="s">
        <v>34</v>
      </c>
      <c r="E427" s="330" t="s">
        <v>2379</v>
      </c>
      <c r="F427" s="331">
        <v>44581</v>
      </c>
      <c r="G427" s="331">
        <v>44582</v>
      </c>
      <c r="H427" s="331"/>
      <c r="I427" s="331">
        <v>44581</v>
      </c>
      <c r="J427" s="330" t="s">
        <v>2444</v>
      </c>
      <c r="K427" s="332" t="s">
        <v>287</v>
      </c>
      <c r="L427" s="148">
        <v>44649</v>
      </c>
      <c r="N427" s="169">
        <v>45083</v>
      </c>
      <c r="O427" s="168"/>
      <c r="Q427" t="s">
        <v>35</v>
      </c>
      <c r="R427" t="s">
        <v>22</v>
      </c>
    </row>
    <row r="428" spans="1:18" hidden="1">
      <c r="A428" s="330">
        <f>COUNTA($D$3:$D$428)</f>
        <v>426</v>
      </c>
      <c r="B428" s="330" t="s">
        <v>2329</v>
      </c>
      <c r="C428" s="330" t="s">
        <v>2330</v>
      </c>
      <c r="D428" s="330" t="s">
        <v>1080</v>
      </c>
      <c r="E428" s="330" t="s">
        <v>2331</v>
      </c>
      <c r="F428" s="331"/>
      <c r="G428" s="331"/>
      <c r="H428" s="331"/>
      <c r="I428" s="331"/>
      <c r="J428" s="330" t="s">
        <v>1723</v>
      </c>
      <c r="K428" s="332" t="s">
        <v>287</v>
      </c>
      <c r="L428" s="148">
        <v>44649</v>
      </c>
      <c r="M428" t="s">
        <v>2713</v>
      </c>
      <c r="N428" s="169">
        <v>44679</v>
      </c>
      <c r="O428" s="168"/>
      <c r="Q428" t="s">
        <v>28</v>
      </c>
      <c r="R428" t="s">
        <v>129</v>
      </c>
    </row>
    <row r="429" spans="1:18" hidden="1">
      <c r="A429" s="330">
        <f>COUNTA($D$3:$D$429)</f>
        <v>427</v>
      </c>
      <c r="B429" s="330" t="s">
        <v>2652</v>
      </c>
      <c r="C429" s="330" t="s">
        <v>44</v>
      </c>
      <c r="D429" s="330" t="s">
        <v>2653</v>
      </c>
      <c r="E429" s="330" t="s">
        <v>146</v>
      </c>
      <c r="F429" s="331"/>
      <c r="G429" s="331"/>
      <c r="H429" s="331"/>
      <c r="I429" s="331"/>
      <c r="J429" s="330" t="s">
        <v>2194</v>
      </c>
      <c r="K429" s="332" t="s">
        <v>1295</v>
      </c>
      <c r="L429" s="148">
        <v>44641</v>
      </c>
      <c r="M429" t="s">
        <v>2669</v>
      </c>
      <c r="N429" s="169">
        <v>44637</v>
      </c>
      <c r="O429" s="168"/>
    </row>
    <row r="430" spans="1:18" hidden="1">
      <c r="A430" s="330">
        <f>COUNTA($D$3:$D$430)</f>
        <v>428</v>
      </c>
      <c r="B430" s="330" t="s">
        <v>2519</v>
      </c>
      <c r="C430" s="330" t="s">
        <v>1270</v>
      </c>
      <c r="D430" s="330" t="s">
        <v>19</v>
      </c>
      <c r="E430" s="330" t="s">
        <v>2520</v>
      </c>
      <c r="F430" s="331">
        <v>44615</v>
      </c>
      <c r="G430" s="331">
        <v>44617</v>
      </c>
      <c r="H430" s="331"/>
      <c r="I430" s="331">
        <v>44615</v>
      </c>
      <c r="J430" s="330" t="s">
        <v>2656</v>
      </c>
      <c r="K430" s="332" t="s">
        <v>1295</v>
      </c>
      <c r="L430" s="148">
        <v>44641</v>
      </c>
      <c r="M430" t="s">
        <v>2657</v>
      </c>
      <c r="N430" s="169">
        <v>44629</v>
      </c>
      <c r="O430" s="168"/>
      <c r="Q430" t="s">
        <v>35</v>
      </c>
      <c r="R430" t="s">
        <v>129</v>
      </c>
    </row>
    <row r="431" spans="1:18" hidden="1">
      <c r="A431" s="330">
        <f>COUNTA($D$3:$D$431)</f>
        <v>429</v>
      </c>
      <c r="B431" s="330" t="s">
        <v>2517</v>
      </c>
      <c r="C431" s="330" t="s">
        <v>1270</v>
      </c>
      <c r="D431" s="330" t="s">
        <v>19</v>
      </c>
      <c r="E431" s="330" t="s">
        <v>2518</v>
      </c>
      <c r="F431" s="331">
        <v>44615</v>
      </c>
      <c r="G431" s="331">
        <v>44617</v>
      </c>
      <c r="H431" s="331"/>
      <c r="I431" s="331">
        <v>44615</v>
      </c>
      <c r="J431" s="330" t="s">
        <v>2655</v>
      </c>
      <c r="K431" s="332" t="s">
        <v>1295</v>
      </c>
      <c r="L431" s="148">
        <v>44641</v>
      </c>
      <c r="M431" t="s">
        <v>2657</v>
      </c>
      <c r="N431" s="169">
        <v>44629</v>
      </c>
      <c r="O431" s="168"/>
      <c r="Q431" t="s">
        <v>35</v>
      </c>
      <c r="R431" t="s">
        <v>129</v>
      </c>
    </row>
    <row r="432" spans="1:18" hidden="1">
      <c r="A432" s="330">
        <f>COUNTA($D$3:$D$432)</f>
        <v>430</v>
      </c>
      <c r="B432" s="330" t="s">
        <v>2488</v>
      </c>
      <c r="C432" s="330" t="s">
        <v>2489</v>
      </c>
      <c r="D432" s="330" t="s">
        <v>30</v>
      </c>
      <c r="E432" s="330" t="s">
        <v>1208</v>
      </c>
      <c r="F432" s="331"/>
      <c r="G432" s="331">
        <v>44617</v>
      </c>
      <c r="H432" s="331"/>
      <c r="I432" s="331"/>
      <c r="J432" s="330" t="s">
        <v>2654</v>
      </c>
      <c r="K432" s="332"/>
      <c r="L432" s="148">
        <v>44637</v>
      </c>
      <c r="M432" t="s">
        <v>2610</v>
      </c>
      <c r="N432" s="169">
        <v>44776</v>
      </c>
      <c r="O432" s="168"/>
      <c r="Q432" t="s">
        <v>300</v>
      </c>
      <c r="R432" t="s">
        <v>129</v>
      </c>
    </row>
    <row r="433" spans="1:18" hidden="1">
      <c r="A433" s="330">
        <f>COUNTA($D$3:$D$433)</f>
        <v>431</v>
      </c>
      <c r="B433" s="330" t="s">
        <v>2527</v>
      </c>
      <c r="C433" s="330" t="s">
        <v>41</v>
      </c>
      <c r="D433" s="330" t="s">
        <v>1139</v>
      </c>
      <c r="E433" s="330" t="s">
        <v>1140</v>
      </c>
      <c r="F433" s="331"/>
      <c r="G433" s="331"/>
      <c r="H433" s="331"/>
      <c r="I433" s="331"/>
      <c r="J433" s="330" t="s">
        <v>1650</v>
      </c>
      <c r="K433" s="332" t="s">
        <v>1294</v>
      </c>
      <c r="L433" s="148">
        <v>44620</v>
      </c>
      <c r="M433" t="s">
        <v>2544</v>
      </c>
      <c r="N433" s="169">
        <v>44636</v>
      </c>
      <c r="O433" s="168"/>
    </row>
    <row r="434" spans="1:18" hidden="1">
      <c r="A434" s="330">
        <f>COUNTA($D$3:$D$434)</f>
        <v>432</v>
      </c>
      <c r="B434" s="330" t="s">
        <v>2537</v>
      </c>
      <c r="C434" s="330" t="s">
        <v>41</v>
      </c>
      <c r="D434" s="330" t="s">
        <v>1166</v>
      </c>
      <c r="E434" s="330" t="s">
        <v>2193</v>
      </c>
      <c r="F434" s="331"/>
      <c r="G434" s="331"/>
      <c r="H434" s="331"/>
      <c r="I434" s="331"/>
      <c r="J434" s="330" t="s">
        <v>2194</v>
      </c>
      <c r="K434" s="332" t="s">
        <v>1295</v>
      </c>
      <c r="L434" s="148">
        <v>44620</v>
      </c>
      <c r="M434" t="s">
        <v>2545</v>
      </c>
      <c r="N434" s="169">
        <v>44621</v>
      </c>
      <c r="O434" s="168"/>
    </row>
    <row r="435" spans="1:18" hidden="1">
      <c r="A435" s="330">
        <f>COUNTA($D$3:$D$435)</f>
        <v>433</v>
      </c>
      <c r="B435" s="330" t="s">
        <v>2536</v>
      </c>
      <c r="C435" s="330" t="s">
        <v>41</v>
      </c>
      <c r="D435" s="330" t="s">
        <v>52</v>
      </c>
      <c r="E435" s="330" t="s">
        <v>2017</v>
      </c>
      <c r="F435" s="331"/>
      <c r="G435" s="331"/>
      <c r="H435" s="331"/>
      <c r="I435" s="331"/>
      <c r="J435" s="330" t="s">
        <v>2194</v>
      </c>
      <c r="K435" s="332" t="s">
        <v>1295</v>
      </c>
      <c r="L435" s="148">
        <v>44620</v>
      </c>
      <c r="M435" t="s">
        <v>2545</v>
      </c>
      <c r="N435" s="169">
        <v>44622</v>
      </c>
      <c r="O435" s="168"/>
    </row>
    <row r="436" spans="1:18" hidden="1">
      <c r="A436" s="330">
        <f>COUNTA($D$3:$D$436)</f>
        <v>434</v>
      </c>
      <c r="B436" s="330" t="s">
        <v>2538</v>
      </c>
      <c r="C436" s="330" t="s">
        <v>41</v>
      </c>
      <c r="D436" s="330" t="s">
        <v>2539</v>
      </c>
      <c r="E436" s="330" t="s">
        <v>2540</v>
      </c>
      <c r="F436" s="331"/>
      <c r="G436" s="331"/>
      <c r="H436" s="331"/>
      <c r="I436" s="331"/>
      <c r="J436" s="330" t="s">
        <v>1650</v>
      </c>
      <c r="K436" s="332" t="s">
        <v>1295</v>
      </c>
      <c r="L436" s="148">
        <v>44620</v>
      </c>
      <c r="M436" t="s">
        <v>2545</v>
      </c>
      <c r="N436" s="169">
        <v>44623</v>
      </c>
      <c r="O436" s="168"/>
    </row>
    <row r="437" spans="1:18">
      <c r="A437" s="330">
        <f>COUNTA($D$3:$D$437)</f>
        <v>435</v>
      </c>
      <c r="B437" s="330" t="s">
        <v>2251</v>
      </c>
      <c r="C437" s="330" t="s">
        <v>1154</v>
      </c>
      <c r="D437" s="330" t="s">
        <v>16</v>
      </c>
      <c r="E437" s="330" t="s">
        <v>2252</v>
      </c>
      <c r="F437" s="331">
        <v>44534</v>
      </c>
      <c r="G437" s="331">
        <v>44533</v>
      </c>
      <c r="H437" s="331"/>
      <c r="I437" s="331">
        <v>44534</v>
      </c>
      <c r="J437" s="330" t="s">
        <v>2253</v>
      </c>
      <c r="K437" s="332" t="s">
        <v>2032</v>
      </c>
      <c r="L437" s="148">
        <v>44620</v>
      </c>
      <c r="O437" s="168"/>
      <c r="Q437" t="s">
        <v>35</v>
      </c>
      <c r="R437" t="s">
        <v>22</v>
      </c>
    </row>
    <row r="438" spans="1:18" hidden="1">
      <c r="A438" s="330">
        <f>COUNTA($D$3:$D$438)</f>
        <v>436</v>
      </c>
      <c r="B438" s="330" t="s">
        <v>2100</v>
      </c>
      <c r="C438" s="330" t="s">
        <v>301</v>
      </c>
      <c r="D438" s="330" t="s">
        <v>64</v>
      </c>
      <c r="E438" s="330" t="s">
        <v>2101</v>
      </c>
      <c r="F438" s="331">
        <v>44508</v>
      </c>
      <c r="G438" s="331">
        <v>44507</v>
      </c>
      <c r="H438" s="331"/>
      <c r="I438" s="331">
        <v>44508</v>
      </c>
      <c r="J438" s="330" t="s">
        <v>2102</v>
      </c>
      <c r="K438" s="332" t="s">
        <v>1296</v>
      </c>
      <c r="L438" s="148">
        <v>44620</v>
      </c>
      <c r="M438" t="s">
        <v>2954</v>
      </c>
      <c r="N438" s="169">
        <v>44546</v>
      </c>
      <c r="O438" s="168"/>
      <c r="Q438" t="s">
        <v>35</v>
      </c>
      <c r="R438" t="s">
        <v>129</v>
      </c>
    </row>
    <row r="439" spans="1:18" hidden="1">
      <c r="A439" s="330">
        <f>COUNTA($D$3:$D$439)</f>
        <v>437</v>
      </c>
      <c r="B439" s="330" t="s">
        <v>2095</v>
      </c>
      <c r="C439" s="330" t="s">
        <v>301</v>
      </c>
      <c r="D439" s="330" t="s">
        <v>64</v>
      </c>
      <c r="E439" s="330" t="s">
        <v>1156</v>
      </c>
      <c r="F439" s="331">
        <v>44508</v>
      </c>
      <c r="G439" s="331">
        <v>44507</v>
      </c>
      <c r="H439" s="331"/>
      <c r="I439" s="331">
        <v>44508</v>
      </c>
      <c r="J439" s="330" t="s">
        <v>1659</v>
      </c>
      <c r="K439" s="332" t="s">
        <v>53</v>
      </c>
      <c r="L439" s="148">
        <v>44620</v>
      </c>
      <c r="M439" t="s">
        <v>2954</v>
      </c>
      <c r="N439" s="169">
        <v>44546</v>
      </c>
      <c r="O439" s="168"/>
      <c r="Q439" t="s">
        <v>35</v>
      </c>
      <c r="R439" t="s">
        <v>129</v>
      </c>
    </row>
    <row r="440" spans="1:18">
      <c r="A440" s="330">
        <f>COUNTA($D$3:$D$440)</f>
        <v>438</v>
      </c>
      <c r="B440" s="330" t="s">
        <v>2131</v>
      </c>
      <c r="C440" s="330" t="s">
        <v>1261</v>
      </c>
      <c r="D440" s="330" t="s">
        <v>45</v>
      </c>
      <c r="E440" s="330" t="s">
        <v>2132</v>
      </c>
      <c r="F440" s="331">
        <v>44508</v>
      </c>
      <c r="G440" s="331">
        <v>44512</v>
      </c>
      <c r="H440" s="331"/>
      <c r="I440" s="331">
        <v>44508</v>
      </c>
      <c r="J440" s="330" t="s">
        <v>1774</v>
      </c>
      <c r="K440" s="332" t="s">
        <v>1296</v>
      </c>
      <c r="L440" s="148">
        <v>44620</v>
      </c>
      <c r="O440" s="168"/>
      <c r="Q440" t="s">
        <v>1726</v>
      </c>
      <c r="R440" t="s">
        <v>129</v>
      </c>
    </row>
    <row r="441" spans="1:18" hidden="1">
      <c r="A441" s="330">
        <f>COUNTA($D$3:$D$441)</f>
        <v>439</v>
      </c>
      <c r="B441" s="330" t="s">
        <v>2115</v>
      </c>
      <c r="C441" s="330" t="s">
        <v>41</v>
      </c>
      <c r="D441" s="330" t="s">
        <v>1124</v>
      </c>
      <c r="E441" s="330" t="s">
        <v>1183</v>
      </c>
      <c r="F441" s="331" t="s">
        <v>66</v>
      </c>
      <c r="G441" s="331">
        <v>44507</v>
      </c>
      <c r="H441" s="331"/>
      <c r="I441" s="331" t="s">
        <v>66</v>
      </c>
      <c r="J441" s="330" t="s">
        <v>1667</v>
      </c>
      <c r="K441" s="332" t="s">
        <v>287</v>
      </c>
      <c r="L441" s="148">
        <v>44620</v>
      </c>
      <c r="M441" t="s">
        <v>2475</v>
      </c>
      <c r="N441" s="169">
        <v>44967</v>
      </c>
      <c r="O441" s="168"/>
      <c r="Q441" t="s">
        <v>60</v>
      </c>
      <c r="R441" t="s">
        <v>22</v>
      </c>
    </row>
    <row r="442" spans="1:18" hidden="1">
      <c r="A442" s="330">
        <f>COUNTA($D$3:$D$442)</f>
        <v>440</v>
      </c>
      <c r="B442" s="330" t="s">
        <v>2125</v>
      </c>
      <c r="C442" s="330" t="s">
        <v>1134</v>
      </c>
      <c r="D442" s="330" t="s">
        <v>16</v>
      </c>
      <c r="E442" s="330" t="s">
        <v>1235</v>
      </c>
      <c r="F442" s="331">
        <v>44508</v>
      </c>
      <c r="G442" s="331">
        <v>44507</v>
      </c>
      <c r="H442" s="331"/>
      <c r="I442" s="331">
        <v>44508</v>
      </c>
      <c r="J442" s="330" t="s">
        <v>1672</v>
      </c>
      <c r="K442" s="332" t="s">
        <v>1295</v>
      </c>
      <c r="L442" s="148">
        <v>44620</v>
      </c>
      <c r="M442" t="s">
        <v>2548</v>
      </c>
      <c r="N442" s="169">
        <v>44781</v>
      </c>
      <c r="O442" s="168"/>
      <c r="Q442" t="s">
        <v>35</v>
      </c>
      <c r="R442" t="s">
        <v>129</v>
      </c>
    </row>
    <row r="443" spans="1:18" hidden="1">
      <c r="A443" s="330">
        <f>COUNTA($D$3:$D$443)</f>
        <v>441</v>
      </c>
      <c r="B443" s="330" t="s">
        <v>2122</v>
      </c>
      <c r="C443" s="330" t="s">
        <v>41</v>
      </c>
      <c r="D443" s="330" t="s">
        <v>1124</v>
      </c>
      <c r="E443" s="330" t="s">
        <v>1184</v>
      </c>
      <c r="F443" s="331" t="s">
        <v>66</v>
      </c>
      <c r="G443" s="331">
        <v>44507</v>
      </c>
      <c r="H443" s="331">
        <v>44547</v>
      </c>
      <c r="I443" s="331" t="s">
        <v>66</v>
      </c>
      <c r="J443" s="330" t="s">
        <v>1667</v>
      </c>
      <c r="K443" s="332" t="s">
        <v>1296</v>
      </c>
      <c r="L443" s="148">
        <v>44620</v>
      </c>
      <c r="M443" t="s">
        <v>2547</v>
      </c>
      <c r="N443" s="169">
        <v>44620</v>
      </c>
      <c r="O443" s="168"/>
      <c r="Q443" t="s">
        <v>28</v>
      </c>
    </row>
    <row r="444" spans="1:18" hidden="1">
      <c r="A444" s="330">
        <f>COUNTA($D$3:$D$444)</f>
        <v>442</v>
      </c>
      <c r="B444" s="330" t="s">
        <v>2146</v>
      </c>
      <c r="C444" s="330" t="s">
        <v>1794</v>
      </c>
      <c r="D444" s="330" t="s">
        <v>63</v>
      </c>
      <c r="E444" s="330" t="s">
        <v>1795</v>
      </c>
      <c r="F444" s="331">
        <v>44480</v>
      </c>
      <c r="G444" s="331">
        <v>44512</v>
      </c>
      <c r="H444" s="331"/>
      <c r="I444" s="331">
        <v>44480</v>
      </c>
      <c r="J444" s="330" t="s">
        <v>1485</v>
      </c>
      <c r="K444" s="332" t="s">
        <v>1295</v>
      </c>
      <c r="L444" s="148">
        <v>44620</v>
      </c>
      <c r="N444" s="169">
        <v>45069</v>
      </c>
      <c r="O444" s="168"/>
      <c r="Q444" t="s">
        <v>35</v>
      </c>
      <c r="R444" t="s">
        <v>129</v>
      </c>
    </row>
    <row r="445" spans="1:18">
      <c r="A445" s="330">
        <f>COUNTA($D$3:$D$445)</f>
        <v>443</v>
      </c>
      <c r="B445" s="330" t="s">
        <v>2144</v>
      </c>
      <c r="C445" s="330" t="s">
        <v>41</v>
      </c>
      <c r="D445" s="330" t="s">
        <v>36</v>
      </c>
      <c r="E445" s="330" t="s">
        <v>1210</v>
      </c>
      <c r="F445" s="331" t="s">
        <v>66</v>
      </c>
      <c r="G445" s="331">
        <v>44512</v>
      </c>
      <c r="H445" s="331"/>
      <c r="I445" s="331" t="s">
        <v>66</v>
      </c>
      <c r="J445" s="330" t="s">
        <v>2145</v>
      </c>
      <c r="K445" s="332" t="s">
        <v>1287</v>
      </c>
      <c r="L445" s="148">
        <v>44620</v>
      </c>
      <c r="O445" s="168"/>
      <c r="Q445" t="s">
        <v>60</v>
      </c>
      <c r="R445" t="s">
        <v>129</v>
      </c>
    </row>
    <row r="446" spans="1:18" hidden="1">
      <c r="A446" s="330">
        <f>COUNTA($D$3:$D$446)</f>
        <v>444</v>
      </c>
      <c r="B446" s="330" t="s">
        <v>2170</v>
      </c>
      <c r="C446" s="330" t="s">
        <v>44</v>
      </c>
      <c r="D446" s="330" t="s">
        <v>30</v>
      </c>
      <c r="E446" s="330" t="s">
        <v>81</v>
      </c>
      <c r="F446" s="331" t="s">
        <v>66</v>
      </c>
      <c r="G446" s="331">
        <v>44519</v>
      </c>
      <c r="H446" s="331"/>
      <c r="I446" s="331" t="s">
        <v>66</v>
      </c>
      <c r="J446" s="330" t="s">
        <v>2208</v>
      </c>
      <c r="K446" s="332" t="s">
        <v>1295</v>
      </c>
      <c r="L446" s="148">
        <v>44620</v>
      </c>
      <c r="M446" t="s">
        <v>2551</v>
      </c>
      <c r="N446" s="169">
        <v>44620</v>
      </c>
      <c r="O446" s="168"/>
      <c r="Q446" t="s">
        <v>28</v>
      </c>
    </row>
    <row r="447" spans="1:18" hidden="1">
      <c r="A447" s="330">
        <f>COUNTA($D$3:$D$447)</f>
        <v>445</v>
      </c>
      <c r="B447" s="330" t="s">
        <v>2173</v>
      </c>
      <c r="C447" s="330" t="s">
        <v>44</v>
      </c>
      <c r="D447" s="330" t="s">
        <v>30</v>
      </c>
      <c r="E447" s="330" t="s">
        <v>59</v>
      </c>
      <c r="F447" s="331" t="s">
        <v>66</v>
      </c>
      <c r="G447" s="331">
        <v>44519</v>
      </c>
      <c r="H447" s="331"/>
      <c r="I447" s="331" t="s">
        <v>66</v>
      </c>
      <c r="J447" s="330" t="s">
        <v>1667</v>
      </c>
      <c r="K447" s="332" t="s">
        <v>1274</v>
      </c>
      <c r="L447" s="148">
        <v>44620</v>
      </c>
      <c r="M447">
        <v>0</v>
      </c>
      <c r="N447" s="169">
        <v>44620</v>
      </c>
      <c r="O447" s="168"/>
      <c r="Q447" t="s">
        <v>28</v>
      </c>
    </row>
    <row r="448" spans="1:18">
      <c r="A448" s="330">
        <f>COUNTA($D$3:$D$448)</f>
        <v>446</v>
      </c>
      <c r="B448" s="330" t="s">
        <v>2228</v>
      </c>
      <c r="C448" s="330" t="s">
        <v>1196</v>
      </c>
      <c r="D448" s="330" t="s">
        <v>104</v>
      </c>
      <c r="E448" s="330" t="s">
        <v>1283</v>
      </c>
      <c r="F448" s="331">
        <v>44540</v>
      </c>
      <c r="G448" s="331">
        <v>44519</v>
      </c>
      <c r="H448" s="331"/>
      <c r="I448" s="331">
        <v>44540</v>
      </c>
      <c r="J448" s="330" t="s">
        <v>17</v>
      </c>
      <c r="K448" s="332" t="s">
        <v>1294</v>
      </c>
      <c r="L448" s="148">
        <v>44620</v>
      </c>
      <c r="O448" s="168"/>
      <c r="Q448" t="s">
        <v>35</v>
      </c>
      <c r="R448" t="s">
        <v>22</v>
      </c>
    </row>
    <row r="449" spans="1:18" hidden="1">
      <c r="A449" s="330">
        <f>COUNTA($D$3:$D$449)</f>
        <v>447</v>
      </c>
      <c r="B449" s="330" t="s">
        <v>2155</v>
      </c>
      <c r="C449" s="330" t="s">
        <v>44</v>
      </c>
      <c r="D449" s="330" t="s">
        <v>30</v>
      </c>
      <c r="E449" s="330" t="s">
        <v>110</v>
      </c>
      <c r="F449" s="331" t="s">
        <v>66</v>
      </c>
      <c r="G449" s="331">
        <v>44519</v>
      </c>
      <c r="H449" s="331"/>
      <c r="I449" s="331" t="s">
        <v>66</v>
      </c>
      <c r="J449" s="330" t="s">
        <v>2156</v>
      </c>
      <c r="K449" s="332" t="s">
        <v>2032</v>
      </c>
      <c r="L449" s="148">
        <v>44620</v>
      </c>
      <c r="M449" t="s">
        <v>2550</v>
      </c>
      <c r="N449" s="169">
        <v>44620</v>
      </c>
      <c r="O449" s="168"/>
      <c r="Q449" t="s">
        <v>60</v>
      </c>
    </row>
    <row r="450" spans="1:18" hidden="1">
      <c r="A450" s="330">
        <f>COUNTA($D$3:$D$450)</f>
        <v>448</v>
      </c>
      <c r="B450" s="330" t="s">
        <v>2198</v>
      </c>
      <c r="C450" s="330" t="s">
        <v>1267</v>
      </c>
      <c r="D450" s="330" t="s">
        <v>38</v>
      </c>
      <c r="E450" s="330" t="s">
        <v>1719</v>
      </c>
      <c r="F450" s="331">
        <v>44524</v>
      </c>
      <c r="G450" s="331">
        <v>44526</v>
      </c>
      <c r="H450" s="331"/>
      <c r="I450" s="331">
        <v>44524</v>
      </c>
      <c r="J450" s="330" t="s">
        <v>1687</v>
      </c>
      <c r="K450" s="332" t="s">
        <v>1295</v>
      </c>
      <c r="L450" s="148">
        <v>44620</v>
      </c>
      <c r="M450" t="s">
        <v>2954</v>
      </c>
      <c r="N450" s="169">
        <v>44531</v>
      </c>
      <c r="O450" s="168"/>
      <c r="Q450" t="s">
        <v>35</v>
      </c>
      <c r="R450" t="s">
        <v>129</v>
      </c>
    </row>
    <row r="451" spans="1:18" hidden="1">
      <c r="A451" s="330">
        <f>COUNTA($D$3:$D$451)</f>
        <v>449</v>
      </c>
      <c r="B451" s="330" t="s">
        <v>2227</v>
      </c>
      <c r="C451" s="330" t="s">
        <v>41</v>
      </c>
      <c r="D451" s="330" t="s">
        <v>30</v>
      </c>
      <c r="E451" s="330" t="s">
        <v>1722</v>
      </c>
      <c r="F451" s="331" t="s">
        <v>66</v>
      </c>
      <c r="G451" s="331">
        <v>44526</v>
      </c>
      <c r="H451" s="331"/>
      <c r="I451" s="331" t="s">
        <v>66</v>
      </c>
      <c r="J451" s="330" t="s">
        <v>1875</v>
      </c>
      <c r="K451" s="332" t="s">
        <v>1296</v>
      </c>
      <c r="L451" s="148">
        <v>44620</v>
      </c>
      <c r="M451" t="s">
        <v>2552</v>
      </c>
      <c r="N451" s="169">
        <v>44620</v>
      </c>
      <c r="O451" s="168"/>
      <c r="Q451" t="s">
        <v>60</v>
      </c>
    </row>
    <row r="452" spans="1:18" hidden="1">
      <c r="A452" s="330">
        <f>COUNTA($D$3:$D$452)</f>
        <v>450</v>
      </c>
      <c r="B452" s="330" t="s">
        <v>2200</v>
      </c>
      <c r="C452" s="330" t="s">
        <v>41</v>
      </c>
      <c r="D452" s="330" t="s">
        <v>51</v>
      </c>
      <c r="E452" s="330" t="s">
        <v>2201</v>
      </c>
      <c r="F452" s="331" t="s">
        <v>66</v>
      </c>
      <c r="G452" s="331">
        <v>44526</v>
      </c>
      <c r="H452" s="331"/>
      <c r="I452" s="331" t="s">
        <v>66</v>
      </c>
      <c r="J452" s="330" t="s">
        <v>2202</v>
      </c>
      <c r="K452" s="332" t="s">
        <v>1287</v>
      </c>
      <c r="L452" s="148">
        <v>44620</v>
      </c>
      <c r="M452" t="s">
        <v>2552</v>
      </c>
      <c r="N452" s="169">
        <v>44620</v>
      </c>
      <c r="O452" s="168"/>
      <c r="Q452" t="s">
        <v>60</v>
      </c>
    </row>
    <row r="453" spans="1:18" hidden="1">
      <c r="A453" s="330">
        <f>COUNTA($D$3:$D$453)</f>
        <v>451</v>
      </c>
      <c r="B453" s="330" t="s">
        <v>2226</v>
      </c>
      <c r="C453" s="330" t="s">
        <v>37</v>
      </c>
      <c r="D453" s="330" t="s">
        <v>30</v>
      </c>
      <c r="E453" s="330" t="s">
        <v>1227</v>
      </c>
      <c r="F453" s="331">
        <v>44531</v>
      </c>
      <c r="G453" s="331">
        <v>44526</v>
      </c>
      <c r="H453" s="331"/>
      <c r="I453" s="331">
        <v>44531</v>
      </c>
      <c r="J453" s="330" t="s">
        <v>2234</v>
      </c>
      <c r="K453" s="332" t="s">
        <v>1296</v>
      </c>
      <c r="L453" s="148">
        <v>44620</v>
      </c>
      <c r="M453" t="s">
        <v>2554</v>
      </c>
      <c r="N453" s="169">
        <v>44781</v>
      </c>
      <c r="O453" s="168"/>
      <c r="Q453" t="s">
        <v>35</v>
      </c>
      <c r="R453" t="s">
        <v>129</v>
      </c>
    </row>
    <row r="454" spans="1:18" hidden="1">
      <c r="A454" s="330">
        <f>COUNTA($D$3:$D$454)</f>
        <v>452</v>
      </c>
      <c r="B454" s="330" t="s">
        <v>2237</v>
      </c>
      <c r="C454" s="330" t="s">
        <v>21</v>
      </c>
      <c r="D454" s="330" t="s">
        <v>30</v>
      </c>
      <c r="E454" s="330" t="s">
        <v>1251</v>
      </c>
      <c r="F454" s="331">
        <v>44530</v>
      </c>
      <c r="G454" s="331">
        <v>44533</v>
      </c>
      <c r="H454" s="331"/>
      <c r="I454" s="331">
        <v>44530</v>
      </c>
      <c r="J454" s="330" t="s">
        <v>2256</v>
      </c>
      <c r="K454" s="332" t="s">
        <v>1295</v>
      </c>
      <c r="L454" s="148">
        <v>44620</v>
      </c>
      <c r="M454" t="s">
        <v>2555</v>
      </c>
      <c r="N454" s="169">
        <v>44907</v>
      </c>
      <c r="O454" s="168"/>
      <c r="Q454" t="s">
        <v>35</v>
      </c>
      <c r="R454" t="s">
        <v>129</v>
      </c>
    </row>
    <row r="455" spans="1:18" hidden="1">
      <c r="A455" s="330">
        <f>COUNTA($D$3:$D$455)</f>
        <v>453</v>
      </c>
      <c r="B455" s="330" t="s">
        <v>2242</v>
      </c>
      <c r="C455" s="330" t="s">
        <v>40</v>
      </c>
      <c r="D455" s="330" t="s">
        <v>30</v>
      </c>
      <c r="E455" s="330" t="s">
        <v>2243</v>
      </c>
      <c r="F455" s="331">
        <v>44530</v>
      </c>
      <c r="G455" s="331">
        <v>44533</v>
      </c>
      <c r="H455" s="331">
        <v>45155</v>
      </c>
      <c r="I455" s="331">
        <v>44530</v>
      </c>
      <c r="J455" s="330" t="s">
        <v>2244</v>
      </c>
      <c r="K455" s="332" t="s">
        <v>1295</v>
      </c>
      <c r="L455" s="148">
        <v>44620</v>
      </c>
      <c r="N455" s="169">
        <v>45102</v>
      </c>
      <c r="O455" s="168"/>
      <c r="Q455" t="s">
        <v>28</v>
      </c>
      <c r="R455" t="s">
        <v>129</v>
      </c>
    </row>
    <row r="456" spans="1:18" hidden="1">
      <c r="A456" s="330">
        <f>COUNTA($D$3:$D$456)</f>
        <v>454</v>
      </c>
      <c r="B456" s="330" t="s">
        <v>2245</v>
      </c>
      <c r="C456" s="330" t="s">
        <v>40</v>
      </c>
      <c r="D456" s="330" t="s">
        <v>34</v>
      </c>
      <c r="E456" s="330" t="s">
        <v>2246</v>
      </c>
      <c r="F456" s="331">
        <v>44530</v>
      </c>
      <c r="G456" s="331">
        <v>44533</v>
      </c>
      <c r="H456" s="331"/>
      <c r="I456" s="331">
        <v>44530</v>
      </c>
      <c r="J456" s="330" t="s">
        <v>2247</v>
      </c>
      <c r="K456" s="332" t="s">
        <v>1274</v>
      </c>
      <c r="L456" s="148">
        <v>44620</v>
      </c>
      <c r="M456" t="s">
        <v>2556</v>
      </c>
      <c r="N456" s="169">
        <v>44602</v>
      </c>
      <c r="O456" s="168"/>
      <c r="Q456" t="s">
        <v>35</v>
      </c>
      <c r="R456" t="s">
        <v>129</v>
      </c>
    </row>
    <row r="457" spans="1:18" hidden="1">
      <c r="A457" s="330">
        <f>COUNTA($D$3:$D$457)</f>
        <v>455</v>
      </c>
      <c r="B457" s="330" t="s">
        <v>2248</v>
      </c>
      <c r="C457" s="330" t="s">
        <v>40</v>
      </c>
      <c r="D457" s="330" t="s">
        <v>34</v>
      </c>
      <c r="E457" s="330" t="s">
        <v>2249</v>
      </c>
      <c r="F457" s="331">
        <v>44530</v>
      </c>
      <c r="G457" s="331">
        <v>44533</v>
      </c>
      <c r="H457" s="331">
        <v>45155</v>
      </c>
      <c r="I457" s="331">
        <v>44530</v>
      </c>
      <c r="J457" s="330" t="s">
        <v>2250</v>
      </c>
      <c r="K457" s="332" t="s">
        <v>1295</v>
      </c>
      <c r="L457" s="148">
        <v>44620</v>
      </c>
      <c r="N457" s="169">
        <v>45102</v>
      </c>
      <c r="O457" s="168"/>
      <c r="Q457" t="s">
        <v>28</v>
      </c>
      <c r="R457" t="s">
        <v>129</v>
      </c>
    </row>
    <row r="458" spans="1:18" hidden="1">
      <c r="A458" s="330">
        <f>COUNTA($D$3:$D$458)</f>
        <v>456</v>
      </c>
      <c r="B458" s="330" t="s">
        <v>2240</v>
      </c>
      <c r="C458" s="330" t="s">
        <v>40</v>
      </c>
      <c r="D458" s="330" t="s">
        <v>49</v>
      </c>
      <c r="E458" s="330" t="s">
        <v>2241</v>
      </c>
      <c r="F458" s="331">
        <v>44537</v>
      </c>
      <c r="G458" s="331">
        <v>44533</v>
      </c>
      <c r="H458" s="331">
        <v>45155</v>
      </c>
      <c r="I458" s="331">
        <v>44537</v>
      </c>
      <c r="J458" s="330" t="s">
        <v>1700</v>
      </c>
      <c r="K458" s="332" t="s">
        <v>1296</v>
      </c>
      <c r="L458" s="148">
        <v>44620</v>
      </c>
      <c r="M458" t="s">
        <v>5579</v>
      </c>
      <c r="N458" s="169">
        <v>45100</v>
      </c>
      <c r="O458" s="168"/>
      <c r="Q458" t="s">
        <v>28</v>
      </c>
      <c r="R458" t="s">
        <v>129</v>
      </c>
    </row>
    <row r="459" spans="1:18" hidden="1">
      <c r="A459" s="330">
        <f>COUNTA($D$3:$D$459)</f>
        <v>457</v>
      </c>
      <c r="B459" s="330" t="s">
        <v>2254</v>
      </c>
      <c r="C459" s="330" t="s">
        <v>40</v>
      </c>
      <c r="D459" s="330" t="s">
        <v>49</v>
      </c>
      <c r="E459" s="330" t="s">
        <v>2255</v>
      </c>
      <c r="F459" s="331">
        <v>44531</v>
      </c>
      <c r="G459" s="331">
        <v>44533</v>
      </c>
      <c r="H459" s="331">
        <v>45155</v>
      </c>
      <c r="I459" s="331">
        <v>44531</v>
      </c>
      <c r="J459" s="330" t="s">
        <v>357</v>
      </c>
      <c r="K459" s="332" t="s">
        <v>1295</v>
      </c>
      <c r="L459" s="148">
        <v>44620</v>
      </c>
      <c r="N459" s="169">
        <v>45092</v>
      </c>
      <c r="O459" s="168"/>
      <c r="Q459" t="s">
        <v>28</v>
      </c>
      <c r="R459" t="s">
        <v>129</v>
      </c>
    </row>
    <row r="460" spans="1:18" hidden="1">
      <c r="A460" s="330">
        <f>COUNTA($D$3:$D$460)</f>
        <v>458</v>
      </c>
      <c r="B460" s="330" t="s">
        <v>2452</v>
      </c>
      <c r="C460" s="330" t="s">
        <v>2315</v>
      </c>
      <c r="D460" s="330" t="s">
        <v>27</v>
      </c>
      <c r="E460" s="330" t="s">
        <v>2067</v>
      </c>
      <c r="F460" s="331">
        <v>44589</v>
      </c>
      <c r="G460" s="331">
        <v>44589</v>
      </c>
      <c r="H460" s="331"/>
      <c r="I460" s="331">
        <v>44589</v>
      </c>
      <c r="J460" s="330" t="s">
        <v>1158</v>
      </c>
      <c r="K460" s="332" t="s">
        <v>1287</v>
      </c>
      <c r="L460" s="148">
        <v>44610</v>
      </c>
      <c r="M460" t="s">
        <v>2959</v>
      </c>
      <c r="N460" s="169">
        <v>44602</v>
      </c>
      <c r="O460" s="168"/>
      <c r="Q460" t="s">
        <v>1726</v>
      </c>
      <c r="R460" t="s">
        <v>129</v>
      </c>
    </row>
    <row r="461" spans="1:18" hidden="1">
      <c r="A461" s="330">
        <f>COUNTA($D$3:$D$461)</f>
        <v>459</v>
      </c>
      <c r="B461" s="330" t="s">
        <v>2048</v>
      </c>
      <c r="C461" s="330" t="s">
        <v>44</v>
      </c>
      <c r="D461" s="330" t="s">
        <v>30</v>
      </c>
      <c r="E461" s="330" t="s">
        <v>79</v>
      </c>
      <c r="F461" s="331" t="s">
        <v>98</v>
      </c>
      <c r="G461" s="331">
        <v>44497</v>
      </c>
      <c r="H461" s="331"/>
      <c r="I461" s="331" t="s">
        <v>66</v>
      </c>
      <c r="J461" s="330" t="s">
        <v>2049</v>
      </c>
      <c r="K461" s="332" t="s">
        <v>2032</v>
      </c>
      <c r="L461" s="148">
        <v>44602</v>
      </c>
      <c r="M461" t="s">
        <v>2475</v>
      </c>
      <c r="N461" s="169">
        <v>44602</v>
      </c>
      <c r="O461" s="168"/>
      <c r="Q461" t="s">
        <v>60</v>
      </c>
    </row>
    <row r="462" spans="1:18" hidden="1">
      <c r="A462" s="330">
        <f>COUNTA($D$3:$D$462)</f>
        <v>460</v>
      </c>
      <c r="B462" s="330" t="s">
        <v>2037</v>
      </c>
      <c r="C462" s="330" t="s">
        <v>37</v>
      </c>
      <c r="D462" s="330" t="s">
        <v>34</v>
      </c>
      <c r="E462" s="330" t="s">
        <v>296</v>
      </c>
      <c r="F462" s="331">
        <v>44496</v>
      </c>
      <c r="G462" s="331">
        <v>44491</v>
      </c>
      <c r="H462" s="331"/>
      <c r="I462" s="331">
        <v>44496</v>
      </c>
      <c r="J462" s="330" t="s">
        <v>1667</v>
      </c>
      <c r="K462" s="332" t="s">
        <v>1287</v>
      </c>
      <c r="L462" s="148">
        <v>44602</v>
      </c>
      <c r="M462" t="s">
        <v>2472</v>
      </c>
      <c r="N462" s="169">
        <v>44781</v>
      </c>
      <c r="O462" s="168"/>
      <c r="Q462" t="s">
        <v>35</v>
      </c>
      <c r="R462" t="s">
        <v>129</v>
      </c>
    </row>
    <row r="463" spans="1:18" hidden="1">
      <c r="A463" s="330">
        <f>COUNTA($D$3:$D$463)</f>
        <v>461</v>
      </c>
      <c r="B463" s="330" t="s">
        <v>1999</v>
      </c>
      <c r="C463" s="330" t="s">
        <v>1106</v>
      </c>
      <c r="D463" s="330" t="s">
        <v>16</v>
      </c>
      <c r="E463" s="330" t="s">
        <v>2000</v>
      </c>
      <c r="F463" s="331">
        <v>44496</v>
      </c>
      <c r="G463" s="331">
        <v>44491</v>
      </c>
      <c r="H463" s="331"/>
      <c r="I463" s="331">
        <v>44496</v>
      </c>
      <c r="J463" s="330" t="s">
        <v>1671</v>
      </c>
      <c r="K463" s="332" t="s">
        <v>1296</v>
      </c>
      <c r="L463" s="148">
        <v>44602</v>
      </c>
      <c r="N463" s="169">
        <v>45122</v>
      </c>
      <c r="O463" s="168"/>
      <c r="Q463" t="s">
        <v>35</v>
      </c>
      <c r="R463" t="s">
        <v>129</v>
      </c>
    </row>
    <row r="464" spans="1:18" hidden="1">
      <c r="A464" s="330">
        <f>COUNTA($D$3:$D$464)</f>
        <v>462</v>
      </c>
      <c r="B464" s="330" t="s">
        <v>2062</v>
      </c>
      <c r="C464" s="330" t="s">
        <v>21</v>
      </c>
      <c r="D464" s="330" t="s">
        <v>23</v>
      </c>
      <c r="E464" s="330" t="s">
        <v>1925</v>
      </c>
      <c r="F464" s="331">
        <v>44497</v>
      </c>
      <c r="G464" s="331">
        <v>44497</v>
      </c>
      <c r="H464" s="331"/>
      <c r="I464" s="331">
        <v>44497</v>
      </c>
      <c r="J464" s="330" t="s">
        <v>2063</v>
      </c>
      <c r="K464" s="332" t="s">
        <v>1274</v>
      </c>
      <c r="L464" s="148">
        <v>44602</v>
      </c>
      <c r="M464" t="s">
        <v>2470</v>
      </c>
      <c r="N464" s="169">
        <v>44781</v>
      </c>
      <c r="O464" s="168"/>
      <c r="Q464" t="s">
        <v>35</v>
      </c>
      <c r="R464" t="s">
        <v>129</v>
      </c>
    </row>
    <row r="465" spans="1:18" hidden="1">
      <c r="A465" s="330">
        <f>COUNTA($D$3:$D$465)</f>
        <v>463</v>
      </c>
      <c r="B465" s="330" t="s">
        <v>2054</v>
      </c>
      <c r="C465" s="330" t="s">
        <v>21</v>
      </c>
      <c r="D465" s="330" t="s">
        <v>30</v>
      </c>
      <c r="E465" s="330" t="s">
        <v>2055</v>
      </c>
      <c r="F465" s="331">
        <v>44497</v>
      </c>
      <c r="G465" s="331">
        <v>44497</v>
      </c>
      <c r="H465" s="331"/>
      <c r="I465" s="331">
        <v>44497</v>
      </c>
      <c r="J465" s="330" t="s">
        <v>2056</v>
      </c>
      <c r="K465" s="332" t="s">
        <v>1295</v>
      </c>
      <c r="L465" s="148">
        <v>44602</v>
      </c>
      <c r="M465" t="s">
        <v>4164</v>
      </c>
      <c r="N465" s="169">
        <v>44844</v>
      </c>
      <c r="O465" s="168"/>
      <c r="Q465" t="s">
        <v>35</v>
      </c>
      <c r="R465" t="s">
        <v>129</v>
      </c>
    </row>
    <row r="466" spans="1:18" hidden="1">
      <c r="A466" s="330">
        <f>COUNTA($D$3:$D$466)</f>
        <v>464</v>
      </c>
      <c r="B466" s="330" t="s">
        <v>2041</v>
      </c>
      <c r="C466" s="330" t="s">
        <v>2042</v>
      </c>
      <c r="D466" s="330" t="s">
        <v>1103</v>
      </c>
      <c r="E466" s="330" t="s">
        <v>2043</v>
      </c>
      <c r="F466" s="331">
        <v>44589</v>
      </c>
      <c r="G466" s="331">
        <v>44497</v>
      </c>
      <c r="H466" s="331"/>
      <c r="I466" s="331">
        <v>44589</v>
      </c>
      <c r="J466" s="330" t="s">
        <v>1659</v>
      </c>
      <c r="K466" s="332" t="s">
        <v>1274</v>
      </c>
      <c r="L466" s="148">
        <v>44602</v>
      </c>
      <c r="M466" t="s">
        <v>2959</v>
      </c>
      <c r="N466" s="169">
        <v>44501</v>
      </c>
      <c r="O466" s="168"/>
      <c r="Q466" t="s">
        <v>35</v>
      </c>
      <c r="R466" t="s">
        <v>129</v>
      </c>
    </row>
    <row r="467" spans="1:18" hidden="1">
      <c r="A467" s="330">
        <f>COUNTA($D$3:$D$467)</f>
        <v>465</v>
      </c>
      <c r="B467" s="330" t="s">
        <v>2046</v>
      </c>
      <c r="C467" s="330" t="s">
        <v>1114</v>
      </c>
      <c r="D467" s="330" t="s">
        <v>34</v>
      </c>
      <c r="E467" s="330" t="s">
        <v>2047</v>
      </c>
      <c r="F467" s="331">
        <v>44475</v>
      </c>
      <c r="G467" s="331">
        <v>44497</v>
      </c>
      <c r="H467" s="331"/>
      <c r="I467" s="331">
        <v>44475</v>
      </c>
      <c r="J467" s="330" t="s">
        <v>1651</v>
      </c>
      <c r="K467" s="332" t="s">
        <v>1296</v>
      </c>
      <c r="L467" s="148">
        <v>44602</v>
      </c>
      <c r="M467" t="s">
        <v>2474</v>
      </c>
      <c r="N467" s="169">
        <v>44781</v>
      </c>
      <c r="O467" s="168"/>
      <c r="Q467" t="s">
        <v>35</v>
      </c>
      <c r="R467" t="s">
        <v>129</v>
      </c>
    </row>
    <row r="468" spans="1:18" hidden="1">
      <c r="A468" s="330">
        <f>COUNTA($D$3:$D$468)</f>
        <v>466</v>
      </c>
      <c r="B468" s="330" t="s">
        <v>2002</v>
      </c>
      <c r="C468" s="330" t="s">
        <v>40</v>
      </c>
      <c r="D468" s="330" t="s">
        <v>1264</v>
      </c>
      <c r="E468" s="330" t="s">
        <v>2003</v>
      </c>
      <c r="F468" s="331"/>
      <c r="G468" s="331">
        <v>44484</v>
      </c>
      <c r="H468" s="331">
        <v>44295</v>
      </c>
      <c r="I468" s="331"/>
      <c r="J468" s="330" t="s">
        <v>1680</v>
      </c>
      <c r="K468" s="332" t="s">
        <v>1295</v>
      </c>
      <c r="L468" s="148">
        <v>44602</v>
      </c>
      <c r="M468" t="s">
        <v>2471</v>
      </c>
      <c r="N468" s="169">
        <v>44781</v>
      </c>
      <c r="O468" s="168"/>
      <c r="Q468" t="s">
        <v>1055</v>
      </c>
      <c r="R468" t="s">
        <v>129</v>
      </c>
    </row>
    <row r="469" spans="1:18" hidden="1">
      <c r="A469" s="330">
        <f>COUNTA($D$3:$D$469)</f>
        <v>467</v>
      </c>
      <c r="B469" s="330" t="s">
        <v>2276</v>
      </c>
      <c r="C469" s="330" t="s">
        <v>41</v>
      </c>
      <c r="D469" s="330" t="s">
        <v>25</v>
      </c>
      <c r="E469" s="330" t="s">
        <v>1199</v>
      </c>
      <c r="F469" s="331" t="s">
        <v>66</v>
      </c>
      <c r="G469" s="331">
        <v>44547</v>
      </c>
      <c r="H469" s="331"/>
      <c r="I469" s="331" t="s">
        <v>66</v>
      </c>
      <c r="J469" s="330" t="s">
        <v>1678</v>
      </c>
      <c r="K469" s="332" t="s">
        <v>1296</v>
      </c>
      <c r="L469" s="148">
        <v>44581</v>
      </c>
      <c r="M469" t="s">
        <v>2418</v>
      </c>
      <c r="N469" s="169">
        <v>44581</v>
      </c>
      <c r="O469" s="168"/>
    </row>
    <row r="470" spans="1:18" hidden="1">
      <c r="A470" s="330">
        <f>COUNTA($D$3:$D$470)</f>
        <v>468</v>
      </c>
      <c r="B470" s="330" t="s">
        <v>2421</v>
      </c>
      <c r="C470" s="330" t="s">
        <v>2422</v>
      </c>
      <c r="D470" s="330" t="s">
        <v>16</v>
      </c>
      <c r="E470" s="330" t="s">
        <v>2423</v>
      </c>
      <c r="F470" s="331"/>
      <c r="G470" s="331"/>
      <c r="H470" s="331"/>
      <c r="I470" s="331"/>
      <c r="J470" s="330" t="s">
        <v>1650</v>
      </c>
      <c r="K470" s="332"/>
      <c r="L470" s="148">
        <v>44581</v>
      </c>
      <c r="M470" t="s">
        <v>2433</v>
      </c>
      <c r="N470" s="169">
        <v>44581</v>
      </c>
      <c r="O470" s="168"/>
      <c r="Q470" t="s">
        <v>1053</v>
      </c>
      <c r="R470" t="s">
        <v>129</v>
      </c>
    </row>
    <row r="471" spans="1:18">
      <c r="A471" s="330">
        <f>COUNTA($D$3:$D$471)</f>
        <v>469</v>
      </c>
      <c r="B471" s="330" t="s">
        <v>1869</v>
      </c>
      <c r="C471" s="330" t="s">
        <v>290</v>
      </c>
      <c r="D471" s="330" t="s">
        <v>52</v>
      </c>
      <c r="E471" s="330" t="s">
        <v>1230</v>
      </c>
      <c r="F471" s="331">
        <v>44451</v>
      </c>
      <c r="G471" s="331">
        <v>44448</v>
      </c>
      <c r="H471" s="331"/>
      <c r="I471" s="331">
        <v>44451</v>
      </c>
      <c r="J471" s="330" t="s">
        <v>1093</v>
      </c>
      <c r="K471" s="332"/>
      <c r="L471" s="148">
        <v>44570</v>
      </c>
      <c r="O471" s="168"/>
      <c r="Q471" t="s">
        <v>1726</v>
      </c>
      <c r="R471" t="s">
        <v>129</v>
      </c>
    </row>
    <row r="472" spans="1:18" hidden="1">
      <c r="A472" s="330">
        <f>COUNTA($D$3:$D$472)</f>
        <v>470</v>
      </c>
      <c r="B472" s="330" t="s">
        <v>1946</v>
      </c>
      <c r="C472" s="330" t="s">
        <v>37</v>
      </c>
      <c r="D472" s="330" t="s">
        <v>27</v>
      </c>
      <c r="E472" s="330" t="s">
        <v>1947</v>
      </c>
      <c r="F472" s="331">
        <v>44468</v>
      </c>
      <c r="G472" s="331">
        <v>44465</v>
      </c>
      <c r="H472" s="331"/>
      <c r="I472" s="331">
        <v>44468</v>
      </c>
      <c r="J472" s="330" t="s">
        <v>1093</v>
      </c>
      <c r="K472" s="332"/>
      <c r="L472" s="148">
        <v>44570</v>
      </c>
      <c r="M472" t="s">
        <v>2383</v>
      </c>
      <c r="N472" s="169">
        <v>44781</v>
      </c>
      <c r="O472" s="168"/>
      <c r="Q472" t="s">
        <v>1726</v>
      </c>
      <c r="R472" t="s">
        <v>129</v>
      </c>
    </row>
    <row r="473" spans="1:18" hidden="1">
      <c r="A473" s="330">
        <f>COUNTA($D$3:$D$473)</f>
        <v>471</v>
      </c>
      <c r="B473" s="330" t="s">
        <v>1867</v>
      </c>
      <c r="C473" s="330" t="s">
        <v>44</v>
      </c>
      <c r="D473" s="330" t="s">
        <v>30</v>
      </c>
      <c r="E473" s="330" t="s">
        <v>86</v>
      </c>
      <c r="F473" s="331" t="s">
        <v>66</v>
      </c>
      <c r="G473" s="331">
        <v>44440</v>
      </c>
      <c r="H473" s="331">
        <v>44440</v>
      </c>
      <c r="I473" s="331" t="s">
        <v>66</v>
      </c>
      <c r="J473" s="330" t="s">
        <v>1871</v>
      </c>
      <c r="K473" s="332"/>
      <c r="L473" s="148">
        <v>44570</v>
      </c>
      <c r="M473" t="s">
        <v>2385</v>
      </c>
      <c r="N473" s="169">
        <v>44570</v>
      </c>
      <c r="O473" s="168"/>
      <c r="Q473" t="s">
        <v>2611</v>
      </c>
    </row>
    <row r="474" spans="1:18" hidden="1">
      <c r="A474" s="330">
        <f>COUNTA($D$3:$D$474)</f>
        <v>472</v>
      </c>
      <c r="B474" s="330" t="s">
        <v>1860</v>
      </c>
      <c r="C474" s="330" t="s">
        <v>1100</v>
      </c>
      <c r="D474" s="330" t="s">
        <v>34</v>
      </c>
      <c r="E474" s="330" t="s">
        <v>1101</v>
      </c>
      <c r="F474" s="331">
        <v>44477</v>
      </c>
      <c r="G474" s="331">
        <v>44414</v>
      </c>
      <c r="H474" s="331">
        <v>44533</v>
      </c>
      <c r="I474" s="331">
        <v>44477</v>
      </c>
      <c r="J474" s="330" t="s">
        <v>1738</v>
      </c>
      <c r="K474" s="332" t="s">
        <v>125</v>
      </c>
      <c r="L474" s="148">
        <v>44570</v>
      </c>
      <c r="M474" t="s">
        <v>2385</v>
      </c>
      <c r="N474" s="169">
        <v>44601</v>
      </c>
      <c r="O474" s="168"/>
      <c r="Q474" t="s">
        <v>2611</v>
      </c>
      <c r="R474" t="s">
        <v>129</v>
      </c>
    </row>
    <row r="475" spans="1:18" hidden="1">
      <c r="A475" s="330">
        <f>COUNTA($D$3:$D$475)</f>
        <v>473</v>
      </c>
      <c r="B475" s="330" t="s">
        <v>1936</v>
      </c>
      <c r="C475" s="330" t="s">
        <v>41</v>
      </c>
      <c r="D475" s="330" t="s">
        <v>104</v>
      </c>
      <c r="E475" s="330" t="s">
        <v>1937</v>
      </c>
      <c r="F475" s="331" t="s">
        <v>66</v>
      </c>
      <c r="G475" s="331">
        <v>44471</v>
      </c>
      <c r="H475" s="331"/>
      <c r="I475" s="331" t="s">
        <v>66</v>
      </c>
      <c r="J475" s="330" t="s">
        <v>17</v>
      </c>
      <c r="K475" s="332"/>
      <c r="L475" s="148">
        <v>44570</v>
      </c>
      <c r="M475" t="s">
        <v>2382</v>
      </c>
      <c r="N475" s="169">
        <v>44570</v>
      </c>
      <c r="O475" s="168"/>
      <c r="Q475" t="s">
        <v>60</v>
      </c>
    </row>
    <row r="476" spans="1:18" hidden="1">
      <c r="A476" s="330">
        <f>COUNTA($D$3:$D$476)</f>
        <v>474</v>
      </c>
      <c r="B476" s="330" t="s">
        <v>1917</v>
      </c>
      <c r="C476" s="330" t="s">
        <v>44</v>
      </c>
      <c r="D476" s="330" t="s">
        <v>30</v>
      </c>
      <c r="E476" s="330" t="s">
        <v>84</v>
      </c>
      <c r="F476" s="331" t="s">
        <v>66</v>
      </c>
      <c r="G476" s="331">
        <v>44457</v>
      </c>
      <c r="H476" s="331"/>
      <c r="I476" s="331" t="s">
        <v>66</v>
      </c>
      <c r="J476" s="330" t="s">
        <v>1918</v>
      </c>
      <c r="K476" s="332"/>
      <c r="L476" s="148">
        <v>44570</v>
      </c>
      <c r="M476" t="s">
        <v>2381</v>
      </c>
      <c r="N476" s="169">
        <v>44570</v>
      </c>
      <c r="O476" s="168"/>
      <c r="Q476" t="s">
        <v>60</v>
      </c>
    </row>
    <row r="477" spans="1:18" hidden="1">
      <c r="A477" s="330">
        <f>COUNTA($D$3:$D$477)</f>
        <v>475</v>
      </c>
      <c r="B477" s="330" t="s">
        <v>1956</v>
      </c>
      <c r="C477" s="330" t="s">
        <v>1094</v>
      </c>
      <c r="D477" s="330" t="s">
        <v>1103</v>
      </c>
      <c r="E477" s="330" t="s">
        <v>1219</v>
      </c>
      <c r="F477" s="331">
        <v>44475</v>
      </c>
      <c r="G477" s="331">
        <v>44484</v>
      </c>
      <c r="H477" s="331"/>
      <c r="I477" s="331">
        <v>44475</v>
      </c>
      <c r="J477" s="330" t="s">
        <v>1723</v>
      </c>
      <c r="K477" s="332"/>
      <c r="L477" s="148">
        <v>44570</v>
      </c>
      <c r="M477" t="s">
        <v>2960</v>
      </c>
      <c r="N477" s="169">
        <v>44826</v>
      </c>
      <c r="O477" s="168"/>
      <c r="Q477" t="s">
        <v>35</v>
      </c>
      <c r="R477" t="s">
        <v>129</v>
      </c>
    </row>
    <row r="478" spans="1:18" hidden="1">
      <c r="A478" s="330">
        <f>COUNTA($D$3:$D$478)</f>
        <v>476</v>
      </c>
      <c r="B478" s="330" t="s">
        <v>1952</v>
      </c>
      <c r="C478" s="330" t="s">
        <v>21</v>
      </c>
      <c r="D478" s="330" t="s">
        <v>1169</v>
      </c>
      <c r="E478" s="330" t="s">
        <v>1259</v>
      </c>
      <c r="F478" s="331" t="s">
        <v>2051</v>
      </c>
      <c r="G478" s="331">
        <v>44479</v>
      </c>
      <c r="H478" s="331"/>
      <c r="I478" s="331" t="s">
        <v>2051</v>
      </c>
      <c r="J478" s="330" t="s">
        <v>1953</v>
      </c>
      <c r="K478" s="332"/>
      <c r="L478" s="148">
        <v>44570</v>
      </c>
      <c r="M478" t="s">
        <v>2384</v>
      </c>
      <c r="N478" s="169">
        <v>44570</v>
      </c>
      <c r="O478" s="168"/>
      <c r="Q478" t="s">
        <v>35</v>
      </c>
      <c r="R478" t="s">
        <v>129</v>
      </c>
    </row>
    <row r="479" spans="1:18" hidden="1">
      <c r="A479" s="330">
        <f>COUNTA($D$3:$D$479)</f>
        <v>477</v>
      </c>
      <c r="B479" s="330" t="s">
        <v>1887</v>
      </c>
      <c r="C479" s="330" t="s">
        <v>21</v>
      </c>
      <c r="D479" s="330" t="s">
        <v>30</v>
      </c>
      <c r="E479" s="330" t="s">
        <v>1888</v>
      </c>
      <c r="F479" s="331">
        <v>44467</v>
      </c>
      <c r="G479" s="331">
        <v>44465</v>
      </c>
      <c r="H479" s="331"/>
      <c r="I479" s="331">
        <v>44467</v>
      </c>
      <c r="J479" s="330" t="s">
        <v>1935</v>
      </c>
      <c r="K479" s="332"/>
      <c r="L479" s="148">
        <v>44570</v>
      </c>
      <c r="M479" t="s">
        <v>2384</v>
      </c>
      <c r="N479" s="169">
        <v>44570</v>
      </c>
      <c r="O479" s="168"/>
      <c r="Q479" t="s">
        <v>35</v>
      </c>
      <c r="R479" t="s">
        <v>129</v>
      </c>
    </row>
    <row r="480" spans="1:18" hidden="1">
      <c r="A480" s="330">
        <f>COUNTA($D$3:$D$480)</f>
        <v>478</v>
      </c>
      <c r="B480" s="330" t="s">
        <v>1868</v>
      </c>
      <c r="C480" s="330" t="s">
        <v>71</v>
      </c>
      <c r="D480" s="330" t="s">
        <v>49</v>
      </c>
      <c r="E480" s="330" t="s">
        <v>1157</v>
      </c>
      <c r="F480" s="331">
        <v>44447</v>
      </c>
      <c r="G480" s="331">
        <v>44448</v>
      </c>
      <c r="H480" s="331"/>
      <c r="I480" s="331">
        <v>44447</v>
      </c>
      <c r="J480" s="330" t="s">
        <v>1893</v>
      </c>
      <c r="K480" s="332"/>
      <c r="L480" s="148">
        <v>44570</v>
      </c>
      <c r="M480" t="s">
        <v>2384</v>
      </c>
      <c r="N480" s="169">
        <v>44570</v>
      </c>
      <c r="O480" s="168"/>
      <c r="Q480" t="s">
        <v>35</v>
      </c>
      <c r="R480" t="s">
        <v>129</v>
      </c>
    </row>
    <row r="481" spans="1:18" hidden="1">
      <c r="A481" s="330">
        <f>COUNTA($D$3:$D$481)</f>
        <v>479</v>
      </c>
      <c r="B481" s="330" t="s">
        <v>1939</v>
      </c>
      <c r="C481" s="330" t="s">
        <v>1119</v>
      </c>
      <c r="D481" s="330" t="s">
        <v>38</v>
      </c>
      <c r="E481" s="330" t="s">
        <v>1940</v>
      </c>
      <c r="F481" s="331">
        <v>44468</v>
      </c>
      <c r="G481" s="331">
        <v>44471</v>
      </c>
      <c r="H481" s="331">
        <v>44483</v>
      </c>
      <c r="I481" s="331">
        <v>44468</v>
      </c>
      <c r="J481" s="330" t="s">
        <v>1679</v>
      </c>
      <c r="K481" s="332"/>
      <c r="L481" s="148">
        <v>44570</v>
      </c>
      <c r="M481" t="s">
        <v>2954</v>
      </c>
      <c r="N481" s="169">
        <v>44616</v>
      </c>
      <c r="O481" s="168"/>
      <c r="Q481" t="s">
        <v>28</v>
      </c>
      <c r="R481" t="s">
        <v>129</v>
      </c>
    </row>
    <row r="482" spans="1:18" hidden="1">
      <c r="A482" s="330">
        <f>COUNTA($D$3:$D$482)</f>
        <v>480</v>
      </c>
      <c r="B482" s="330" t="s">
        <v>2119</v>
      </c>
      <c r="C482" s="330" t="s">
        <v>44</v>
      </c>
      <c r="D482" s="330" t="s">
        <v>1704</v>
      </c>
      <c r="E482" s="330" t="s">
        <v>2120</v>
      </c>
      <c r="F482" s="331"/>
      <c r="G482" s="331"/>
      <c r="H482" s="331"/>
      <c r="I482" s="331"/>
      <c r="J482" s="330"/>
      <c r="K482" s="332"/>
      <c r="L482" s="148">
        <v>44547</v>
      </c>
      <c r="M482" t="s">
        <v>2269</v>
      </c>
      <c r="N482" s="169">
        <v>44547</v>
      </c>
      <c r="O482" s="168"/>
    </row>
    <row r="483" spans="1:18" hidden="1">
      <c r="A483" s="330">
        <f>COUNTA($D$3:$D$483)</f>
        <v>481</v>
      </c>
      <c r="B483" s="330" t="s">
        <v>1873</v>
      </c>
      <c r="C483" s="330" t="s">
        <v>21</v>
      </c>
      <c r="D483" s="330" t="s">
        <v>1080</v>
      </c>
      <c r="E483" s="330" t="s">
        <v>1874</v>
      </c>
      <c r="F483" s="331">
        <v>44446</v>
      </c>
      <c r="G483" s="331"/>
      <c r="H483" s="331"/>
      <c r="I483" s="331" t="s">
        <v>8</v>
      </c>
      <c r="J483" s="330" t="s">
        <v>1875</v>
      </c>
      <c r="K483" s="332" t="s">
        <v>33</v>
      </c>
      <c r="L483" s="148">
        <v>44547</v>
      </c>
      <c r="M483" t="s">
        <v>2546</v>
      </c>
      <c r="N483" s="169">
        <v>44781</v>
      </c>
      <c r="O483" s="168"/>
      <c r="Q483" t="s">
        <v>28</v>
      </c>
      <c r="R483" t="s">
        <v>129</v>
      </c>
    </row>
    <row r="484" spans="1:18" hidden="1">
      <c r="A484" s="330">
        <f>COUNTA($D$3:$D$484)</f>
        <v>482</v>
      </c>
      <c r="B484" s="330" t="s">
        <v>2222</v>
      </c>
      <c r="C484" s="330" t="s">
        <v>41</v>
      </c>
      <c r="D484" s="330" t="s">
        <v>32</v>
      </c>
      <c r="E484" s="330" t="s">
        <v>1190</v>
      </c>
      <c r="F484" s="331"/>
      <c r="G484" s="331"/>
      <c r="H484" s="331"/>
      <c r="I484" s="331"/>
      <c r="J484" s="330"/>
      <c r="K484" s="332" t="s">
        <v>103</v>
      </c>
      <c r="L484" s="148">
        <v>44532</v>
      </c>
      <c r="M484" t="s">
        <v>2236</v>
      </c>
      <c r="N484" s="169">
        <v>44532</v>
      </c>
      <c r="O484" s="168"/>
    </row>
    <row r="485" spans="1:18" hidden="1">
      <c r="A485" s="330">
        <f>COUNTA($D$3:$D$485)</f>
        <v>483</v>
      </c>
      <c r="B485" s="330" t="s">
        <v>2175</v>
      </c>
      <c r="C485" s="330" t="s">
        <v>1270</v>
      </c>
      <c r="D485" s="330" t="s">
        <v>16</v>
      </c>
      <c r="E485" s="330" t="s">
        <v>2176</v>
      </c>
      <c r="F485" s="331"/>
      <c r="G485" s="331"/>
      <c r="H485" s="331"/>
      <c r="I485" s="331"/>
      <c r="J485" s="330" t="s">
        <v>2210</v>
      </c>
      <c r="K485" s="332" t="s">
        <v>1287</v>
      </c>
      <c r="L485" s="148">
        <v>44532</v>
      </c>
      <c r="M485" t="s">
        <v>2238</v>
      </c>
      <c r="N485" s="169">
        <v>44532</v>
      </c>
      <c r="O485" s="168"/>
      <c r="Q485" t="s">
        <v>2671</v>
      </c>
      <c r="R485" t="s">
        <v>129</v>
      </c>
    </row>
    <row r="486" spans="1:18" hidden="1">
      <c r="A486" s="330">
        <f>COUNTA($D$3:$D$486)</f>
        <v>484</v>
      </c>
      <c r="B486" s="330" t="s">
        <v>2180</v>
      </c>
      <c r="C486" s="330" t="s">
        <v>1270</v>
      </c>
      <c r="D486" s="330" t="s">
        <v>16</v>
      </c>
      <c r="E486" s="330" t="s">
        <v>2181</v>
      </c>
      <c r="F486" s="331">
        <v>44517</v>
      </c>
      <c r="G486" s="331">
        <v>44519</v>
      </c>
      <c r="H486" s="331"/>
      <c r="I486" s="331">
        <v>44517</v>
      </c>
      <c r="J486" s="330" t="s">
        <v>2213</v>
      </c>
      <c r="K486" s="332" t="s">
        <v>1296</v>
      </c>
      <c r="L486" s="148">
        <v>44532</v>
      </c>
      <c r="M486" t="s">
        <v>2235</v>
      </c>
      <c r="N486" s="169">
        <v>44532</v>
      </c>
      <c r="O486" s="168"/>
      <c r="Q486" t="s">
        <v>35</v>
      </c>
      <c r="R486" t="s">
        <v>129</v>
      </c>
    </row>
    <row r="487" spans="1:18" hidden="1">
      <c r="A487" s="330">
        <f>COUNTA($D$3:$D$487)</f>
        <v>485</v>
      </c>
      <c r="B487" s="330" t="s">
        <v>2179</v>
      </c>
      <c r="C487" s="330" t="s">
        <v>1270</v>
      </c>
      <c r="D487" s="330" t="s">
        <v>16</v>
      </c>
      <c r="E487" s="330" t="s">
        <v>1271</v>
      </c>
      <c r="F487" s="331">
        <v>44517</v>
      </c>
      <c r="G487" s="331">
        <v>44519</v>
      </c>
      <c r="H487" s="331"/>
      <c r="I487" s="331">
        <v>44517</v>
      </c>
      <c r="J487" s="330" t="s">
        <v>2212</v>
      </c>
      <c r="K487" s="332" t="s">
        <v>1274</v>
      </c>
      <c r="L487" s="148">
        <v>44532</v>
      </c>
      <c r="M487" t="s">
        <v>2235</v>
      </c>
      <c r="N487" s="169">
        <v>44532</v>
      </c>
      <c r="O487" s="168"/>
      <c r="Q487" t="s">
        <v>35</v>
      </c>
      <c r="R487" t="s">
        <v>129</v>
      </c>
    </row>
    <row r="488" spans="1:18" hidden="1">
      <c r="A488" s="330">
        <f>COUNTA($D$3:$D$488)</f>
        <v>486</v>
      </c>
      <c r="B488" s="330" t="s">
        <v>2177</v>
      </c>
      <c r="C488" s="330" t="s">
        <v>1270</v>
      </c>
      <c r="D488" s="330" t="s">
        <v>16</v>
      </c>
      <c r="E488" s="330" t="s">
        <v>2178</v>
      </c>
      <c r="F488" s="331">
        <v>44517</v>
      </c>
      <c r="G488" s="331">
        <v>44519</v>
      </c>
      <c r="H488" s="331"/>
      <c r="I488" s="331">
        <v>44517</v>
      </c>
      <c r="J488" s="330" t="s">
        <v>2211</v>
      </c>
      <c r="K488" s="332" t="s">
        <v>1295</v>
      </c>
      <c r="L488" s="148">
        <v>44532</v>
      </c>
      <c r="M488" t="s">
        <v>2239</v>
      </c>
      <c r="N488" s="169">
        <v>44532</v>
      </c>
      <c r="O488" s="168"/>
      <c r="Q488" t="s">
        <v>35</v>
      </c>
      <c r="R488" t="s">
        <v>129</v>
      </c>
    </row>
    <row r="489" spans="1:18" hidden="1">
      <c r="A489" s="330">
        <f>COUNTA($D$3:$D$489)</f>
        <v>487</v>
      </c>
      <c r="B489" s="330" t="s">
        <v>2157</v>
      </c>
      <c r="C489" s="330" t="s">
        <v>41</v>
      </c>
      <c r="D489" s="330" t="s">
        <v>49</v>
      </c>
      <c r="E489" s="330" t="s">
        <v>1088</v>
      </c>
      <c r="F489" s="331"/>
      <c r="G489" s="331"/>
      <c r="H489" s="331"/>
      <c r="I489" s="331"/>
      <c r="J489" s="330"/>
      <c r="K489" s="332"/>
      <c r="L489" s="148">
        <v>44526</v>
      </c>
      <c r="M489" t="s">
        <v>2217</v>
      </c>
      <c r="N489" s="169">
        <v>44526</v>
      </c>
      <c r="O489" s="168"/>
      <c r="Q489" t="s">
        <v>1053</v>
      </c>
    </row>
    <row r="490" spans="1:18" hidden="1">
      <c r="A490" s="330">
        <f>COUNTA($D$3:$D$490)</f>
        <v>488</v>
      </c>
      <c r="B490" s="330" t="s">
        <v>2073</v>
      </c>
      <c r="C490" s="330" t="s">
        <v>1240</v>
      </c>
      <c r="D490" s="330" t="s">
        <v>1098</v>
      </c>
      <c r="E490" s="330" t="s">
        <v>2074</v>
      </c>
      <c r="F490" s="331">
        <v>44508</v>
      </c>
      <c r="G490" s="331">
        <v>44512</v>
      </c>
      <c r="H490" s="331"/>
      <c r="I490" s="331">
        <v>44508</v>
      </c>
      <c r="J490" s="330" t="s">
        <v>1093</v>
      </c>
      <c r="K490" s="332" t="s">
        <v>287</v>
      </c>
      <c r="L490" s="148">
        <v>44526</v>
      </c>
      <c r="M490" t="s">
        <v>2215</v>
      </c>
      <c r="N490" s="169">
        <v>44526</v>
      </c>
      <c r="O490" s="168"/>
      <c r="Q490" t="s">
        <v>1726</v>
      </c>
      <c r="R490" t="s">
        <v>129</v>
      </c>
    </row>
    <row r="491" spans="1:18" hidden="1">
      <c r="A491" s="330">
        <f>COUNTA($D$3:$D$491)</f>
        <v>489</v>
      </c>
      <c r="B491" s="330" t="s">
        <v>2159</v>
      </c>
      <c r="C491" s="330" t="s">
        <v>41</v>
      </c>
      <c r="D491" s="330" t="s">
        <v>23</v>
      </c>
      <c r="E491" s="330" t="s">
        <v>1272</v>
      </c>
      <c r="F491" s="331"/>
      <c r="G491" s="331"/>
      <c r="H491" s="331"/>
      <c r="I491" s="331"/>
      <c r="J491" s="330" t="s">
        <v>1650</v>
      </c>
      <c r="K491" s="332" t="s">
        <v>1294</v>
      </c>
      <c r="L491" s="148">
        <v>44518</v>
      </c>
      <c r="M491" t="s">
        <v>2169</v>
      </c>
      <c r="N491" s="169">
        <v>44518</v>
      </c>
      <c r="O491" s="168"/>
    </row>
    <row r="492" spans="1:18" hidden="1">
      <c r="A492" s="330">
        <f>COUNTA($D$3:$D$492)</f>
        <v>490</v>
      </c>
      <c r="B492" s="330" t="s">
        <v>2013</v>
      </c>
      <c r="C492" s="330" t="s">
        <v>2014</v>
      </c>
      <c r="D492" s="330" t="s">
        <v>1121</v>
      </c>
      <c r="E492" s="330" t="s">
        <v>2015</v>
      </c>
      <c r="F492" s="331">
        <v>44489</v>
      </c>
      <c r="G492" s="331">
        <v>44491</v>
      </c>
      <c r="H492" s="331"/>
      <c r="I492" s="331">
        <v>44489</v>
      </c>
      <c r="J492" s="330" t="s">
        <v>2044</v>
      </c>
      <c r="K492" s="332" t="s">
        <v>1287</v>
      </c>
      <c r="L492" s="148">
        <v>44518</v>
      </c>
      <c r="N492" s="169">
        <v>45021</v>
      </c>
      <c r="O492" s="168"/>
      <c r="Q492" t="s">
        <v>35</v>
      </c>
      <c r="R492" t="s">
        <v>129</v>
      </c>
    </row>
    <row r="493" spans="1:18" hidden="1">
      <c r="A493" s="330">
        <f>COUNTA($D$3:$D$493)</f>
        <v>491</v>
      </c>
      <c r="B493" s="330" t="s">
        <v>1954</v>
      </c>
      <c r="C493" s="330" t="s">
        <v>41</v>
      </c>
      <c r="D493" s="330" t="s">
        <v>45</v>
      </c>
      <c r="E493" s="330" t="s">
        <v>1955</v>
      </c>
      <c r="F493" s="331"/>
      <c r="G493" s="331"/>
      <c r="H493" s="331"/>
      <c r="I493" s="331"/>
      <c r="J493" s="330" t="s">
        <v>1774</v>
      </c>
      <c r="K493" s="332" t="s">
        <v>1295</v>
      </c>
      <c r="L493" s="148">
        <v>44518</v>
      </c>
      <c r="M493" t="s">
        <v>2163</v>
      </c>
      <c r="N493" s="169">
        <v>44518</v>
      </c>
      <c r="O493" s="168"/>
      <c r="Q493" t="s">
        <v>1055</v>
      </c>
    </row>
    <row r="494" spans="1:18" hidden="1">
      <c r="A494" s="330">
        <f>COUNTA($D$3:$D$494)</f>
        <v>492</v>
      </c>
      <c r="B494" s="330" t="s">
        <v>2171</v>
      </c>
      <c r="C494" s="330" t="s">
        <v>1265</v>
      </c>
      <c r="D494" s="330" t="s">
        <v>104</v>
      </c>
      <c r="E494" s="330" t="s">
        <v>1266</v>
      </c>
      <c r="F494" s="331"/>
      <c r="G494" s="331"/>
      <c r="H494" s="331"/>
      <c r="I494" s="331"/>
      <c r="J494" s="330" t="s">
        <v>1650</v>
      </c>
      <c r="K494" s="332" t="s">
        <v>1287</v>
      </c>
      <c r="L494" s="148">
        <v>44518</v>
      </c>
      <c r="M494" t="s">
        <v>2188</v>
      </c>
      <c r="N494" s="169">
        <v>44795</v>
      </c>
      <c r="O494" s="168"/>
      <c r="Q494" t="s">
        <v>2672</v>
      </c>
      <c r="R494" t="s">
        <v>129</v>
      </c>
    </row>
    <row r="495" spans="1:18" hidden="1">
      <c r="A495" s="330">
        <f>COUNTA($D$3:$D$495)</f>
        <v>493</v>
      </c>
      <c r="B495" s="330" t="s">
        <v>2121</v>
      </c>
      <c r="C495" s="330" t="s">
        <v>44</v>
      </c>
      <c r="D495" s="330" t="s">
        <v>51</v>
      </c>
      <c r="E495" s="330" t="s">
        <v>257</v>
      </c>
      <c r="F495" s="331"/>
      <c r="G495" s="331"/>
      <c r="H495" s="331"/>
      <c r="I495" s="331"/>
      <c r="J495" s="330" t="s">
        <v>1650</v>
      </c>
      <c r="K495" s="332" t="s">
        <v>20</v>
      </c>
      <c r="L495" s="148">
        <v>44511</v>
      </c>
      <c r="M495" t="s">
        <v>2142</v>
      </c>
      <c r="N495" s="169">
        <v>44511</v>
      </c>
      <c r="O495" s="168"/>
    </row>
    <row r="496" spans="1:18" hidden="1">
      <c r="A496" s="330">
        <f>COUNTA($D$3:$D$496)</f>
        <v>494</v>
      </c>
      <c r="B496" s="330" t="s">
        <v>1856</v>
      </c>
      <c r="C496" s="330" t="s">
        <v>301</v>
      </c>
      <c r="D496" s="330" t="s">
        <v>38</v>
      </c>
      <c r="E496" s="330" t="s">
        <v>1698</v>
      </c>
      <c r="F496" s="331"/>
      <c r="G496" s="331"/>
      <c r="H496" s="331"/>
      <c r="I496" s="331"/>
      <c r="J496" s="330" t="s">
        <v>1699</v>
      </c>
      <c r="K496" s="332" t="s">
        <v>54</v>
      </c>
      <c r="L496" s="148">
        <v>44511</v>
      </c>
      <c r="M496" t="s">
        <v>2135</v>
      </c>
      <c r="N496" s="169">
        <v>44511</v>
      </c>
      <c r="O496" s="168"/>
      <c r="Q496" t="s">
        <v>35</v>
      </c>
      <c r="R496" t="s">
        <v>129</v>
      </c>
    </row>
    <row r="497" spans="1:18" hidden="1">
      <c r="A497" s="330">
        <f>COUNTA($D$3:$D$497)</f>
        <v>495</v>
      </c>
      <c r="B497" s="330" t="s">
        <v>1847</v>
      </c>
      <c r="C497" s="330" t="s">
        <v>1223</v>
      </c>
      <c r="D497" s="330" t="s">
        <v>1103</v>
      </c>
      <c r="E497" s="330" t="s">
        <v>1848</v>
      </c>
      <c r="F497" s="331">
        <v>44403</v>
      </c>
      <c r="G497" s="331">
        <v>44402</v>
      </c>
      <c r="H497" s="331"/>
      <c r="I497" s="331">
        <v>44403</v>
      </c>
      <c r="J497" s="330" t="s">
        <v>1667</v>
      </c>
      <c r="K497" s="332" t="s">
        <v>1089</v>
      </c>
      <c r="L497" s="148">
        <v>44511</v>
      </c>
      <c r="M497" t="s">
        <v>2959</v>
      </c>
      <c r="N497" s="169">
        <v>44628</v>
      </c>
      <c r="O497" s="168"/>
      <c r="Q497" t="s">
        <v>35</v>
      </c>
      <c r="R497" t="s">
        <v>129</v>
      </c>
    </row>
    <row r="498" spans="1:18" hidden="1">
      <c r="A498" s="330">
        <f>COUNTA($D$3:$D$498)</f>
        <v>496</v>
      </c>
      <c r="B498" s="330" t="s">
        <v>1876</v>
      </c>
      <c r="C498" s="330" t="s">
        <v>41</v>
      </c>
      <c r="D498" s="330" t="s">
        <v>1877</v>
      </c>
      <c r="E498" s="330">
        <v>20314060</v>
      </c>
      <c r="F498" s="331"/>
      <c r="G498" s="331"/>
      <c r="H498" s="331"/>
      <c r="I498" s="331"/>
      <c r="J498" s="330"/>
      <c r="K498" s="332" t="s">
        <v>54</v>
      </c>
      <c r="L498" s="148">
        <v>44511</v>
      </c>
      <c r="M498" t="s">
        <v>2136</v>
      </c>
      <c r="N498" s="169">
        <v>44511</v>
      </c>
      <c r="O498" s="168"/>
      <c r="Q498" t="s">
        <v>2673</v>
      </c>
    </row>
    <row r="499" spans="1:18" hidden="1">
      <c r="A499" s="330">
        <f>COUNTA($D$3:$D$499)</f>
        <v>497</v>
      </c>
      <c r="B499" s="330" t="s">
        <v>1791</v>
      </c>
      <c r="C499" s="330" t="s">
        <v>93</v>
      </c>
      <c r="D499" s="330" t="s">
        <v>58</v>
      </c>
      <c r="E499" s="330" t="s">
        <v>1792</v>
      </c>
      <c r="F499" s="331">
        <v>44323</v>
      </c>
      <c r="G499" s="331">
        <v>44378</v>
      </c>
      <c r="H499" s="331"/>
      <c r="I499" s="331">
        <v>44323</v>
      </c>
      <c r="J499" s="330" t="s">
        <v>1793</v>
      </c>
      <c r="K499" s="332" t="s">
        <v>1089</v>
      </c>
      <c r="L499" s="148">
        <v>44505</v>
      </c>
      <c r="M499" t="s">
        <v>2083</v>
      </c>
      <c r="N499" s="169">
        <v>44505</v>
      </c>
      <c r="O499" s="168"/>
      <c r="Q499" t="s">
        <v>35</v>
      </c>
      <c r="R499" t="s">
        <v>129</v>
      </c>
    </row>
    <row r="500" spans="1:18" hidden="1">
      <c r="A500" s="330">
        <f>COUNTA($D$3:$D$500)</f>
        <v>498</v>
      </c>
      <c r="B500" s="330" t="s">
        <v>1799</v>
      </c>
      <c r="C500" s="330" t="s">
        <v>1800</v>
      </c>
      <c r="D500" s="330" t="s">
        <v>104</v>
      </c>
      <c r="E500" s="330" t="s">
        <v>1801</v>
      </c>
      <c r="F500" s="331">
        <v>44402</v>
      </c>
      <c r="G500" s="331">
        <v>44393</v>
      </c>
      <c r="H500" s="331"/>
      <c r="I500" s="331">
        <v>44402</v>
      </c>
      <c r="J500" s="330" t="s">
        <v>1802</v>
      </c>
      <c r="K500" s="332" t="s">
        <v>125</v>
      </c>
      <c r="L500" s="148">
        <v>44505</v>
      </c>
      <c r="M500" t="s">
        <v>2954</v>
      </c>
      <c r="N500" s="169">
        <v>44417</v>
      </c>
      <c r="O500" s="168"/>
      <c r="Q500" t="s">
        <v>35</v>
      </c>
      <c r="R500" t="s">
        <v>129</v>
      </c>
    </row>
    <row r="501" spans="1:18" hidden="1">
      <c r="A501" s="330">
        <f>COUNTA($D$3:$D$501)</f>
        <v>499</v>
      </c>
      <c r="B501" s="330" t="s">
        <v>1777</v>
      </c>
      <c r="C501" s="330" t="s">
        <v>1253</v>
      </c>
      <c r="D501" s="330" t="s">
        <v>124</v>
      </c>
      <c r="E501" s="330" t="s">
        <v>123</v>
      </c>
      <c r="F501" s="331"/>
      <c r="G501" s="331"/>
      <c r="H501" s="331"/>
      <c r="I501" s="331"/>
      <c r="J501" s="330" t="s">
        <v>1950</v>
      </c>
      <c r="K501" s="332" t="s">
        <v>125</v>
      </c>
      <c r="L501" s="148">
        <v>44505</v>
      </c>
      <c r="M501" t="s">
        <v>2418</v>
      </c>
      <c r="N501" s="169">
        <v>44505</v>
      </c>
      <c r="O501" s="168"/>
      <c r="Q501" t="s">
        <v>1080</v>
      </c>
      <c r="R501" t="s">
        <v>129</v>
      </c>
    </row>
    <row r="502" spans="1:18" hidden="1">
      <c r="A502" s="330">
        <f>COUNTA($D$3:$D$502)</f>
        <v>500</v>
      </c>
      <c r="B502" s="330" t="s">
        <v>1772</v>
      </c>
      <c r="C502" s="330" t="s">
        <v>1261</v>
      </c>
      <c r="D502" s="330" t="s">
        <v>45</v>
      </c>
      <c r="E502" s="330" t="s">
        <v>1773</v>
      </c>
      <c r="F502" s="331">
        <v>44368</v>
      </c>
      <c r="G502" s="331">
        <v>44364</v>
      </c>
      <c r="H502" s="331"/>
      <c r="I502" s="331">
        <v>44368</v>
      </c>
      <c r="J502" s="330" t="s">
        <v>1774</v>
      </c>
      <c r="K502" s="332" t="s">
        <v>125</v>
      </c>
      <c r="L502" s="148">
        <v>44505</v>
      </c>
      <c r="M502" t="s">
        <v>1074</v>
      </c>
      <c r="N502" s="169">
        <v>44664</v>
      </c>
      <c r="O502" s="168"/>
      <c r="Q502" t="s">
        <v>1726</v>
      </c>
      <c r="R502" t="s">
        <v>129</v>
      </c>
    </row>
    <row r="503" spans="1:18" hidden="1">
      <c r="A503" s="330">
        <f>COUNTA($D$3:$D$503)</f>
        <v>501</v>
      </c>
      <c r="B503" s="330" t="s">
        <v>1775</v>
      </c>
      <c r="C503" s="330" t="s">
        <v>41</v>
      </c>
      <c r="D503" s="330" t="s">
        <v>34</v>
      </c>
      <c r="E503" s="330" t="s">
        <v>1776</v>
      </c>
      <c r="F503" s="331">
        <v>44387</v>
      </c>
      <c r="G503" s="331">
        <v>44364</v>
      </c>
      <c r="H503" s="331"/>
      <c r="I503" s="331">
        <v>44387</v>
      </c>
      <c r="J503" s="330" t="s">
        <v>17</v>
      </c>
      <c r="K503" s="332" t="s">
        <v>1089</v>
      </c>
      <c r="L503" s="148">
        <v>44505</v>
      </c>
      <c r="M503" t="s">
        <v>2076</v>
      </c>
      <c r="N503" s="169">
        <v>44505</v>
      </c>
      <c r="O503" s="168"/>
      <c r="Q503" t="s">
        <v>60</v>
      </c>
    </row>
    <row r="504" spans="1:18" hidden="1">
      <c r="A504" s="330">
        <f>COUNTA($D$3:$D$504)</f>
        <v>502</v>
      </c>
      <c r="B504" s="330" t="s">
        <v>1809</v>
      </c>
      <c r="C504" s="330" t="s">
        <v>37</v>
      </c>
      <c r="D504" s="330" t="s">
        <v>45</v>
      </c>
      <c r="E504" s="330" t="s">
        <v>1663</v>
      </c>
      <c r="F504" s="331"/>
      <c r="G504" s="331">
        <v>44393</v>
      </c>
      <c r="H504" s="331">
        <v>44483</v>
      </c>
      <c r="I504" s="331"/>
      <c r="J504" s="330" t="s">
        <v>1834</v>
      </c>
      <c r="K504" s="332" t="s">
        <v>125</v>
      </c>
      <c r="L504" s="148">
        <v>44505</v>
      </c>
      <c r="M504" t="s">
        <v>2085</v>
      </c>
      <c r="N504" s="169">
        <v>44781</v>
      </c>
      <c r="O504" s="168"/>
      <c r="Q504" t="s">
        <v>1726</v>
      </c>
      <c r="R504" t="s">
        <v>129</v>
      </c>
    </row>
    <row r="505" spans="1:18" hidden="1">
      <c r="A505" s="330">
        <f>COUNTA($D$3:$D$505)</f>
        <v>503</v>
      </c>
      <c r="B505" s="330" t="s">
        <v>1836</v>
      </c>
      <c r="C505" s="330" t="s">
        <v>37</v>
      </c>
      <c r="D505" s="330" t="s">
        <v>34</v>
      </c>
      <c r="E505" s="330" t="s">
        <v>1263</v>
      </c>
      <c r="F505" s="331">
        <v>44392</v>
      </c>
      <c r="G505" s="331">
        <v>44393</v>
      </c>
      <c r="H505" s="331"/>
      <c r="I505" s="331">
        <v>44392</v>
      </c>
      <c r="J505" s="330" t="s">
        <v>1485</v>
      </c>
      <c r="K505" s="332" t="s">
        <v>33</v>
      </c>
      <c r="L505" s="148">
        <v>44505</v>
      </c>
      <c r="M505" t="s">
        <v>2088</v>
      </c>
      <c r="N505" s="169">
        <v>44781</v>
      </c>
      <c r="O505" s="168"/>
      <c r="Q505" t="s">
        <v>35</v>
      </c>
      <c r="R505" t="s">
        <v>129</v>
      </c>
    </row>
    <row r="506" spans="1:18" hidden="1">
      <c r="A506" s="330">
        <f>COUNTA($D$3:$D$506)</f>
        <v>504</v>
      </c>
      <c r="B506" s="330" t="s">
        <v>1811</v>
      </c>
      <c r="C506" s="330" t="s">
        <v>44</v>
      </c>
      <c r="D506" s="330" t="s">
        <v>1129</v>
      </c>
      <c r="E506" s="330" t="s">
        <v>1812</v>
      </c>
      <c r="F506" s="331" t="s">
        <v>66</v>
      </c>
      <c r="G506" s="331">
        <v>44402</v>
      </c>
      <c r="H506" s="331"/>
      <c r="I506" s="331" t="s">
        <v>66</v>
      </c>
      <c r="J506" s="330" t="s">
        <v>1835</v>
      </c>
      <c r="K506" s="332" t="s">
        <v>33</v>
      </c>
      <c r="L506" s="148">
        <v>44505</v>
      </c>
      <c r="M506" t="s">
        <v>2087</v>
      </c>
      <c r="N506" s="169">
        <v>44505</v>
      </c>
      <c r="O506" s="168"/>
      <c r="Q506" t="s">
        <v>60</v>
      </c>
    </row>
    <row r="507" spans="1:18" hidden="1">
      <c r="A507" s="330">
        <f>COUNTA($D$3:$D$507)</f>
        <v>505</v>
      </c>
      <c r="B507" s="330" t="s">
        <v>1770</v>
      </c>
      <c r="C507" s="330" t="s">
        <v>44</v>
      </c>
      <c r="D507" s="330" t="s">
        <v>34</v>
      </c>
      <c r="E507" s="330" t="s">
        <v>128</v>
      </c>
      <c r="F507" s="331" t="s">
        <v>66</v>
      </c>
      <c r="G507" s="331">
        <v>44364</v>
      </c>
      <c r="H507" s="331"/>
      <c r="I507" s="331" t="s">
        <v>66</v>
      </c>
      <c r="J507" s="330" t="s">
        <v>1788</v>
      </c>
      <c r="K507" s="332" t="s">
        <v>1198</v>
      </c>
      <c r="L507" s="148">
        <v>44505</v>
      </c>
      <c r="M507" t="s">
        <v>2079</v>
      </c>
      <c r="N507" s="169">
        <v>44505</v>
      </c>
      <c r="O507" s="168"/>
      <c r="Q507" t="s">
        <v>60</v>
      </c>
    </row>
    <row r="508" spans="1:18" hidden="1">
      <c r="A508" s="330">
        <f>COUNTA($D$3:$D$508)</f>
        <v>506</v>
      </c>
      <c r="B508" s="330" t="s">
        <v>1769</v>
      </c>
      <c r="C508" s="330" t="s">
        <v>21</v>
      </c>
      <c r="D508" s="330" t="s">
        <v>58</v>
      </c>
      <c r="E508" s="330" t="s">
        <v>1258</v>
      </c>
      <c r="F508" s="331">
        <v>44364</v>
      </c>
      <c r="G508" s="331">
        <v>44364</v>
      </c>
      <c r="H508" s="331"/>
      <c r="I508" s="331">
        <v>44364</v>
      </c>
      <c r="J508" s="330" t="s">
        <v>1787</v>
      </c>
      <c r="K508" s="332" t="s">
        <v>33</v>
      </c>
      <c r="L508" s="148">
        <v>44505</v>
      </c>
      <c r="M508" t="s">
        <v>2078</v>
      </c>
      <c r="N508" s="169">
        <v>44866</v>
      </c>
      <c r="O508" s="168"/>
      <c r="Q508" t="s">
        <v>35</v>
      </c>
      <c r="R508" t="s">
        <v>129</v>
      </c>
    </row>
    <row r="509" spans="1:18" hidden="1">
      <c r="A509" s="330">
        <f>COUNTA($D$3:$D$509)</f>
        <v>507</v>
      </c>
      <c r="B509" s="330" t="s">
        <v>1781</v>
      </c>
      <c r="C509" s="330" t="s">
        <v>37</v>
      </c>
      <c r="D509" s="330" t="s">
        <v>34</v>
      </c>
      <c r="E509" s="330" t="s">
        <v>1782</v>
      </c>
      <c r="F509" s="331">
        <v>44368</v>
      </c>
      <c r="G509" s="331">
        <v>44372</v>
      </c>
      <c r="H509" s="331"/>
      <c r="I509" s="331">
        <v>44368</v>
      </c>
      <c r="J509" s="330" t="s">
        <v>17</v>
      </c>
      <c r="K509" s="332" t="s">
        <v>33</v>
      </c>
      <c r="L509" s="148">
        <v>44505</v>
      </c>
      <c r="M509" t="s">
        <v>2078</v>
      </c>
      <c r="N509" s="169">
        <v>44781</v>
      </c>
      <c r="O509" s="168"/>
      <c r="Q509" t="s">
        <v>35</v>
      </c>
      <c r="R509" t="s">
        <v>129</v>
      </c>
    </row>
    <row r="510" spans="1:18" hidden="1">
      <c r="A510" s="330">
        <f>COUNTA($D$3:$D$510)</f>
        <v>508</v>
      </c>
      <c r="B510" s="330" t="s">
        <v>1780</v>
      </c>
      <c r="C510" s="330" t="s">
        <v>41</v>
      </c>
      <c r="D510" s="330" t="s">
        <v>1131</v>
      </c>
      <c r="E510" s="330" t="s">
        <v>1132</v>
      </c>
      <c r="F510" s="331" t="s">
        <v>66</v>
      </c>
      <c r="G510" s="331">
        <v>44364</v>
      </c>
      <c r="H510" s="331"/>
      <c r="I510" s="331" t="s">
        <v>66</v>
      </c>
      <c r="J510" s="330" t="s">
        <v>1679</v>
      </c>
      <c r="K510" s="332" t="s">
        <v>53</v>
      </c>
      <c r="L510" s="148">
        <v>44505</v>
      </c>
      <c r="M510" t="s">
        <v>2080</v>
      </c>
      <c r="N510" s="169">
        <v>44505</v>
      </c>
      <c r="O510" s="168"/>
      <c r="Q510" t="s">
        <v>28</v>
      </c>
    </row>
    <row r="511" spans="1:18" hidden="1">
      <c r="A511" s="330">
        <f>COUNTA($D$3:$D$511)</f>
        <v>509</v>
      </c>
      <c r="B511" s="330" t="s">
        <v>1785</v>
      </c>
      <c r="C511" s="330" t="s">
        <v>21</v>
      </c>
      <c r="D511" s="330" t="s">
        <v>1169</v>
      </c>
      <c r="E511" s="330" t="s">
        <v>1268</v>
      </c>
      <c r="F511" s="331">
        <v>44364</v>
      </c>
      <c r="G511" s="331">
        <v>44372</v>
      </c>
      <c r="H511" s="331"/>
      <c r="I511" s="331">
        <v>44364</v>
      </c>
      <c r="J511" s="330" t="s">
        <v>1786</v>
      </c>
      <c r="K511" s="332" t="s">
        <v>33</v>
      </c>
      <c r="L511" s="148">
        <v>44505</v>
      </c>
      <c r="M511" t="s">
        <v>2081</v>
      </c>
      <c r="N511" s="169">
        <v>44907</v>
      </c>
      <c r="O511" s="168"/>
      <c r="Q511" t="s">
        <v>35</v>
      </c>
      <c r="R511" t="s">
        <v>129</v>
      </c>
    </row>
    <row r="512" spans="1:18" hidden="1">
      <c r="A512" s="330">
        <f>COUNTA($D$3:$D$512)</f>
        <v>510</v>
      </c>
      <c r="B512" s="330" t="s">
        <v>1783</v>
      </c>
      <c r="C512" s="330" t="s">
        <v>21</v>
      </c>
      <c r="D512" s="330" t="s">
        <v>34</v>
      </c>
      <c r="E512" s="330" t="s">
        <v>1784</v>
      </c>
      <c r="F512" s="331">
        <v>44368</v>
      </c>
      <c r="G512" s="331">
        <v>44372</v>
      </c>
      <c r="H512" s="331"/>
      <c r="I512" s="331">
        <v>44368</v>
      </c>
      <c r="J512" s="330" t="s">
        <v>1643</v>
      </c>
      <c r="K512" s="332" t="s">
        <v>33</v>
      </c>
      <c r="L512" s="148">
        <v>44505</v>
      </c>
      <c r="M512" t="s">
        <v>2081</v>
      </c>
      <c r="N512" s="169">
        <v>44844</v>
      </c>
      <c r="O512" s="168"/>
      <c r="Q512" t="s">
        <v>35</v>
      </c>
      <c r="R512" t="s">
        <v>129</v>
      </c>
    </row>
    <row r="513" spans="1:18" hidden="1">
      <c r="A513" s="330">
        <f>COUNTA($D$3:$D$513)</f>
        <v>511</v>
      </c>
      <c r="B513" s="330" t="s">
        <v>1846</v>
      </c>
      <c r="C513" s="330" t="s">
        <v>41</v>
      </c>
      <c r="D513" s="330" t="s">
        <v>1103</v>
      </c>
      <c r="E513" s="330" t="s">
        <v>1206</v>
      </c>
      <c r="F513" s="331" t="s">
        <v>66</v>
      </c>
      <c r="G513" s="331">
        <v>44402</v>
      </c>
      <c r="H513" s="331"/>
      <c r="I513" s="331" t="s">
        <v>66</v>
      </c>
      <c r="J513" s="330" t="s">
        <v>1788</v>
      </c>
      <c r="K513" s="332" t="s">
        <v>125</v>
      </c>
      <c r="L513" s="148">
        <v>44505</v>
      </c>
      <c r="M513" t="s">
        <v>2090</v>
      </c>
      <c r="N513" s="169">
        <v>44505</v>
      </c>
      <c r="O513" s="168"/>
      <c r="Q513" t="s">
        <v>60</v>
      </c>
    </row>
    <row r="514" spans="1:18" hidden="1">
      <c r="A514" s="330">
        <f>COUNTA($D$3:$D$514)</f>
        <v>512</v>
      </c>
      <c r="B514" s="330" t="s">
        <v>1845</v>
      </c>
      <c r="C514" s="330" t="s">
        <v>41</v>
      </c>
      <c r="D514" s="330" t="s">
        <v>32</v>
      </c>
      <c r="E514" s="330" t="s">
        <v>1159</v>
      </c>
      <c r="F514" s="331" t="s">
        <v>66</v>
      </c>
      <c r="G514" s="331">
        <v>44402</v>
      </c>
      <c r="H514" s="331"/>
      <c r="I514" s="331" t="s">
        <v>66</v>
      </c>
      <c r="J514" s="330" t="s">
        <v>1854</v>
      </c>
      <c r="K514" s="332" t="s">
        <v>1089</v>
      </c>
      <c r="L514" s="148">
        <v>44505</v>
      </c>
      <c r="M514" t="s">
        <v>2089</v>
      </c>
      <c r="N514" s="169">
        <v>44505</v>
      </c>
      <c r="O514" s="168"/>
      <c r="Q514" t="s">
        <v>60</v>
      </c>
    </row>
    <row r="515" spans="1:18" hidden="1">
      <c r="A515" s="330">
        <f>COUNTA($D$3:$D$515)</f>
        <v>513</v>
      </c>
      <c r="B515" s="330" t="s">
        <v>1838</v>
      </c>
      <c r="C515" s="330" t="s">
        <v>301</v>
      </c>
      <c r="D515" s="330" t="s">
        <v>19</v>
      </c>
      <c r="E515" s="330" t="s">
        <v>1839</v>
      </c>
      <c r="F515" s="331">
        <v>44402</v>
      </c>
      <c r="G515" s="331">
        <v>44402</v>
      </c>
      <c r="H515" s="331"/>
      <c r="I515" s="331">
        <v>44402</v>
      </c>
      <c r="J515" s="330" t="s">
        <v>1853</v>
      </c>
      <c r="K515" s="332" t="s">
        <v>33</v>
      </c>
      <c r="L515" s="148">
        <v>44505</v>
      </c>
      <c r="M515" t="s">
        <v>1074</v>
      </c>
      <c r="N515" s="169">
        <v>44572</v>
      </c>
      <c r="O515" s="168"/>
      <c r="Q515" t="s">
        <v>35</v>
      </c>
      <c r="R515" t="s">
        <v>129</v>
      </c>
    </row>
    <row r="516" spans="1:18" hidden="1">
      <c r="A516" s="330">
        <f>COUNTA($D$3:$D$516)</f>
        <v>514</v>
      </c>
      <c r="B516" s="330" t="s">
        <v>1803</v>
      </c>
      <c r="C516" s="330" t="s">
        <v>1804</v>
      </c>
      <c r="D516" s="330" t="s">
        <v>1805</v>
      </c>
      <c r="E516" s="330" t="s">
        <v>1806</v>
      </c>
      <c r="F516" s="331">
        <v>44402</v>
      </c>
      <c r="G516" s="331">
        <v>44402</v>
      </c>
      <c r="H516" s="331">
        <v>44666</v>
      </c>
      <c r="I516" s="331">
        <v>44402</v>
      </c>
      <c r="J516" s="330" t="s">
        <v>1855</v>
      </c>
      <c r="K516" s="332" t="s">
        <v>20</v>
      </c>
      <c r="L516" s="148">
        <v>44505</v>
      </c>
      <c r="M516" t="s">
        <v>2084</v>
      </c>
      <c r="N516" s="169">
        <v>44672</v>
      </c>
      <c r="O516" s="168"/>
      <c r="Q516" t="s">
        <v>35</v>
      </c>
      <c r="R516" t="s">
        <v>129</v>
      </c>
    </row>
    <row r="517" spans="1:18" hidden="1">
      <c r="A517" s="330">
        <f>COUNTA($D$3:$D$517)</f>
        <v>515</v>
      </c>
      <c r="B517" s="330" t="s">
        <v>1767</v>
      </c>
      <c r="C517" s="330" t="s">
        <v>1077</v>
      </c>
      <c r="D517" s="330" t="s">
        <v>52</v>
      </c>
      <c r="E517" s="330" t="s">
        <v>1768</v>
      </c>
      <c r="F517" s="331">
        <v>44375</v>
      </c>
      <c r="G517" s="331">
        <v>44372</v>
      </c>
      <c r="H517" s="331"/>
      <c r="I517" s="331">
        <v>44375</v>
      </c>
      <c r="J517" s="330" t="s">
        <v>1158</v>
      </c>
      <c r="K517" s="332" t="s">
        <v>24</v>
      </c>
      <c r="L517" s="148">
        <v>44505</v>
      </c>
      <c r="M517" t="s">
        <v>2077</v>
      </c>
      <c r="N517" s="169">
        <v>44505</v>
      </c>
      <c r="O517" s="168"/>
      <c r="Q517" t="s">
        <v>1726</v>
      </c>
      <c r="R517" t="s">
        <v>129</v>
      </c>
    </row>
    <row r="518" spans="1:18" hidden="1">
      <c r="A518" s="330">
        <f>COUNTA($D$3:$D$518)</f>
        <v>516</v>
      </c>
      <c r="B518" s="330" t="s">
        <v>1790</v>
      </c>
      <c r="C518" s="330" t="s">
        <v>41</v>
      </c>
      <c r="D518" s="330" t="s">
        <v>1103</v>
      </c>
      <c r="E518" s="330" t="s">
        <v>1108</v>
      </c>
      <c r="F518" s="331"/>
      <c r="G518" s="331"/>
      <c r="H518" s="331"/>
      <c r="I518" s="331"/>
      <c r="J518" s="330" t="s">
        <v>1667</v>
      </c>
      <c r="K518" s="332" t="s">
        <v>1089</v>
      </c>
      <c r="L518" s="148">
        <v>44505</v>
      </c>
      <c r="M518" t="s">
        <v>2082</v>
      </c>
      <c r="N518" s="169">
        <v>44505</v>
      </c>
      <c r="O518" s="168"/>
      <c r="Q518" t="s">
        <v>28</v>
      </c>
    </row>
    <row r="519" spans="1:18" hidden="1">
      <c r="A519" s="330">
        <f>COUNTA($D$3:$D$519)</f>
        <v>517</v>
      </c>
      <c r="B519" s="330" t="s">
        <v>1771</v>
      </c>
      <c r="C519" s="330" t="s">
        <v>41</v>
      </c>
      <c r="D519" s="330" t="s">
        <v>1080</v>
      </c>
      <c r="E519" s="330" t="s">
        <v>1174</v>
      </c>
      <c r="F519" s="331" t="s">
        <v>66</v>
      </c>
      <c r="G519" s="331">
        <v>44364</v>
      </c>
      <c r="H519" s="331"/>
      <c r="I519" s="331" t="s">
        <v>66</v>
      </c>
      <c r="J519" s="330" t="s">
        <v>1485</v>
      </c>
      <c r="K519" s="332" t="s">
        <v>53</v>
      </c>
      <c r="L519" s="148">
        <v>44505</v>
      </c>
      <c r="M519" t="s">
        <v>2091</v>
      </c>
      <c r="N519" s="169">
        <v>44505</v>
      </c>
      <c r="O519" s="168"/>
      <c r="Q519" t="s">
        <v>28</v>
      </c>
    </row>
    <row r="520" spans="1:18" hidden="1">
      <c r="A520" s="330">
        <f>COUNTA($D$3:$D$520)</f>
        <v>518</v>
      </c>
      <c r="B520" s="330" t="s">
        <v>1841</v>
      </c>
      <c r="C520" s="330" t="s">
        <v>301</v>
      </c>
      <c r="D520" s="330" t="s">
        <v>38</v>
      </c>
      <c r="E520" s="330" t="s">
        <v>1842</v>
      </c>
      <c r="F520" s="331">
        <v>44402</v>
      </c>
      <c r="G520" s="331">
        <v>44393</v>
      </c>
      <c r="H520" s="331"/>
      <c r="I520" s="331">
        <v>44402</v>
      </c>
      <c r="J520" s="330" t="s">
        <v>1843</v>
      </c>
      <c r="K520" s="332" t="s">
        <v>53</v>
      </c>
      <c r="L520" s="148">
        <v>44505</v>
      </c>
      <c r="M520" t="s">
        <v>2954</v>
      </c>
      <c r="N520" s="169">
        <v>44846</v>
      </c>
      <c r="O520" s="168"/>
      <c r="Q520" t="s">
        <v>35</v>
      </c>
      <c r="R520" t="s">
        <v>129</v>
      </c>
    </row>
    <row r="521" spans="1:18" hidden="1">
      <c r="A521" s="330">
        <f>COUNTA($D$3:$D$521)</f>
        <v>519</v>
      </c>
      <c r="B521" s="330" t="s">
        <v>1810</v>
      </c>
      <c r="C521" s="330" t="s">
        <v>41</v>
      </c>
      <c r="D521" s="330" t="s">
        <v>56</v>
      </c>
      <c r="E521" s="330" t="s">
        <v>1229</v>
      </c>
      <c r="F521" s="331" t="s">
        <v>66</v>
      </c>
      <c r="G521" s="331">
        <v>44406</v>
      </c>
      <c r="H521" s="331"/>
      <c r="I521" s="331" t="s">
        <v>66</v>
      </c>
      <c r="J521" s="330" t="s">
        <v>1858</v>
      </c>
      <c r="K521" s="332" t="s">
        <v>18</v>
      </c>
      <c r="L521" s="148">
        <v>44505</v>
      </c>
      <c r="M521" t="s">
        <v>2086</v>
      </c>
      <c r="N521" s="169">
        <v>44505</v>
      </c>
      <c r="O521" s="168"/>
      <c r="Q521" t="s">
        <v>60</v>
      </c>
    </row>
    <row r="522" spans="1:18">
      <c r="A522" s="330">
        <f>COUNTA($D$3:$D$522)</f>
        <v>520</v>
      </c>
      <c r="B522" s="330" t="s">
        <v>1796</v>
      </c>
      <c r="C522" s="330" t="s">
        <v>93</v>
      </c>
      <c r="D522" s="330" t="s">
        <v>19</v>
      </c>
      <c r="E522" s="330" t="s">
        <v>1797</v>
      </c>
      <c r="F522" s="331">
        <v>44323</v>
      </c>
      <c r="G522" s="331">
        <v>44378</v>
      </c>
      <c r="H522" s="331"/>
      <c r="I522" s="331">
        <v>44323</v>
      </c>
      <c r="J522" s="330" t="s">
        <v>1798</v>
      </c>
      <c r="K522" s="332" t="s">
        <v>125</v>
      </c>
      <c r="L522" s="148">
        <v>44505</v>
      </c>
      <c r="O522" s="168"/>
      <c r="Q522" t="s">
        <v>35</v>
      </c>
      <c r="R522" t="s">
        <v>129</v>
      </c>
    </row>
    <row r="523" spans="1:18" hidden="1">
      <c r="A523" s="330">
        <f>COUNTA($D$3:$D$523)</f>
        <v>521</v>
      </c>
      <c r="B523" s="330" t="s">
        <v>2069</v>
      </c>
      <c r="C523" s="330" t="s">
        <v>41</v>
      </c>
      <c r="D523" s="330" t="s">
        <v>25</v>
      </c>
      <c r="E523" s="330" t="s">
        <v>1200</v>
      </c>
      <c r="F523" s="331"/>
      <c r="G523" s="331"/>
      <c r="H523" s="331"/>
      <c r="I523" s="331"/>
      <c r="J523" s="330" t="s">
        <v>2070</v>
      </c>
      <c r="K523" s="332" t="s">
        <v>103</v>
      </c>
      <c r="L523" s="148">
        <v>44498</v>
      </c>
      <c r="M523" t="s">
        <v>2075</v>
      </c>
      <c r="N523" s="169">
        <v>44498</v>
      </c>
      <c r="O523" s="168"/>
    </row>
    <row r="524" spans="1:18">
      <c r="A524" s="330">
        <f>COUNTA($D$3:$D$524)</f>
        <v>522</v>
      </c>
      <c r="B524" s="330" t="s">
        <v>2005</v>
      </c>
      <c r="C524" s="330" t="s">
        <v>44</v>
      </c>
      <c r="D524" s="330" t="s">
        <v>1129</v>
      </c>
      <c r="E524" s="330" t="s">
        <v>1186</v>
      </c>
      <c r="F524" s="331">
        <v>44481.518435231497</v>
      </c>
      <c r="G524" s="331"/>
      <c r="H524" s="331"/>
      <c r="I524" s="331"/>
      <c r="J524" s="330" t="s">
        <v>1657</v>
      </c>
      <c r="K524" s="332" t="s">
        <v>18</v>
      </c>
      <c r="L524" s="148">
        <v>44457</v>
      </c>
      <c r="O524" s="168"/>
      <c r="Q524" t="s">
        <v>60</v>
      </c>
      <c r="R524" t="s">
        <v>22</v>
      </c>
    </row>
    <row r="525" spans="1:18" hidden="1">
      <c r="A525" s="330">
        <f>COUNTA($D$3:$D$525)</f>
        <v>523</v>
      </c>
      <c r="B525" s="330" t="s">
        <v>1727</v>
      </c>
      <c r="C525" s="330" t="s">
        <v>1113</v>
      </c>
      <c r="D525" s="330" t="s">
        <v>64</v>
      </c>
      <c r="E525" s="330" t="s">
        <v>1728</v>
      </c>
      <c r="F525" s="331">
        <v>44323</v>
      </c>
      <c r="G525" s="331"/>
      <c r="H525" s="331">
        <v>44701</v>
      </c>
      <c r="I525" s="331">
        <v>44678</v>
      </c>
      <c r="J525" s="330" t="s">
        <v>1747</v>
      </c>
      <c r="K525" s="332" t="s">
        <v>103</v>
      </c>
      <c r="L525" s="148">
        <v>44457</v>
      </c>
      <c r="M525" t="s">
        <v>1905</v>
      </c>
      <c r="N525" s="169">
        <v>44457</v>
      </c>
      <c r="O525" s="168"/>
      <c r="Q525" t="s">
        <v>28</v>
      </c>
      <c r="R525" t="s">
        <v>129</v>
      </c>
    </row>
    <row r="526" spans="1:18" hidden="1">
      <c r="A526" s="330">
        <f>COUNTA($D$3:$D$526)</f>
        <v>524</v>
      </c>
      <c r="B526" s="330" t="s">
        <v>1693</v>
      </c>
      <c r="C526" s="330" t="s">
        <v>40</v>
      </c>
      <c r="D526" s="330" t="s">
        <v>51</v>
      </c>
      <c r="E526" s="330" t="s">
        <v>1694</v>
      </c>
      <c r="F526" s="331"/>
      <c r="G526" s="331"/>
      <c r="H526" s="331"/>
      <c r="I526" s="331">
        <v>44305</v>
      </c>
      <c r="J526" s="330" t="s">
        <v>1745</v>
      </c>
      <c r="K526" s="332" t="s">
        <v>103</v>
      </c>
      <c r="L526" s="148">
        <v>44457</v>
      </c>
      <c r="M526" t="s">
        <v>1909</v>
      </c>
      <c r="N526" s="169">
        <v>44729</v>
      </c>
      <c r="O526" s="168"/>
      <c r="Q526" t="s">
        <v>28</v>
      </c>
      <c r="R526" t="s">
        <v>129</v>
      </c>
    </row>
    <row r="527" spans="1:18" hidden="1">
      <c r="A527" s="330">
        <f>COUNTA($D$3:$D$527)</f>
        <v>525</v>
      </c>
      <c r="B527" s="330" t="s">
        <v>1696</v>
      </c>
      <c r="C527" s="330" t="s">
        <v>40</v>
      </c>
      <c r="D527" s="330" t="s">
        <v>51</v>
      </c>
      <c r="E527" s="330" t="s">
        <v>1697</v>
      </c>
      <c r="F527" s="331"/>
      <c r="G527" s="331"/>
      <c r="H527" s="331"/>
      <c r="I527" s="331">
        <v>44305</v>
      </c>
      <c r="J527" s="330" t="s">
        <v>1746</v>
      </c>
      <c r="K527" s="332" t="s">
        <v>24</v>
      </c>
      <c r="L527" s="148">
        <v>44457</v>
      </c>
      <c r="M527" t="s">
        <v>1912</v>
      </c>
      <c r="N527" s="169">
        <v>44729</v>
      </c>
      <c r="O527" s="168"/>
      <c r="Q527" t="s">
        <v>35</v>
      </c>
      <c r="R527" t="s">
        <v>129</v>
      </c>
    </row>
    <row r="528" spans="1:18" hidden="1">
      <c r="A528" s="330">
        <f>COUNTA($D$3:$D$528)</f>
        <v>526</v>
      </c>
      <c r="B528" s="330" t="s">
        <v>1736</v>
      </c>
      <c r="C528" s="330" t="s">
        <v>1168</v>
      </c>
      <c r="D528" s="330" t="s">
        <v>64</v>
      </c>
      <c r="E528" s="330" t="s">
        <v>1737</v>
      </c>
      <c r="F528" s="331">
        <v>44323</v>
      </c>
      <c r="G528" s="331"/>
      <c r="H528" s="331"/>
      <c r="I528" s="331">
        <v>44320</v>
      </c>
      <c r="J528" s="330" t="s">
        <v>1738</v>
      </c>
      <c r="K528" s="332" t="s">
        <v>18</v>
      </c>
      <c r="L528" s="148">
        <v>44457</v>
      </c>
      <c r="M528" t="s">
        <v>1908</v>
      </c>
      <c r="N528" s="169">
        <v>44457</v>
      </c>
      <c r="O528" s="168"/>
      <c r="Q528" t="s">
        <v>1726</v>
      </c>
      <c r="R528" t="s">
        <v>129</v>
      </c>
    </row>
    <row r="529" spans="1:18" hidden="1">
      <c r="A529" s="330">
        <f>COUNTA($D$3:$D$529)</f>
        <v>527</v>
      </c>
      <c r="B529" s="330" t="s">
        <v>1741</v>
      </c>
      <c r="C529" s="330" t="s">
        <v>1265</v>
      </c>
      <c r="D529" s="330" t="s">
        <v>36</v>
      </c>
      <c r="E529" s="330" t="s">
        <v>1742</v>
      </c>
      <c r="F529" s="331">
        <v>44328</v>
      </c>
      <c r="G529" s="331"/>
      <c r="H529" s="331"/>
      <c r="I529" s="331">
        <v>44321</v>
      </c>
      <c r="J529" s="330" t="s">
        <v>1743</v>
      </c>
      <c r="K529" s="332" t="s">
        <v>33</v>
      </c>
      <c r="L529" s="148">
        <v>44457</v>
      </c>
      <c r="M529" t="s">
        <v>1896</v>
      </c>
      <c r="N529" s="169">
        <v>44457</v>
      </c>
      <c r="O529" s="168"/>
      <c r="Q529" t="s">
        <v>28</v>
      </c>
      <c r="R529" t="s">
        <v>129</v>
      </c>
    </row>
    <row r="530" spans="1:18" hidden="1">
      <c r="A530" s="330">
        <f>COUNTA($D$3:$D$530)</f>
        <v>528</v>
      </c>
      <c r="B530" s="330" t="s">
        <v>1729</v>
      </c>
      <c r="C530" s="330" t="s">
        <v>1147</v>
      </c>
      <c r="D530" s="330" t="s">
        <v>16</v>
      </c>
      <c r="E530" s="330" t="s">
        <v>1148</v>
      </c>
      <c r="F530" s="331">
        <v>44323</v>
      </c>
      <c r="G530" s="331"/>
      <c r="H530" s="331"/>
      <c r="I530" s="331">
        <v>44315</v>
      </c>
      <c r="J530" s="330" t="s">
        <v>17</v>
      </c>
      <c r="K530" s="332" t="s">
        <v>20</v>
      </c>
      <c r="L530" s="148">
        <v>44457</v>
      </c>
      <c r="M530" t="s">
        <v>1907</v>
      </c>
      <c r="N530" s="169">
        <v>44457</v>
      </c>
      <c r="O530" s="168"/>
      <c r="Q530" t="s">
        <v>1057</v>
      </c>
      <c r="R530" t="s">
        <v>129</v>
      </c>
    </row>
    <row r="531" spans="1:18" hidden="1">
      <c r="A531" s="330">
        <f>COUNTA($D$3:$D$531)</f>
        <v>529</v>
      </c>
      <c r="B531" s="330" t="s">
        <v>1744</v>
      </c>
      <c r="C531" s="330" t="s">
        <v>109</v>
      </c>
      <c r="D531" s="330" t="s">
        <v>58</v>
      </c>
      <c r="E531" s="330" t="s">
        <v>1237</v>
      </c>
      <c r="F531" s="331"/>
      <c r="G531" s="331"/>
      <c r="H531" s="331"/>
      <c r="I531" s="331">
        <v>44322</v>
      </c>
      <c r="J531" s="330" t="s">
        <v>1748</v>
      </c>
      <c r="K531" s="332" t="s">
        <v>1180</v>
      </c>
      <c r="L531" s="148">
        <v>44457</v>
      </c>
      <c r="M531" t="s">
        <v>2961</v>
      </c>
      <c r="N531" s="169">
        <v>44845</v>
      </c>
      <c r="O531" s="168"/>
      <c r="Q531" t="s">
        <v>60</v>
      </c>
      <c r="R531" t="s">
        <v>129</v>
      </c>
    </row>
    <row r="532" spans="1:18" hidden="1">
      <c r="A532" s="330">
        <f>COUNTA($D$3:$D$532)</f>
        <v>530</v>
      </c>
      <c r="B532" s="330" t="s">
        <v>1763</v>
      </c>
      <c r="C532" s="330" t="s">
        <v>1764</v>
      </c>
      <c r="D532" s="330" t="s">
        <v>19</v>
      </c>
      <c r="E532" s="330" t="s">
        <v>1765</v>
      </c>
      <c r="F532" s="331">
        <v>44358</v>
      </c>
      <c r="G532" s="331"/>
      <c r="H532" s="331"/>
      <c r="I532" s="331">
        <v>44345</v>
      </c>
      <c r="J532" s="330" t="s">
        <v>1766</v>
      </c>
      <c r="K532" s="332" t="s">
        <v>24</v>
      </c>
      <c r="L532" s="148">
        <v>44457</v>
      </c>
      <c r="M532" t="s">
        <v>1897</v>
      </c>
      <c r="N532" s="169">
        <v>44457</v>
      </c>
      <c r="O532" s="168"/>
      <c r="Q532" t="s">
        <v>28</v>
      </c>
      <c r="R532" t="s">
        <v>129</v>
      </c>
    </row>
    <row r="533" spans="1:18" hidden="1">
      <c r="A533" s="330">
        <f>COUNTA($D$3:$D$533)</f>
        <v>531</v>
      </c>
      <c r="B533" s="330" t="s">
        <v>1739</v>
      </c>
      <c r="C533" s="330" t="s">
        <v>65</v>
      </c>
      <c r="D533" s="330" t="s">
        <v>1216</v>
      </c>
      <c r="E533" s="330" t="s">
        <v>1740</v>
      </c>
      <c r="F533" s="331">
        <v>44368</v>
      </c>
      <c r="G533" s="331"/>
      <c r="H533" s="331"/>
      <c r="I533" s="331">
        <v>44320</v>
      </c>
      <c r="J533" s="330" t="s">
        <v>1779</v>
      </c>
      <c r="K533" s="332" t="s">
        <v>20</v>
      </c>
      <c r="L533" s="148">
        <v>44457</v>
      </c>
      <c r="M533" t="s">
        <v>1898</v>
      </c>
      <c r="N533" s="169">
        <v>44457</v>
      </c>
      <c r="O533" s="168"/>
      <c r="Q533" t="s">
        <v>28</v>
      </c>
      <c r="R533" t="s">
        <v>129</v>
      </c>
    </row>
    <row r="534" spans="1:18" hidden="1">
      <c r="A534" s="330">
        <f>COUNTA($D$3:$D$534)</f>
        <v>532</v>
      </c>
      <c r="B534" s="330" t="s">
        <v>1654</v>
      </c>
      <c r="C534" s="330" t="s">
        <v>21</v>
      </c>
      <c r="D534" s="330" t="s">
        <v>32</v>
      </c>
      <c r="E534" s="330" t="s">
        <v>1655</v>
      </c>
      <c r="F534" s="331">
        <v>44271</v>
      </c>
      <c r="G534" s="331"/>
      <c r="H534" s="331"/>
      <c r="I534" s="331">
        <v>44266</v>
      </c>
      <c r="J534" s="330" t="s">
        <v>357</v>
      </c>
      <c r="K534" s="332" t="s">
        <v>33</v>
      </c>
      <c r="L534" s="148">
        <v>44457</v>
      </c>
      <c r="M534" t="s">
        <v>1902</v>
      </c>
      <c r="N534" s="169">
        <v>44729</v>
      </c>
      <c r="O534" s="168"/>
      <c r="Q534" t="s">
        <v>35</v>
      </c>
      <c r="R534" t="s">
        <v>129</v>
      </c>
    </row>
    <row r="535" spans="1:18" hidden="1">
      <c r="A535" s="330">
        <f>COUNTA($D$3:$D$535)</f>
        <v>533</v>
      </c>
      <c r="B535" s="330" t="s">
        <v>1735</v>
      </c>
      <c r="C535" s="330" t="s">
        <v>1165</v>
      </c>
      <c r="D535" s="330" t="s">
        <v>1166</v>
      </c>
      <c r="E535" s="330" t="s">
        <v>1167</v>
      </c>
      <c r="F535" s="331"/>
      <c r="G535" s="331"/>
      <c r="H535" s="331"/>
      <c r="I535" s="331">
        <v>44320.558471999997</v>
      </c>
      <c r="J535" s="330"/>
      <c r="K535" s="332" t="s">
        <v>1681</v>
      </c>
      <c r="L535" s="148">
        <v>44457</v>
      </c>
      <c r="M535" t="s">
        <v>1899</v>
      </c>
      <c r="N535" s="169">
        <v>44457</v>
      </c>
      <c r="O535" s="168"/>
      <c r="Q535" t="s">
        <v>28</v>
      </c>
      <c r="R535" t="s">
        <v>129</v>
      </c>
    </row>
    <row r="536" spans="1:18" hidden="1">
      <c r="A536" s="330">
        <f>COUNTA($D$3:$D$536)</f>
        <v>534</v>
      </c>
      <c r="B536" s="330" t="s">
        <v>1751</v>
      </c>
      <c r="C536" s="330" t="s">
        <v>41</v>
      </c>
      <c r="D536" s="330" t="s">
        <v>16</v>
      </c>
      <c r="E536" s="330" t="s">
        <v>1203</v>
      </c>
      <c r="F536" s="331" t="s">
        <v>66</v>
      </c>
      <c r="G536" s="331"/>
      <c r="H536" s="331"/>
      <c r="I536" s="331">
        <v>44329</v>
      </c>
      <c r="J536" s="330" t="s">
        <v>1671</v>
      </c>
      <c r="K536" s="332" t="s">
        <v>1089</v>
      </c>
      <c r="L536" s="148">
        <v>44457</v>
      </c>
      <c r="M536" t="s">
        <v>1910</v>
      </c>
      <c r="N536" s="169">
        <v>44457</v>
      </c>
      <c r="O536" s="168"/>
      <c r="Q536" t="s">
        <v>35</v>
      </c>
    </row>
    <row r="537" spans="1:18" hidden="1">
      <c r="A537" s="330">
        <f>COUNTA($D$3:$D$537)</f>
        <v>535</v>
      </c>
      <c r="B537" s="330" t="s">
        <v>1660</v>
      </c>
      <c r="C537" s="330" t="s">
        <v>1099</v>
      </c>
      <c r="D537" s="330" t="s">
        <v>38</v>
      </c>
      <c r="E537" s="330" t="s">
        <v>1661</v>
      </c>
      <c r="F537" s="331">
        <v>44273</v>
      </c>
      <c r="G537" s="331"/>
      <c r="H537" s="331"/>
      <c r="I537" s="331">
        <v>44271</v>
      </c>
      <c r="J537" s="330" t="s">
        <v>1662</v>
      </c>
      <c r="K537" s="332" t="s">
        <v>33</v>
      </c>
      <c r="L537" s="148">
        <v>44457</v>
      </c>
      <c r="M537" t="s">
        <v>2961</v>
      </c>
      <c r="N537" s="169">
        <v>44480</v>
      </c>
      <c r="O537" s="168"/>
      <c r="Q537" t="s">
        <v>1726</v>
      </c>
      <c r="R537" t="s">
        <v>129</v>
      </c>
    </row>
    <row r="538" spans="1:18" hidden="1">
      <c r="A538" s="330">
        <f>COUNTA($D$3:$D$538)</f>
        <v>536</v>
      </c>
      <c r="B538" s="330" t="s">
        <v>1686</v>
      </c>
      <c r="C538" s="330" t="s">
        <v>44</v>
      </c>
      <c r="D538" s="330" t="s">
        <v>30</v>
      </c>
      <c r="E538" s="330" t="s">
        <v>235</v>
      </c>
      <c r="F538" s="331" t="s">
        <v>66</v>
      </c>
      <c r="G538" s="331"/>
      <c r="H538" s="331"/>
      <c r="I538" s="331">
        <v>44300</v>
      </c>
      <c r="J538" s="330" t="s">
        <v>1706</v>
      </c>
      <c r="K538" s="332" t="s">
        <v>33</v>
      </c>
      <c r="L538" s="148">
        <v>44457</v>
      </c>
      <c r="M538" t="s">
        <v>1901</v>
      </c>
      <c r="N538" s="169">
        <v>44457</v>
      </c>
      <c r="O538" s="168"/>
      <c r="Q538" t="s">
        <v>35</v>
      </c>
    </row>
    <row r="539" spans="1:18" hidden="1">
      <c r="A539" s="330">
        <f>COUNTA($D$3:$D$539)</f>
        <v>537</v>
      </c>
      <c r="B539" s="330" t="s">
        <v>1701</v>
      </c>
      <c r="C539" s="330" t="s">
        <v>37</v>
      </c>
      <c r="D539" s="330" t="s">
        <v>30</v>
      </c>
      <c r="E539" s="330" t="s">
        <v>1109</v>
      </c>
      <c r="F539" s="331">
        <v>44312</v>
      </c>
      <c r="G539" s="331"/>
      <c r="H539" s="331"/>
      <c r="I539" s="331">
        <v>44305</v>
      </c>
      <c r="J539" s="330" t="s">
        <v>1702</v>
      </c>
      <c r="K539" s="332" t="s">
        <v>1089</v>
      </c>
      <c r="L539" s="148">
        <v>44457</v>
      </c>
      <c r="M539" t="s">
        <v>1904</v>
      </c>
      <c r="N539" s="169">
        <v>44729</v>
      </c>
      <c r="O539" s="168"/>
      <c r="Q539" t="s">
        <v>35</v>
      </c>
      <c r="R539" t="s">
        <v>129</v>
      </c>
    </row>
    <row r="540" spans="1:18" hidden="1">
      <c r="A540" s="330">
        <f>COUNTA($D$3:$D$540)</f>
        <v>538</v>
      </c>
      <c r="B540" s="330" t="s">
        <v>1689</v>
      </c>
      <c r="C540" s="330" t="s">
        <v>41</v>
      </c>
      <c r="D540" s="330" t="s">
        <v>32</v>
      </c>
      <c r="E540" s="330" t="s">
        <v>1048</v>
      </c>
      <c r="F540" s="331" t="s">
        <v>66</v>
      </c>
      <c r="G540" s="331"/>
      <c r="H540" s="331"/>
      <c r="I540" s="331">
        <v>44305</v>
      </c>
      <c r="J540" s="330" t="s">
        <v>1690</v>
      </c>
      <c r="K540" s="332" t="s">
        <v>125</v>
      </c>
      <c r="L540" s="148">
        <v>44457</v>
      </c>
      <c r="M540" t="s">
        <v>1895</v>
      </c>
      <c r="N540" s="169">
        <v>44457</v>
      </c>
      <c r="O540" s="168"/>
      <c r="Q540" t="s">
        <v>28</v>
      </c>
    </row>
    <row r="541" spans="1:18" hidden="1">
      <c r="A541" s="330">
        <f>COUNTA($D$3:$D$541)</f>
        <v>539</v>
      </c>
      <c r="B541" s="330" t="s">
        <v>1754</v>
      </c>
      <c r="C541" s="330" t="s">
        <v>1239</v>
      </c>
      <c r="D541" s="330" t="s">
        <v>38</v>
      </c>
      <c r="E541" s="330" t="s">
        <v>1755</v>
      </c>
      <c r="F541" s="331">
        <v>44340</v>
      </c>
      <c r="G541" s="331"/>
      <c r="H541" s="331"/>
      <c r="I541" s="331">
        <v>44335</v>
      </c>
      <c r="J541" s="330" t="s">
        <v>1756</v>
      </c>
      <c r="K541" s="332" t="s">
        <v>18</v>
      </c>
      <c r="L541" s="148">
        <v>44457</v>
      </c>
      <c r="M541" t="s">
        <v>1911</v>
      </c>
      <c r="N541" s="169">
        <v>44457</v>
      </c>
      <c r="O541" s="168"/>
      <c r="Q541" t="s">
        <v>35</v>
      </c>
      <c r="R541" t="s">
        <v>129</v>
      </c>
    </row>
    <row r="542" spans="1:18" hidden="1">
      <c r="A542" s="330">
        <f>COUNTA($D$3:$D$542)</f>
        <v>540</v>
      </c>
      <c r="B542" s="330" t="s">
        <v>1703</v>
      </c>
      <c r="C542" s="330" t="s">
        <v>37</v>
      </c>
      <c r="D542" s="330" t="s">
        <v>1704</v>
      </c>
      <c r="E542" s="330" t="s">
        <v>1705</v>
      </c>
      <c r="F542" s="331">
        <v>44322</v>
      </c>
      <c r="G542" s="331"/>
      <c r="H542" s="331"/>
      <c r="I542" s="331">
        <v>44305</v>
      </c>
      <c r="J542" s="330" t="s">
        <v>1708</v>
      </c>
      <c r="K542" s="332" t="s">
        <v>1198</v>
      </c>
      <c r="L542" s="148">
        <v>44457</v>
      </c>
      <c r="M542" t="s">
        <v>1900</v>
      </c>
      <c r="N542" s="169">
        <v>44457</v>
      </c>
      <c r="O542" s="168"/>
      <c r="Q542" t="s">
        <v>1029</v>
      </c>
      <c r="R542" t="s">
        <v>129</v>
      </c>
    </row>
    <row r="543" spans="1:18" hidden="1">
      <c r="A543" s="330">
        <f>COUNTA($D$3:$D$543)</f>
        <v>541</v>
      </c>
      <c r="B543" s="330" t="s">
        <v>1695</v>
      </c>
      <c r="C543" s="330" t="s">
        <v>40</v>
      </c>
      <c r="D543" s="330" t="s">
        <v>1123</v>
      </c>
      <c r="E543" s="330" t="s">
        <v>1749</v>
      </c>
      <c r="F543" s="331">
        <v>44313</v>
      </c>
      <c r="G543" s="331"/>
      <c r="H543" s="331"/>
      <c r="I543" s="331">
        <v>44305</v>
      </c>
      <c r="J543" s="330" t="s">
        <v>1724</v>
      </c>
      <c r="K543" s="332" t="s">
        <v>33</v>
      </c>
      <c r="L543" s="148">
        <v>44457</v>
      </c>
      <c r="M543" t="s">
        <v>1903</v>
      </c>
      <c r="N543" s="169">
        <v>44729</v>
      </c>
      <c r="O543" s="168"/>
      <c r="Q543" t="s">
        <v>35</v>
      </c>
      <c r="R543" t="s">
        <v>129</v>
      </c>
    </row>
    <row r="544" spans="1:18" hidden="1">
      <c r="A544" s="330">
        <f>COUNTA($D$3:$D$544)</f>
        <v>542</v>
      </c>
      <c r="B544" s="330" t="s">
        <v>1715</v>
      </c>
      <c r="C544" s="330" t="s">
        <v>1716</v>
      </c>
      <c r="D544" s="330" t="s">
        <v>64</v>
      </c>
      <c r="E544" s="330" t="s">
        <v>1717</v>
      </c>
      <c r="F544" s="331">
        <v>44312</v>
      </c>
      <c r="G544" s="331"/>
      <c r="H544" s="331"/>
      <c r="I544" s="331">
        <v>44309</v>
      </c>
      <c r="J544" s="330" t="s">
        <v>1718</v>
      </c>
      <c r="K544" s="332" t="s">
        <v>20</v>
      </c>
      <c r="L544" s="148">
        <v>44457</v>
      </c>
      <c r="M544" t="s">
        <v>1903</v>
      </c>
      <c r="N544" s="169">
        <v>44781</v>
      </c>
      <c r="O544" s="168"/>
      <c r="Q544" t="s">
        <v>35</v>
      </c>
      <c r="R544" t="s">
        <v>129</v>
      </c>
    </row>
    <row r="545" spans="1:18" hidden="1">
      <c r="A545" s="330">
        <f>COUNTA($D$3:$D$545)</f>
        <v>543</v>
      </c>
      <c r="B545" s="330" t="s">
        <v>1292</v>
      </c>
      <c r="C545" s="330" t="s">
        <v>1224</v>
      </c>
      <c r="D545" s="330" t="s">
        <v>58</v>
      </c>
      <c r="E545" s="330" t="s">
        <v>1225</v>
      </c>
      <c r="F545" s="331">
        <v>44251</v>
      </c>
      <c r="G545" s="331"/>
      <c r="H545" s="331"/>
      <c r="I545" s="331">
        <v>44249</v>
      </c>
      <c r="J545" s="330" t="s">
        <v>1293</v>
      </c>
      <c r="K545" s="332" t="s">
        <v>18</v>
      </c>
      <c r="L545" s="148">
        <v>44457</v>
      </c>
      <c r="M545" t="s">
        <v>1906</v>
      </c>
      <c r="N545" s="169">
        <v>44457</v>
      </c>
      <c r="O545" s="168"/>
      <c r="Q545" t="s">
        <v>35</v>
      </c>
      <c r="R545" t="s">
        <v>129</v>
      </c>
    </row>
    <row r="546" spans="1:18" hidden="1">
      <c r="A546" s="330">
        <f>COUNTA($D$3:$D$546)</f>
        <v>544</v>
      </c>
      <c r="B546" s="330" t="s">
        <v>1757</v>
      </c>
      <c r="C546" s="330" t="s">
        <v>1081</v>
      </c>
      <c r="D546" s="330" t="s">
        <v>1083</v>
      </c>
      <c r="E546" s="330" t="s">
        <v>1082</v>
      </c>
      <c r="F546" s="331">
        <v>44342</v>
      </c>
      <c r="G546" s="331"/>
      <c r="H546" s="331"/>
      <c r="I546" s="331">
        <v>44337</v>
      </c>
      <c r="J546" s="330" t="s">
        <v>1758</v>
      </c>
      <c r="K546" s="332" t="s">
        <v>33</v>
      </c>
      <c r="L546" s="148">
        <v>44416</v>
      </c>
      <c r="M546" t="s">
        <v>1859</v>
      </c>
      <c r="N546" s="169">
        <v>44416</v>
      </c>
      <c r="O546" s="168"/>
      <c r="Q546" t="s">
        <v>1074</v>
      </c>
      <c r="R546" t="s">
        <v>129</v>
      </c>
    </row>
    <row r="547" spans="1:18">
      <c r="A547" s="330">
        <f>COUNTA($D$3:$D$547)</f>
        <v>545</v>
      </c>
      <c r="B547" s="330" t="s">
        <v>1691</v>
      </c>
      <c r="C547" s="330" t="s">
        <v>40</v>
      </c>
      <c r="D547" s="330" t="s">
        <v>1123</v>
      </c>
      <c r="E547" s="330" t="s">
        <v>1692</v>
      </c>
      <c r="F547" s="331">
        <v>44314</v>
      </c>
      <c r="G547" s="331"/>
      <c r="H547" s="331"/>
      <c r="I547" s="331">
        <v>44308</v>
      </c>
      <c r="J547" s="330" t="s">
        <v>1723</v>
      </c>
      <c r="K547" s="332" t="s">
        <v>18</v>
      </c>
      <c r="L547" s="148">
        <v>44402</v>
      </c>
      <c r="O547" s="168"/>
      <c r="Q547" t="s">
        <v>35</v>
      </c>
      <c r="R547" t="s">
        <v>22</v>
      </c>
    </row>
    <row r="548" spans="1:18" hidden="1">
      <c r="A548" s="330">
        <f>COUNTA($D$3:$D$548)</f>
        <v>546</v>
      </c>
      <c r="B548" s="330" t="s">
        <v>1711</v>
      </c>
      <c r="C548" s="330" t="s">
        <v>1712</v>
      </c>
      <c r="D548" s="330" t="s">
        <v>38</v>
      </c>
      <c r="E548" s="330" t="s">
        <v>1713</v>
      </c>
      <c r="F548" s="331">
        <v>44322</v>
      </c>
      <c r="G548" s="331">
        <v>44322</v>
      </c>
      <c r="H548" s="331"/>
      <c r="I548" s="331">
        <v>44309</v>
      </c>
      <c r="J548" s="330" t="s">
        <v>1485</v>
      </c>
      <c r="K548" s="332" t="s">
        <v>1198</v>
      </c>
      <c r="L548" s="148">
        <v>44402</v>
      </c>
      <c r="M548" t="s">
        <v>1849</v>
      </c>
      <c r="N548" s="169">
        <v>44402</v>
      </c>
      <c r="O548" s="168"/>
      <c r="Q548" t="s">
        <v>35</v>
      </c>
      <c r="R548" t="s">
        <v>129</v>
      </c>
    </row>
    <row r="549" spans="1:18" hidden="1">
      <c r="A549" s="330">
        <f>COUNTA($D$3:$D$549)</f>
        <v>547</v>
      </c>
      <c r="B549" s="330" t="s">
        <v>1709</v>
      </c>
      <c r="C549" s="330" t="s">
        <v>1178</v>
      </c>
      <c r="D549" s="330" t="s">
        <v>16</v>
      </c>
      <c r="E549" s="330" t="s">
        <v>1710</v>
      </c>
      <c r="F549" s="331">
        <v>44321</v>
      </c>
      <c r="G549" s="331">
        <v>44321</v>
      </c>
      <c r="H549" s="331"/>
      <c r="I549" s="331">
        <v>44309</v>
      </c>
      <c r="J549" s="330" t="s">
        <v>1725</v>
      </c>
      <c r="K549" s="332" t="s">
        <v>1198</v>
      </c>
      <c r="L549" s="148">
        <v>44402</v>
      </c>
      <c r="M549" t="s">
        <v>1852</v>
      </c>
      <c r="N549" s="169">
        <v>44402</v>
      </c>
      <c r="O549" s="168"/>
      <c r="Q549" t="s">
        <v>35</v>
      </c>
      <c r="R549" t="s">
        <v>129</v>
      </c>
    </row>
    <row r="550" spans="1:18" hidden="1">
      <c r="A550" s="330">
        <f>COUNTA($D$3:$D$550)</f>
        <v>548</v>
      </c>
      <c r="B550" s="330" t="s">
        <v>1730</v>
      </c>
      <c r="C550" s="330" t="s">
        <v>1731</v>
      </c>
      <c r="D550" s="330" t="s">
        <v>1732</v>
      </c>
      <c r="E550" s="330" t="s">
        <v>1733</v>
      </c>
      <c r="F550" s="331">
        <v>44323</v>
      </c>
      <c r="G550" s="331">
        <v>44323</v>
      </c>
      <c r="H550" s="331"/>
      <c r="I550" s="331">
        <v>44315</v>
      </c>
      <c r="J550" s="330" t="s">
        <v>1734</v>
      </c>
      <c r="K550" s="332" t="s">
        <v>20</v>
      </c>
      <c r="L550" s="148">
        <v>44402</v>
      </c>
      <c r="M550" t="s">
        <v>1851</v>
      </c>
      <c r="N550" s="169">
        <v>44402</v>
      </c>
      <c r="O550" s="168"/>
      <c r="Q550" t="s">
        <v>1726</v>
      </c>
      <c r="R550" t="s">
        <v>129</v>
      </c>
    </row>
    <row r="551" spans="1:18" hidden="1">
      <c r="A551" s="330">
        <f>COUNTA($D$3:$D$551)</f>
        <v>549</v>
      </c>
      <c r="B551" s="330" t="s">
        <v>2806</v>
      </c>
      <c r="C551" s="330" t="s">
        <v>44</v>
      </c>
      <c r="D551" s="330" t="s">
        <v>30</v>
      </c>
      <c r="E551" s="330" t="s">
        <v>110</v>
      </c>
      <c r="F551" s="331">
        <v>44665</v>
      </c>
      <c r="G551" s="331"/>
      <c r="H551" s="331"/>
      <c r="I551" s="331"/>
      <c r="J551" s="330"/>
      <c r="K551" s="332"/>
      <c r="L551" s="148">
        <v>44672</v>
      </c>
      <c r="M551" t="s">
        <v>2962</v>
      </c>
      <c r="N551" s="169">
        <v>44805</v>
      </c>
      <c r="O551" s="168"/>
      <c r="R551" t="s">
        <v>22</v>
      </c>
    </row>
    <row r="552" spans="1:18" hidden="1">
      <c r="A552" s="330">
        <f>COUNTA($D$3:$D$552)</f>
        <v>550</v>
      </c>
      <c r="B552" s="330" t="s">
        <v>2693</v>
      </c>
      <c r="C552" s="330" t="s">
        <v>44</v>
      </c>
      <c r="D552" s="330" t="s">
        <v>30</v>
      </c>
      <c r="E552" s="330" t="s">
        <v>85</v>
      </c>
      <c r="F552" s="331">
        <v>44643</v>
      </c>
      <c r="G552" s="331"/>
      <c r="H552" s="331"/>
      <c r="I552" s="331"/>
      <c r="J552" s="330"/>
      <c r="K552" s="332"/>
      <c r="L552" s="148">
        <v>44651</v>
      </c>
      <c r="M552" t="s">
        <v>2962</v>
      </c>
      <c r="N552" s="169">
        <v>44651</v>
      </c>
      <c r="O552" s="168"/>
    </row>
    <row r="553" spans="1:18" hidden="1">
      <c r="A553" s="330">
        <f>COUNTA($D$3:$D$553)</f>
        <v>551</v>
      </c>
      <c r="B553" s="330" t="s">
        <v>2664</v>
      </c>
      <c r="C553" s="330" t="s">
        <v>44</v>
      </c>
      <c r="D553" s="330" t="s">
        <v>30</v>
      </c>
      <c r="E553" s="330" t="s">
        <v>81</v>
      </c>
      <c r="F553" s="331">
        <v>44637</v>
      </c>
      <c r="G553" s="331"/>
      <c r="H553" s="331"/>
      <c r="I553" s="331"/>
      <c r="J553" s="330"/>
      <c r="K553" s="332"/>
      <c r="L553" s="148">
        <v>44650</v>
      </c>
      <c r="M553" t="s">
        <v>2962</v>
      </c>
      <c r="N553" s="169">
        <v>44805</v>
      </c>
      <c r="O553" s="168"/>
      <c r="R553" t="s">
        <v>22</v>
      </c>
    </row>
    <row r="554" spans="1:18" hidden="1">
      <c r="A554" s="330">
        <f>COUNTA($D$3:$D$554)</f>
        <v>552</v>
      </c>
      <c r="B554" s="330" t="s">
        <v>2651</v>
      </c>
      <c r="C554" s="330" t="s">
        <v>44</v>
      </c>
      <c r="D554" s="330" t="s">
        <v>30</v>
      </c>
      <c r="E554" s="330" t="s">
        <v>59</v>
      </c>
      <c r="F554" s="331">
        <v>44636</v>
      </c>
      <c r="G554" s="331"/>
      <c r="H554" s="331"/>
      <c r="I554" s="331"/>
      <c r="J554" s="330"/>
      <c r="K554" s="332"/>
      <c r="L554" s="148">
        <v>44643</v>
      </c>
      <c r="M554" t="s">
        <v>2962</v>
      </c>
      <c r="N554" s="169">
        <v>44805</v>
      </c>
      <c r="O554" s="168"/>
      <c r="R554" t="s">
        <v>22</v>
      </c>
    </row>
    <row r="555" spans="1:18" hidden="1">
      <c r="A555" s="330">
        <f>COUNTA($D$3:$D$555)</f>
        <v>553</v>
      </c>
      <c r="B555" s="330" t="s">
        <v>2573</v>
      </c>
      <c r="C555" s="330" t="s">
        <v>44</v>
      </c>
      <c r="D555" s="330" t="s">
        <v>30</v>
      </c>
      <c r="E555" s="330" t="s">
        <v>116</v>
      </c>
      <c r="F555" s="331">
        <v>44621</v>
      </c>
      <c r="G555" s="331"/>
      <c r="H555" s="331"/>
      <c r="I555" s="331"/>
      <c r="J555" s="330"/>
      <c r="K555" s="332"/>
      <c r="L555" s="148">
        <v>44645</v>
      </c>
      <c r="M555" t="s">
        <v>2962</v>
      </c>
      <c r="N555" s="169">
        <v>44805</v>
      </c>
      <c r="O555" s="168"/>
      <c r="R555" t="s">
        <v>22</v>
      </c>
    </row>
    <row r="556" spans="1:18" hidden="1">
      <c r="A556" s="330">
        <f>COUNTA($D$3:$D$556)</f>
        <v>554</v>
      </c>
      <c r="B556" s="330" t="s">
        <v>2530</v>
      </c>
      <c r="C556" s="330" t="s">
        <v>44</v>
      </c>
      <c r="D556" s="330" t="s">
        <v>30</v>
      </c>
      <c r="E556" s="330" t="s">
        <v>86</v>
      </c>
      <c r="F556" s="331">
        <v>44615</v>
      </c>
      <c r="G556" s="331"/>
      <c r="H556" s="331"/>
      <c r="I556" s="331"/>
      <c r="J556" s="330"/>
      <c r="K556" s="332"/>
      <c r="L556" s="148">
        <v>44620</v>
      </c>
      <c r="M556" t="s">
        <v>2962</v>
      </c>
      <c r="N556" s="169">
        <v>44805</v>
      </c>
      <c r="O556" s="168"/>
      <c r="R556" t="s">
        <v>22</v>
      </c>
    </row>
    <row r="557" spans="1:18" hidden="1">
      <c r="A557" s="330">
        <f>COUNTA($D$3:$D$557)</f>
        <v>555</v>
      </c>
      <c r="B557" s="330" t="s">
        <v>2454</v>
      </c>
      <c r="C557" s="330" t="s">
        <v>44</v>
      </c>
      <c r="D557" s="330" t="s">
        <v>49</v>
      </c>
      <c r="E557" s="330" t="s">
        <v>61</v>
      </c>
      <c r="F557" s="331">
        <v>44586</v>
      </c>
      <c r="G557" s="331"/>
      <c r="H557" s="331"/>
      <c r="I557" s="331"/>
      <c r="J557" s="330"/>
      <c r="K557" s="332"/>
      <c r="L557" s="148">
        <v>44620</v>
      </c>
      <c r="M557" t="s">
        <v>2962</v>
      </c>
      <c r="N557" s="169">
        <v>44805</v>
      </c>
      <c r="O557" s="168"/>
      <c r="R557" t="s">
        <v>22</v>
      </c>
    </row>
    <row r="558" spans="1:18" hidden="1">
      <c r="A558" s="330">
        <f>COUNTA($D$3:$D$558)</f>
        <v>556</v>
      </c>
      <c r="B558" s="330" t="s">
        <v>2913</v>
      </c>
      <c r="C558" s="330" t="s">
        <v>44</v>
      </c>
      <c r="D558" s="330" t="s">
        <v>1264</v>
      </c>
      <c r="E558" s="330" t="s">
        <v>224</v>
      </c>
      <c r="F558" s="331">
        <v>44552</v>
      </c>
      <c r="G558" s="331"/>
      <c r="H558" s="331"/>
      <c r="I558" s="331"/>
      <c r="J558" s="330"/>
      <c r="K558" s="332"/>
      <c r="L558" s="148">
        <v>44552</v>
      </c>
      <c r="M558" t="s">
        <v>2962</v>
      </c>
      <c r="N558" s="169">
        <v>44805</v>
      </c>
      <c r="O558" s="168"/>
      <c r="R558" t="s">
        <v>22</v>
      </c>
    </row>
    <row r="559" spans="1:18" hidden="1">
      <c r="A559" s="330">
        <f>COUNTA($D$3:$D$559)</f>
        <v>557</v>
      </c>
      <c r="B559" s="330" t="s">
        <v>2172</v>
      </c>
      <c r="C559" s="330" t="s">
        <v>44</v>
      </c>
      <c r="D559" s="330" t="s">
        <v>30</v>
      </c>
      <c r="E559" s="330" t="s">
        <v>243</v>
      </c>
      <c r="F559" s="331">
        <v>44512</v>
      </c>
      <c r="G559" s="331"/>
      <c r="H559" s="331"/>
      <c r="I559" s="331"/>
      <c r="J559" s="330"/>
      <c r="K559" s="332"/>
      <c r="L559" s="148">
        <v>44526</v>
      </c>
      <c r="M559" t="s">
        <v>2962</v>
      </c>
      <c r="N559" s="169">
        <v>44419</v>
      </c>
      <c r="O559" s="168"/>
    </row>
    <row r="560" spans="1:18" hidden="1">
      <c r="A560" s="330">
        <f>COUNTA($D$3:$D$560)</f>
        <v>558</v>
      </c>
      <c r="B560" s="330" t="s">
        <v>2053</v>
      </c>
      <c r="C560" s="330" t="s">
        <v>44</v>
      </c>
      <c r="D560" s="330" t="s">
        <v>34</v>
      </c>
      <c r="E560" s="330" t="s">
        <v>48</v>
      </c>
      <c r="F560" s="331">
        <v>44494</v>
      </c>
      <c r="G560" s="331"/>
      <c r="H560" s="331"/>
      <c r="I560" s="331"/>
      <c r="J560" s="330"/>
      <c r="K560" s="332"/>
      <c r="L560" s="148">
        <v>44554</v>
      </c>
      <c r="M560" t="s">
        <v>2962</v>
      </c>
      <c r="N560" s="169">
        <v>44805</v>
      </c>
      <c r="O560" s="168"/>
      <c r="R560" t="s">
        <v>22</v>
      </c>
    </row>
    <row r="561" spans="1:18" hidden="1">
      <c r="A561" s="330">
        <f>COUNTA($D$3:$D$561)</f>
        <v>559</v>
      </c>
      <c r="B561" s="330" t="s">
        <v>2026</v>
      </c>
      <c r="C561" s="330" t="s">
        <v>44</v>
      </c>
      <c r="D561" s="330" t="s">
        <v>30</v>
      </c>
      <c r="E561" s="330" t="s">
        <v>112</v>
      </c>
      <c r="F561" s="331">
        <v>44484</v>
      </c>
      <c r="G561" s="331"/>
      <c r="H561" s="331"/>
      <c r="I561" s="331"/>
      <c r="J561" s="330"/>
      <c r="K561" s="332"/>
      <c r="L561" s="148">
        <v>44606</v>
      </c>
      <c r="M561" t="s">
        <v>2962</v>
      </c>
      <c r="N561" s="169">
        <v>44606</v>
      </c>
      <c r="O561" s="168"/>
    </row>
    <row r="562" spans="1:18" hidden="1">
      <c r="A562" s="330">
        <f>COUNTA($D$3:$D$562)</f>
        <v>560</v>
      </c>
      <c r="B562" s="330" t="s">
        <v>2914</v>
      </c>
      <c r="C562" s="330" t="s">
        <v>44</v>
      </c>
      <c r="D562" s="330" t="s">
        <v>30</v>
      </c>
      <c r="E562" s="330" t="s">
        <v>83</v>
      </c>
      <c r="F562" s="331">
        <v>44323</v>
      </c>
      <c r="G562" s="331"/>
      <c r="H562" s="331"/>
      <c r="I562" s="331"/>
      <c r="J562" s="330"/>
      <c r="K562" s="332"/>
      <c r="L562" s="148">
        <v>44333</v>
      </c>
      <c r="M562" t="s">
        <v>2962</v>
      </c>
      <c r="N562" s="169">
        <v>44747</v>
      </c>
      <c r="O562" s="168"/>
    </row>
    <row r="563" spans="1:18" hidden="1">
      <c r="A563" s="330">
        <f>COUNTA($D$3:$D$563)</f>
        <v>561</v>
      </c>
      <c r="B563" s="330" t="s">
        <v>2915</v>
      </c>
      <c r="C563" s="330" t="s">
        <v>44</v>
      </c>
      <c r="D563" s="330" t="s">
        <v>1126</v>
      </c>
      <c r="E563" s="330" t="s">
        <v>216</v>
      </c>
      <c r="F563" s="331">
        <v>44214</v>
      </c>
      <c r="G563" s="331"/>
      <c r="H563" s="331"/>
      <c r="I563" s="331"/>
      <c r="J563" s="330"/>
      <c r="K563" s="332"/>
      <c r="L563" s="148">
        <v>44228</v>
      </c>
      <c r="M563" t="s">
        <v>2962</v>
      </c>
      <c r="N563" s="169">
        <v>44805</v>
      </c>
      <c r="O563" s="168"/>
      <c r="R563" t="s">
        <v>22</v>
      </c>
    </row>
    <row r="564" spans="1:18" hidden="1">
      <c r="A564" s="330">
        <f>COUNTA($D$3:$D$564)</f>
        <v>562</v>
      </c>
      <c r="B564" s="330" t="s">
        <v>2916</v>
      </c>
      <c r="C564" s="330" t="s">
        <v>44</v>
      </c>
      <c r="D564" s="330" t="s">
        <v>34</v>
      </c>
      <c r="E564" s="330" t="s">
        <v>87</v>
      </c>
      <c r="F564" s="331">
        <v>44095</v>
      </c>
      <c r="G564" s="331"/>
      <c r="H564" s="331"/>
      <c r="I564" s="331"/>
      <c r="J564" s="330"/>
      <c r="K564" s="332"/>
      <c r="L564" s="148">
        <v>44103</v>
      </c>
      <c r="M564" t="s">
        <v>2962</v>
      </c>
      <c r="N564" s="169">
        <v>44805</v>
      </c>
      <c r="O564" s="168"/>
      <c r="R564" t="s">
        <v>22</v>
      </c>
    </row>
    <row r="565" spans="1:18" hidden="1">
      <c r="A565" s="330">
        <f>COUNTA($D$3:$D$565)</f>
        <v>563</v>
      </c>
      <c r="B565" s="330" t="s">
        <v>3092</v>
      </c>
      <c r="C565" s="330" t="s">
        <v>1113</v>
      </c>
      <c r="D565" s="330" t="s">
        <v>64</v>
      </c>
      <c r="E565" s="330" t="s">
        <v>3093</v>
      </c>
      <c r="F565" s="331">
        <v>44064</v>
      </c>
      <c r="G565" s="331"/>
      <c r="H565" s="331" t="s">
        <v>3643</v>
      </c>
      <c r="I565" s="331">
        <v>44678</v>
      </c>
      <c r="J565" s="330"/>
      <c r="K565" s="332"/>
      <c r="N565" s="169">
        <v>44743</v>
      </c>
      <c r="O565" s="168"/>
      <c r="Q565" t="s">
        <v>28</v>
      </c>
      <c r="R565" t="s">
        <v>129</v>
      </c>
    </row>
    <row r="566" spans="1:18" hidden="1">
      <c r="A566" s="330">
        <f>COUNTA($D$3:$D$566)</f>
        <v>564</v>
      </c>
      <c r="B566" s="330" t="s">
        <v>2223</v>
      </c>
      <c r="C566" s="330" t="s">
        <v>37</v>
      </c>
      <c r="D566" s="330" t="s">
        <v>34</v>
      </c>
      <c r="E566" s="330" t="s">
        <v>1963</v>
      </c>
      <c r="F566" s="331">
        <v>44523.521006944444</v>
      </c>
      <c r="G566" s="331">
        <v>44623.899884259263</v>
      </c>
      <c r="H566" s="331"/>
      <c r="I566" s="331"/>
      <c r="J566" s="330"/>
      <c r="K566" s="332"/>
      <c r="L566" s="148">
        <v>44623.899884259263</v>
      </c>
      <c r="N566" s="169">
        <v>44743</v>
      </c>
      <c r="O566" s="168"/>
      <c r="R566" t="s">
        <v>129</v>
      </c>
    </row>
    <row r="567" spans="1:18" hidden="1">
      <c r="A567" s="330">
        <f>COUNTA($D$3:$D$567)</f>
        <v>565</v>
      </c>
      <c r="B567" s="330" t="s">
        <v>3348</v>
      </c>
      <c r="C567" s="330" t="s">
        <v>37</v>
      </c>
      <c r="D567" s="330" t="s">
        <v>30</v>
      </c>
      <c r="E567" s="330" t="s">
        <v>3365</v>
      </c>
      <c r="F567" s="331">
        <v>44279.462233796294</v>
      </c>
      <c r="G567" s="331">
        <v>44399.643055555556</v>
      </c>
      <c r="H567" s="331"/>
      <c r="I567" s="331"/>
      <c r="J567" s="330"/>
      <c r="K567" s="332"/>
      <c r="L567" s="148">
        <v>44399.643055555556</v>
      </c>
      <c r="N567" s="169">
        <v>44743</v>
      </c>
      <c r="O567" s="168"/>
      <c r="R567" t="s">
        <v>129</v>
      </c>
    </row>
    <row r="568" spans="1:18" hidden="1">
      <c r="A568" s="330">
        <f>COUNTA($D$3:$D$568)</f>
        <v>566</v>
      </c>
      <c r="B568" s="330" t="s">
        <v>3364</v>
      </c>
      <c r="C568" s="330" t="s">
        <v>37</v>
      </c>
      <c r="D568" s="330" t="s">
        <v>34</v>
      </c>
      <c r="E568" s="330" t="s">
        <v>3366</v>
      </c>
      <c r="F568" s="331">
        <v>44217.642002314817</v>
      </c>
      <c r="G568" s="331">
        <v>44323.71943287037</v>
      </c>
      <c r="H568" s="331"/>
      <c r="I568" s="331"/>
      <c r="J568" s="330"/>
      <c r="K568" s="332"/>
      <c r="L568" s="148">
        <v>44323.71943287037</v>
      </c>
      <c r="N568" s="169">
        <v>44743</v>
      </c>
      <c r="O568" s="168"/>
      <c r="R568" t="s">
        <v>129</v>
      </c>
    </row>
    <row r="569" spans="1:18" hidden="1">
      <c r="A569" s="330">
        <f>COUNTA($D$3:$D$569)</f>
        <v>567</v>
      </c>
      <c r="B569" s="330" t="s">
        <v>3357</v>
      </c>
      <c r="C569" s="330" t="s">
        <v>37</v>
      </c>
      <c r="D569" s="330" t="s">
        <v>30</v>
      </c>
      <c r="E569" s="330" t="s">
        <v>3367</v>
      </c>
      <c r="F569" s="331">
        <v>44215.423460648148</v>
      </c>
      <c r="G569" s="331">
        <v>44323.718263888892</v>
      </c>
      <c r="H569" s="331"/>
      <c r="I569" s="331"/>
      <c r="J569" s="330"/>
      <c r="K569" s="332"/>
      <c r="L569" s="148">
        <v>44323.718263888892</v>
      </c>
      <c r="N569" s="169">
        <v>44743</v>
      </c>
      <c r="O569" s="168"/>
      <c r="R569" t="s">
        <v>129</v>
      </c>
    </row>
    <row r="570" spans="1:18" hidden="1">
      <c r="A570" s="330">
        <f>COUNTA($D$3:$D$570)</f>
        <v>568</v>
      </c>
      <c r="B570" s="330" t="s">
        <v>3363</v>
      </c>
      <c r="C570" s="330" t="s">
        <v>37</v>
      </c>
      <c r="D570" s="330" t="s">
        <v>30</v>
      </c>
      <c r="E570" s="330" t="s">
        <v>3368</v>
      </c>
      <c r="F570" s="331">
        <v>44133.551365740743</v>
      </c>
      <c r="G570" s="331">
        <v>44230.66170138889</v>
      </c>
      <c r="H570" s="331"/>
      <c r="I570" s="331"/>
      <c r="J570" s="330"/>
      <c r="K570" s="332"/>
      <c r="L570" s="148">
        <v>44230.66170138889</v>
      </c>
      <c r="N570" s="169">
        <v>44743</v>
      </c>
      <c r="O570" s="168"/>
      <c r="R570" t="s">
        <v>129</v>
      </c>
    </row>
    <row r="571" spans="1:18" hidden="1">
      <c r="A571" s="330">
        <f>COUNTA($D$3:$D$571)</f>
        <v>569</v>
      </c>
      <c r="B571" s="330" t="s">
        <v>3356</v>
      </c>
      <c r="C571" s="330" t="s">
        <v>37</v>
      </c>
      <c r="D571" s="330" t="s">
        <v>34</v>
      </c>
      <c r="E571" s="330" t="s">
        <v>3369</v>
      </c>
      <c r="F571" s="331">
        <v>44102.462546296294</v>
      </c>
      <c r="G571" s="331">
        <v>44281.586087962962</v>
      </c>
      <c r="H571" s="331"/>
      <c r="I571" s="331"/>
      <c r="J571" s="330"/>
      <c r="K571" s="332"/>
      <c r="L571" s="148">
        <v>44281.586087962962</v>
      </c>
      <c r="N571" s="169">
        <v>44743</v>
      </c>
      <c r="O571" s="168"/>
      <c r="R571" t="s">
        <v>129</v>
      </c>
    </row>
    <row r="572" spans="1:18" hidden="1">
      <c r="A572" s="330">
        <f>COUNTA($D$3:$D$572)</f>
        <v>570</v>
      </c>
      <c r="B572" s="330" t="s">
        <v>3355</v>
      </c>
      <c r="C572" s="330" t="s">
        <v>37</v>
      </c>
      <c r="D572" s="330" t="s">
        <v>30</v>
      </c>
      <c r="E572" s="330" t="s">
        <v>3370</v>
      </c>
      <c r="F572" s="331">
        <v>44095.376898148148</v>
      </c>
      <c r="G572" s="331">
        <v>44200.697511574072</v>
      </c>
      <c r="H572" s="331"/>
      <c r="I572" s="331"/>
      <c r="J572" s="330"/>
      <c r="K572" s="332"/>
      <c r="L572" s="148">
        <v>44200.697511574072</v>
      </c>
      <c r="N572" s="169">
        <v>44743</v>
      </c>
      <c r="O572" s="168"/>
      <c r="R572" t="s">
        <v>129</v>
      </c>
    </row>
    <row r="573" spans="1:18" hidden="1">
      <c r="A573" s="330">
        <f>COUNTA($D$3:$D$573)</f>
        <v>571</v>
      </c>
      <c r="B573" s="330" t="s">
        <v>3354</v>
      </c>
      <c r="C573" s="330" t="s">
        <v>37</v>
      </c>
      <c r="D573" s="330" t="s">
        <v>30</v>
      </c>
      <c r="E573" s="330" t="s">
        <v>3371</v>
      </c>
      <c r="F573" s="331">
        <v>44095.376215277778</v>
      </c>
      <c r="G573" s="331">
        <v>44200.697083333333</v>
      </c>
      <c r="H573" s="331"/>
      <c r="I573" s="331"/>
      <c r="J573" s="330"/>
      <c r="K573" s="332"/>
      <c r="L573" s="148">
        <v>44200.697083333333</v>
      </c>
      <c r="N573" s="169">
        <v>44743</v>
      </c>
      <c r="O573" s="168"/>
      <c r="R573" t="s">
        <v>129</v>
      </c>
    </row>
    <row r="574" spans="1:18" hidden="1">
      <c r="A574" s="330">
        <f>COUNTA($D$3:$D$574)</f>
        <v>572</v>
      </c>
      <c r="B574" s="330" t="s">
        <v>3353</v>
      </c>
      <c r="C574" s="330" t="s">
        <v>37</v>
      </c>
      <c r="D574" s="330" t="s">
        <v>30</v>
      </c>
      <c r="E574" s="330" t="s">
        <v>3372</v>
      </c>
      <c r="F574" s="331">
        <v>43984.391377314816</v>
      </c>
      <c r="G574" s="331">
        <v>44105.56046296296</v>
      </c>
      <c r="H574" s="331"/>
      <c r="I574" s="331"/>
      <c r="J574" s="330"/>
      <c r="K574" s="332"/>
      <c r="L574" s="148">
        <v>44105.56046296296</v>
      </c>
      <c r="N574" s="169">
        <v>44743</v>
      </c>
      <c r="O574" s="168"/>
      <c r="R574" t="s">
        <v>129</v>
      </c>
    </row>
    <row r="575" spans="1:18" hidden="1">
      <c r="A575" s="330">
        <f>COUNTA($D$3:$D$575)</f>
        <v>573</v>
      </c>
      <c r="B575" s="330" t="s">
        <v>3362</v>
      </c>
      <c r="C575" s="330" t="s">
        <v>37</v>
      </c>
      <c r="D575" s="330" t="s">
        <v>34</v>
      </c>
      <c r="E575" s="330" t="s">
        <v>3373</v>
      </c>
      <c r="F575" s="331">
        <v>43964.603564814817</v>
      </c>
      <c r="G575" s="331">
        <v>44074.598981481482</v>
      </c>
      <c r="H575" s="331"/>
      <c r="I575" s="331"/>
      <c r="J575" s="330"/>
      <c r="K575" s="332"/>
      <c r="L575" s="148">
        <v>44074.598981481482</v>
      </c>
      <c r="N575" s="169">
        <v>44743</v>
      </c>
      <c r="O575" s="168"/>
      <c r="R575" t="s">
        <v>129</v>
      </c>
    </row>
    <row r="576" spans="1:18" hidden="1">
      <c r="A576" s="330">
        <f>COUNTA($D$3:$D$576)</f>
        <v>574</v>
      </c>
      <c r="B576" s="330" t="s">
        <v>3352</v>
      </c>
      <c r="C576" s="330" t="s">
        <v>37</v>
      </c>
      <c r="D576" s="330" t="s">
        <v>34</v>
      </c>
      <c r="E576" s="330" t="s">
        <v>3374</v>
      </c>
      <c r="F576" s="331">
        <v>43963.6327662037</v>
      </c>
      <c r="G576" s="331">
        <v>44074.598425925928</v>
      </c>
      <c r="H576" s="331"/>
      <c r="I576" s="331"/>
      <c r="J576" s="330"/>
      <c r="K576" s="332"/>
      <c r="L576" s="148">
        <v>44074.598425925928</v>
      </c>
      <c r="N576" s="169">
        <v>44743</v>
      </c>
      <c r="O576" s="168"/>
      <c r="R576" t="s">
        <v>129</v>
      </c>
    </row>
    <row r="577" spans="1:18" hidden="1">
      <c r="A577" s="330">
        <f>COUNTA($D$3:$D$577)</f>
        <v>575</v>
      </c>
      <c r="B577" s="330" t="s">
        <v>3351</v>
      </c>
      <c r="C577" s="330" t="s">
        <v>37</v>
      </c>
      <c r="D577" s="330" t="s">
        <v>34</v>
      </c>
      <c r="E577" s="330" t="s">
        <v>3375</v>
      </c>
      <c r="F577" s="331">
        <v>43902.712847222225</v>
      </c>
      <c r="G577" s="331">
        <v>44011.367164351854</v>
      </c>
      <c r="H577" s="331"/>
      <c r="I577" s="331"/>
      <c r="J577" s="330"/>
      <c r="K577" s="332"/>
      <c r="L577" s="148">
        <v>44011.367164351854</v>
      </c>
      <c r="N577" s="169">
        <v>44743</v>
      </c>
      <c r="O577" s="168"/>
      <c r="R577" t="s">
        <v>129</v>
      </c>
    </row>
    <row r="578" spans="1:18" hidden="1">
      <c r="A578" s="330">
        <f>COUNTA($D$3:$D$578)</f>
        <v>576</v>
      </c>
      <c r="B578" s="330" t="s">
        <v>3350</v>
      </c>
      <c r="C578" s="330" t="s">
        <v>37</v>
      </c>
      <c r="D578" s="330" t="s">
        <v>30</v>
      </c>
      <c r="E578" s="330" t="s">
        <v>3376</v>
      </c>
      <c r="F578" s="331">
        <v>43902.711967592593</v>
      </c>
      <c r="G578" s="331">
        <v>44011.366875</v>
      </c>
      <c r="H578" s="331"/>
      <c r="I578" s="331"/>
      <c r="J578" s="330"/>
      <c r="K578" s="332"/>
      <c r="L578" s="148">
        <v>44011.366875</v>
      </c>
      <c r="N578" s="169">
        <v>44743</v>
      </c>
      <c r="O578" s="168"/>
      <c r="R578" t="s">
        <v>129</v>
      </c>
    </row>
    <row r="579" spans="1:18" hidden="1">
      <c r="A579" s="330">
        <f>COUNTA($D$3:$D$579)</f>
        <v>577</v>
      </c>
      <c r="B579" s="330" t="s">
        <v>3360</v>
      </c>
      <c r="C579" s="330" t="s">
        <v>37</v>
      </c>
      <c r="D579" s="330" t="s">
        <v>30</v>
      </c>
      <c r="E579" s="330" t="s">
        <v>3377</v>
      </c>
      <c r="F579" s="331">
        <v>43902.710266203707</v>
      </c>
      <c r="G579" s="331">
        <v>44011.353437500002</v>
      </c>
      <c r="H579" s="331"/>
      <c r="I579" s="331"/>
      <c r="J579" s="330"/>
      <c r="K579" s="332"/>
      <c r="L579" s="148">
        <v>44011.353437500002</v>
      </c>
      <c r="N579" s="169">
        <v>44743</v>
      </c>
      <c r="O579" s="168"/>
      <c r="R579" t="s">
        <v>129</v>
      </c>
    </row>
    <row r="580" spans="1:18" hidden="1">
      <c r="A580" s="330">
        <f>COUNTA($D$3:$D$580)</f>
        <v>578</v>
      </c>
      <c r="B580" s="330" t="s">
        <v>3359</v>
      </c>
      <c r="C580" s="330" t="s">
        <v>37</v>
      </c>
      <c r="D580" s="330" t="s">
        <v>30</v>
      </c>
      <c r="E580" s="330" t="s">
        <v>3378</v>
      </c>
      <c r="F580" s="331">
        <v>43833.634259259263</v>
      </c>
      <c r="G580" s="331">
        <v>43983.40048611111</v>
      </c>
      <c r="H580" s="331"/>
      <c r="I580" s="331"/>
      <c r="J580" s="330"/>
      <c r="K580" s="332"/>
      <c r="L580" s="148">
        <v>43983.40048611111</v>
      </c>
      <c r="N580" s="169">
        <v>44743</v>
      </c>
      <c r="O580" s="168"/>
      <c r="R580" t="s">
        <v>129</v>
      </c>
    </row>
    <row r="581" spans="1:18" hidden="1">
      <c r="A581" s="330">
        <f>COUNTA($D$3:$D$581)</f>
        <v>579</v>
      </c>
      <c r="B581" s="330" t="s">
        <v>3349</v>
      </c>
      <c r="C581" s="330" t="s">
        <v>37</v>
      </c>
      <c r="D581" s="330" t="s">
        <v>34</v>
      </c>
      <c r="E581" s="330" t="s">
        <v>3379</v>
      </c>
      <c r="F581" s="331">
        <v>43832.432858796295</v>
      </c>
      <c r="G581" s="331">
        <v>43983.400671296295</v>
      </c>
      <c r="H581" s="331"/>
      <c r="I581" s="331"/>
      <c r="J581" s="330"/>
      <c r="K581" s="332"/>
      <c r="L581" s="148">
        <v>43983.400671296295</v>
      </c>
      <c r="N581" s="169">
        <v>44743</v>
      </c>
      <c r="O581" s="168"/>
      <c r="R581" t="s">
        <v>129</v>
      </c>
    </row>
    <row r="582" spans="1:18" hidden="1">
      <c r="A582" s="330">
        <f>COUNTA($D$3:$D$582)</f>
        <v>580</v>
      </c>
      <c r="B582" s="330" t="s">
        <v>3361</v>
      </c>
      <c r="C582" s="330" t="s">
        <v>37</v>
      </c>
      <c r="D582" s="330" t="s">
        <v>30</v>
      </c>
      <c r="E582" s="330" t="s">
        <v>3380</v>
      </c>
      <c r="F582" s="331">
        <v>43825.660532407404</v>
      </c>
      <c r="G582" s="331">
        <v>44011.358414351853</v>
      </c>
      <c r="H582" s="331"/>
      <c r="I582" s="331"/>
      <c r="J582" s="330"/>
      <c r="K582" s="332"/>
      <c r="L582" s="148">
        <v>44011.358414351853</v>
      </c>
      <c r="N582" s="169">
        <v>44743</v>
      </c>
      <c r="O582" s="168"/>
      <c r="R582" t="s">
        <v>129</v>
      </c>
    </row>
    <row r="583" spans="1:18" hidden="1">
      <c r="A583" s="330">
        <f>COUNTA($D$3:$D$583)</f>
        <v>581</v>
      </c>
      <c r="B583" s="330" t="s">
        <v>3358</v>
      </c>
      <c r="C583" s="330" t="s">
        <v>37</v>
      </c>
      <c r="D583" s="330" t="s">
        <v>30</v>
      </c>
      <c r="E583" s="330" t="s">
        <v>3381</v>
      </c>
      <c r="F583" s="331">
        <v>43816.342986111114</v>
      </c>
      <c r="G583" s="331">
        <v>43983.459270833337</v>
      </c>
      <c r="H583" s="331"/>
      <c r="I583" s="331"/>
      <c r="J583" s="330"/>
      <c r="K583" s="332"/>
      <c r="L583" s="148">
        <v>43983.459270833337</v>
      </c>
      <c r="N583" s="169">
        <v>44743</v>
      </c>
      <c r="O583" s="168"/>
      <c r="R583" t="s">
        <v>129</v>
      </c>
    </row>
    <row r="584" spans="1:18" hidden="1">
      <c r="A584" s="330">
        <f>COUNTA($D$3:$D$584)</f>
        <v>582</v>
      </c>
      <c r="B584" s="330" t="s">
        <v>3637</v>
      </c>
      <c r="C584" s="330" t="s">
        <v>21</v>
      </c>
      <c r="D584" s="330" t="s">
        <v>32</v>
      </c>
      <c r="E584" s="330" t="s">
        <v>3638</v>
      </c>
      <c r="F584" s="331">
        <v>43480</v>
      </c>
      <c r="G584" s="331">
        <v>43775</v>
      </c>
      <c r="H584" s="331"/>
      <c r="I584" s="331"/>
      <c r="J584" s="330"/>
      <c r="K584" s="332"/>
      <c r="N584" s="169">
        <v>44907</v>
      </c>
      <c r="O584" s="168"/>
      <c r="Q584" t="s">
        <v>35</v>
      </c>
      <c r="R584" t="s">
        <v>22</v>
      </c>
    </row>
    <row r="585" spans="1:18" hidden="1">
      <c r="A585" s="330">
        <f>COUNTA($D$3:$D$585)</f>
        <v>583</v>
      </c>
      <c r="B585" s="330" t="s">
        <v>3640</v>
      </c>
      <c r="C585" s="330" t="s">
        <v>3641</v>
      </c>
      <c r="D585" s="330" t="s">
        <v>25</v>
      </c>
      <c r="E585" s="330" t="s">
        <v>3642</v>
      </c>
      <c r="F585" s="331">
        <v>44228</v>
      </c>
      <c r="G585" s="331">
        <v>44231</v>
      </c>
      <c r="H585" s="331">
        <v>44851</v>
      </c>
      <c r="I585" s="331"/>
      <c r="J585" s="330"/>
      <c r="K585" s="332"/>
      <c r="L585" s="148">
        <v>44329</v>
      </c>
      <c r="N585" s="169">
        <v>44851</v>
      </c>
      <c r="O585" s="168"/>
      <c r="Q585" t="s">
        <v>35</v>
      </c>
      <c r="R585" t="s">
        <v>22</v>
      </c>
    </row>
    <row r="586" spans="1:18" hidden="1">
      <c r="A586" s="330">
        <f>COUNTA($D$3:$D$586)</f>
        <v>584</v>
      </c>
      <c r="B586" s="330" t="s">
        <v>3644</v>
      </c>
      <c r="C586" s="330" t="s">
        <v>2767</v>
      </c>
      <c r="D586" s="330" t="s">
        <v>2683</v>
      </c>
      <c r="E586" s="330" t="s">
        <v>3677</v>
      </c>
      <c r="F586" s="331">
        <v>44005.404016203705</v>
      </c>
      <c r="G586" s="331">
        <v>44005.564687500002</v>
      </c>
      <c r="H586" s="331"/>
      <c r="I586" s="331"/>
      <c r="J586" s="330"/>
      <c r="K586" s="332"/>
      <c r="L586" s="148">
        <v>44014.575416666667</v>
      </c>
      <c r="N586" s="169">
        <v>44048</v>
      </c>
      <c r="O586" s="168"/>
      <c r="Q586" t="s">
        <v>35</v>
      </c>
      <c r="R586" t="s">
        <v>129</v>
      </c>
    </row>
    <row r="587" spans="1:18" hidden="1">
      <c r="A587" s="330">
        <f>COUNTA($D$3:$D$587)</f>
        <v>585</v>
      </c>
      <c r="B587" s="330" t="s">
        <v>3645</v>
      </c>
      <c r="C587" s="330" t="s">
        <v>21</v>
      </c>
      <c r="D587" s="330" t="s">
        <v>34</v>
      </c>
      <c r="E587" s="330" t="s">
        <v>3678</v>
      </c>
      <c r="F587" s="331">
        <v>43894.458680555559</v>
      </c>
      <c r="G587" s="331">
        <v>43900.658368055556</v>
      </c>
      <c r="H587" s="331"/>
      <c r="I587" s="331"/>
      <c r="J587" s="330"/>
      <c r="K587" s="332"/>
      <c r="L587" s="148">
        <v>44011.352349537039</v>
      </c>
      <c r="N587" s="169">
        <v>44048</v>
      </c>
      <c r="O587" s="168"/>
      <c r="Q587" t="s">
        <v>35</v>
      </c>
      <c r="R587" t="s">
        <v>129</v>
      </c>
    </row>
    <row r="588" spans="1:18" hidden="1">
      <c r="A588" s="330">
        <f>COUNTA($D$3:$D$588)</f>
        <v>586</v>
      </c>
      <c r="B588" s="330" t="s">
        <v>3646</v>
      </c>
      <c r="C588" s="330" t="s">
        <v>2882</v>
      </c>
      <c r="D588" s="330" t="s">
        <v>51</v>
      </c>
      <c r="E588" s="330" t="s">
        <v>3679</v>
      </c>
      <c r="F588" s="331">
        <v>43921.617719907408</v>
      </c>
      <c r="G588" s="331">
        <v>43935.685046296298</v>
      </c>
      <c r="H588" s="331"/>
      <c r="I588" s="331"/>
      <c r="J588" s="330"/>
      <c r="K588" s="332"/>
      <c r="L588" s="148">
        <v>44063.705254629633</v>
      </c>
      <c r="N588" s="169">
        <v>44055</v>
      </c>
      <c r="O588" s="168"/>
      <c r="Q588" t="s">
        <v>35</v>
      </c>
      <c r="R588" t="s">
        <v>129</v>
      </c>
    </row>
    <row r="589" spans="1:18" hidden="1">
      <c r="A589" s="330">
        <f>COUNTA($D$3:$D$589)</f>
        <v>587</v>
      </c>
      <c r="B589" s="330" t="s">
        <v>3647</v>
      </c>
      <c r="C589" s="330" t="s">
        <v>2767</v>
      </c>
      <c r="D589" s="330" t="s">
        <v>58</v>
      </c>
      <c r="E589" s="330" t="s">
        <v>3680</v>
      </c>
      <c r="F589" s="331">
        <v>44286.684907407405</v>
      </c>
      <c r="G589" s="331">
        <v>44286.695532407408</v>
      </c>
      <c r="H589" s="331"/>
      <c r="I589" s="331"/>
      <c r="J589" s="330"/>
      <c r="K589" s="332"/>
      <c r="L589" s="148">
        <v>44298.568159722221</v>
      </c>
      <c r="N589" s="169">
        <v>45066</v>
      </c>
      <c r="O589" s="168"/>
      <c r="Q589" t="s">
        <v>35</v>
      </c>
      <c r="R589" t="s">
        <v>129</v>
      </c>
    </row>
    <row r="590" spans="1:18" hidden="1">
      <c r="A590" s="330">
        <f>COUNTA($D$3:$D$590)</f>
        <v>588</v>
      </c>
      <c r="B590" s="330" t="s">
        <v>3648</v>
      </c>
      <c r="C590" s="330" t="s">
        <v>3681</v>
      </c>
      <c r="D590" s="330" t="s">
        <v>49</v>
      </c>
      <c r="E590" s="330" t="s">
        <v>3682</v>
      </c>
      <c r="F590" s="331">
        <v>44048.434907407405</v>
      </c>
      <c r="G590" s="331">
        <v>44056.625115740739</v>
      </c>
      <c r="H590" s="331"/>
      <c r="I590" s="331"/>
      <c r="J590" s="330"/>
      <c r="K590" s="332"/>
      <c r="L590" s="148">
        <v>44180.422789351855</v>
      </c>
      <c r="N590" s="169">
        <v>45051</v>
      </c>
      <c r="O590" s="168"/>
      <c r="Q590" t="s">
        <v>35</v>
      </c>
      <c r="R590" t="s">
        <v>22</v>
      </c>
    </row>
    <row r="591" spans="1:18" hidden="1">
      <c r="A591" s="330">
        <f>COUNTA($D$3:$D$591)</f>
        <v>589</v>
      </c>
      <c r="B591" s="330" t="s">
        <v>3649</v>
      </c>
      <c r="C591" s="330" t="s">
        <v>3681</v>
      </c>
      <c r="D591" s="330" t="s">
        <v>51</v>
      </c>
      <c r="E591" s="330" t="s">
        <v>3683</v>
      </c>
      <c r="F591" s="331">
        <v>44048.435347222221</v>
      </c>
      <c r="G591" s="331">
        <v>44054.465405092589</v>
      </c>
      <c r="H591" s="331"/>
      <c r="I591" s="331"/>
      <c r="J591" s="330"/>
      <c r="K591" s="332"/>
      <c r="L591" s="148">
        <v>44174.617847222224</v>
      </c>
      <c r="N591" s="169">
        <v>45051</v>
      </c>
      <c r="O591" s="168"/>
      <c r="Q591" t="s">
        <v>35</v>
      </c>
      <c r="R591" t="s">
        <v>22</v>
      </c>
    </row>
    <row r="592" spans="1:18" hidden="1">
      <c r="A592" s="330">
        <f>COUNTA($D$3:$D$592)</f>
        <v>590</v>
      </c>
      <c r="B592" s="330" t="s">
        <v>3650</v>
      </c>
      <c r="C592" s="330" t="s">
        <v>1119</v>
      </c>
      <c r="D592" s="330" t="s">
        <v>64</v>
      </c>
      <c r="E592" s="330" t="s">
        <v>3684</v>
      </c>
      <c r="F592" s="331">
        <v>44117.550474537034</v>
      </c>
      <c r="G592" s="331">
        <v>44118.426886574074</v>
      </c>
      <c r="H592" s="331"/>
      <c r="I592" s="331"/>
      <c r="J592" s="330"/>
      <c r="K592" s="332"/>
      <c r="L592" s="148">
        <v>44127.461550925924</v>
      </c>
      <c r="N592" s="169">
        <v>44805</v>
      </c>
      <c r="O592" s="168"/>
      <c r="R592" t="s">
        <v>129</v>
      </c>
    </row>
    <row r="593" spans="1:18" hidden="1">
      <c r="A593" s="330">
        <f>COUNTA($D$3:$D$593)</f>
        <v>591</v>
      </c>
      <c r="B593" s="330" t="s">
        <v>3651</v>
      </c>
      <c r="C593" s="330" t="s">
        <v>21</v>
      </c>
      <c r="D593" s="330" t="s">
        <v>30</v>
      </c>
      <c r="E593" s="330" t="s">
        <v>3685</v>
      </c>
      <c r="F593" s="331">
        <v>44138.680636574078</v>
      </c>
      <c r="G593" s="331">
        <v>44141.693749999999</v>
      </c>
      <c r="H593" s="331"/>
      <c r="I593" s="331"/>
      <c r="J593" s="330"/>
      <c r="K593" s="332"/>
      <c r="L593" s="148">
        <v>44264.490706018521</v>
      </c>
      <c r="N593" s="169">
        <v>44907</v>
      </c>
      <c r="O593" s="168"/>
      <c r="Q593" t="s">
        <v>35</v>
      </c>
      <c r="R593" t="s">
        <v>129</v>
      </c>
    </row>
    <row r="594" spans="1:18" hidden="1">
      <c r="A594" s="330">
        <f>COUNTA($D$3:$D$594)</f>
        <v>592</v>
      </c>
      <c r="B594" s="330" t="s">
        <v>3652</v>
      </c>
      <c r="C594" s="330" t="s">
        <v>21</v>
      </c>
      <c r="D594" s="330" t="s">
        <v>32</v>
      </c>
      <c r="E594" s="330" t="s">
        <v>3686</v>
      </c>
      <c r="F594" s="331">
        <v>44138.693993055553</v>
      </c>
      <c r="G594" s="331">
        <v>44144.729583333334</v>
      </c>
      <c r="H594" s="331"/>
      <c r="I594" s="331"/>
      <c r="J594" s="330"/>
      <c r="K594" s="332"/>
      <c r="L594" s="148">
        <v>44264.495150462964</v>
      </c>
      <c r="N594" s="169">
        <v>44907</v>
      </c>
      <c r="O594" s="168"/>
      <c r="Q594" t="s">
        <v>35</v>
      </c>
      <c r="R594" t="s">
        <v>129</v>
      </c>
    </row>
    <row r="595" spans="1:18" hidden="1">
      <c r="A595" s="330">
        <f>COUNTA($D$3:$D$595)</f>
        <v>593</v>
      </c>
      <c r="B595" s="330" t="s">
        <v>3653</v>
      </c>
      <c r="C595" s="330" t="s">
        <v>21</v>
      </c>
      <c r="D595" s="330" t="s">
        <v>32</v>
      </c>
      <c r="E595" s="330" t="s">
        <v>3687</v>
      </c>
      <c r="F595" s="331">
        <v>44138.705428240741</v>
      </c>
      <c r="G595" s="331">
        <v>44144.596215277779</v>
      </c>
      <c r="H595" s="331"/>
      <c r="I595" s="331"/>
      <c r="J595" s="330"/>
      <c r="K595" s="332"/>
      <c r="L595" s="148">
        <v>44264.493020833332</v>
      </c>
      <c r="N595" s="169">
        <v>44907</v>
      </c>
      <c r="O595" s="168"/>
      <c r="Q595" t="s">
        <v>35</v>
      </c>
      <c r="R595" t="s">
        <v>129</v>
      </c>
    </row>
    <row r="596" spans="1:18" hidden="1">
      <c r="A596" s="330">
        <f>COUNTA($D$3:$D$596)</f>
        <v>594</v>
      </c>
      <c r="B596" s="330" t="s">
        <v>3654</v>
      </c>
      <c r="C596" s="330" t="s">
        <v>21</v>
      </c>
      <c r="D596" s="330" t="s">
        <v>32</v>
      </c>
      <c r="E596" s="330" t="s">
        <v>3688</v>
      </c>
      <c r="F596" s="331">
        <v>44138.704814814817</v>
      </c>
      <c r="G596" s="331">
        <v>44140.474212962959</v>
      </c>
      <c r="H596" s="331"/>
      <c r="I596" s="331"/>
      <c r="J596" s="330"/>
      <c r="K596" s="332"/>
      <c r="L596" s="148">
        <v>44264.487453703703</v>
      </c>
      <c r="N596" s="169">
        <v>43907</v>
      </c>
      <c r="O596" s="168"/>
      <c r="Q596" t="s">
        <v>35</v>
      </c>
      <c r="R596" t="s">
        <v>129</v>
      </c>
    </row>
    <row r="597" spans="1:18" hidden="1">
      <c r="A597" s="330">
        <f>COUNTA($D$3:$D$597)</f>
        <v>595</v>
      </c>
      <c r="B597" s="330" t="s">
        <v>3655</v>
      </c>
      <c r="C597" s="330" t="s">
        <v>21</v>
      </c>
      <c r="D597" s="330" t="s">
        <v>34</v>
      </c>
      <c r="E597" s="330" t="s">
        <v>3689</v>
      </c>
      <c r="F597" s="331">
        <v>44138.687060185184</v>
      </c>
      <c r="G597" s="331">
        <v>44140.700208333335</v>
      </c>
      <c r="H597" s="331"/>
      <c r="I597" s="331"/>
      <c r="J597" s="330"/>
      <c r="K597" s="332"/>
      <c r="L597" s="148">
        <v>44264.475138888891</v>
      </c>
      <c r="N597" s="169">
        <v>44907</v>
      </c>
      <c r="O597" s="168"/>
      <c r="Q597" t="s">
        <v>35</v>
      </c>
      <c r="R597" t="s">
        <v>129</v>
      </c>
    </row>
    <row r="598" spans="1:18" hidden="1">
      <c r="A598" s="330">
        <f>COUNTA($D$3:$D$598)</f>
        <v>596</v>
      </c>
      <c r="B598" s="330" t="s">
        <v>3656</v>
      </c>
      <c r="C598" s="330" t="s">
        <v>21</v>
      </c>
      <c r="D598" s="330" t="s">
        <v>34</v>
      </c>
      <c r="E598" s="330" t="s">
        <v>3690</v>
      </c>
      <c r="F598" s="331">
        <v>44138.692349537036</v>
      </c>
      <c r="G598" s="331">
        <v>44139.679907407408</v>
      </c>
      <c r="H598" s="331"/>
      <c r="I598" s="331"/>
      <c r="J598" s="330"/>
      <c r="K598" s="332"/>
      <c r="L598" s="148">
        <v>44264.486898148149</v>
      </c>
      <c r="N598" s="169">
        <v>43958</v>
      </c>
      <c r="O598" s="168"/>
      <c r="Q598" t="s">
        <v>35</v>
      </c>
      <c r="R598" t="s">
        <v>129</v>
      </c>
    </row>
    <row r="599" spans="1:18" hidden="1">
      <c r="A599" s="330">
        <f>COUNTA($D$3:$D$599)</f>
        <v>597</v>
      </c>
      <c r="B599" s="330" t="s">
        <v>3657</v>
      </c>
      <c r="C599" s="330" t="s">
        <v>21</v>
      </c>
      <c r="D599" s="330" t="s">
        <v>34</v>
      </c>
      <c r="E599" s="330" t="s">
        <v>3691</v>
      </c>
      <c r="F599" s="331">
        <v>44138.688298611109</v>
      </c>
      <c r="G599" s="331">
        <v>44141.552476851852</v>
      </c>
      <c r="H599" s="331"/>
      <c r="I599" s="331"/>
      <c r="J599" s="330"/>
      <c r="K599" s="332"/>
      <c r="L599" s="148">
        <v>44264.489444444444</v>
      </c>
      <c r="N599" s="169">
        <v>44907</v>
      </c>
      <c r="O599" s="168"/>
      <c r="Q599" t="s">
        <v>35</v>
      </c>
      <c r="R599" t="s">
        <v>129</v>
      </c>
    </row>
    <row r="600" spans="1:18">
      <c r="A600" s="330">
        <f>COUNTA($D$3:$D$600)</f>
        <v>598</v>
      </c>
      <c r="B600" s="330" t="s">
        <v>3658</v>
      </c>
      <c r="C600" s="330" t="s">
        <v>1253</v>
      </c>
      <c r="D600" s="330" t="s">
        <v>1201</v>
      </c>
      <c r="E600" s="330" t="s">
        <v>3692</v>
      </c>
      <c r="F600" s="331">
        <v>44138.68550925926</v>
      </c>
      <c r="G600" s="331">
        <v>44145.597592592596</v>
      </c>
      <c r="H600" s="331"/>
      <c r="I600" s="331"/>
      <c r="J600" s="330"/>
      <c r="K600" s="332"/>
      <c r="L600" s="148">
        <v>44264.476840277777</v>
      </c>
      <c r="O600" s="168"/>
      <c r="Q600" t="s">
        <v>35</v>
      </c>
      <c r="R600" t="s">
        <v>129</v>
      </c>
    </row>
    <row r="601" spans="1:18" hidden="1">
      <c r="A601" s="330">
        <f>COUNTA($D$3:$D$601)</f>
        <v>599</v>
      </c>
      <c r="B601" s="330" t="s">
        <v>3659</v>
      </c>
      <c r="C601" s="330" t="s">
        <v>21</v>
      </c>
      <c r="D601" s="330" t="s">
        <v>32</v>
      </c>
      <c r="E601" s="330" t="s">
        <v>3693</v>
      </c>
      <c r="F601" s="331">
        <v>44138.694953703707</v>
      </c>
      <c r="G601" s="331">
        <v>44144.654907407406</v>
      </c>
      <c r="H601" s="331"/>
      <c r="I601" s="331"/>
      <c r="J601" s="330"/>
      <c r="K601" s="332"/>
      <c r="L601" s="148">
        <v>44264.494259259256</v>
      </c>
      <c r="N601" s="169">
        <v>44907</v>
      </c>
      <c r="O601" s="168"/>
      <c r="Q601" t="s">
        <v>35</v>
      </c>
      <c r="R601" t="s">
        <v>129</v>
      </c>
    </row>
    <row r="602" spans="1:18" hidden="1">
      <c r="A602" s="330">
        <f>COUNTA($D$3:$D$602)</f>
        <v>600</v>
      </c>
      <c r="B602" s="330" t="s">
        <v>3660</v>
      </c>
      <c r="C602" s="330" t="s">
        <v>3694</v>
      </c>
      <c r="D602" s="330" t="s">
        <v>64</v>
      </c>
      <c r="E602" s="330" t="s">
        <v>3695</v>
      </c>
      <c r="F602" s="331">
        <v>44158.625949074078</v>
      </c>
      <c r="G602" s="331">
        <v>44159.661157407405</v>
      </c>
      <c r="H602" s="331"/>
      <c r="I602" s="331"/>
      <c r="J602" s="330"/>
      <c r="K602" s="332"/>
      <c r="L602" s="148">
        <v>44172.682453703703</v>
      </c>
      <c r="N602" s="169">
        <v>43962</v>
      </c>
      <c r="O602" s="168"/>
      <c r="Q602" t="s">
        <v>35</v>
      </c>
      <c r="R602" t="s">
        <v>129</v>
      </c>
    </row>
    <row r="603" spans="1:18" hidden="1">
      <c r="A603" s="330">
        <f>COUNTA($D$3:$D$603)</f>
        <v>601</v>
      </c>
      <c r="B603" s="330" t="s">
        <v>3661</v>
      </c>
      <c r="C603" s="330" t="s">
        <v>1265</v>
      </c>
      <c r="D603" s="330" t="s">
        <v>19</v>
      </c>
      <c r="E603" s="330" t="s">
        <v>3696</v>
      </c>
      <c r="F603" s="331">
        <v>44271.716053240743</v>
      </c>
      <c r="G603" s="331">
        <v>44272.368668981479</v>
      </c>
      <c r="H603" s="331"/>
      <c r="I603" s="331"/>
      <c r="J603" s="330"/>
      <c r="K603" s="332"/>
      <c r="L603" s="148">
        <v>44287.360347222224</v>
      </c>
      <c r="M603" s="289" t="s">
        <v>3763</v>
      </c>
      <c r="N603" s="169">
        <v>44797</v>
      </c>
      <c r="O603" s="168"/>
      <c r="Q603" t="s">
        <v>28</v>
      </c>
      <c r="R603" t="s">
        <v>129</v>
      </c>
    </row>
    <row r="604" spans="1:18" hidden="1">
      <c r="A604" s="330">
        <f>COUNTA($D$3:$D$604)</f>
        <v>602</v>
      </c>
      <c r="B604" s="330" t="s">
        <v>3662</v>
      </c>
      <c r="C604" s="330" t="s">
        <v>21</v>
      </c>
      <c r="D604" s="330" t="s">
        <v>32</v>
      </c>
      <c r="E604" s="330" t="s">
        <v>3697</v>
      </c>
      <c r="F604" s="331">
        <v>44161.508344907408</v>
      </c>
      <c r="G604" s="331">
        <v>44162.45821759259</v>
      </c>
      <c r="H604" s="331"/>
      <c r="I604" s="331"/>
      <c r="J604" s="330"/>
      <c r="K604" s="332"/>
      <c r="L604" s="148">
        <v>44264.477337962962</v>
      </c>
      <c r="N604" s="169">
        <v>44907</v>
      </c>
      <c r="O604" s="168"/>
      <c r="Q604" t="s">
        <v>35</v>
      </c>
      <c r="R604" t="s">
        <v>129</v>
      </c>
    </row>
    <row r="605" spans="1:18" hidden="1">
      <c r="A605" s="330">
        <f>COUNTA($D$3:$D$605)</f>
        <v>603</v>
      </c>
      <c r="B605" s="330" t="s">
        <v>3663</v>
      </c>
      <c r="C605" s="330" t="s">
        <v>21</v>
      </c>
      <c r="D605" s="330" t="s">
        <v>32</v>
      </c>
      <c r="E605" s="330" t="s">
        <v>3698</v>
      </c>
      <c r="F605" s="331">
        <v>44161.675254629627</v>
      </c>
      <c r="G605" s="331">
        <v>44166.347268518519</v>
      </c>
      <c r="H605" s="331"/>
      <c r="I605" s="331"/>
      <c r="J605" s="330"/>
      <c r="K605" s="332"/>
      <c r="L605" s="148">
        <v>44264.47928240741</v>
      </c>
      <c r="N605" s="169">
        <v>44907</v>
      </c>
      <c r="O605" s="168"/>
      <c r="Q605" t="s">
        <v>35</v>
      </c>
      <c r="R605" t="s">
        <v>129</v>
      </c>
    </row>
    <row r="606" spans="1:18" hidden="1">
      <c r="A606" s="330">
        <f>COUNTA($D$3:$D$606)</f>
        <v>604</v>
      </c>
      <c r="B606" s="330" t="s">
        <v>3664</v>
      </c>
      <c r="C606" s="330" t="s">
        <v>21</v>
      </c>
      <c r="D606" s="330" t="s">
        <v>16</v>
      </c>
      <c r="E606" s="330" t="s">
        <v>3699</v>
      </c>
      <c r="F606" s="331">
        <v>44187.666678240741</v>
      </c>
      <c r="G606" s="331">
        <v>44190.346076388887</v>
      </c>
      <c r="H606" s="331"/>
      <c r="I606" s="331"/>
      <c r="J606" s="330"/>
      <c r="K606" s="332"/>
      <c r="L606" s="148">
        <v>44284.391400462962</v>
      </c>
      <c r="N606" s="169">
        <v>44907</v>
      </c>
      <c r="O606" s="168"/>
      <c r="Q606" t="s">
        <v>35</v>
      </c>
      <c r="R606" t="s">
        <v>129</v>
      </c>
    </row>
    <row r="607" spans="1:18" hidden="1">
      <c r="A607" s="330">
        <f>COUNTA($D$3:$D$607)</f>
        <v>605</v>
      </c>
      <c r="B607" s="330" t="s">
        <v>3665</v>
      </c>
      <c r="C607" s="330" t="s">
        <v>21</v>
      </c>
      <c r="D607" s="330" t="s">
        <v>30</v>
      </c>
      <c r="E607" s="330" t="s">
        <v>3700</v>
      </c>
      <c r="F607" s="331">
        <v>44193.409733796296</v>
      </c>
      <c r="G607" s="331">
        <v>44194.637673611112</v>
      </c>
      <c r="H607" s="331"/>
      <c r="I607" s="331"/>
      <c r="J607" s="330"/>
      <c r="K607" s="332"/>
      <c r="L607" s="148">
        <v>44284.391747685186</v>
      </c>
      <c r="N607" s="169">
        <v>44907</v>
      </c>
      <c r="O607" s="168"/>
      <c r="Q607" t="s">
        <v>35</v>
      </c>
      <c r="R607" t="s">
        <v>129</v>
      </c>
    </row>
    <row r="608" spans="1:18" hidden="1">
      <c r="A608" s="330">
        <f>COUNTA($D$3:$D$608)</f>
        <v>606</v>
      </c>
      <c r="B608" s="330" t="s">
        <v>3666</v>
      </c>
      <c r="C608" s="330" t="s">
        <v>2767</v>
      </c>
      <c r="D608" s="330" t="s">
        <v>38</v>
      </c>
      <c r="E608" s="330" t="s">
        <v>3701</v>
      </c>
      <c r="F608" s="331">
        <v>44195.378298611111</v>
      </c>
      <c r="G608" s="331">
        <v>44202.639837962961</v>
      </c>
      <c r="H608" s="331"/>
      <c r="I608" s="331"/>
      <c r="J608" s="330"/>
      <c r="K608" s="332"/>
      <c r="L608" s="148">
        <v>44284.397060185183</v>
      </c>
      <c r="N608" s="169">
        <v>45114</v>
      </c>
      <c r="O608" s="168"/>
      <c r="Q608" t="s">
        <v>35</v>
      </c>
      <c r="R608" t="s">
        <v>129</v>
      </c>
    </row>
    <row r="609" spans="1:18" hidden="1">
      <c r="A609" s="330">
        <f>COUNTA($D$3:$D$609)</f>
        <v>607</v>
      </c>
      <c r="B609" s="330" t="s">
        <v>3667</v>
      </c>
      <c r="C609" s="330" t="s">
        <v>21</v>
      </c>
      <c r="D609" s="330" t="s">
        <v>1169</v>
      </c>
      <c r="E609" s="330" t="s">
        <v>3702</v>
      </c>
      <c r="F609" s="331">
        <v>44203.71979166667</v>
      </c>
      <c r="G609" s="331">
        <v>44209.681921296295</v>
      </c>
      <c r="H609" s="331"/>
      <c r="I609" s="331"/>
      <c r="J609" s="330"/>
      <c r="K609" s="332"/>
      <c r="L609" s="148">
        <v>44323.716990740744</v>
      </c>
      <c r="N609" s="169">
        <v>44907</v>
      </c>
      <c r="O609" s="168"/>
      <c r="Q609" t="s">
        <v>35</v>
      </c>
      <c r="R609" t="s">
        <v>129</v>
      </c>
    </row>
    <row r="610" spans="1:18" hidden="1">
      <c r="A610" s="330">
        <f>COUNTA($D$3:$D$610)</f>
        <v>608</v>
      </c>
      <c r="B610" s="330" t="s">
        <v>3668</v>
      </c>
      <c r="C610" s="330" t="s">
        <v>3681</v>
      </c>
      <c r="D610" s="330" t="s">
        <v>51</v>
      </c>
      <c r="E610" s="330" t="s">
        <v>3703</v>
      </c>
      <c r="F610" s="331">
        <v>44217.469050925924</v>
      </c>
      <c r="G610" s="331">
        <v>44217.471400462964</v>
      </c>
      <c r="H610" s="331"/>
      <c r="I610" s="331"/>
      <c r="J610" s="330"/>
      <c r="K610" s="332"/>
      <c r="L610" s="148">
        <v>44323.723078703704</v>
      </c>
      <c r="N610" s="169">
        <v>45051</v>
      </c>
      <c r="O610" s="168"/>
      <c r="Q610" t="s">
        <v>35</v>
      </c>
      <c r="R610" t="s">
        <v>129</v>
      </c>
    </row>
    <row r="611" spans="1:18" hidden="1">
      <c r="A611" s="330">
        <f>COUNTA($D$3:$D$611)</f>
        <v>609</v>
      </c>
      <c r="B611" s="330" t="s">
        <v>3669</v>
      </c>
      <c r="C611" s="330" t="s">
        <v>3681</v>
      </c>
      <c r="D611" s="330" t="s">
        <v>49</v>
      </c>
      <c r="E611" s="330" t="s">
        <v>3704</v>
      </c>
      <c r="F611" s="331">
        <v>44224.696585648147</v>
      </c>
      <c r="G611" s="331">
        <v>44224.699421296296</v>
      </c>
      <c r="H611" s="331"/>
      <c r="I611" s="331"/>
      <c r="J611" s="330"/>
      <c r="K611" s="332"/>
      <c r="L611" s="148">
        <v>44323.723761574074</v>
      </c>
      <c r="N611" s="169">
        <v>45051</v>
      </c>
      <c r="O611" s="168"/>
      <c r="Q611" t="s">
        <v>35</v>
      </c>
      <c r="R611" t="s">
        <v>129</v>
      </c>
    </row>
    <row r="612" spans="1:18" hidden="1">
      <c r="A612" s="330">
        <f>COUNTA($D$3:$D$612)</f>
        <v>610</v>
      </c>
      <c r="B612" s="330" t="s">
        <v>3670</v>
      </c>
      <c r="C612" s="330" t="s">
        <v>3705</v>
      </c>
      <c r="D612" s="330" t="s">
        <v>1121</v>
      </c>
      <c r="E612" s="330" t="s">
        <v>3706</v>
      </c>
      <c r="F612" s="331">
        <v>44245.66914351852</v>
      </c>
      <c r="G612" s="331">
        <v>44246.386840277781</v>
      </c>
      <c r="H612" s="331"/>
      <c r="I612" s="331"/>
      <c r="J612" s="330"/>
      <c r="K612" s="332"/>
      <c r="L612" s="148">
        <v>44420.40520833333</v>
      </c>
      <c r="N612" s="169">
        <v>45114</v>
      </c>
      <c r="O612" s="168"/>
      <c r="Q612" t="s">
        <v>35</v>
      </c>
      <c r="R612" t="s">
        <v>129</v>
      </c>
    </row>
    <row r="613" spans="1:18" hidden="1">
      <c r="A613" s="330">
        <f>COUNTA($D$3:$D$613)</f>
        <v>611</v>
      </c>
      <c r="B613" s="330" t="s">
        <v>3671</v>
      </c>
      <c r="C613" s="330" t="s">
        <v>3707</v>
      </c>
      <c r="D613" s="330" t="s">
        <v>1121</v>
      </c>
      <c r="E613" s="330" t="s">
        <v>3708</v>
      </c>
      <c r="F613" s="331">
        <v>44222.68241898148</v>
      </c>
      <c r="G613" s="331">
        <v>44223.706712962965</v>
      </c>
      <c r="H613" s="331"/>
      <c r="I613" s="331"/>
      <c r="J613" s="330"/>
      <c r="K613" s="332"/>
      <c r="L613" s="148">
        <v>44323.721851851849</v>
      </c>
      <c r="N613" s="169">
        <v>45114</v>
      </c>
      <c r="O613" s="168"/>
      <c r="Q613" t="s">
        <v>35</v>
      </c>
      <c r="R613" t="s">
        <v>129</v>
      </c>
    </row>
    <row r="614" spans="1:18">
      <c r="A614" s="330">
        <f>COUNTA($D$3:$D$614)</f>
        <v>612</v>
      </c>
      <c r="B614" s="330" t="s">
        <v>3672</v>
      </c>
      <c r="C614" s="330" t="s">
        <v>40</v>
      </c>
      <c r="D614" s="330" t="s">
        <v>49</v>
      </c>
      <c r="E614" s="330" t="s">
        <v>3709</v>
      </c>
      <c r="F614" s="331">
        <v>44263.620578703703</v>
      </c>
      <c r="G614" s="331">
        <v>44264.484814814816</v>
      </c>
      <c r="H614" s="331"/>
      <c r="I614" s="331"/>
      <c r="J614" s="330"/>
      <c r="K614" s="332"/>
      <c r="L614" s="148">
        <v>44420.407430555555</v>
      </c>
      <c r="M614" t="s">
        <v>6197</v>
      </c>
      <c r="Q614" t="s">
        <v>35</v>
      </c>
      <c r="R614" t="s">
        <v>129</v>
      </c>
    </row>
    <row r="615" spans="1:18" hidden="1">
      <c r="A615" s="330">
        <f>COUNTA($D$3:$D$615)</f>
        <v>613</v>
      </c>
      <c r="B615" s="330" t="s">
        <v>3673</v>
      </c>
      <c r="C615" s="330" t="s">
        <v>40</v>
      </c>
      <c r="D615" s="330" t="s">
        <v>51</v>
      </c>
      <c r="E615" s="330" t="s">
        <v>3710</v>
      </c>
      <c r="F615" s="331">
        <v>44263.621759259258</v>
      </c>
      <c r="G615" s="331">
        <v>44265.440196759257</v>
      </c>
      <c r="H615" s="331"/>
      <c r="I615" s="331"/>
      <c r="J615" s="330"/>
      <c r="K615" s="332"/>
      <c r="L615" s="148">
        <v>44420.408402777779</v>
      </c>
      <c r="M615" t="s">
        <v>6197</v>
      </c>
      <c r="N615" s="169">
        <v>45102</v>
      </c>
      <c r="Q615" t="s">
        <v>35</v>
      </c>
      <c r="R615" t="s">
        <v>129</v>
      </c>
    </row>
    <row r="616" spans="1:18" hidden="1">
      <c r="A616" s="330">
        <f>COUNTA($D$3:$D$616)</f>
        <v>614</v>
      </c>
      <c r="B616" s="330" t="s">
        <v>3674</v>
      </c>
      <c r="C616" s="330" t="s">
        <v>21</v>
      </c>
      <c r="D616" s="330" t="s">
        <v>34</v>
      </c>
      <c r="E616" s="330" t="s">
        <v>3711</v>
      </c>
      <c r="F616" s="331">
        <v>44266.436921296299</v>
      </c>
      <c r="G616" s="331">
        <v>44270.424398148149</v>
      </c>
      <c r="H616" s="331"/>
      <c r="I616" s="331"/>
      <c r="J616" s="330"/>
      <c r="K616" s="332"/>
      <c r="L616" s="148">
        <v>44420.413449074076</v>
      </c>
      <c r="N616" s="169">
        <v>44907</v>
      </c>
      <c r="Q616" t="s">
        <v>35</v>
      </c>
      <c r="R616" t="s">
        <v>129</v>
      </c>
    </row>
    <row r="617" spans="1:18" hidden="1">
      <c r="A617" s="330">
        <f>COUNTA($D$3:$D$617)</f>
        <v>615</v>
      </c>
      <c r="B617" s="330" t="s">
        <v>3675</v>
      </c>
      <c r="C617" s="330" t="s">
        <v>21</v>
      </c>
      <c r="D617" s="330" t="s">
        <v>30</v>
      </c>
      <c r="E617" s="330" t="s">
        <v>3712</v>
      </c>
      <c r="F617" s="331">
        <v>44266.437314814815</v>
      </c>
      <c r="G617" s="331">
        <v>44270.604618055557</v>
      </c>
      <c r="H617" s="331"/>
      <c r="I617" s="331"/>
      <c r="J617" s="330"/>
      <c r="K617" s="332"/>
      <c r="L617" s="148">
        <v>44420.414097222223</v>
      </c>
      <c r="N617" s="169">
        <v>44959</v>
      </c>
      <c r="Q617" t="s">
        <v>35</v>
      </c>
      <c r="R617" t="s">
        <v>129</v>
      </c>
    </row>
    <row r="618" spans="1:18" hidden="1">
      <c r="A618" s="330">
        <f>COUNTA($D$3:$D$618)</f>
        <v>616</v>
      </c>
      <c r="B618" s="330" t="s">
        <v>3676</v>
      </c>
      <c r="C618" s="330" t="s">
        <v>93</v>
      </c>
      <c r="D618" s="330" t="s">
        <v>30</v>
      </c>
      <c r="E618" s="330" t="s">
        <v>3713</v>
      </c>
      <c r="F618" s="331">
        <v>44279.616979166669</v>
      </c>
      <c r="G618" s="331">
        <v>44285.420266203706</v>
      </c>
      <c r="H618" s="331"/>
      <c r="I618" s="331"/>
      <c r="J618" s="330"/>
      <c r="K618" s="332"/>
      <c r="L618" s="148">
        <v>44399.643969907411</v>
      </c>
      <c r="N618" s="169">
        <v>44909</v>
      </c>
      <c r="Q618" t="s">
        <v>35</v>
      </c>
      <c r="R618" t="s">
        <v>129</v>
      </c>
    </row>
    <row r="619" spans="1:18" hidden="1">
      <c r="A619" s="330">
        <f>COUNTA($D$3:$D$619)</f>
        <v>617</v>
      </c>
      <c r="B619" s="330" t="s">
        <v>3635</v>
      </c>
      <c r="C619" s="330" t="s">
        <v>2370</v>
      </c>
      <c r="D619" s="330" t="s">
        <v>56</v>
      </c>
      <c r="E619" s="330" t="s">
        <v>2697</v>
      </c>
      <c r="F619" s="331">
        <v>44774.77615740741</v>
      </c>
      <c r="G619" s="331">
        <v>44774.777025462965</v>
      </c>
      <c r="H619" s="331"/>
      <c r="I619" s="331"/>
      <c r="J619" s="330"/>
      <c r="K619" s="332"/>
      <c r="L619" s="148">
        <v>44774.790706018517</v>
      </c>
      <c r="N619" s="169">
        <v>44802</v>
      </c>
      <c r="R619" t="s">
        <v>22</v>
      </c>
    </row>
    <row r="620" spans="1:18" hidden="1">
      <c r="A620" s="330">
        <f>COUNTA($D$3:$D$620)</f>
        <v>618</v>
      </c>
      <c r="B620" s="330" t="s">
        <v>3866</v>
      </c>
      <c r="C620" s="330" t="s">
        <v>41</v>
      </c>
      <c r="D620" s="330" t="s">
        <v>51</v>
      </c>
      <c r="E620" s="330" t="s">
        <v>3740</v>
      </c>
      <c r="F620" s="331">
        <v>44802</v>
      </c>
      <c r="G620" s="331"/>
      <c r="H620" s="331"/>
      <c r="I620" s="331"/>
      <c r="J620" s="330"/>
      <c r="K620" s="332"/>
      <c r="L620" s="148">
        <v>44813</v>
      </c>
      <c r="N620" s="169">
        <v>45107</v>
      </c>
      <c r="R620" t="s">
        <v>22</v>
      </c>
    </row>
    <row r="621" spans="1:18" hidden="1">
      <c r="A621" s="330">
        <f>COUNTA($D$3:$D$621)</f>
        <v>619</v>
      </c>
      <c r="B621" s="330" t="s">
        <v>3957</v>
      </c>
      <c r="C621" s="330" t="s">
        <v>41</v>
      </c>
      <c r="D621" s="330" t="s">
        <v>16</v>
      </c>
      <c r="E621" s="330" t="s">
        <v>3962</v>
      </c>
      <c r="F621" s="331">
        <v>44106</v>
      </c>
      <c r="G621" s="331"/>
      <c r="H621" s="331"/>
      <c r="I621" s="331"/>
      <c r="J621" s="330"/>
      <c r="K621" s="332"/>
      <c r="L621" s="148">
        <v>44232</v>
      </c>
      <c r="N621" s="169">
        <v>44844</v>
      </c>
      <c r="R621" t="s">
        <v>22</v>
      </c>
    </row>
    <row r="622" spans="1:18" hidden="1">
      <c r="A622" s="330">
        <f>COUNTA($D$3:$D$622)</f>
        <v>620</v>
      </c>
      <c r="B622" s="330" t="s">
        <v>3958</v>
      </c>
      <c r="C622" s="330" t="s">
        <v>41</v>
      </c>
      <c r="D622" s="330" t="s">
        <v>16</v>
      </c>
      <c r="E622" s="330" t="s">
        <v>3963</v>
      </c>
      <c r="F622" s="331">
        <v>44099</v>
      </c>
      <c r="G622" s="331"/>
      <c r="H622" s="331"/>
      <c r="I622" s="331"/>
      <c r="J622" s="330"/>
      <c r="K622" s="332"/>
      <c r="L622" s="148">
        <v>44202</v>
      </c>
      <c r="N622" s="169">
        <v>45087</v>
      </c>
      <c r="R622" t="s">
        <v>22</v>
      </c>
    </row>
    <row r="623" spans="1:18">
      <c r="A623" s="330">
        <f>COUNTA($D$3:$D$623)</f>
        <v>621</v>
      </c>
      <c r="B623" s="330" t="s">
        <v>3959</v>
      </c>
      <c r="C623" s="330" t="s">
        <v>286</v>
      </c>
      <c r="D623" s="330" t="s">
        <v>1129</v>
      </c>
      <c r="E623" s="330" t="s">
        <v>3964</v>
      </c>
      <c r="F623" s="331">
        <v>43756</v>
      </c>
      <c r="G623" s="331"/>
      <c r="H623" s="331"/>
      <c r="I623" s="331"/>
      <c r="J623" s="330"/>
      <c r="K623" s="332"/>
      <c r="L623" s="148">
        <v>43896</v>
      </c>
      <c r="R623" t="s">
        <v>22</v>
      </c>
    </row>
    <row r="624" spans="1:18">
      <c r="A624" s="330">
        <f>COUNTA($D$3:$D$624)</f>
        <v>622</v>
      </c>
      <c r="B624" s="330" t="s">
        <v>3960</v>
      </c>
      <c r="C624" s="330" t="s">
        <v>41</v>
      </c>
      <c r="D624" s="330" t="s">
        <v>1129</v>
      </c>
      <c r="E624" s="330" t="s">
        <v>3965</v>
      </c>
      <c r="F624" s="331">
        <v>43754</v>
      </c>
      <c r="G624" s="331"/>
      <c r="H624" s="331"/>
      <c r="I624" s="331"/>
      <c r="J624" s="330"/>
      <c r="K624" s="332"/>
      <c r="L624" s="148">
        <v>43895</v>
      </c>
      <c r="R624" t="s">
        <v>22</v>
      </c>
    </row>
    <row r="625" spans="1:18">
      <c r="A625" s="330">
        <f>COUNTA($D$3:$D$625)</f>
        <v>623</v>
      </c>
      <c r="B625" s="330" t="s">
        <v>3961</v>
      </c>
      <c r="C625" s="330" t="s">
        <v>41</v>
      </c>
      <c r="D625" s="330" t="s">
        <v>25</v>
      </c>
      <c r="E625" s="330" t="s">
        <v>3966</v>
      </c>
      <c r="F625" s="331">
        <v>43697</v>
      </c>
      <c r="G625" s="331"/>
      <c r="H625" s="331"/>
      <c r="I625" s="331"/>
      <c r="J625" s="330"/>
      <c r="K625" s="332"/>
      <c r="L625" s="148">
        <v>43846</v>
      </c>
      <c r="R625" t="s">
        <v>22</v>
      </c>
    </row>
    <row r="626" spans="1:18">
      <c r="I626" s="150"/>
    </row>
  </sheetData>
  <autoFilter ref="A2:R625" xr:uid="{00000000-0001-0000-0A00-000000000000}">
    <filterColumn colId="13">
      <filters blank="1"/>
    </filterColumn>
  </autoFilter>
  <phoneticPr fontId="36" type="noConversion"/>
  <conditionalFormatting sqref="B221 B1:B219 B261:B1048576">
    <cfRule type="duplicateValues" dxfId="21" priority="4636"/>
  </conditionalFormatting>
  <conditionalFormatting sqref="E258:E1048576 E1:E221">
    <cfRule type="duplicateValues" dxfId="20" priority="9"/>
  </conditionalFormatting>
  <conditionalFormatting sqref="B258:B260">
    <cfRule type="duplicateValues" dxfId="19" priority="6"/>
  </conditionalFormatting>
  <conditionalFormatting sqref="B258:B260">
    <cfRule type="duplicateValues" dxfId="18" priority="7"/>
  </conditionalFormatting>
  <conditionalFormatting sqref="B222:B257">
    <cfRule type="duplicateValues" dxfId="17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7109375" defaultRowHeight="15"/>
  <cols>
    <col min="1" max="1" width="5.5703125" style="21" customWidth="1"/>
    <col min="2" max="2" width="10.28515625" style="21" bestFit="1" customWidth="1"/>
    <col min="3" max="3" width="17" style="21" customWidth="1"/>
    <col min="4" max="4" width="17.5703125" style="21" customWidth="1"/>
    <col min="5" max="5" width="38.7109375" style="21" bestFit="1" customWidth="1"/>
    <col min="6" max="6" width="13.28515625" style="21" bestFit="1" customWidth="1"/>
    <col min="7" max="7" width="8.7109375" style="21" bestFit="1" customWidth="1"/>
    <col min="8" max="8" width="28.28515625" style="21" bestFit="1" customWidth="1"/>
    <col min="9" max="9" width="14.28515625" style="44" customWidth="1"/>
    <col min="10" max="10" width="18.42578125" style="21" bestFit="1" customWidth="1"/>
    <col min="11" max="11" width="20.28515625" style="21" customWidth="1"/>
    <col min="12" max="12" width="8.42578125" style="21" customWidth="1"/>
    <col min="13" max="13" width="8.7109375" style="21"/>
    <col min="14" max="14" width="16.28515625" style="21" customWidth="1"/>
    <col min="15" max="16384" width="8.710937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.75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16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5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N36"/>
  <sheetViews>
    <sheetView workbookViewId="0">
      <selection activeCell="C2" sqref="C2"/>
    </sheetView>
  </sheetViews>
  <sheetFormatPr defaultRowHeight="15"/>
  <cols>
    <col min="1" max="1" width="26.7109375" customWidth="1"/>
    <col min="3" max="3" width="19.5703125" bestFit="1" customWidth="1"/>
    <col min="8" max="8" width="17.7109375" customWidth="1"/>
    <col min="9" max="9" width="10.285156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&gt;'fmsv2023080069'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Inspection&gt;=#08/19/2023#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5969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5970</v>
      </c>
      <c r="L12" s="10"/>
    </row>
    <row r="13" spans="1:12">
      <c r="A13" t="s">
        <v>29</v>
      </c>
      <c r="B13">
        <v>0</v>
      </c>
      <c r="C13" s="15" t="s">
        <v>6033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Dashboard</vt:lpstr>
      <vt:lpstr>Summary 25-Aug</vt:lpstr>
      <vt:lpstr>FFAP</vt:lpstr>
      <vt:lpstr>39 items HMU</vt:lpstr>
      <vt:lpstr>1.MasterPendingList</vt:lpstr>
      <vt:lpstr>3. Dispose</vt:lpstr>
      <vt:lpstr>4. Waiting confirm</vt:lpstr>
      <vt:lpstr>2. Completed</vt:lpstr>
      <vt:lpstr>3. Transfer to sales</vt:lpstr>
      <vt:lpstr>5. FTYO Asset</vt:lpstr>
      <vt:lpstr>6. FFAP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Le Quang Thong</cp:lastModifiedBy>
  <cp:lastPrinted>2023-08-29T01:18:29Z</cp:lastPrinted>
  <dcterms:created xsi:type="dcterms:W3CDTF">2018-11-06T06:24:21Z</dcterms:created>
  <dcterms:modified xsi:type="dcterms:W3CDTF">2023-08-31T04:47:07Z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