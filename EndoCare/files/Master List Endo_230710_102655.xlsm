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ng.le\Local_Drive\Unapproval\"/>
    </mc:Choice>
  </mc:AlternateContent>
  <xr:revisionPtr revIDLastSave="0" documentId="13_ncr:1_{ACF95435-65B8-415C-929C-25765DE9D9FC}" xr6:coauthVersionLast="47" xr6:coauthVersionMax="47" xr10:uidLastSave="{00000000-0000-0000-0000-000000000000}"/>
  <bookViews>
    <workbookView xWindow="-120" yWindow="-120" windowWidth="19440" windowHeight="15000" firstSheet="4" activeTab="12" xr2:uid="{00000000-000D-0000-FFFF-FFFF00000000}"/>
  </bookViews>
  <sheets>
    <sheet name="Summary 07-Jul" sheetId="83" r:id="rId1"/>
    <sheet name="Chart" sheetId="89" state="hidden" r:id="rId2"/>
    <sheet name="Filter" sheetId="6" state="veryHidden" r:id="rId3"/>
    <sheet name="39 items HMU" sheetId="87" state="hidden" r:id="rId4"/>
    <sheet name="FFAP" sheetId="84" r:id="rId5"/>
    <sheet name="1.MasterPendingList" sheetId="2" r:id="rId6"/>
    <sheet name="CheckPart" sheetId="30" state="veryHidden" r:id="rId7"/>
    <sheet name="Code" sheetId="52" state="hidden" r:id="rId8"/>
    <sheet name="Part" sheetId="29" state="veryHidden" r:id="rId9"/>
    <sheet name="Stock" sheetId="31" state="veryHidden" r:id="rId10"/>
    <sheet name="3. Dispose" sheetId="25" state="hidden" r:id="rId11"/>
    <sheet name="2. Completed" sheetId="88" r:id="rId12"/>
    <sheet name="3. Transfer to sales" sheetId="28" r:id="rId13"/>
    <sheet name="5. FTYO Asset" sheetId="17" state="hidden" r:id="rId14"/>
    <sheet name="6. FFAP Asset" sheetId="18" state="hidden" r:id="rId15"/>
    <sheet name="Sheet1" sheetId="5" state="veryHidden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FDS_HYPERLINK_TOGGLE_STATE__" hidden="1">"ON"</definedName>
    <definedName name="_xlnm._FilterDatabase" localSheetId="5" hidden="1">'1.MasterPendingList'!$A$4:$AJ$111</definedName>
    <definedName name="_xlnm._FilterDatabase" localSheetId="11" hidden="1">'2. Completed'!$A$2:$AD$953</definedName>
    <definedName name="_xlnm._FilterDatabase" localSheetId="10" hidden="1">'3. Dispose'!$A$3:$F$19</definedName>
    <definedName name="_xlnm._FilterDatabase" localSheetId="12" hidden="1">'3. Transfer to sales'!$A$2:$R$582</definedName>
    <definedName name="_xlnm._FilterDatabase" localSheetId="3" hidden="1">'39 items HMU'!$A$6:$K$45</definedName>
    <definedName name="_xlnm._FilterDatabase" localSheetId="13" hidden="1">'5. FTYO Asset'!$A$2:$L$74</definedName>
    <definedName name="_xlnm._FilterDatabase" localSheetId="1" hidden="1">Chart!$D$3:$E$10</definedName>
    <definedName name="_xlnm._FilterDatabase" localSheetId="6" hidden="1">CheckPart!$A$2:$F$58</definedName>
    <definedName name="_xlnm._FilterDatabase" localSheetId="7" hidden="1">Code!$A$1:$N$182</definedName>
    <definedName name="_xlnm._FilterDatabase" localSheetId="2" hidden="1">Filter!$A$2:$G$23</definedName>
    <definedName name="_xlnm._FilterDatabase" localSheetId="9" hidden="1">Stock!$A$2:$E$585</definedName>
    <definedName name="_xlnm._FilterDatabase" localSheetId="0" hidden="1">'Summary 07-Jul'!#REF!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2" hidden="1">[1]consolidated!#REF!</definedName>
    <definedName name="_Key2" localSheetId="0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0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0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0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3">'[2]1.MasterPendingList'!$B$4:$AF$95</definedName>
    <definedName name="mlist">'1.MasterPendingList'!$B$4:$AJ$111</definedName>
    <definedName name="mNo" localSheetId="11">'1.MasterPendingList'!$B$4:$B$51</definedName>
    <definedName name="mNo" localSheetId="3">'[2]1.MasterPendingList'!$B$4:$B$95</definedName>
    <definedName name="mNo">'1.MasterPendingList'!$B$4:$B$111</definedName>
    <definedName name="mTitle" localSheetId="11">'1.MasterPendingList'!$B$4:$AJ$4</definedName>
    <definedName name="mTitle" localSheetId="3">'[2]1.MasterPendingList'!$B$4:$AF$4</definedName>
    <definedName name="mTitle">'1.MasterPendingList'!$B$4:$AJ$4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0" hidden="1">#REF!</definedName>
    <definedName name="XREF_COLUMN_1" hidden="1">#REF!</definedName>
    <definedName name="XREF_COLUMN_15" localSheetId="2" hidden="1">[6]Consolidated!#REF!</definedName>
    <definedName name="XREF_COLUMN_15" localSheetId="0" hidden="1">[6]Consolidated!#REF!</definedName>
    <definedName name="XREF_COLUMN_15" hidden="1">[6]Consolidated!#REF!</definedName>
    <definedName name="XREF_COLUMN_2" localSheetId="2" hidden="1">#REF!</definedName>
    <definedName name="XREF_COLUMN_2" localSheetId="0" hidden="1">#REF!</definedName>
    <definedName name="XREF_COLUMN_2" hidden="1">#REF!</definedName>
    <definedName name="XREF_COLUMN_3" localSheetId="2" hidden="1">#REF!</definedName>
    <definedName name="XREF_COLUMN_3" localSheetId="0" hidden="1">#REF!</definedName>
    <definedName name="XREF_COLUMN_3" hidden="1">#REF!</definedName>
    <definedName name="XREF_COLUMN_7" localSheetId="2" hidden="1">#REF!</definedName>
    <definedName name="XREF_COLUMN_7" localSheetId="0" hidden="1">#REF!</definedName>
    <definedName name="XREF_COLUMN_7" hidden="1">#REF!</definedName>
    <definedName name="XRefActiveRow" localSheetId="2" hidden="1">#REF!</definedName>
    <definedName name="XRefActiveRow" localSheetId="0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0" hidden="1">#REF!</definedName>
    <definedName name="XRefCopy1" hidden="1">#REF!</definedName>
    <definedName name="XRefCopy1Row" localSheetId="2" hidden="1">#REF!</definedName>
    <definedName name="XRefCopy1Row" localSheetId="0" hidden="1">#REF!</definedName>
    <definedName name="XRefCopy1Row" hidden="1">#REF!</definedName>
    <definedName name="XRefCopy2" localSheetId="2" hidden="1">#REF!</definedName>
    <definedName name="XRefCopy2" localSheetId="0" hidden="1">#REF!</definedName>
    <definedName name="XRefCopy2" hidden="1">#REF!</definedName>
    <definedName name="XRefCopy2Row" localSheetId="2" hidden="1">#REF!</definedName>
    <definedName name="XRefCopy2Row" localSheetId="0" hidden="1">#REF!</definedName>
    <definedName name="XRefCopy2Row" hidden="1">#REF!</definedName>
    <definedName name="XRefCopy3" localSheetId="2" hidden="1">#REF!</definedName>
    <definedName name="XRefCopy3" localSheetId="0" hidden="1">#REF!</definedName>
    <definedName name="XRefCopy3" hidden="1">#REF!</definedName>
    <definedName name="XRefCopy3Row" localSheetId="2" hidden="1">#REF!</definedName>
    <definedName name="XRefCopy3Row" localSheetId="0" hidden="1">#REF!</definedName>
    <definedName name="XRefCopy3Row" hidden="1">#REF!</definedName>
    <definedName name="XRefCopy4" localSheetId="2" hidden="1">#REF!</definedName>
    <definedName name="XRefCopy4" localSheetId="0" hidden="1">#REF!</definedName>
    <definedName name="XRefCopy4" hidden="1">#REF!</definedName>
    <definedName name="XRefCopy4Row" localSheetId="2" hidden="1">#REF!</definedName>
    <definedName name="XRefCopy4Row" localSheetId="0" hidden="1">#REF!</definedName>
    <definedName name="XRefCopy4Row" hidden="1">#REF!</definedName>
    <definedName name="XRefCopy5" localSheetId="2" hidden="1">#REF!</definedName>
    <definedName name="XRefCopy5" localSheetId="0" hidden="1">#REF!</definedName>
    <definedName name="XRefCopy5" hidden="1">#REF!</definedName>
    <definedName name="XRefCopy5Row" localSheetId="2" hidden="1">#REF!</definedName>
    <definedName name="XRefCopy5Row" localSheetId="0" hidden="1">#REF!</definedName>
    <definedName name="XRefCopy5Row" hidden="1">#REF!</definedName>
    <definedName name="XRefCopy6" localSheetId="2" hidden="1">#REF!</definedName>
    <definedName name="XRefCopy6" localSheetId="0" hidden="1">#REF!</definedName>
    <definedName name="XRefCopy6" hidden="1">#REF!</definedName>
    <definedName name="XRefCopy6Row" localSheetId="2" hidden="1">#REF!</definedName>
    <definedName name="XRefCopy6Row" localSheetId="0" hidden="1">#REF!</definedName>
    <definedName name="XRefCopy6Row" hidden="1">#REF!</definedName>
    <definedName name="XRefCopy7" localSheetId="2" hidden="1">#REF!</definedName>
    <definedName name="XRefCopy7" localSheetId="0" hidden="1">#REF!</definedName>
    <definedName name="XRefCopy7" hidden="1">#REF!</definedName>
    <definedName name="XRefCopy7Row" localSheetId="2" hidden="1">[7]XREF!#REF!</definedName>
    <definedName name="XRefCopy7Row" localSheetId="0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0" hidden="1">#REF!</definedName>
    <definedName name="XRefPaste1" hidden="1">#REF!</definedName>
    <definedName name="XRefPaste110Row" localSheetId="2" hidden="1">[7]XREF!#REF!</definedName>
    <definedName name="XRefPaste110Row" localSheetId="0" hidden="1">[7]XREF!#REF!</definedName>
    <definedName name="XRefPaste110Row" hidden="1">[7]XREF!#REF!</definedName>
    <definedName name="XRefPaste111Row" localSheetId="2" hidden="1">[7]XREF!#REF!</definedName>
    <definedName name="XRefPaste111Row" localSheetId="0" hidden="1">[7]XREF!#REF!</definedName>
    <definedName name="XRefPaste111Row" hidden="1">[7]XREF!#REF!</definedName>
    <definedName name="XRefPaste112Row" localSheetId="2" hidden="1">[7]XREF!#REF!</definedName>
    <definedName name="XRefPaste112Row" localSheetId="0" hidden="1">[7]XREF!#REF!</definedName>
    <definedName name="XRefPaste112Row" hidden="1">[7]XREF!#REF!</definedName>
    <definedName name="XRefPaste113Row" localSheetId="2" hidden="1">[7]XREF!#REF!</definedName>
    <definedName name="XRefPaste113Row" localSheetId="0" hidden="1">[7]XREF!#REF!</definedName>
    <definedName name="XRefPaste113Row" hidden="1">[7]XREF!#REF!</definedName>
    <definedName name="XRefPaste120Row" localSheetId="2" hidden="1">[7]XREF!#REF!</definedName>
    <definedName name="XRefPaste120Row" localSheetId="0" hidden="1">[7]XREF!#REF!</definedName>
    <definedName name="XRefPaste120Row" hidden="1">[7]XREF!#REF!</definedName>
    <definedName name="XRefPaste121Row" localSheetId="2" hidden="1">[7]XREF!#REF!</definedName>
    <definedName name="XRefPaste121Row" localSheetId="0" hidden="1">[7]XREF!#REF!</definedName>
    <definedName name="XRefPaste121Row" hidden="1">[7]XREF!#REF!</definedName>
    <definedName name="XRefPaste1Row" localSheetId="2" hidden="1">#REF!</definedName>
    <definedName name="XRefPaste1Row" localSheetId="0" hidden="1">#REF!</definedName>
    <definedName name="XRefPaste1Row" hidden="1">#REF!</definedName>
    <definedName name="XRefPaste2" localSheetId="2" hidden="1">#REF!</definedName>
    <definedName name="XRefPaste2" localSheetId="0" hidden="1">#REF!</definedName>
    <definedName name="XRefPaste2" hidden="1">#REF!</definedName>
    <definedName name="XRefPaste2Row" localSheetId="2" hidden="1">#REF!</definedName>
    <definedName name="XRefPaste2Row" localSheetId="0" hidden="1">#REF!</definedName>
    <definedName name="XRefPaste2Row" hidden="1">#REF!</definedName>
    <definedName name="XRefPaste3" localSheetId="2" hidden="1">#REF!</definedName>
    <definedName name="XRefPaste3" localSheetId="0" hidden="1">#REF!</definedName>
    <definedName name="XRefPaste3" hidden="1">#REF!</definedName>
    <definedName name="XRefPaste3Row" localSheetId="2" hidden="1">#REF!</definedName>
    <definedName name="XRefPaste3Row" localSheetId="0" hidden="1">#REF!</definedName>
    <definedName name="XRefPaste3Row" hidden="1">#REF!</definedName>
    <definedName name="XRefPaste4" localSheetId="2" hidden="1">#REF!</definedName>
    <definedName name="XRefPaste4" localSheetId="0" hidden="1">#REF!</definedName>
    <definedName name="XRefPaste4" hidden="1">#REF!</definedName>
    <definedName name="XRefPaste4Row" localSheetId="2" hidden="1">#REF!</definedName>
    <definedName name="XRefPaste4Row" localSheetId="0" hidden="1">#REF!</definedName>
    <definedName name="XRefPaste4Row" hidden="1">#REF!</definedName>
    <definedName name="XRefPaste5" localSheetId="2" hidden="1">#REF!</definedName>
    <definedName name="XRefPaste5" localSheetId="0" hidden="1">#REF!</definedName>
    <definedName name="XRefPaste5" hidden="1">#REF!</definedName>
    <definedName name="XRefPaste5Row" localSheetId="2" hidden="1">#REF!</definedName>
    <definedName name="XRefPaste5Row" localSheetId="0" hidden="1">#REF!</definedName>
    <definedName name="XRefPaste5Row" hidden="1">#REF!</definedName>
    <definedName name="XRefPaste7" localSheetId="2" hidden="1">#REF!</definedName>
    <definedName name="XRefPaste7" localSheetId="0" hidden="1">#REF!</definedName>
    <definedName name="XRefPaste7" hidden="1">#REF!</definedName>
    <definedName name="XRefPaste7Row" localSheetId="2" hidden="1">#REF!</definedName>
    <definedName name="XRefPaste7Row" localSheetId="0" hidden="1">#REF!</definedName>
    <definedName name="XRefPaste7Row" hidden="1">#REF!</definedName>
    <definedName name="XRefPaste8" localSheetId="2" hidden="1">#REF!</definedName>
    <definedName name="XRefPaste8" localSheetId="0" hidden="1">#REF!</definedName>
    <definedName name="XRefPaste8" hidden="1">#REF!</definedName>
    <definedName name="XRefPaste8Row" localSheetId="2" hidden="1">#REF!</definedName>
    <definedName name="XRefPaste8Row" localSheetId="0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5" i="28" l="1"/>
  <c r="W3" i="88"/>
  <c r="AC3" i="88"/>
  <c r="AA3" i="88"/>
  <c r="Y3" i="88"/>
  <c r="AD3" i="88"/>
  <c r="A953" i="88"/>
  <c r="A952" i="88"/>
  <c r="A951" i="88"/>
  <c r="A950" i="88"/>
  <c r="A949" i="88"/>
  <c r="A948" i="88"/>
  <c r="A947" i="88"/>
  <c r="A946" i="88"/>
  <c r="N19" i="84"/>
  <c r="C4" i="5"/>
  <c r="I7" i="83"/>
  <c r="I8" i="83"/>
  <c r="I9" i="83"/>
  <c r="I10" i="83"/>
  <c r="I11" i="83"/>
  <c r="I12" i="83"/>
  <c r="I13" i="83"/>
  <c r="I14" i="83"/>
  <c r="A103" i="2"/>
  <c r="A104" i="2"/>
  <c r="A105" i="2"/>
  <c r="A106" i="2"/>
  <c r="A107" i="2"/>
  <c r="A108" i="2"/>
  <c r="A109" i="2"/>
  <c r="A110" i="2"/>
  <c r="A11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7" i="84"/>
  <c r="I7" i="84"/>
  <c r="H7" i="84"/>
  <c r="G7" i="84"/>
  <c r="J5" i="84"/>
  <c r="I5" i="84"/>
  <c r="H5" i="84"/>
  <c r="A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945" i="88"/>
  <c r="A944" i="88"/>
  <c r="A943" i="88"/>
  <c r="A942" i="88"/>
  <c r="A941" i="88"/>
  <c r="A940" i="88"/>
  <c r="A939" i="88"/>
  <c r="A938" i="88"/>
  <c r="A937" i="88"/>
  <c r="A936" i="88"/>
  <c r="A935" i="88"/>
  <c r="A934" i="88"/>
  <c r="A933" i="88"/>
  <c r="A932" i="88"/>
  <c r="A931" i="88"/>
  <c r="A930" i="88"/>
  <c r="A929" i="88"/>
  <c r="K7" i="84" l="1"/>
  <c r="K5" i="84"/>
  <c r="J6" i="84"/>
  <c r="K6" i="84" s="1"/>
  <c r="A80" i="2"/>
  <c r="A81" i="2"/>
  <c r="A76" i="2"/>
  <c r="A77" i="2"/>
  <c r="A78" i="2"/>
  <c r="A79" i="2"/>
  <c r="A582" i="28"/>
  <c r="A581" i="28"/>
  <c r="A580" i="28"/>
  <c r="A928" i="88" l="1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868" i="88"/>
  <c r="A869" i="88"/>
  <c r="A870" i="88"/>
  <c r="A871" i="88"/>
  <c r="A872" i="88"/>
  <c r="A873" i="88"/>
  <c r="A874" i="88"/>
  <c r="A875" i="88"/>
  <c r="A876" i="88"/>
  <c r="A877" i="88"/>
  <c r="A878" i="88"/>
  <c r="A879" i="88"/>
  <c r="A880" i="88"/>
  <c r="A881" i="88"/>
  <c r="A882" i="88"/>
  <c r="A883" i="88"/>
  <c r="A884" i="88"/>
  <c r="A885" i="88"/>
  <c r="A886" i="88"/>
  <c r="A887" i="88"/>
  <c r="A888" i="88"/>
  <c r="A889" i="88"/>
  <c r="A890" i="88"/>
  <c r="A891" i="88"/>
  <c r="A892" i="88"/>
  <c r="A893" i="88"/>
  <c r="A894" i="88"/>
  <c r="A895" i="88"/>
  <c r="A896" i="88"/>
  <c r="A897" i="88"/>
  <c r="A898" i="88"/>
  <c r="A899" i="88"/>
  <c r="A900" i="88"/>
  <c r="A901" i="88"/>
  <c r="A902" i="88"/>
  <c r="A903" i="88"/>
  <c r="A904" i="88"/>
  <c r="A905" i="88"/>
  <c r="A906" i="88"/>
  <c r="A907" i="88"/>
  <c r="A908" i="88"/>
  <c r="A909" i="88"/>
  <c r="A910" i="88"/>
  <c r="A911" i="88"/>
  <c r="A912" i="88"/>
  <c r="A913" i="88"/>
  <c r="A914" i="88"/>
  <c r="A74" i="2" l="1"/>
  <c r="A75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579" i="28"/>
  <c r="A578" i="28"/>
  <c r="A43" i="2" l="1"/>
  <c r="A60" i="2"/>
  <c r="A59" i="2" l="1"/>
  <c r="A577" i="28"/>
  <c r="A576" i="28"/>
  <c r="A575" i="28"/>
  <c r="A58" i="2" l="1"/>
  <c r="A54" i="2" l="1"/>
  <c r="A55" i="2"/>
  <c r="A56" i="2"/>
  <c r="A57" i="2"/>
  <c r="A574" i="28" l="1"/>
  <c r="A573" i="28"/>
  <c r="A572" i="28"/>
  <c r="A571" i="28"/>
  <c r="A570" i="28"/>
  <c r="A44" i="2"/>
  <c r="A45" i="2"/>
  <c r="A46" i="2"/>
  <c r="A47" i="2"/>
  <c r="A48" i="2"/>
  <c r="A49" i="2"/>
  <c r="A50" i="2"/>
  <c r="A51" i="2"/>
  <c r="A52" i="2"/>
  <c r="A53" i="2"/>
  <c r="A37" i="2" l="1"/>
  <c r="A38" i="2"/>
  <c r="A39" i="2"/>
  <c r="A40" i="2"/>
  <c r="A41" i="2"/>
  <c r="A42" i="2"/>
  <c r="A569" i="28"/>
  <c r="A568" i="28"/>
  <c r="A423" i="28" l="1"/>
  <c r="A422" i="28"/>
  <c r="D4" i="89" l="1" a="1"/>
  <c r="D4" i="89" s="1"/>
  <c r="A4" i="89" a="1"/>
  <c r="A4" i="89" s="1"/>
  <c r="B4" i="89" s="1"/>
  <c r="A34" i="2"/>
  <c r="A35" i="2"/>
  <c r="A36" i="2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E4" i="89" l="1"/>
  <c r="B16" i="89"/>
  <c r="B12" i="89"/>
  <c r="E7" i="89" s="1"/>
  <c r="B8" i="89"/>
  <c r="B19" i="89"/>
  <c r="E10" i="89" s="1"/>
  <c r="B15" i="89"/>
  <c r="B11" i="89"/>
  <c r="B7" i="89"/>
  <c r="B18" i="89"/>
  <c r="E9" i="89" s="1"/>
  <c r="B14" i="89"/>
  <c r="B10" i="89"/>
  <c r="B6" i="89"/>
  <c r="B17" i="89"/>
  <c r="B13" i="89"/>
  <c r="B9" i="89"/>
  <c r="E6" i="89" s="1"/>
  <c r="B5" i="89"/>
  <c r="C2" i="5"/>
  <c r="E5" i="89" l="1"/>
  <c r="E8" i="89"/>
  <c r="A33" i="2"/>
  <c r="A23" i="2" l="1"/>
  <c r="A24" i="2"/>
  <c r="A25" i="2"/>
  <c r="A26" i="2"/>
  <c r="A27" i="2"/>
  <c r="A28" i="2"/>
  <c r="A29" i="2"/>
  <c r="A30" i="2"/>
  <c r="A31" i="2"/>
  <c r="A32" i="2"/>
  <c r="A19" i="2" l="1"/>
  <c r="A20" i="2"/>
  <c r="A21" i="2"/>
  <c r="A22" i="2"/>
  <c r="A18" i="2"/>
  <c r="A17" i="2"/>
  <c r="A16" i="2" l="1"/>
  <c r="A15" i="2" l="1"/>
  <c r="A13" i="2"/>
  <c r="A14" i="2"/>
  <c r="A555" i="28"/>
  <c r="A12" i="2" l="1"/>
  <c r="A10" i="2"/>
  <c r="A11" i="2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9" i="2" l="1"/>
  <c r="A8" i="2" l="1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7" i="2" l="1"/>
  <c r="A459" i="28"/>
  <c r="A6" i="2"/>
  <c r="A458" i="28" l="1"/>
  <c r="A457" i="28"/>
  <c r="A5" i="2" l="1"/>
  <c r="A456" i="28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l="1"/>
  <c r="K9" i="84" s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B23" i="83"/>
  <c r="C23" i="83"/>
  <c r="B24" i="83"/>
  <c r="C24" i="83"/>
  <c r="B25" i="83"/>
  <c r="C25" i="83"/>
  <c r="C22" i="83"/>
  <c r="B22" i="83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E1" i="29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C4" i="84" l="1"/>
  <c r="C23" i="84"/>
  <c r="C6" i="84" l="1"/>
  <c r="C25" i="84" l="1"/>
  <c r="E8" i="84" l="1"/>
  <c r="D8" i="84" s="1"/>
  <c r="E27" i="84"/>
  <c r="D27" i="84" s="1"/>
  <c r="C9" i="84" l="1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E29" i="84" l="1"/>
  <c r="D28" i="84" s="1"/>
  <c r="E10" i="84"/>
  <c r="D9" i="84" s="1"/>
  <c r="C32" i="84"/>
  <c r="C35" i="84"/>
  <c r="C31" i="84"/>
  <c r="C30" i="84"/>
  <c r="C29" i="84"/>
  <c r="C28" i="84"/>
  <c r="C27" i="84"/>
  <c r="C16" i="84"/>
  <c r="C13" i="84"/>
  <c r="C12" i="84"/>
  <c r="C11" i="84"/>
  <c r="C10" i="84"/>
  <c r="C8" i="84"/>
  <c r="C33" i="84" l="1"/>
  <c r="C14" i="84"/>
  <c r="E781" i="29" l="1"/>
  <c r="E780" i="29"/>
  <c r="E779" i="29"/>
  <c r="E778" i="29"/>
  <c r="E777" i="29"/>
  <c r="E776" i="29"/>
  <c r="E775" i="29"/>
  <c r="E774" i="29"/>
  <c r="B1" i="6" l="1"/>
  <c r="H1" i="29"/>
  <c r="B1" i="5"/>
  <c r="I74" i="17"/>
  <c r="G74" i="17"/>
  <c r="C1" i="6" l="1"/>
  <c r="R1" i="30" l="1"/>
  <c r="A20" i="83" l="1"/>
  <c r="G46" i="83"/>
  <c r="C5" i="84" s="1"/>
  <c r="G48" i="83"/>
  <c r="G47" i="83"/>
  <c r="H48" i="83"/>
  <c r="H46" i="83"/>
  <c r="A27" i="83" s="1"/>
  <c r="H47" i="83"/>
  <c r="A1" i="83" l="1"/>
  <c r="C24" i="84"/>
  <c r="A29" i="83"/>
  <c r="D211" i="31"/>
  <c r="D18" i="31"/>
  <c r="D471" i="31"/>
  <c r="D231" i="31"/>
  <c r="D474" i="31"/>
  <c r="D48" i="31"/>
  <c r="D450" i="31"/>
  <c r="E460" i="31"/>
  <c r="E10" i="31"/>
  <c r="D334" i="31"/>
  <c r="D559" i="31"/>
  <c r="D497" i="31"/>
  <c r="E297" i="31"/>
  <c r="E282" i="31"/>
  <c r="E534" i="31"/>
  <c r="E47" i="31"/>
  <c r="E262" i="31"/>
  <c r="E106" i="31"/>
  <c r="E546" i="31"/>
  <c r="E409" i="31"/>
  <c r="D612" i="31"/>
  <c r="D189" i="31"/>
  <c r="D106" i="31"/>
  <c r="E455" i="31"/>
  <c r="E59" i="31"/>
  <c r="D567" i="31"/>
  <c r="D278" i="31"/>
  <c r="E304" i="31"/>
  <c r="E38" i="31"/>
  <c r="D12" i="31"/>
  <c r="D377" i="31"/>
  <c r="D49" i="31"/>
  <c r="D411" i="31"/>
  <c r="D57" i="31"/>
  <c r="D601" i="31"/>
  <c r="D643" i="31"/>
  <c r="D137" i="31"/>
  <c r="E357" i="31"/>
  <c r="D33" i="31"/>
  <c r="E535" i="31"/>
  <c r="D134" i="31"/>
  <c r="D630" i="31"/>
  <c r="D185" i="31"/>
  <c r="E336" i="31"/>
  <c r="E538" i="31"/>
  <c r="D31" i="31"/>
  <c r="D609" i="31"/>
  <c r="D543" i="31"/>
  <c r="D428" i="31"/>
  <c r="D237" i="31"/>
  <c r="D531" i="31"/>
  <c r="E20" i="31"/>
  <c r="D541" i="31"/>
  <c r="E645" i="31"/>
  <c r="D307" i="31"/>
  <c r="D522" i="31"/>
  <c r="E181" i="31"/>
  <c r="E616" i="31"/>
  <c r="D314" i="31"/>
  <c r="D566" i="31"/>
  <c r="D311" i="31"/>
  <c r="E352" i="31"/>
  <c r="D308" i="31"/>
  <c r="D275" i="31"/>
  <c r="E521" i="31"/>
  <c r="D54" i="31"/>
  <c r="D357" i="31"/>
  <c r="D383" i="31"/>
  <c r="E514" i="31"/>
  <c r="D560" i="31"/>
  <c r="E228" i="31"/>
  <c r="D225" i="31"/>
  <c r="D574" i="31"/>
  <c r="D510" i="31"/>
  <c r="D74" i="31"/>
  <c r="E132" i="31"/>
  <c r="E257" i="31"/>
  <c r="D266" i="31"/>
  <c r="D629" i="31"/>
  <c r="E111" i="31"/>
  <c r="D115" i="31"/>
  <c r="E394" i="31"/>
  <c r="D99" i="31"/>
  <c r="D441" i="31"/>
  <c r="D229" i="31"/>
  <c r="E194" i="31"/>
  <c r="E528" i="31"/>
  <c r="D370" i="31"/>
  <c r="E136" i="31"/>
  <c r="D641" i="31"/>
  <c r="D554" i="31"/>
  <c r="E150" i="31"/>
  <c r="E429" i="31"/>
  <c r="D20" i="31"/>
  <c r="E358" i="31"/>
  <c r="D356" i="31"/>
  <c r="E403" i="31"/>
  <c r="D590" i="31"/>
  <c r="D610" i="31"/>
  <c r="D351" i="31"/>
  <c r="D437" i="31"/>
  <c r="D276" i="31"/>
  <c r="E426" i="31"/>
  <c r="D251" i="31"/>
  <c r="D512" i="31"/>
  <c r="D151" i="31"/>
  <c r="D596" i="31"/>
  <c r="D461" i="31"/>
  <c r="D536" i="31"/>
  <c r="D239" i="31"/>
  <c r="E24" i="31"/>
  <c r="D215" i="31"/>
  <c r="E254" i="31"/>
  <c r="E492" i="31"/>
  <c r="D562" i="31"/>
  <c r="E278" i="31"/>
  <c r="E91" i="31"/>
  <c r="D233" i="31"/>
  <c r="D552" i="31"/>
  <c r="D109" i="31"/>
  <c r="D346" i="31"/>
  <c r="D5" i="31"/>
  <c r="D217" i="31"/>
  <c r="E443" i="31"/>
  <c r="D534" i="31"/>
  <c r="E530" i="31"/>
  <c r="D564" i="31"/>
  <c r="E94" i="31"/>
  <c r="D95" i="31"/>
  <c r="D555" i="31"/>
  <c r="D91" i="31"/>
  <c r="E647" i="31"/>
  <c r="E77" i="31"/>
  <c r="D613" i="31"/>
  <c r="E60" i="31"/>
  <c r="D143" i="31"/>
  <c r="E593" i="31"/>
  <c r="D140" i="31"/>
  <c r="E78" i="31"/>
  <c r="D288" i="31"/>
  <c r="E366" i="31"/>
  <c r="E23" i="31"/>
  <c r="D219" i="31"/>
  <c r="D530" i="31"/>
  <c r="E219" i="31"/>
  <c r="E373" i="31"/>
  <c r="E289" i="31"/>
  <c r="D296" i="31"/>
  <c r="E370" i="31"/>
  <c r="E35" i="31"/>
  <c r="D615" i="31"/>
  <c r="E321" i="31"/>
  <c r="D557" i="31"/>
  <c r="E142" i="31"/>
  <c r="D192" i="31"/>
  <c r="E636" i="31"/>
  <c r="E408" i="31"/>
  <c r="D315" i="31"/>
  <c r="E322" i="31"/>
  <c r="D640" i="31"/>
  <c r="D178" i="31"/>
  <c r="D97" i="31"/>
  <c r="E407" i="31"/>
  <c r="E80" i="31"/>
  <c r="E105" i="31"/>
  <c r="E290" i="31"/>
  <c r="E392" i="31"/>
  <c r="E507" i="31"/>
  <c r="E203" i="31"/>
  <c r="D475" i="31"/>
  <c r="D13" i="31"/>
  <c r="E166" i="31"/>
  <c r="E389" i="31"/>
  <c r="E255" i="31"/>
  <c r="E471" i="31"/>
  <c r="D245" i="31"/>
  <c r="D460" i="31"/>
  <c r="D486" i="31"/>
  <c r="E467" i="31"/>
  <c r="E256" i="31"/>
  <c r="E264" i="31"/>
  <c r="E172" i="31"/>
  <c r="E347" i="31"/>
  <c r="D514" i="31"/>
  <c r="D121" i="31"/>
  <c r="E390" i="31"/>
  <c r="D372" i="31"/>
  <c r="E350" i="31"/>
  <c r="E211" i="31"/>
  <c r="E284" i="31"/>
  <c r="D595" i="31"/>
  <c r="E267" i="31"/>
  <c r="D467" i="31"/>
  <c r="E253" i="31"/>
  <c r="D617" i="31"/>
  <c r="D241" i="31"/>
  <c r="E293" i="31"/>
  <c r="D80" i="31"/>
  <c r="E527" i="31"/>
  <c r="D561" i="31"/>
  <c r="D432" i="31"/>
  <c r="D186" i="31"/>
  <c r="E308" i="31"/>
  <c r="E177" i="31"/>
  <c r="E405" i="31"/>
  <c r="E41" i="31"/>
  <c r="E469" i="31"/>
  <c r="E582" i="31"/>
  <c r="E361" i="31"/>
  <c r="E116" i="31"/>
  <c r="E73" i="31"/>
  <c r="D434" i="31"/>
  <c r="E17" i="31"/>
  <c r="D382" i="31"/>
  <c r="E568" i="31"/>
  <c r="E420" i="31"/>
  <c r="D102" i="31"/>
  <c r="D622" i="31"/>
  <c r="E83" i="31"/>
  <c r="E128" i="31"/>
  <c r="E525" i="31"/>
  <c r="E107" i="31"/>
  <c r="E588" i="31"/>
  <c r="D41" i="31"/>
  <c r="E207" i="31"/>
  <c r="E318" i="31"/>
  <c r="E356" i="31"/>
  <c r="D449" i="31"/>
  <c r="E334" i="31"/>
  <c r="E190" i="31"/>
  <c r="E575" i="31"/>
  <c r="E423" i="31"/>
  <c r="E61" i="31"/>
  <c r="D132" i="31"/>
  <c r="D320" i="31"/>
  <c r="D294" i="31"/>
  <c r="E493" i="31"/>
  <c r="E414" i="31"/>
  <c r="D476" i="31"/>
  <c r="E68" i="31"/>
  <c r="E226" i="31"/>
  <c r="D416" i="31"/>
  <c r="E634" i="31"/>
  <c r="D400" i="31"/>
  <c r="D220" i="31"/>
  <c r="E644" i="31"/>
  <c r="E239" i="31"/>
  <c r="D579" i="31"/>
  <c r="E617" i="31"/>
  <c r="E573" i="31"/>
  <c r="D154" i="31"/>
  <c r="E165" i="31"/>
  <c r="D305" i="31"/>
  <c r="E642" i="31"/>
  <c r="E169" i="31"/>
  <c r="D600" i="31"/>
  <c r="E46" i="31"/>
  <c r="D330" i="31"/>
  <c r="E624" i="31"/>
  <c r="E146" i="31"/>
  <c r="D597" i="31"/>
  <c r="D25" i="31"/>
  <c r="D45" i="31"/>
  <c r="E621" i="31"/>
  <c r="D433" i="31"/>
  <c r="D523" i="31"/>
  <c r="D148" i="31"/>
  <c r="D452" i="31"/>
  <c r="D532" i="31"/>
  <c r="E131" i="31"/>
  <c r="D272" i="31"/>
  <c r="E227" i="31"/>
  <c r="E250" i="31"/>
  <c r="D354" i="31"/>
  <c r="D119" i="31"/>
  <c r="D301" i="31"/>
  <c r="E551" i="31"/>
  <c r="E149" i="31"/>
  <c r="D585" i="31"/>
  <c r="D353" i="31"/>
  <c r="E363" i="31"/>
  <c r="D270" i="31"/>
  <c r="E567" i="31"/>
  <c r="E263" i="31"/>
  <c r="E438" i="31"/>
  <c r="D176" i="31"/>
  <c r="D340" i="31"/>
  <c r="E341" i="31"/>
  <c r="E229" i="31"/>
  <c r="D413" i="31"/>
  <c r="D93" i="31"/>
  <c r="E463" i="31"/>
  <c r="D387" i="31"/>
  <c r="E31" i="31"/>
  <c r="E291" i="31"/>
  <c r="E482" i="31"/>
  <c r="D406" i="31"/>
  <c r="E508" i="31"/>
  <c r="E561" i="31"/>
  <c r="E452" i="31"/>
  <c r="E272" i="31"/>
  <c r="D14" i="31"/>
  <c r="D337" i="31"/>
  <c r="D565" i="31"/>
  <c r="D292" i="31"/>
  <c r="E95" i="31"/>
  <c r="D632" i="31"/>
  <c r="E296" i="31"/>
  <c r="D604" i="31"/>
  <c r="D243" i="31"/>
  <c r="D279" i="31"/>
  <c r="D130" i="31"/>
  <c r="D395" i="31"/>
  <c r="E466" i="31"/>
  <c r="E425" i="31"/>
  <c r="D350" i="31"/>
  <c r="D86" i="31"/>
  <c r="D325" i="31"/>
  <c r="D234" i="31"/>
  <c r="D181" i="31"/>
  <c r="E222" i="31"/>
  <c r="D491" i="31"/>
  <c r="E26" i="31"/>
  <c r="E93" i="31"/>
  <c r="E114" i="31"/>
  <c r="E445" i="31"/>
  <c r="E6" i="31"/>
  <c r="E15" i="31"/>
  <c r="E421" i="31"/>
  <c r="D494" i="31"/>
  <c r="E532" i="31"/>
  <c r="D540" i="31"/>
  <c r="E87" i="31"/>
  <c r="D23" i="31"/>
  <c r="D79" i="31"/>
  <c r="E427" i="31"/>
  <c r="E273" i="31"/>
  <c r="D290" i="31"/>
  <c r="E609" i="31"/>
  <c r="E576" i="31"/>
  <c r="E441" i="31"/>
  <c r="E66" i="31"/>
  <c r="D103" i="31"/>
  <c r="E148" i="31"/>
  <c r="E626" i="31"/>
  <c r="D94" i="31"/>
  <c r="E592" i="31"/>
  <c r="D421" i="31"/>
  <c r="D144" i="31"/>
  <c r="E208" i="31"/>
  <c r="D62" i="31"/>
  <c r="D183" i="31"/>
  <c r="D71" i="31"/>
  <c r="E7" i="31"/>
  <c r="D298" i="31"/>
  <c r="E40" i="31"/>
  <c r="E67" i="31"/>
  <c r="E411" i="31"/>
  <c r="D618" i="31"/>
  <c r="D50" i="31"/>
  <c r="E465" i="31"/>
  <c r="D114" i="31"/>
  <c r="D599" i="31"/>
  <c r="E537" i="31"/>
  <c r="D392" i="31"/>
  <c r="E108" i="31"/>
  <c r="D341" i="31"/>
  <c r="E317" i="31"/>
  <c r="D381" i="31"/>
  <c r="E595" i="31"/>
  <c r="E600" i="31"/>
  <c r="E191" i="31"/>
  <c r="D182" i="31"/>
  <c r="D72" i="31"/>
  <c r="D205" i="31"/>
  <c r="E364" i="31"/>
  <c r="E646" i="31"/>
  <c r="E327" i="31"/>
  <c r="D468" i="31"/>
  <c r="E218" i="31"/>
  <c r="E112" i="31"/>
  <c r="E512" i="31"/>
  <c r="D101" i="31"/>
  <c r="D537" i="31"/>
  <c r="D484" i="31"/>
  <c r="D236" i="31"/>
  <c r="E232" i="31"/>
  <c r="D65" i="31"/>
  <c r="E596" i="31"/>
  <c r="E162" i="31"/>
  <c r="E246" i="31"/>
  <c r="D214" i="31"/>
  <c r="D594" i="31"/>
  <c r="D193" i="31"/>
  <c r="D281" i="31"/>
  <c r="D208" i="31"/>
  <c r="D459" i="31"/>
  <c r="D30" i="31"/>
  <c r="D429" i="31"/>
  <c r="E32" i="31"/>
  <c r="E533" i="31"/>
  <c r="E100" i="31"/>
  <c r="D34" i="31"/>
  <c r="E86" i="31"/>
  <c r="E141" i="31"/>
  <c r="E275" i="31"/>
  <c r="E505" i="31"/>
  <c r="D457" i="31"/>
  <c r="E559" i="31"/>
  <c r="E301" i="31"/>
  <c r="D368" i="31"/>
  <c r="E117" i="31"/>
  <c r="D390" i="31"/>
  <c r="D81" i="31"/>
  <c r="D157" i="31"/>
  <c r="D517" i="31"/>
  <c r="D506" i="31"/>
  <c r="E295" i="31"/>
  <c r="E542" i="31"/>
  <c r="D644" i="31"/>
  <c r="E422" i="31"/>
  <c r="D527" i="31"/>
  <c r="E386" i="31"/>
  <c r="D22" i="31"/>
  <c r="D545" i="31"/>
  <c r="E375" i="31"/>
  <c r="D558" i="31"/>
  <c r="E400" i="31"/>
  <c r="E526" i="31"/>
  <c r="E82" i="31"/>
  <c r="D195" i="31"/>
  <c r="D163" i="31"/>
  <c r="E51" i="31"/>
  <c r="E402" i="31"/>
  <c r="D602" i="31"/>
  <c r="E594" i="31"/>
  <c r="E388" i="31"/>
  <c r="D426" i="31"/>
  <c r="E156" i="31"/>
  <c r="D27" i="31"/>
  <c r="E384" i="31"/>
  <c r="D633" i="31"/>
  <c r="D64" i="31"/>
  <c r="D492" i="31"/>
  <c r="D316" i="31"/>
  <c r="D593" i="31"/>
  <c r="E104" i="31"/>
  <c r="E628" i="31"/>
  <c r="E187" i="31"/>
  <c r="D548" i="31"/>
  <c r="E433" i="31"/>
  <c r="E406" i="31"/>
  <c r="E323" i="31"/>
  <c r="E608" i="31"/>
  <c r="E244" i="31"/>
  <c r="E245" i="31"/>
  <c r="E611" i="31"/>
  <c r="D47" i="31"/>
  <c r="D611" i="31"/>
  <c r="D37" i="31"/>
  <c r="E367" i="31"/>
  <c r="E69" i="31"/>
  <c r="D405" i="31"/>
  <c r="E249" i="31"/>
  <c r="E523" i="31"/>
  <c r="E279" i="31"/>
  <c r="E266" i="31"/>
  <c r="E103" i="31"/>
  <c r="D90" i="31"/>
  <c r="D249" i="31"/>
  <c r="E315" i="31"/>
  <c r="D415" i="31"/>
  <c r="D385" i="31"/>
  <c r="D190" i="31"/>
  <c r="E270" i="31"/>
  <c r="E199" i="31"/>
  <c r="E37" i="31"/>
  <c r="E416" i="31"/>
  <c r="D520" i="31"/>
  <c r="D116" i="31"/>
  <c r="D363" i="31"/>
  <c r="D88" i="31"/>
  <c r="E565" i="31"/>
  <c r="E522" i="31"/>
  <c r="E171" i="31"/>
  <c r="D409" i="31"/>
  <c r="E163" i="31"/>
  <c r="D402" i="31"/>
  <c r="E419" i="31"/>
  <c r="D345" i="31"/>
  <c r="D456" i="31"/>
  <c r="D333" i="31"/>
  <c r="E620" i="31"/>
  <c r="E579" i="31"/>
  <c r="E613" i="31"/>
  <c r="E637" i="31"/>
  <c r="D569" i="31"/>
  <c r="E397" i="31"/>
  <c r="E285" i="31"/>
  <c r="E21" i="31"/>
  <c r="D3" i="31"/>
  <c r="E96" i="31"/>
  <c r="E615" i="31"/>
  <c r="D287" i="31"/>
  <c r="D75" i="31"/>
  <c r="E89" i="31"/>
  <c r="E238" i="31"/>
  <c r="D427" i="31"/>
  <c r="E618" i="31"/>
  <c r="D580" i="31"/>
  <c r="E484" i="31"/>
  <c r="D482" i="31"/>
  <c r="E566" i="31"/>
  <c r="E260" i="31"/>
  <c r="E36" i="31"/>
  <c r="E368" i="31"/>
  <c r="E404" i="31"/>
  <c r="E335" i="31"/>
  <c r="E214" i="31"/>
  <c r="D648" i="31"/>
  <c r="E152" i="31"/>
  <c r="D603" i="31"/>
  <c r="E435" i="31"/>
  <c r="D371" i="31"/>
  <c r="E338" i="31"/>
  <c r="D631" i="31"/>
  <c r="E164" i="31"/>
  <c r="D6" i="31"/>
  <c r="E90" i="31"/>
  <c r="E302" i="31"/>
  <c r="D127" i="31"/>
  <c r="D556" i="31"/>
  <c r="E519" i="31"/>
  <c r="D589" i="31"/>
  <c r="D259" i="31"/>
  <c r="D496" i="31"/>
  <c r="E599" i="31"/>
  <c r="E251" i="31"/>
  <c r="D262" i="31"/>
  <c r="E124" i="31"/>
  <c r="E468" i="31"/>
  <c r="D518" i="31"/>
  <c r="D524" i="31"/>
  <c r="D162" i="31"/>
  <c r="D202" i="31"/>
  <c r="D280" i="31"/>
  <c r="E557" i="31"/>
  <c r="D82" i="31"/>
  <c r="E607" i="31"/>
  <c r="E127" i="31"/>
  <c r="E473" i="31"/>
  <c r="E305" i="31"/>
  <c r="D194" i="31"/>
  <c r="E241" i="31"/>
  <c r="D158" i="31"/>
  <c r="E125" i="31"/>
  <c r="D447" i="31"/>
  <c r="E428" i="31"/>
  <c r="D619" i="31"/>
  <c r="D637" i="31"/>
  <c r="E381" i="31"/>
  <c r="E417" i="31"/>
  <c r="D230" i="31"/>
  <c r="D177" i="31"/>
  <c r="D319" i="31"/>
  <c r="D347" i="31"/>
  <c r="D418" i="31"/>
  <c r="E29" i="31"/>
  <c r="D396" i="31"/>
  <c r="E248" i="31"/>
  <c r="E418" i="31"/>
  <c r="D642" i="31"/>
  <c r="D198" i="31"/>
  <c r="E53" i="31"/>
  <c r="E412" i="31"/>
  <c r="D267" i="31"/>
  <c r="D391" i="31"/>
  <c r="D495" i="31"/>
  <c r="D184" i="31"/>
  <c r="D445" i="31"/>
  <c r="D366" i="31"/>
  <c r="E71" i="31"/>
  <c r="E236" i="31"/>
  <c r="D291" i="31"/>
  <c r="D332" i="31"/>
  <c r="E189" i="31"/>
  <c r="E401" i="31"/>
  <c r="E490" i="31"/>
  <c r="D384" i="31"/>
  <c r="D435" i="31"/>
  <c r="D293" i="31"/>
  <c r="E510" i="31"/>
  <c r="E598" i="31"/>
  <c r="E549" i="31"/>
  <c r="D310" i="31"/>
  <c r="D323" i="31"/>
  <c r="D329" i="31"/>
  <c r="E133" i="31"/>
  <c r="D634" i="31"/>
  <c r="E123" i="31"/>
  <c r="D466" i="31"/>
  <c r="D196" i="31"/>
  <c r="E158" i="31"/>
  <c r="D542" i="31"/>
  <c r="E325" i="31"/>
  <c r="D638" i="31"/>
  <c r="E147" i="31"/>
  <c r="D125" i="31"/>
  <c r="E456" i="31"/>
  <c r="E52" i="31"/>
  <c r="E5" i="31"/>
  <c r="E548" i="31"/>
  <c r="E202" i="31"/>
  <c r="D257" i="31"/>
  <c r="D502" i="31"/>
  <c r="E478" i="31"/>
  <c r="E182" i="31"/>
  <c r="E355" i="31"/>
  <c r="D576" i="31"/>
  <c r="E457" i="31"/>
  <c r="E206" i="31"/>
  <c r="E494" i="31"/>
  <c r="E500" i="31"/>
  <c r="D204" i="31"/>
  <c r="E627" i="31"/>
  <c r="D100" i="31"/>
  <c r="E603" i="31"/>
  <c r="E33" i="31"/>
  <c r="D228" i="31"/>
  <c r="D168" i="31"/>
  <c r="D487" i="31"/>
  <c r="D254" i="31"/>
  <c r="D203" i="31"/>
  <c r="D464" i="31"/>
  <c r="D263" i="31"/>
  <c r="E115" i="31"/>
  <c r="D306" i="31"/>
  <c r="D174" i="31"/>
  <c r="D608" i="31"/>
  <c r="D455" i="31"/>
  <c r="D187" i="31"/>
  <c r="D61" i="31"/>
  <c r="D173" i="31"/>
  <c r="E173" i="31"/>
  <c r="D577" i="31"/>
  <c r="E562" i="31"/>
  <c r="E511" i="31"/>
  <c r="D586" i="31"/>
  <c r="D374" i="31"/>
  <c r="D508" i="31"/>
  <c r="E81" i="31"/>
  <c r="D222" i="31"/>
  <c r="E221" i="31"/>
  <c r="D60" i="31"/>
  <c r="D136" i="31"/>
  <c r="D87" i="31"/>
  <c r="E180" i="31"/>
  <c r="E453" i="31"/>
  <c r="D489" i="31"/>
  <c r="E216" i="31"/>
  <c r="E430" i="31"/>
  <c r="E610" i="31"/>
  <c r="D110" i="31"/>
  <c r="E113" i="31"/>
  <c r="D21" i="31"/>
  <c r="D126" i="31"/>
  <c r="E307" i="31"/>
  <c r="E587" i="31"/>
  <c r="D431" i="31"/>
  <c r="D149" i="31"/>
  <c r="E298" i="31"/>
  <c r="E564" i="31"/>
  <c r="E11" i="31"/>
  <c r="E550" i="31"/>
  <c r="D317" i="31"/>
  <c r="E154" i="31"/>
  <c r="E209" i="31"/>
  <c r="D269" i="31"/>
  <c r="E545" i="31"/>
  <c r="D331" i="31"/>
  <c r="D483" i="31"/>
  <c r="E167" i="31"/>
  <c r="E311" i="31"/>
  <c r="E372" i="31"/>
  <c r="E143" i="31"/>
  <c r="D209" i="31"/>
  <c r="D339" i="31"/>
  <c r="E501" i="31"/>
  <c r="D551" i="31"/>
  <c r="D171" i="31"/>
  <c r="D120" i="31"/>
  <c r="E120" i="31"/>
  <c r="E625" i="31"/>
  <c r="D490" i="31"/>
  <c r="E28" i="31"/>
  <c r="E153" i="31"/>
  <c r="D414" i="31"/>
  <c r="E204" i="31"/>
  <c r="E49" i="31"/>
  <c r="E633" i="31"/>
  <c r="E151" i="31"/>
  <c r="E477" i="31"/>
  <c r="E641" i="31"/>
  <c r="D138" i="31"/>
  <c r="E299" i="31"/>
  <c r="D348" i="31"/>
  <c r="D252" i="31"/>
  <c r="D55" i="31"/>
  <c r="D261" i="31"/>
  <c r="E464" i="31"/>
  <c r="D256" i="31"/>
  <c r="E198" i="31"/>
  <c r="D544" i="31"/>
  <c r="D238" i="31"/>
  <c r="E365" i="31"/>
  <c r="D67" i="31"/>
  <c r="D394" i="31"/>
  <c r="D485" i="31"/>
  <c r="D43" i="31"/>
  <c r="D273" i="31"/>
  <c r="D9" i="31"/>
  <c r="E324" i="31"/>
  <c r="E259" i="31"/>
  <c r="D578" i="31"/>
  <c r="E62" i="31"/>
  <c r="E314" i="31"/>
  <c r="D572" i="31"/>
  <c r="D369" i="31"/>
  <c r="E129" i="31"/>
  <c r="E212" i="31"/>
  <c r="E379" i="31"/>
  <c r="D7" i="31"/>
  <c r="D161" i="31"/>
  <c r="D107" i="31"/>
  <c r="D235" i="31"/>
  <c r="E569" i="31"/>
  <c r="E306" i="31"/>
  <c r="E75" i="31"/>
  <c r="E340" i="31"/>
  <c r="E371" i="31"/>
  <c r="D66" i="31"/>
  <c r="E329" i="31"/>
  <c r="E563" i="31"/>
  <c r="E487" i="31"/>
  <c r="E461" i="31"/>
  <c r="E597" i="31"/>
  <c r="E193" i="31"/>
  <c r="E497" i="31"/>
  <c r="E118" i="31"/>
  <c r="E140" i="31"/>
  <c r="D539" i="31"/>
  <c r="E353" i="31"/>
  <c r="D440" i="31"/>
  <c r="D32" i="31"/>
  <c r="E540" i="31"/>
  <c r="E354" i="31"/>
  <c r="D250" i="31"/>
  <c r="D118" i="31"/>
  <c r="E506" i="31"/>
  <c r="E39" i="31"/>
  <c r="D169" i="31"/>
  <c r="E606" i="31"/>
  <c r="D69" i="31"/>
  <c r="D85" i="31"/>
  <c r="E268" i="31"/>
  <c r="E413" i="31"/>
  <c r="E374" i="31"/>
  <c r="E518" i="31"/>
  <c r="E12" i="31"/>
  <c r="D621" i="31"/>
  <c r="E233" i="31"/>
  <c r="E237" i="31"/>
  <c r="D164" i="31"/>
  <c r="D592" i="31"/>
  <c r="E439" i="31"/>
  <c r="D16" i="31"/>
  <c r="D398" i="31"/>
  <c r="E288" i="31"/>
  <c r="E22" i="31"/>
  <c r="D365" i="31"/>
  <c r="E345" i="31"/>
  <c r="E348" i="31"/>
  <c r="D52" i="31"/>
  <c r="D498" i="31"/>
  <c r="D63" i="31"/>
  <c r="D201" i="31"/>
  <c r="E396" i="31"/>
  <c r="D96" i="31"/>
  <c r="E157" i="31"/>
  <c r="E539" i="31"/>
  <c r="E581" i="31"/>
  <c r="E326" i="31"/>
  <c r="E601" i="31"/>
  <c r="E192" i="31"/>
  <c r="D438" i="31"/>
  <c r="E395" i="31"/>
  <c r="E502" i="31"/>
  <c r="E179" i="31"/>
  <c r="D304" i="31"/>
  <c r="E101" i="31"/>
  <c r="E380" i="31"/>
  <c r="E431" i="31"/>
  <c r="D336" i="31"/>
  <c r="E339" i="31"/>
  <c r="E602" i="31"/>
  <c r="E432" i="31"/>
  <c r="E486" i="31"/>
  <c r="D226" i="31"/>
  <c r="D646" i="31"/>
  <c r="D549" i="31"/>
  <c r="E391" i="31"/>
  <c r="E639" i="31"/>
  <c r="D244" i="31"/>
  <c r="D533" i="31"/>
  <c r="D478" i="31"/>
  <c r="E188" i="31"/>
  <c r="E333" i="31"/>
  <c r="E224" i="31"/>
  <c r="E277" i="31"/>
  <c r="E449" i="31"/>
  <c r="D407" i="31"/>
  <c r="E98" i="31"/>
  <c r="D335" i="31"/>
  <c r="D454" i="31"/>
  <c r="D191" i="31"/>
  <c r="E174" i="31"/>
  <c r="E558" i="31"/>
  <c r="E451" i="31"/>
  <c r="E648" i="31"/>
  <c r="E472" i="31"/>
  <c r="E556" i="31"/>
  <c r="E481" i="31"/>
  <c r="D8" i="31"/>
  <c r="E499" i="31"/>
  <c r="D212" i="31"/>
  <c r="D480" i="31"/>
  <c r="D349" i="31"/>
  <c r="E605" i="31"/>
  <c r="D240" i="31"/>
  <c r="D295" i="31"/>
  <c r="D568" i="31"/>
  <c r="D44" i="31"/>
  <c r="D389" i="31"/>
  <c r="E50" i="31"/>
  <c r="D425" i="31"/>
  <c r="E385" i="31"/>
  <c r="E586" i="31"/>
  <c r="E4" i="31"/>
  <c r="E415" i="31"/>
  <c r="D443" i="31"/>
  <c r="E34" i="31"/>
  <c r="E454" i="31"/>
  <c r="D68" i="31"/>
  <c r="D224" i="31"/>
  <c r="E110" i="31"/>
  <c r="E541" i="31"/>
  <c r="E447" i="31"/>
  <c r="D401" i="31"/>
  <c r="E25" i="31"/>
  <c r="D420" i="31"/>
  <c r="E524" i="31"/>
  <c r="D481" i="31"/>
  <c r="E183" i="31"/>
  <c r="E281" i="31"/>
  <c r="D453" i="31"/>
  <c r="E30" i="31"/>
  <c r="E119" i="31"/>
  <c r="E280" i="31"/>
  <c r="D588" i="31"/>
  <c r="E176" i="31"/>
  <c r="E632" i="31"/>
  <c r="E547" i="31"/>
  <c r="D131" i="31"/>
  <c r="D591" i="31"/>
  <c r="D499" i="31"/>
  <c r="E225" i="31"/>
  <c r="E515" i="31"/>
  <c r="D165" i="31"/>
  <c r="E619" i="31"/>
  <c r="E79" i="31"/>
  <c r="D73" i="31"/>
  <c r="D442" i="31"/>
  <c r="D180" i="31"/>
  <c r="E572" i="31"/>
  <c r="E184" i="31"/>
  <c r="D303" i="31"/>
  <c r="D232" i="31"/>
  <c r="D362" i="31"/>
  <c r="D206" i="31"/>
  <c r="D479" i="31"/>
  <c r="E303" i="31"/>
  <c r="D628" i="31"/>
  <c r="D581" i="31"/>
  <c r="D128" i="31"/>
  <c r="D521" i="31"/>
  <c r="E560" i="31"/>
  <c r="E92" i="31"/>
  <c r="E351" i="31"/>
  <c r="D56" i="31"/>
  <c r="D647" i="31"/>
  <c r="D300" i="31"/>
  <c r="D156" i="31"/>
  <c r="D145" i="31"/>
  <c r="D625" i="31"/>
  <c r="D35" i="31"/>
  <c r="D210" i="31"/>
  <c r="D312" i="31"/>
  <c r="E331" i="31"/>
  <c r="E261" i="31"/>
  <c r="D113" i="31"/>
  <c r="D451" i="31"/>
  <c r="E18" i="31"/>
  <c r="D529" i="31"/>
  <c r="E393" i="31"/>
  <c r="E332" i="31"/>
  <c r="E213" i="31"/>
  <c r="E16" i="31"/>
  <c r="D89" i="31"/>
  <c r="E57" i="31"/>
  <c r="E252" i="31"/>
  <c r="D516" i="31"/>
  <c r="E130" i="31"/>
  <c r="E440" i="31"/>
  <c r="E312" i="31"/>
  <c r="D160" i="31"/>
  <c r="D11" i="31"/>
  <c r="E97" i="31"/>
  <c r="D538" i="31"/>
  <c r="E554" i="31"/>
  <c r="E8" i="31"/>
  <c r="D525" i="31"/>
  <c r="D513" i="31"/>
  <c r="D328" i="31"/>
  <c r="D15" i="31"/>
  <c r="D10" i="31"/>
  <c r="E543" i="31"/>
  <c r="D343" i="31"/>
  <c r="D573" i="31"/>
  <c r="D635" i="31"/>
  <c r="E159" i="31"/>
  <c r="D78" i="31"/>
  <c r="D92" i="31"/>
  <c r="E328" i="31"/>
  <c r="D19" i="31"/>
  <c r="D83" i="31"/>
  <c r="D318" i="31"/>
  <c r="E316" i="31"/>
  <c r="D515" i="31"/>
  <c r="E485" i="31"/>
  <c r="D463" i="31"/>
  <c r="E459" i="31"/>
  <c r="D582" i="31"/>
  <c r="D285" i="31"/>
  <c r="D277" i="31"/>
  <c r="E520" i="31"/>
  <c r="E64" i="31"/>
  <c r="E42" i="31"/>
  <c r="E70" i="31"/>
  <c r="D501" i="31"/>
  <c r="D299" i="31"/>
  <c r="D446" i="31"/>
  <c r="E442" i="31"/>
  <c r="D636" i="31"/>
  <c r="E337" i="31"/>
  <c r="D216" i="31"/>
  <c r="E84" i="31"/>
  <c r="D309" i="31"/>
  <c r="E178" i="31"/>
  <c r="E517" i="31"/>
  <c r="D410" i="31"/>
  <c r="D104" i="31"/>
  <c r="D76" i="31"/>
  <c r="D553" i="31"/>
  <c r="E635" i="31"/>
  <c r="D519" i="31"/>
  <c r="E631" i="31"/>
  <c r="E589" i="31"/>
  <c r="D614" i="31"/>
  <c r="E242" i="31"/>
  <c r="E424" i="31"/>
  <c r="E458" i="31"/>
  <c r="D59" i="31"/>
  <c r="E591" i="31"/>
  <c r="E612" i="31"/>
  <c r="D422" i="31"/>
  <c r="E269" i="31"/>
  <c r="E398" i="31"/>
  <c r="E495" i="31"/>
  <c r="D248" i="31"/>
  <c r="D399" i="31"/>
  <c r="D289" i="31"/>
  <c r="D546" i="31"/>
  <c r="E48" i="31"/>
  <c r="E479" i="31"/>
  <c r="D223" i="31"/>
  <c r="E448" i="31"/>
  <c r="D283" i="31"/>
  <c r="D327" i="31"/>
  <c r="D117" i="31"/>
  <c r="E145" i="31"/>
  <c r="E614" i="31"/>
  <c r="E346" i="31"/>
  <c r="E205" i="31"/>
  <c r="D547" i="31"/>
  <c r="D439" i="31"/>
  <c r="D503" i="31"/>
  <c r="D155" i="31"/>
  <c r="E378" i="31"/>
  <c r="D570" i="31"/>
  <c r="E584" i="31"/>
  <c r="D375" i="31"/>
  <c r="E294" i="31"/>
  <c r="E144" i="31"/>
  <c r="D108" i="31"/>
  <c r="D605" i="31"/>
  <c r="D607" i="31"/>
  <c r="D39" i="31"/>
  <c r="D473" i="31"/>
  <c r="E377" i="31"/>
  <c r="D123" i="31"/>
  <c r="E577" i="31"/>
  <c r="D465" i="31"/>
  <c r="E434" i="31"/>
  <c r="D284" i="31"/>
  <c r="D575" i="31"/>
  <c r="D111" i="31"/>
  <c r="E483" i="31"/>
  <c r="D424" i="31"/>
  <c r="D417" i="31"/>
  <c r="E215" i="31"/>
  <c r="E362" i="31"/>
  <c r="D36" i="31"/>
  <c r="D139" i="31"/>
  <c r="E489" i="31"/>
  <c r="D444" i="31"/>
  <c r="E292" i="31"/>
  <c r="D361" i="31"/>
  <c r="D388" i="31"/>
  <c r="D271" i="31"/>
  <c r="D358" i="31"/>
  <c r="E161" i="31"/>
  <c r="E14" i="31"/>
  <c r="E185" i="31"/>
  <c r="E265" i="31"/>
  <c r="D526" i="31"/>
  <c r="D133" i="31"/>
  <c r="E580" i="31"/>
  <c r="D170" i="31"/>
  <c r="D598" i="31"/>
  <c r="E444" i="31"/>
  <c r="E629" i="31"/>
  <c r="D274" i="31"/>
  <c r="D175" i="31"/>
  <c r="D302" i="31"/>
  <c r="E313" i="31"/>
  <c r="D253" i="31"/>
  <c r="D129" i="31"/>
  <c r="D627" i="31"/>
  <c r="D645" i="31"/>
  <c r="E19" i="31"/>
  <c r="D147" i="31"/>
  <c r="E3" i="31"/>
  <c r="E570" i="31"/>
  <c r="D462" i="31"/>
  <c r="D221" i="31"/>
  <c r="E536" i="31"/>
  <c r="D17" i="31"/>
  <c r="D535" i="31"/>
  <c r="E604" i="31"/>
  <c r="E45" i="31"/>
  <c r="E217" i="31"/>
  <c r="D360" i="31"/>
  <c r="E585" i="31"/>
  <c r="D423" i="31"/>
  <c r="E638" i="31"/>
  <c r="E258" i="31"/>
  <c r="D268" i="31"/>
  <c r="E529" i="31"/>
  <c r="E195" i="31"/>
  <c r="E234" i="31"/>
  <c r="D367" i="31"/>
  <c r="D258" i="31"/>
  <c r="E235" i="31"/>
  <c r="E186" i="31"/>
  <c r="E387" i="31"/>
  <c r="E553" i="31"/>
  <c r="E470" i="31"/>
  <c r="E516" i="31"/>
  <c r="D470" i="31"/>
  <c r="E462" i="31"/>
  <c r="E155" i="31"/>
  <c r="E170" i="31"/>
  <c r="D197" i="31"/>
  <c r="E247" i="31"/>
  <c r="E498" i="31"/>
  <c r="E88" i="31"/>
  <c r="E200" i="31"/>
  <c r="D584" i="31"/>
  <c r="E640" i="31"/>
  <c r="E300" i="31"/>
  <c r="D282" i="31"/>
  <c r="D246" i="31"/>
  <c r="D493" i="31"/>
  <c r="E436" i="31"/>
  <c r="D419" i="31"/>
  <c r="E201" i="31"/>
  <c r="E475" i="31"/>
  <c r="E450" i="31"/>
  <c r="E590" i="31"/>
  <c r="E220" i="31"/>
  <c r="E319" i="31"/>
  <c r="E126" i="31"/>
  <c r="E196" i="31"/>
  <c r="E509" i="31"/>
  <c r="E309" i="31"/>
  <c r="E359" i="31"/>
  <c r="E622" i="31"/>
  <c r="D324" i="31"/>
  <c r="D528" i="31"/>
  <c r="D571" i="31"/>
  <c r="D626" i="31"/>
  <c r="E243" i="31"/>
  <c r="D4" i="31"/>
  <c r="D199" i="31"/>
  <c r="E437" i="31"/>
  <c r="E27" i="31"/>
  <c r="E513" i="31"/>
  <c r="D507" i="31"/>
  <c r="D218" i="31"/>
  <c r="D448" i="31"/>
  <c r="E13" i="31"/>
  <c r="E383" i="31"/>
  <c r="D500" i="31"/>
  <c r="E175" i="31"/>
  <c r="E65" i="31"/>
  <c r="D152" i="31"/>
  <c r="D359" i="31"/>
  <c r="E496" i="31"/>
  <c r="E583" i="31"/>
  <c r="E488" i="31"/>
  <c r="D122" i="31"/>
  <c r="D24" i="31"/>
  <c r="E349" i="31"/>
  <c r="D146" i="31"/>
  <c r="D53" i="31"/>
  <c r="E369" i="31"/>
  <c r="D563" i="31"/>
  <c r="D150" i="31"/>
  <c r="E44" i="31"/>
  <c r="D264" i="31"/>
  <c r="E134" i="31"/>
  <c r="D623" i="31"/>
  <c r="E55" i="31"/>
  <c r="D472" i="31"/>
  <c r="E54" i="31"/>
  <c r="D380" i="31"/>
  <c r="D373" i="31"/>
  <c r="E555" i="31"/>
  <c r="D624" i="31"/>
  <c r="D620" i="31"/>
  <c r="D40" i="31"/>
  <c r="D326" i="31"/>
  <c r="E574" i="31"/>
  <c r="E630" i="31"/>
  <c r="E168" i="31"/>
  <c r="D105" i="31"/>
  <c r="D213" i="31"/>
  <c r="E571" i="31"/>
  <c r="E623" i="31"/>
  <c r="E446" i="31"/>
  <c r="D344" i="31"/>
  <c r="D352" i="31"/>
  <c r="E410" i="31"/>
  <c r="E74" i="31"/>
  <c r="D386" i="31"/>
  <c r="D51" i="31"/>
  <c r="D355" i="31"/>
  <c r="D172" i="31"/>
  <c r="D364" i="31"/>
  <c r="E274" i="31"/>
  <c r="E109" i="31"/>
  <c r="E138" i="31"/>
  <c r="D322" i="31"/>
  <c r="D403" i="31"/>
  <c r="D550" i="31"/>
  <c r="D430" i="31"/>
  <c r="E231" i="31"/>
  <c r="E102" i="31"/>
  <c r="D58" i="31"/>
  <c r="D142" i="31"/>
  <c r="E121" i="31"/>
  <c r="D404" i="31"/>
  <c r="E43" i="31"/>
  <c r="D179" i="31"/>
  <c r="E531" i="31"/>
  <c r="E99" i="31"/>
  <c r="E480" i="31"/>
  <c r="D379" i="31"/>
  <c r="E85" i="31"/>
  <c r="D124" i="31"/>
  <c r="E230" i="31"/>
  <c r="E276" i="31"/>
  <c r="D38" i="31"/>
  <c r="D606" i="31"/>
  <c r="E344" i="31"/>
  <c r="E320" i="31"/>
  <c r="E63" i="31"/>
  <c r="D159" i="31"/>
  <c r="D28" i="31"/>
  <c r="E360" i="31"/>
  <c r="D436" i="31"/>
  <c r="D166" i="31"/>
  <c r="D29" i="31"/>
  <c r="D313" i="31"/>
  <c r="D376" i="31"/>
  <c r="E223" i="31"/>
  <c r="D504" i="31"/>
  <c r="E139" i="31"/>
  <c r="D488" i="31"/>
  <c r="D207" i="31"/>
  <c r="E504" i="31"/>
  <c r="D260" i="31"/>
  <c r="E578" i="31"/>
  <c r="E56" i="31"/>
  <c r="E122" i="31"/>
  <c r="D242" i="31"/>
  <c r="D505" i="31"/>
  <c r="D141" i="31"/>
  <c r="E330" i="31"/>
  <c r="D321" i="31"/>
  <c r="E343" i="31"/>
  <c r="D255" i="31"/>
  <c r="D188" i="31"/>
  <c r="E310" i="31"/>
  <c r="D408" i="31"/>
  <c r="D200" i="31"/>
  <c r="E491" i="31"/>
  <c r="D84" i="31"/>
  <c r="D247" i="31"/>
  <c r="E342" i="31"/>
  <c r="E286" i="31"/>
  <c r="D397" i="31"/>
  <c r="D469" i="31"/>
  <c r="D412" i="31"/>
  <c r="D616" i="31"/>
  <c r="E503" i="31"/>
  <c r="E240" i="31"/>
  <c r="D511" i="31"/>
  <c r="E72" i="31"/>
  <c r="D297" i="31"/>
  <c r="E135" i="31"/>
  <c r="E474" i="31"/>
  <c r="D135" i="31"/>
  <c r="D342" i="31"/>
  <c r="D42" i="31"/>
  <c r="D286" i="31"/>
  <c r="D77" i="31"/>
  <c r="D26" i="31"/>
  <c r="E287" i="31"/>
  <c r="E137" i="31"/>
  <c r="E382" i="31"/>
  <c r="E399" i="31"/>
  <c r="D265" i="31"/>
  <c r="D583" i="31"/>
  <c r="D338" i="31"/>
  <c r="E58" i="31"/>
  <c r="D477" i="31"/>
  <c r="D639" i="31"/>
  <c r="D70" i="31"/>
  <c r="D458" i="31"/>
  <c r="D509" i="31"/>
  <c r="E376" i="31"/>
  <c r="E544" i="31"/>
  <c r="D167" i="31"/>
  <c r="E643" i="31"/>
  <c r="D227" i="31"/>
  <c r="E76" i="31"/>
  <c r="E160" i="31"/>
  <c r="D46" i="31"/>
  <c r="E210" i="31"/>
  <c r="D378" i="31"/>
  <c r="E476" i="31"/>
  <c r="D98" i="31"/>
  <c r="E9" i="31"/>
  <c r="D587" i="31"/>
  <c r="E197" i="31"/>
  <c r="E552" i="31"/>
  <c r="E271" i="31"/>
  <c r="D112" i="31"/>
  <c r="D393" i="31"/>
  <c r="D153" i="31"/>
  <c r="E283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<sst xmlns="http://schemas.openxmlformats.org/spreadsheetml/2006/main" count="17735" uniqueCount="5950">
  <si>
    <t xml:space="preserve">MASTER LIST FOR REPAIR SERVICE </t>
  </si>
  <si>
    <t>Total</t>
  </si>
  <si>
    <t>Type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</si>
  <si>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</si>
  <si>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</si>
  <si>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</si>
  <si>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</si>
  <si>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</si>
  <si>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</si>
  <si>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</si>
  <si>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</si>
  <si>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</si>
  <si>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</si>
  <si>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</si>
  <si>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cus</t>
  </si>
  <si>
    <t>Location</t>
  </si>
  <si>
    <t>Warranty_Date</t>
  </si>
  <si>
    <t>ExFM</t>
  </si>
  <si>
    <t>Part_List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</si>
  <si>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</si>
  <si>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</si>
  <si>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</si>
  <si>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</si>
  <si>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</si>
  <si>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</si>
  <si>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</si>
  <si>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</si>
  <si>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</si>
  <si>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</si>
  <si>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</si>
  <si>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</si>
  <si>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</si>
  <si>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</si>
  <si>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</si>
  <si>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</si>
  <si>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</si>
  <si>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</si>
  <si>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</si>
  <si>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</si>
  <si>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</si>
  <si>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</si>
  <si>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</si>
  <si>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</si>
  <si>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</si>
  <si>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</si>
  <si>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</si>
  <si>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</si>
  <si>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</si>
  <si>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</si>
  <si>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</si>
  <si>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</si>
  <si>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</si>
  <si>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</si>
  <si>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</si>
  <si>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</si>
  <si>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</si>
  <si>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</si>
  <si>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</si>
  <si>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</si>
  <si>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</si>
  <si>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</si>
  <si>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</si>
  <si>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</si>
  <si>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</si>
  <si>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</si>
  <si>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</si>
  <si>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</si>
  <si>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</si>
  <si>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</si>
  <si>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</si>
  <si>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</si>
  <si>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</si>
  <si>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</si>
  <si>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Link</t>
  </si>
  <si>
    <t>Receive</t>
  </si>
  <si>
    <t>MJ_mn</t>
  </si>
  <si>
    <t>Technical_Report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</si>
  <si>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</si>
  <si>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</si>
  <si>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</si>
  <si>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</si>
  <si>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</si>
  <si>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</si>
  <si>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</si>
  <si>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</si>
  <si>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</si>
  <si>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</si>
  <si>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</si>
  <si>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</si>
  <si>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</si>
  <si>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</si>
  <si>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</si>
  <si>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</si>
  <si>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</si>
  <si>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</si>
  <si>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</si>
  <si>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</si>
  <si>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</si>
  <si>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</si>
  <si>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</si>
  <si>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</si>
  <si>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</si>
  <si>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</si>
  <si>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</si>
  <si>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</si>
  <si>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</si>
  <si>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</si>
  <si>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</si>
  <si>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</si>
  <si>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</si>
  <si>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</si>
  <si>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</si>
  <si>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</si>
  <si>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Create date</t>
  </si>
  <si>
    <t>RG202A554</t>
  </si>
  <si>
    <t>1C692K118</t>
  </si>
  <si>
    <t>5G348A524</t>
  </si>
  <si>
    <t>Thai Binh Hospital</t>
  </si>
  <si>
    <t>2G391K960</t>
  </si>
  <si>
    <t>Part avaible</t>
  </si>
  <si>
    <t>Loi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</si>
  <si>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</si>
  <si>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</si>
  <si>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</si>
  <si>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</si>
  <si>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</si>
  <si>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</si>
  <si>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</si>
  <si>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</si>
  <si>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</si>
  <si>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</si>
  <si>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</si>
  <si>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</si>
  <si>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</si>
  <si>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</si>
  <si>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</si>
  <si>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</si>
  <si>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</si>
  <si>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</si>
  <si>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4"/>
  </si>
  <si>
    <t>算出基準日</t>
  </si>
  <si>
    <t>棚卸番号</t>
  </si>
  <si>
    <t>資産登録№</t>
  </si>
  <si>
    <t>資産名称</t>
  </si>
  <si>
    <t>シリアル</t>
    <phoneticPr fontId="27"/>
  </si>
  <si>
    <t>数量</t>
    <phoneticPr fontId="27"/>
  </si>
  <si>
    <t>設置場所</t>
    <rPh sb="0" eb="2">
      <t>セッチ</t>
    </rPh>
    <rPh sb="2" eb="4">
      <t>バショ</t>
    </rPh>
    <phoneticPr fontId="27"/>
  </si>
  <si>
    <t>資産ごとの簿価</t>
    <rPh sb="0" eb="2">
      <t>シサン</t>
    </rPh>
    <rPh sb="5" eb="7">
      <t>ボカ</t>
    </rPh>
    <phoneticPr fontId="27"/>
  </si>
  <si>
    <t>コメント</t>
    <phoneticPr fontId="27"/>
  </si>
  <si>
    <t>ED-530XT       FD102A   501G1  1D102K034</t>
  </si>
  <si>
    <t>1D102K034</t>
    <phoneticPr fontId="27"/>
  </si>
  <si>
    <t>ﾊﾞｸﾏｲ病院</t>
    <phoneticPr fontId="27"/>
  </si>
  <si>
    <t>ISA含めた簿価</t>
    <rPh sb="3" eb="4">
      <t>フク</t>
    </rPh>
    <rPh sb="6" eb="8">
      <t>ボカ</t>
    </rPh>
    <phoneticPr fontId="27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</si>
  <si>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</si>
  <si>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</si>
  <si>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</si>
  <si>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</si>
  <si>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</si>
  <si>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</si>
  <si>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</si>
  <si>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</si>
  <si>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</si>
  <si>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</si>
  <si>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</si>
  <si>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</si>
  <si>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</si>
  <si>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</si>
  <si>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</si>
  <si>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</si>
  <si>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</si>
  <si>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</si>
  <si>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</si>
  <si>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</si>
  <si>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</si>
  <si>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</si>
  <si>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</si>
  <si>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</si>
  <si>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7"/>
  </si>
  <si>
    <t>1D102K035</t>
    <phoneticPr fontId="27"/>
  </si>
  <si>
    <t>ISA-D102A-5               ROHS　1D102K035</t>
    <phoneticPr fontId="27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</si>
  <si>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</si>
  <si>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</si>
  <si>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</si>
  <si>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</si>
  <si>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</si>
  <si>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</si>
  <si>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</si>
  <si>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</si>
  <si>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</si>
  <si>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</si>
  <si>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</si>
  <si>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</si>
  <si>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</si>
  <si>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</si>
  <si>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</si>
  <si>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</si>
  <si>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</si>
  <si>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</si>
  <si>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</si>
  <si>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</si>
  <si>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</si>
  <si>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</si>
  <si>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</si>
  <si>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</si>
  <si>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</si>
  <si>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</si>
  <si>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</si>
  <si>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</si>
  <si>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</si>
  <si>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</si>
  <si>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</si>
  <si>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</si>
  <si>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</si>
  <si>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</si>
  <si>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</si>
  <si>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</si>
  <si>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</si>
  <si>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</si>
  <si>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</si>
  <si>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</si>
  <si>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</si>
  <si>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</si>
  <si>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</si>
  <si>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</si>
  <si>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</si>
  <si>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</si>
  <si>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</si>
  <si>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</si>
  <si>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</si>
  <si>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</si>
  <si>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</si>
  <si>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</si>
  <si>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</si>
  <si>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</si>
  <si>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</si>
  <si>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</si>
  <si>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</si>
  <si>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</si>
  <si>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</si>
  <si>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</si>
  <si>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</si>
  <si>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</si>
  <si>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</si>
  <si>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</si>
  <si>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</si>
  <si>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</si>
  <si>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</si>
  <si>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</si>
  <si>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</si>
  <si>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</si>
  <si>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</si>
  <si>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</si>
  <si>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</si>
  <si>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</si>
  <si>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</si>
  <si>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</si>
  <si>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</si>
  <si>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</si>
  <si>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</si>
  <si>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</si>
  <si>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</si>
  <si>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</si>
  <si>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</si>
  <si>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</si>
  <si>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</si>
  <si>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</si>
  <si>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</si>
  <si>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</si>
  <si>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</si>
  <si>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</si>
  <si>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7"/>
  </si>
  <si>
    <t>Registration date</t>
    <phoneticPr fontId="27"/>
  </si>
  <si>
    <t>To be updated</t>
    <phoneticPr fontId="24"/>
  </si>
  <si>
    <t>Deliver from FFAP</t>
    <phoneticPr fontId="24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</si>
  <si>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</si>
  <si>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</si>
  <si>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</si>
  <si>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</si>
  <si>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</si>
  <si>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</si>
  <si>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</si>
  <si>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</si>
  <si>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</si>
  <si>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</si>
  <si>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</si>
  <si>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</si>
  <si>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</si>
  <si>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</si>
  <si>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</si>
  <si>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</si>
  <si>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</si>
  <si>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</si>
  <si>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</si>
  <si>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</si>
  <si>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</si>
  <si>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</si>
  <si>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Price</t>
  </si>
  <si>
    <t>hoang</t>
  </si>
  <si>
    <t>x</t>
  </si>
  <si>
    <t>esql select customer, model, sn,receive,mj_mn,issue,PIC, note from mlist where status='under inspection'</t>
  </si>
  <si>
    <t>Issue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</si>
  <si>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</si>
  <si>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</si>
  <si>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</si>
  <si>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</si>
  <si>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</si>
  <si>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</si>
  <si>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</si>
  <si>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</si>
  <si>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ExFM Status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</si>
  <si>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</si>
  <si>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</si>
  <si>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</si>
  <si>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</si>
  <si>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</si>
  <si>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</si>
  <si>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</si>
  <si>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</si>
  <si>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</si>
  <si>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</si>
  <si>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</si>
  <si>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</si>
  <si>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</si>
  <si>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</si>
  <si>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</si>
  <si>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</si>
  <si>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</si>
  <si>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</si>
  <si>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</si>
  <si>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</si>
  <si>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</si>
  <si>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</si>
  <si>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</si>
  <si>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</si>
  <si>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</si>
  <si>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</si>
  <si>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</si>
  <si>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</si>
  <si>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</si>
  <si>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</si>
  <si>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</si>
  <si>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</si>
  <si>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</si>
  <si>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</si>
  <si>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</si>
  <si>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</si>
  <si>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</si>
  <si>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</si>
  <si>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</si>
  <si>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</si>
  <si>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</si>
  <si>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</si>
  <si>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</si>
  <si>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</si>
  <si>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</si>
  <si>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</si>
  <si>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</si>
  <si>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</si>
  <si>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</si>
  <si>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</si>
  <si>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</si>
  <si>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</si>
  <si>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</si>
  <si>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</si>
  <si>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</si>
  <si>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</si>
  <si>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</si>
  <si>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</si>
  <si>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</si>
  <si>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</si>
  <si>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</si>
  <si>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</si>
  <si>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</si>
  <si>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</si>
  <si>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</si>
  <si>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</si>
  <si>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</si>
  <si>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</si>
  <si>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</si>
  <si>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</si>
  <si>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</si>
  <si>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</si>
  <si>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</si>
  <si>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</si>
  <si>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</si>
  <si>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</si>
  <si>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</si>
  <si>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</si>
  <si>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</si>
  <si>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</si>
  <si>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</si>
  <si>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</si>
  <si>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</si>
  <si>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</si>
  <si>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</si>
  <si>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</si>
  <si>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</si>
  <si>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</si>
  <si>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</si>
  <si>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</si>
  <si>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</si>
  <si>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</si>
  <si>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</si>
  <si>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</si>
  <si>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</si>
  <si>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</si>
  <si>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</si>
  <si>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</si>
  <si>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</si>
  <si>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</si>
  <si>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</si>
  <si>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</si>
  <si>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</si>
  <si>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</si>
  <si>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</si>
  <si>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</si>
  <si>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</si>
  <si>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</si>
  <si>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</si>
  <si>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</si>
  <si>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</si>
  <si>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</si>
  <si>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</si>
  <si>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</si>
  <si>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</si>
  <si>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</si>
  <si>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</si>
  <si>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</si>
  <si>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</si>
  <si>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</si>
  <si>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</si>
  <si>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</si>
  <si>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</si>
  <si>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</si>
  <si>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</si>
  <si>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</si>
  <si>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</si>
  <si>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</si>
  <si>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</si>
  <si>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</si>
  <si>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</si>
  <si>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</si>
  <si>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</si>
  <si>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</si>
  <si>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</si>
  <si>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</si>
  <si>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</si>
  <si>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</si>
  <si>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</si>
  <si>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</si>
  <si>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</si>
  <si>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</si>
  <si>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</si>
  <si>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</si>
  <si>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</si>
  <si>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</si>
  <si>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</si>
  <si>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</si>
  <si>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</si>
  <si>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</si>
  <si>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</si>
  <si>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</si>
  <si>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</si>
  <si>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</si>
  <si>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</si>
  <si>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</si>
  <si>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</si>
  <si>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</si>
  <si>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</si>
  <si>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</si>
  <si>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</si>
  <si>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</si>
  <si>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</si>
  <si>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</si>
  <si>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</si>
  <si>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</si>
  <si>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</si>
  <si>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</si>
  <si>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</si>
  <si>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</si>
  <si>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</si>
  <si>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</si>
  <si>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</si>
  <si>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</si>
  <si>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</si>
  <si>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</si>
  <si>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</si>
  <si>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</si>
  <si>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</si>
  <si>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</si>
  <si>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</si>
  <si>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</si>
  <si>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</si>
  <si>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</si>
  <si>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</si>
  <si>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</si>
  <si>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</si>
  <si>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</si>
  <si>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</si>
  <si>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</si>
  <si>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</si>
  <si>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</si>
  <si>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</si>
  <si>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</si>
  <si>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</si>
  <si>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</si>
  <si>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</si>
  <si>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</si>
  <si>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</si>
  <si>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</si>
  <si>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</si>
  <si>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</si>
  <si>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</si>
  <si>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</si>
  <si>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</si>
  <si>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</si>
  <si>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</si>
  <si>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</si>
  <si>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</si>
  <si>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</si>
  <si>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</si>
  <si>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</si>
  <si>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</si>
  <si>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</si>
  <si>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</si>
  <si>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</si>
  <si>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</si>
  <si>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</si>
  <si>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</si>
  <si>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</si>
  <si>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</si>
  <si>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</si>
  <si>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</si>
  <si>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</si>
  <si>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</si>
  <si>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</si>
  <si>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</si>
  <si>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</si>
  <si>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</si>
  <si>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</si>
  <si>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</si>
  <si>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</si>
  <si>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</si>
  <si>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</si>
  <si>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</si>
  <si>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</si>
  <si>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</si>
  <si>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</si>
  <si>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</si>
  <si>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</si>
  <si>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</si>
  <si>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</si>
  <si>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</si>
  <si>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</si>
  <si>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</si>
  <si>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</si>
  <si>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</si>
  <si>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</si>
  <si>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</si>
  <si>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</si>
  <si>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</si>
  <si>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</si>
  <si>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</si>
  <si>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</si>
  <si>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</si>
  <si>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</si>
  <si>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</si>
  <si>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</si>
  <si>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</si>
  <si>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</si>
  <si>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</si>
  <si>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</si>
  <si>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</si>
  <si>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</si>
  <si>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</si>
  <si>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</si>
  <si>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</si>
  <si>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</si>
  <si>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</si>
  <si>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</si>
  <si>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</si>
  <si>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</si>
  <si>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</si>
  <si>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</si>
  <si>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</si>
  <si>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</si>
  <si>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</si>
  <si>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</si>
  <si>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</si>
  <si>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</si>
  <si>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</si>
  <si>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</si>
  <si>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</si>
  <si>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</si>
  <si>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</si>
  <si>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</si>
  <si>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</si>
  <si>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</si>
  <si>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</si>
  <si>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</si>
  <si>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</si>
  <si>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</si>
  <si>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</si>
  <si>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</si>
  <si>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</si>
  <si>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</si>
  <si>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</si>
  <si>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</si>
  <si>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</si>
  <si>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</si>
  <si>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</si>
  <si>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</si>
  <si>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</si>
  <si>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</si>
  <si>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</si>
  <si>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</si>
  <si>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</si>
  <si>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</si>
  <si>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</si>
  <si>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</si>
  <si>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</si>
  <si>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</si>
  <si>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</si>
  <si>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</si>
  <si>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</si>
  <si>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</si>
  <si>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</si>
  <si>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</si>
  <si>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</si>
  <si>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</si>
  <si>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</si>
  <si>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</si>
  <si>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</si>
  <si>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</si>
  <si>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</si>
  <si>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</si>
  <si>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</si>
  <si>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</si>
  <si>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</si>
  <si>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</si>
  <si>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</si>
  <si>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</si>
  <si>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</si>
  <si>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</si>
  <si>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</si>
  <si>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</si>
  <si>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</si>
  <si>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</si>
  <si>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</si>
  <si>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</si>
  <si>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</si>
  <si>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</si>
  <si>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</si>
  <si>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</si>
  <si>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</si>
  <si>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</si>
  <si>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</si>
  <si>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</si>
  <si>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</si>
  <si>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</si>
  <si>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</si>
  <si>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</si>
  <si>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</si>
  <si>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</si>
  <si>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</si>
  <si>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</si>
  <si>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</si>
  <si>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</si>
  <si>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</si>
  <si>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</si>
  <si>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</si>
  <si>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</si>
  <si>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</si>
  <si>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</si>
  <si>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</si>
  <si>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</si>
  <si>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</si>
  <si>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</si>
  <si>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</si>
  <si>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</si>
  <si>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</si>
  <si>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</si>
  <si>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</si>
  <si>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</si>
  <si>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</si>
  <si>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</si>
  <si>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</si>
  <si>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</si>
  <si>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</si>
  <si>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</si>
  <si>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</si>
  <si>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</si>
  <si>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</si>
  <si>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</si>
  <si>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</si>
  <si>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</si>
  <si>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</si>
  <si>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</si>
  <si>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</si>
  <si>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</si>
  <si>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</si>
  <si>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</si>
  <si>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</si>
  <si>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</si>
  <si>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</si>
  <si>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</si>
  <si>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</si>
  <si>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</si>
  <si>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</si>
  <si>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</si>
  <si>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</si>
  <si>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</si>
  <si>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</si>
  <si>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</si>
  <si>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</si>
  <si>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</si>
  <si>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</si>
  <si>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</si>
  <si>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</si>
  <si>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</si>
  <si>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</si>
  <si>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</si>
  <si>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</si>
  <si>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</si>
  <si>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</si>
  <si>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</si>
  <si>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</si>
  <si>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</si>
  <si>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</si>
  <si>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</si>
  <si>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</si>
  <si>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</si>
  <si>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</si>
  <si>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</si>
  <si>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</si>
  <si>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</si>
  <si>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</si>
  <si>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</si>
  <si>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</si>
  <si>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</si>
  <si>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</si>
  <si>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</si>
  <si>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</si>
  <si>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</si>
  <si>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</si>
  <si>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</si>
  <si>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</si>
  <si>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</si>
  <si>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</si>
  <si>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</si>
  <si>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</si>
  <si>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</si>
  <si>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</si>
  <si>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</si>
  <si>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</si>
  <si>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</si>
  <si>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</si>
  <si>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</si>
  <si>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</si>
  <si>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</si>
  <si>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</si>
  <si>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</si>
  <si>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</si>
  <si>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</si>
  <si>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</si>
  <si>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</si>
  <si>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</si>
  <si>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</si>
  <si>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</si>
  <si>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</si>
  <si>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</si>
  <si>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</si>
  <si>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</si>
  <si>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</si>
  <si>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</si>
  <si>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</si>
  <si>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</si>
  <si>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</si>
  <si>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</si>
  <si>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</si>
  <si>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</si>
  <si>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</si>
  <si>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</si>
  <si>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</si>
  <si>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</si>
  <si>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</si>
  <si>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</si>
  <si>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</si>
  <si>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</si>
  <si>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</si>
  <si>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</si>
  <si>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</si>
  <si>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</si>
  <si>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</si>
  <si>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</si>
  <si>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</si>
  <si>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</si>
  <si>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</si>
  <si>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</si>
  <si>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</si>
  <si>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</si>
  <si>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</si>
  <si>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</si>
  <si>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</si>
  <si>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</si>
  <si>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</si>
  <si>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</si>
  <si>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</si>
  <si>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</si>
  <si>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</si>
  <si>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</si>
  <si>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</si>
  <si>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</si>
  <si>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</si>
  <si>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</si>
  <si>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</si>
  <si>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</si>
  <si>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</si>
  <si>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</si>
  <si>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</si>
  <si>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</si>
  <si>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</si>
  <si>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</si>
  <si>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</si>
  <si>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</si>
  <si>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</si>
  <si>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</si>
  <si>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</si>
  <si>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</si>
  <si>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</si>
  <si>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</si>
  <si>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</si>
  <si>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</si>
  <si>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</si>
  <si>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</si>
  <si>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</si>
  <si>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</si>
  <si>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</si>
  <si>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</si>
  <si>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</si>
  <si>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</si>
  <si>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</si>
  <si>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</si>
  <si>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</si>
  <si>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</si>
  <si>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</si>
  <si>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</si>
  <si>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</si>
  <si>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</si>
  <si>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</si>
  <si>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</si>
  <si>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</si>
  <si>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</si>
  <si>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</si>
  <si>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</si>
  <si>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</si>
  <si>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</si>
  <si>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</si>
  <si>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</si>
  <si>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</si>
  <si>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</si>
  <si>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</si>
  <si>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</si>
  <si>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</si>
  <si>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</si>
  <si>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</si>
  <si>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</si>
  <si>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</si>
  <si>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</si>
  <si>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</si>
  <si>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</si>
  <si>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</si>
  <si>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</si>
  <si>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</si>
  <si>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</si>
  <si>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</si>
  <si>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</si>
  <si>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</si>
  <si>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</si>
  <si>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</si>
  <si>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</si>
  <si>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</si>
  <si>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</si>
  <si>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</si>
  <si>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</si>
  <si>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</si>
  <si>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</si>
  <si>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</si>
  <si>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</si>
  <si>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</si>
  <si>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</si>
  <si>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</si>
  <si>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</si>
  <si>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</si>
  <si>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</si>
  <si>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</si>
  <si>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</si>
  <si>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</si>
  <si>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</si>
  <si>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</si>
  <si>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</si>
  <si>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</si>
  <si>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</si>
  <si>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</si>
  <si>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</si>
  <si>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</si>
  <si>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</si>
  <si>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</si>
  <si>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</si>
  <si>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</si>
  <si>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</si>
  <si>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</si>
  <si>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</si>
  <si>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</si>
  <si>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</si>
  <si>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</si>
  <si>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</si>
  <si>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</si>
  <si>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</si>
  <si>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</si>
  <si>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</si>
  <si>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</si>
  <si>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</si>
  <si>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</si>
  <si>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</si>
  <si>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</si>
  <si>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</si>
  <si>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</si>
  <si>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</si>
  <si>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</si>
  <si>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</si>
  <si>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</si>
  <si>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</si>
  <si>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</si>
  <si>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</si>
  <si>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</si>
  <si>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</si>
  <si>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</si>
  <si>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</si>
  <si>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</si>
  <si>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</si>
  <si>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</si>
  <si>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</si>
  <si>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</si>
  <si>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</si>
  <si>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</si>
  <si>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</si>
  <si>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</si>
  <si>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</si>
  <si>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</si>
  <si>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</si>
  <si>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</si>
  <si>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</si>
  <si>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</si>
  <si>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</si>
  <si>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</si>
  <si>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</si>
  <si>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</si>
  <si>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</si>
  <si>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</si>
  <si>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</si>
  <si>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</si>
  <si>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</si>
  <si>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</si>
  <si>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</si>
  <si>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</si>
  <si>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</si>
  <si>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</si>
  <si>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</si>
  <si>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</si>
  <si>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</si>
  <si>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</si>
  <si>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</si>
  <si>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</si>
  <si>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</si>
  <si>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</si>
  <si>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</si>
  <si>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</si>
  <si>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</si>
  <si>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</si>
  <si>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</si>
  <si>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</si>
  <si>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</si>
  <si>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</si>
  <si>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</si>
  <si>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</si>
  <si>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</si>
  <si>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</si>
  <si>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</si>
  <si>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</si>
  <si>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</si>
  <si>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</si>
  <si>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</si>
  <si>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</si>
  <si>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</si>
  <si>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</si>
  <si>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</si>
  <si>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</si>
  <si>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</si>
  <si>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</si>
  <si>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</si>
  <si>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</si>
  <si>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</si>
  <si>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</si>
  <si>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</si>
  <si>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</si>
  <si>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</si>
  <si>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</si>
  <si>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</si>
  <si>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</si>
  <si>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</si>
  <si>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</si>
  <si>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</si>
  <si>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</si>
  <si>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</si>
  <si>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</si>
  <si>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</si>
  <si>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</si>
  <si>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</si>
  <si>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</si>
  <si>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</si>
  <si>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</si>
  <si>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</si>
  <si>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</si>
  <si>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</si>
  <si>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</si>
  <si>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</si>
  <si>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</si>
  <si>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</si>
  <si>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</si>
  <si>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</si>
  <si>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</si>
  <si>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</si>
  <si>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</si>
  <si>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</si>
  <si>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</si>
  <si>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</si>
  <si>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</si>
  <si>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</si>
  <si>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</si>
  <si>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</si>
  <si>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</si>
  <si>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</si>
  <si>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</si>
  <si>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</si>
  <si>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</si>
  <si>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</si>
  <si>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</si>
  <si>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</si>
  <si>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</si>
  <si>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</si>
  <si>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</si>
  <si>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</si>
  <si>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</si>
  <si>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</si>
  <si>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</si>
  <si>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</si>
  <si>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</si>
  <si>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</si>
  <si>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</si>
  <si>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</si>
  <si>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</si>
  <si>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</si>
  <si>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</si>
  <si>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</si>
  <si>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</si>
  <si>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</si>
  <si>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</si>
  <si>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</si>
  <si>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</si>
  <si>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</si>
  <si>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</si>
  <si>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</si>
  <si>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</si>
  <si>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</si>
  <si>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</si>
  <si>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</si>
  <si>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</si>
  <si>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</si>
  <si>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</si>
  <si>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</si>
  <si>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</si>
  <si>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</si>
  <si>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</si>
  <si>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</si>
  <si>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</si>
  <si>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</si>
  <si>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</si>
  <si>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</si>
  <si>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</si>
  <si>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</si>
  <si>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</si>
  <si>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</si>
  <si>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</si>
  <si>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</si>
  <si>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</si>
  <si>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</si>
  <si>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</si>
  <si>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</si>
  <si>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</si>
  <si>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</si>
  <si>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</si>
  <si>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</si>
  <si>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</si>
  <si>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</si>
  <si>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</si>
  <si>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</si>
  <si>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</si>
  <si>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</si>
  <si>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</si>
  <si>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</si>
  <si>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</si>
  <si>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</si>
  <si>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</si>
  <si>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</si>
  <si>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</si>
  <si>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</si>
  <si>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</si>
  <si>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</si>
  <si>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</si>
  <si>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</si>
  <si>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</si>
  <si>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</si>
  <si>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</si>
  <si>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</si>
  <si>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</si>
  <si>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</si>
  <si>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</si>
  <si>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</si>
  <si>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</si>
  <si>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</si>
  <si>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</si>
  <si>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</si>
  <si>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</si>
  <si>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</si>
  <si>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</si>
  <si>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</si>
  <si>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</si>
  <si>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</si>
  <si>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</si>
  <si>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</si>
  <si>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</si>
  <si>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</si>
  <si>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</si>
  <si>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</si>
  <si>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</si>
  <si>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</si>
  <si>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</si>
  <si>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</si>
  <si>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</si>
  <si>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</si>
  <si>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</si>
  <si>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</si>
  <si>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</si>
  <si>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</si>
  <si>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</si>
  <si>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</si>
  <si>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</si>
  <si>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</si>
  <si>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</si>
  <si>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</si>
  <si>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</si>
  <si>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</si>
  <si>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</si>
  <si>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</si>
  <si>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</si>
  <si>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</si>
  <si>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</si>
  <si>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</si>
  <si>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</si>
  <si>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</si>
  <si>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</si>
  <si>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</si>
  <si>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</si>
  <si>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</si>
  <si>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</si>
  <si>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</si>
  <si>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</si>
  <si>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</si>
  <si>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</si>
  <si>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</si>
  <si>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</si>
  <si>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</si>
  <si>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</si>
  <si>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</si>
  <si>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</si>
  <si>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</si>
  <si>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</si>
  <si>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</si>
  <si>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</si>
  <si>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</si>
  <si>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</si>
  <si>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</si>
  <si>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</si>
  <si>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</si>
  <si>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</si>
  <si>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</si>
  <si>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</si>
  <si>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</si>
  <si>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</si>
  <si>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</si>
  <si>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</si>
  <si>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</si>
  <si>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</si>
  <si>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</si>
  <si>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</si>
  <si>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</si>
  <si>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Update</t>
  </si>
  <si>
    <t>530 MICON PCB</t>
  </si>
  <si>
    <t>installed date</t>
  </si>
  <si>
    <t>esql select Customer, Model, SN,mj_mn,Issue,PIC,Status,Note from mlist where status like '%Plan for next week' or status like '%under repair'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</si>
  <si>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</si>
  <si>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</si>
  <si>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</si>
  <si>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</si>
  <si>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</si>
  <si>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</si>
  <si>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</si>
  <si>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</si>
  <si>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</si>
  <si>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</si>
  <si>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</si>
  <si>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</si>
  <si>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</si>
  <si>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</si>
  <si>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</si>
  <si>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</si>
  <si>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</si>
  <si>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</si>
  <si>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</si>
  <si>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</si>
  <si>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</si>
  <si>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</si>
  <si>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</si>
  <si>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</si>
  <si>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</si>
  <si>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</si>
  <si>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</si>
  <si>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</si>
  <si>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</si>
  <si>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</si>
  <si>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</si>
  <si>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</si>
  <si>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</si>
  <si>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</si>
  <si>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</si>
  <si>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</si>
  <si>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</si>
  <si>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</si>
  <si>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</si>
  <si>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</si>
  <si>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</si>
  <si>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</si>
  <si>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</si>
  <si>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</si>
  <si>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</si>
  <si>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</si>
  <si>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</si>
  <si>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</si>
  <si>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</si>
  <si>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</si>
  <si>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</si>
  <si>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</si>
  <si>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</si>
  <si>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</si>
  <si>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</si>
  <si>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</si>
  <si>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</si>
  <si>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</si>
  <si>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</si>
  <si>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</si>
  <si>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</si>
  <si>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</si>
  <si>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</si>
  <si>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</si>
  <si>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</si>
  <si>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</si>
  <si>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</si>
  <si>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</si>
  <si>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</si>
  <si>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</si>
  <si>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</si>
  <si>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</si>
  <si>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</si>
  <si>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</si>
  <si>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</si>
  <si>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</si>
  <si>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</si>
  <si>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</si>
  <si>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</si>
  <si>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</si>
  <si>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</si>
  <si>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</si>
  <si>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</si>
  <si>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</si>
  <si>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</si>
  <si>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</si>
  <si>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</si>
  <si>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</si>
  <si>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</si>
  <si>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</si>
  <si>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</si>
  <si>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</si>
  <si>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</si>
  <si>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</si>
  <si>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</si>
  <si>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</si>
  <si>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</si>
  <si>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</si>
  <si>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</si>
  <si>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</si>
  <si>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</si>
  <si>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</si>
  <si>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</si>
  <si>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</si>
  <si>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</si>
  <si>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</si>
  <si>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</si>
  <si>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</si>
  <si>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</si>
  <si>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</si>
  <si>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</si>
  <si>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</si>
  <si>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</si>
  <si>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</si>
  <si>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</si>
  <si>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</si>
  <si>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</si>
  <si>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</si>
  <si>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</si>
  <si>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</si>
  <si>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</si>
  <si>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</si>
  <si>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</si>
  <si>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</si>
  <si>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</si>
  <si>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</si>
  <si>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</si>
  <si>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</si>
  <si>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</si>
  <si>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</si>
  <si>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</si>
  <si>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</si>
  <si>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</si>
  <si>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</si>
  <si>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</si>
  <si>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</si>
  <si>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</si>
  <si>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</si>
  <si>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</si>
  <si>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</si>
  <si>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</si>
  <si>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</si>
  <si>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</si>
  <si>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</si>
  <si>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</si>
  <si>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</si>
  <si>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</si>
  <si>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</si>
  <si>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</si>
  <si>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</si>
  <si>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</si>
  <si>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</si>
  <si>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</si>
  <si>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</si>
  <si>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</si>
  <si>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</si>
  <si>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</si>
  <si>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</si>
  <si>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</si>
  <si>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</si>
  <si>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</si>
  <si>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</si>
  <si>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</si>
  <si>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</si>
  <si>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</si>
  <si>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</si>
  <si>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</si>
  <si>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</si>
  <si>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</si>
  <si>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</si>
  <si>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</si>
  <si>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</si>
  <si>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</si>
  <si>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</si>
  <si>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</si>
  <si>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</si>
  <si>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</si>
  <si>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</si>
  <si>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</si>
  <si>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</si>
  <si>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</si>
  <si>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</si>
  <si>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</si>
  <si>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</si>
  <si>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</si>
  <si>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</si>
  <si>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</si>
  <si>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</si>
  <si>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</si>
  <si>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</si>
  <si>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</si>
  <si>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</si>
  <si>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</si>
  <si>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</si>
  <si>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</si>
  <si>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</si>
  <si>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</si>
  <si>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</si>
  <si>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</si>
  <si>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</si>
  <si>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</si>
  <si>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</si>
  <si>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</si>
  <si>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</si>
  <si>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</si>
  <si>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</si>
  <si>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</si>
  <si>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</si>
  <si>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</si>
  <si>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</si>
  <si>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</si>
  <si>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</si>
  <si>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</si>
  <si>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</si>
  <si>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</si>
  <si>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</si>
  <si>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</si>
  <si>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</si>
  <si>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</si>
  <si>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</si>
  <si>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</si>
  <si>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</si>
  <si>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</si>
  <si>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</si>
  <si>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</si>
  <si>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</si>
  <si>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</si>
  <si>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</si>
  <si>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</si>
  <si>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</si>
  <si>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</si>
  <si>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</si>
  <si>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</si>
  <si>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</si>
  <si>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</si>
  <si>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</si>
  <si>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</si>
  <si>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</si>
  <si>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</si>
  <si>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</si>
  <si>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</si>
  <si>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</si>
  <si>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</si>
  <si>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</si>
  <si>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</si>
  <si>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</si>
  <si>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</si>
  <si>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</si>
  <si>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</si>
  <si>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</si>
  <si>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</si>
  <si>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</si>
  <si>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</si>
  <si>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</si>
  <si>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</si>
  <si>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</si>
  <si>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</si>
  <si>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</si>
  <si>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</si>
  <si>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</si>
  <si>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</si>
  <si>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</si>
  <si>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</si>
  <si>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</si>
  <si>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</si>
  <si>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</si>
  <si>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</si>
  <si>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</si>
  <si>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</si>
  <si>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</si>
  <si>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</si>
  <si>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</si>
  <si>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</si>
  <si>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</si>
  <si>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</si>
  <si>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</si>
  <si>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</si>
  <si>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</si>
  <si>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</si>
  <si>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</si>
  <si>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</si>
  <si>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</si>
  <si>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</si>
  <si>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</si>
  <si>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</si>
  <si>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</si>
  <si>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</si>
  <si>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</si>
  <si>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</si>
  <si>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</si>
  <si>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</si>
  <si>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</si>
  <si>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</si>
  <si>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</si>
  <si>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</si>
  <si>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</si>
  <si>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</si>
  <si>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</si>
  <si>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</si>
  <si>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</si>
  <si>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</si>
  <si>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</si>
  <si>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</si>
  <si>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</si>
  <si>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</si>
  <si>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</si>
  <si>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</si>
  <si>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</si>
  <si>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</si>
  <si>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</si>
  <si>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</si>
  <si>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</si>
  <si>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</si>
  <si>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</si>
  <si>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</si>
  <si>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</si>
  <si>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</si>
  <si>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</si>
  <si>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</si>
  <si>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</si>
  <si>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</si>
  <si>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</si>
  <si>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</si>
  <si>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</si>
  <si>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</si>
  <si>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</si>
  <si>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</si>
  <si>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</si>
  <si>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</si>
  <si>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</si>
  <si>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</si>
  <si>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</si>
  <si>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</si>
  <si>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</si>
  <si>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</si>
  <si>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</si>
  <si>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</si>
  <si>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</si>
  <si>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</si>
  <si>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</si>
  <si>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</si>
  <si>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</si>
  <si>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</si>
  <si>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</si>
  <si>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</si>
  <si>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</si>
  <si>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</si>
  <si>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</si>
  <si>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</si>
  <si>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</si>
  <si>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</si>
  <si>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</si>
  <si>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</si>
  <si>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</si>
  <si>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</si>
  <si>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</si>
  <si>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</si>
  <si>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</si>
  <si>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</si>
  <si>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</si>
  <si>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</si>
  <si>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</si>
  <si>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</si>
  <si>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</si>
  <si>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</si>
  <si>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</si>
  <si>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</si>
  <si>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</si>
  <si>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</si>
  <si>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</si>
  <si>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</si>
  <si>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</si>
  <si>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</si>
  <si>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</si>
  <si>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</si>
  <si>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</si>
  <si>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</si>
  <si>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</si>
  <si>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</si>
  <si>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</si>
  <si>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</si>
  <si>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</si>
  <si>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</si>
  <si>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</si>
  <si>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</si>
  <si>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</si>
  <si>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</si>
  <si>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</si>
  <si>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</si>
  <si>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</si>
  <si>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</si>
  <si>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</si>
  <si>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</si>
  <si>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</si>
  <si>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</si>
  <si>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</si>
  <si>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</si>
  <si>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</si>
  <si>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</si>
  <si>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</si>
  <si>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</si>
  <si>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</si>
  <si>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</si>
  <si>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</si>
  <si>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</si>
  <si>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</si>
  <si>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</si>
  <si>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</si>
  <si>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</si>
  <si>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</si>
  <si>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</si>
  <si>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</si>
  <si>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</si>
  <si>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</si>
  <si>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</si>
  <si>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</si>
  <si>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</si>
  <si>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</si>
  <si>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</si>
  <si>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</si>
  <si>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</si>
  <si>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</si>
  <si>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</si>
  <si>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</si>
  <si>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</si>
  <si>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</si>
  <si>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</si>
  <si>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</si>
  <si>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</si>
  <si>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</si>
  <si>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</si>
  <si>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</si>
  <si>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</si>
  <si>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</si>
  <si>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</si>
  <si>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</si>
  <si>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</si>
  <si>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</si>
  <si>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</si>
  <si>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</si>
  <si>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</si>
  <si>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</si>
  <si>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</si>
  <si>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</si>
  <si>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</si>
  <si>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</si>
  <si>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</si>
  <si>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</si>
  <si>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</si>
  <si>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</si>
  <si>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</si>
  <si>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</si>
  <si>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</si>
  <si>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</si>
  <si>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</si>
  <si>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</si>
  <si>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</si>
  <si>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</si>
  <si>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</si>
  <si>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</si>
  <si>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</si>
  <si>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</si>
  <si>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</si>
  <si>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</si>
  <si>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</si>
  <si>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</si>
  <si>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</si>
  <si>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</si>
  <si>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</si>
  <si>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</si>
  <si>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</si>
  <si>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</si>
  <si>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</si>
  <si>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</si>
  <si>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</si>
  <si>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</si>
  <si>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</si>
  <si>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</si>
  <si>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</si>
  <si>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</si>
  <si>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</si>
  <si>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</si>
  <si>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</si>
  <si>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</si>
  <si>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</si>
  <si>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</si>
  <si>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</si>
  <si>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</si>
  <si>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</si>
  <si>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</si>
  <si>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</si>
  <si>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</si>
  <si>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</si>
  <si>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</si>
  <si>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</si>
  <si>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</si>
  <si>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</si>
  <si>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</si>
  <si>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</si>
  <si>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</si>
  <si>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</si>
  <si>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</si>
  <si>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</si>
  <si>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</si>
  <si>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</si>
  <si>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</si>
  <si>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</si>
  <si>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</si>
  <si>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</si>
  <si>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</si>
  <si>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</si>
  <si>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</si>
  <si>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</si>
  <si>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</si>
  <si>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</si>
  <si>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</si>
  <si>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</si>
  <si>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</si>
  <si>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</si>
  <si>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</si>
  <si>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</si>
  <si>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</si>
  <si>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</si>
  <si>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</si>
  <si>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</si>
  <si>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</si>
  <si>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</si>
  <si>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</si>
  <si>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</si>
  <si>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</si>
  <si>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</si>
  <si>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</si>
  <si>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</si>
  <si>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</si>
  <si>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</si>
  <si>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</si>
  <si>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</si>
  <si>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</si>
  <si>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</si>
  <si>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</si>
  <si>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</si>
  <si>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</si>
  <si>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</si>
  <si>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</si>
  <si>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</si>
  <si>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</si>
  <si>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</si>
  <si>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</si>
  <si>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</si>
  <si>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</si>
  <si>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</si>
  <si>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</si>
  <si>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</si>
  <si>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</si>
  <si>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</si>
  <si>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</si>
  <si>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</si>
  <si>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</si>
  <si>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</si>
  <si>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</si>
  <si>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</si>
  <si>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</si>
  <si>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</si>
  <si>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</si>
  <si>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</si>
  <si>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</si>
  <si>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</si>
  <si>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4. under approval process in the hospital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</si>
  <si>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</si>
  <si>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</si>
  <si>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</si>
  <si>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</si>
  <si>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</si>
  <si>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</si>
  <si>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</si>
  <si>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</si>
  <si>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</si>
  <si>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</si>
  <si>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</si>
  <si>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</si>
  <si>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</si>
  <si>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</si>
  <si>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</si>
  <si>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</si>
  <si>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</si>
  <si>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</si>
  <si>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</si>
  <si>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</si>
  <si>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</si>
  <si>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</si>
  <si>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</si>
  <si>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</si>
  <si>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</si>
  <si>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</si>
  <si>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</si>
  <si>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</si>
  <si>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</si>
  <si>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</si>
  <si>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</si>
  <si>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</si>
  <si>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</si>
  <si>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</si>
  <si>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</si>
  <si>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</si>
  <si>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</si>
  <si>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</si>
  <si>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</si>
  <si>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</si>
  <si>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</si>
  <si>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</si>
  <si>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</si>
  <si>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</si>
  <si>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</si>
  <si>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</si>
  <si>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</si>
  <si>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</si>
  <si>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</si>
  <si>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</si>
  <si>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</si>
  <si>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</si>
  <si>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</si>
  <si>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</si>
  <si>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</si>
  <si>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</si>
  <si>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</si>
  <si>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</si>
  <si>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</si>
  <si>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</si>
  <si>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</si>
  <si>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</si>
  <si>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</si>
  <si>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</si>
  <si>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</si>
  <si>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</si>
  <si>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</si>
  <si>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</si>
  <si>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</si>
  <si>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</si>
  <si>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</si>
  <si>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</si>
  <si>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</si>
  <si>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</si>
  <si>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</si>
  <si>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</si>
  <si>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</si>
  <si>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</si>
  <si>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</si>
  <si>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</si>
  <si>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</si>
  <si>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</si>
  <si>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</si>
  <si>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</si>
  <si>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</si>
  <si>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</si>
  <si>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</si>
  <si>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</si>
  <si>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</si>
  <si>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</si>
  <si>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</si>
  <si>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</si>
  <si>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</si>
  <si>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</si>
  <si>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</si>
  <si>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</si>
  <si>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</si>
  <si>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</si>
  <si>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</si>
  <si>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</si>
  <si>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</si>
  <si>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</si>
  <si>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</si>
  <si>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</si>
  <si>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</si>
  <si>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</si>
  <si>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</si>
  <si>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</si>
  <si>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</si>
  <si>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</si>
  <si>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</si>
  <si>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</si>
  <si>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</si>
  <si>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</si>
  <si>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</si>
  <si>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</si>
  <si>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</si>
  <si>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</si>
  <si>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</si>
  <si>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</si>
  <si>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</si>
  <si>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</si>
  <si>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</si>
  <si>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</si>
  <si>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</si>
  <si>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</si>
  <si>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</si>
  <si>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</si>
  <si>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</si>
  <si>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</si>
  <si>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</si>
  <si>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</si>
  <si>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</si>
  <si>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</si>
  <si>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</si>
  <si>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</si>
  <si>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</si>
  <si>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</si>
  <si>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</si>
  <si>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</si>
  <si>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</si>
  <si>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</si>
  <si>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</si>
  <si>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</si>
  <si>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</si>
  <si>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</si>
  <si>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</si>
  <si>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</si>
  <si>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</si>
  <si>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</si>
  <si>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Dealer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</si>
  <si>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</si>
  <si>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</si>
  <si>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</si>
  <si>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</si>
  <si>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</si>
  <si>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</si>
  <si>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</si>
  <si>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</si>
  <si>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</si>
  <si>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</si>
  <si>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</si>
  <si>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</si>
  <si>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</si>
  <si>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</si>
  <si>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</si>
  <si>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</si>
  <si>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</si>
  <si>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</si>
  <si>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</si>
  <si>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</si>
  <si>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</si>
  <si>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</si>
  <si>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</si>
  <si>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</si>
  <si>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</si>
  <si>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</si>
  <si>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</si>
  <si>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</si>
  <si>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</si>
  <si>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</si>
  <si>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</si>
  <si>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</si>
  <si>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</si>
  <si>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</si>
  <si>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</si>
  <si>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</si>
  <si>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</si>
  <si>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</si>
  <si>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</si>
  <si>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</si>
  <si>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</si>
  <si>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</si>
  <si>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</si>
  <si>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</si>
  <si>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</si>
  <si>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</si>
  <si>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</si>
  <si>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</si>
  <si>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</si>
  <si>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</si>
  <si>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</si>
  <si>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</si>
  <si>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</si>
  <si>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</si>
  <si>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</si>
  <si>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</si>
  <si>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</si>
  <si>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</si>
  <si>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</si>
  <si>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</si>
  <si>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Confirmation</t>
  </si>
  <si>
    <t>lbModel</t>
  </si>
  <si>
    <t>lbWTY</t>
  </si>
  <si>
    <t>txtReceived</t>
  </si>
  <si>
    <t>txtTR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</si>
  <si>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</si>
  <si>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</si>
  <si>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</si>
  <si>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</si>
  <si>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</si>
  <si>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</si>
  <si>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</si>
  <si>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</si>
  <si>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</si>
  <si>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</si>
  <si>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Territory</t>
  </si>
  <si>
    <t>Other ID</t>
  </si>
  <si>
    <t>Repair Size</t>
  </si>
  <si>
    <t>Update User</t>
  </si>
  <si>
    <t>REPAIR_STATUS</t>
  </si>
  <si>
    <t>Repair Status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</si>
  <si>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</si>
  <si>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</si>
  <si>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</si>
  <si>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</si>
  <si>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</si>
  <si>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</si>
  <si>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</si>
  <si>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</si>
  <si>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</si>
  <si>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</si>
  <si>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</si>
  <si>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</si>
  <si>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</si>
  <si>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</si>
  <si>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</si>
  <si>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</si>
  <si>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</si>
  <si>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</si>
  <si>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</si>
  <si>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</si>
  <si>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</si>
  <si>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</si>
  <si>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</si>
  <si>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</si>
  <si>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</si>
  <si>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</si>
  <si>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</si>
  <si>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</si>
  <si>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</si>
  <si>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</si>
  <si>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</si>
  <si>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</si>
  <si>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</si>
  <si>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</si>
  <si>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</si>
  <si>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</si>
  <si>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</si>
  <si>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</si>
  <si>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</si>
  <si>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</si>
  <si>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</si>
  <si>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</si>
  <si>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</si>
  <si>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</si>
  <si>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</si>
  <si>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</si>
  <si>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</si>
  <si>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</si>
  <si>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</si>
  <si>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</si>
  <si>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</si>
  <si>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</si>
  <si>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</si>
  <si>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</si>
  <si>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</si>
  <si>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</si>
  <si>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</si>
  <si>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</si>
  <si>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</si>
  <si>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</si>
  <si>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</si>
  <si>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</si>
  <si>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</si>
  <si>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</si>
  <si>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</si>
  <si>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</si>
  <si>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</si>
  <si>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</si>
  <si>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</si>
  <si>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</si>
  <si>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</si>
  <si>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</si>
  <si>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</si>
  <si>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</si>
  <si>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</si>
  <si>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</si>
  <si>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</si>
  <si>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</si>
  <si>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</si>
  <si>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</si>
  <si>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</si>
  <si>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</si>
  <si>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</si>
  <si>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</si>
  <si>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</si>
  <si>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</si>
  <si>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</si>
  <si>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</si>
  <si>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</si>
  <si>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</si>
  <si>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</si>
  <si>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</si>
  <si>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</si>
  <si>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</si>
  <si>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</si>
  <si>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</si>
  <si>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</si>
  <si>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</si>
  <si>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</si>
  <si>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</si>
  <si>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</si>
  <si>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</si>
  <si>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</si>
  <si>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</si>
  <si>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</si>
  <si>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</si>
  <si>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</si>
  <si>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</si>
  <si>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</si>
  <si>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</si>
  <si>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</si>
  <si>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</si>
  <si>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</si>
  <si>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</si>
  <si>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</si>
  <si>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</si>
  <si>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</si>
  <si>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</si>
  <si>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</si>
  <si>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</si>
  <si>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</si>
  <si>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</si>
  <si>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</si>
  <si>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</si>
  <si>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</si>
  <si>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</si>
  <si>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</si>
  <si>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</si>
  <si>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</si>
  <si>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</si>
  <si>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</si>
  <si>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</si>
  <si>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</si>
  <si>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</si>
  <si>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</si>
  <si>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</si>
  <si>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</si>
  <si>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</si>
  <si>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</si>
  <si>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</si>
  <si>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</si>
  <si>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</si>
  <si>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</si>
  <si>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</si>
  <si>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</si>
  <si>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</si>
  <si>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</si>
  <si>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</si>
  <si>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</si>
  <si>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</si>
  <si>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</si>
  <si>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</si>
  <si>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</si>
  <si>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</si>
  <si>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</si>
  <si>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</si>
  <si>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</si>
  <si>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</si>
  <si>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</si>
  <si>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</si>
  <si>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</si>
  <si>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</si>
  <si>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</si>
  <si>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</si>
  <si>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</si>
  <si>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</si>
  <si>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</si>
  <si>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</si>
  <si>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</si>
  <si>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</si>
  <si>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</si>
  <si>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</si>
  <si>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</si>
  <si>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</si>
  <si>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</si>
  <si>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</si>
  <si>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</si>
  <si>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</si>
  <si>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</si>
  <si>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</si>
  <si>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</si>
  <si>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</si>
  <si>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</si>
  <si>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</si>
  <si>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</si>
  <si>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</si>
  <si>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</si>
  <si>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</si>
  <si>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</si>
  <si>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</si>
  <si>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</si>
  <si>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</si>
  <si>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</si>
  <si>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</si>
  <si>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</si>
  <si>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</si>
  <si>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</si>
  <si>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</si>
  <si>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</si>
  <si>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</si>
  <si>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</si>
  <si>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</si>
  <si>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</si>
  <si>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</si>
  <si>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</si>
  <si>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</si>
  <si>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</si>
  <si>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</si>
  <si>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</si>
  <si>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</si>
  <si>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</si>
  <si>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</si>
  <si>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</si>
  <si>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</si>
  <si>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</si>
  <si>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</si>
  <si>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</si>
  <si>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</si>
  <si>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</si>
  <si>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</si>
  <si>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</si>
  <si>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</si>
  <si>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</si>
  <si>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</si>
  <si>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</si>
  <si>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</si>
  <si>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</si>
  <si>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</si>
  <si>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</si>
  <si>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</si>
  <si>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</si>
  <si>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</si>
  <si>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</si>
  <si>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</si>
  <si>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</si>
  <si>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</si>
  <si>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</si>
  <si>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</si>
  <si>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</si>
  <si>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</si>
  <si>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</si>
  <si>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</si>
  <si>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</si>
  <si>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</si>
  <si>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</si>
  <si>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</si>
  <si>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</si>
  <si>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</si>
  <si>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</si>
  <si>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</si>
  <si>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</si>
  <si>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</si>
  <si>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</si>
  <si>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</si>
  <si>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</si>
  <si>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</si>
  <si>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</si>
  <si>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</si>
  <si>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</si>
  <si>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</si>
  <si>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</si>
  <si>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</si>
  <si>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</si>
  <si>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</si>
  <si>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</si>
  <si>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</si>
  <si>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</si>
  <si>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</si>
  <si>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</si>
  <si>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</si>
  <si>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</si>
  <si>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</si>
  <si>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</si>
  <si>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</si>
  <si>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</si>
  <si>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</si>
  <si>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</si>
  <si>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</si>
  <si>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</si>
  <si>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</si>
  <si>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</si>
  <si>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</si>
  <si>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</si>
  <si>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</si>
  <si>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</si>
  <si>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</si>
  <si>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</si>
  <si>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</si>
  <si>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</si>
  <si>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</si>
  <si>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</si>
  <si>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</si>
  <si>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</si>
  <si>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</si>
  <si>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</si>
  <si>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</si>
  <si>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</si>
  <si>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</si>
  <si>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</si>
  <si>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</si>
  <si>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</si>
  <si>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</si>
  <si>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</si>
  <si>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</si>
  <si>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</si>
  <si>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</si>
  <si>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</si>
  <si>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</si>
  <si>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</si>
  <si>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</si>
  <si>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</si>
  <si>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</si>
  <si>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</si>
  <si>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</si>
  <si>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</si>
  <si>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</si>
  <si>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</si>
  <si>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</si>
  <si>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</si>
  <si>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</si>
  <si>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</si>
  <si>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</si>
  <si>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</si>
  <si>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</si>
  <si>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</si>
  <si>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</si>
  <si>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</si>
  <si>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</si>
  <si>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</si>
  <si>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</si>
  <si>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</si>
  <si>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</si>
  <si>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</si>
  <si>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</si>
  <si>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</si>
  <si>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</si>
  <si>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</si>
  <si>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</si>
  <si>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</si>
  <si>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</si>
  <si>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</si>
  <si>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</si>
  <si>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</si>
  <si>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</si>
  <si>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</si>
  <si>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</si>
  <si>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</si>
  <si>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</si>
  <si>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</si>
  <si>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</si>
  <si>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</si>
  <si>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</si>
  <si>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</si>
  <si>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</si>
  <si>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</si>
  <si>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</si>
  <si>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</si>
  <si>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</si>
  <si>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</si>
  <si>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</si>
  <si>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</si>
  <si>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</si>
  <si>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</si>
  <si>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</si>
  <si>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</si>
  <si>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</si>
  <si>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</si>
  <si>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</si>
  <si>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</si>
  <si>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</si>
  <si>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</si>
  <si>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</si>
  <si>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</si>
  <si>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</si>
  <si>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</si>
  <si>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</si>
  <si>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</si>
  <si>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</si>
  <si>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</si>
  <si>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</si>
  <si>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</si>
  <si>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</si>
  <si>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</si>
  <si>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</si>
  <si>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</si>
  <si>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</si>
  <si>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</si>
  <si>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</si>
  <si>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</si>
  <si>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</si>
  <si>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</si>
  <si>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</si>
  <si>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</si>
  <si>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</si>
  <si>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</si>
  <si>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</si>
  <si>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</si>
  <si>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</si>
  <si>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</si>
  <si>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</si>
  <si>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</si>
  <si>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</si>
  <si>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</si>
  <si>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</si>
  <si>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</si>
  <si>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</si>
  <si>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</si>
  <si>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</si>
  <si>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</si>
  <si>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</si>
  <si>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</si>
  <si>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</si>
  <si>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</si>
  <si>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</si>
  <si>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</si>
  <si>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</si>
  <si>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</si>
  <si>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</si>
  <si>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</si>
  <si>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</si>
  <si>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</si>
  <si>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</si>
  <si>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</si>
  <si>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</si>
  <si>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</si>
  <si>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</si>
  <si>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</si>
  <si>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</si>
  <si>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</si>
  <si>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</si>
  <si>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</si>
  <si>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</si>
  <si>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</si>
  <si>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</si>
  <si>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</si>
  <si>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</si>
  <si>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</si>
  <si>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</si>
  <si>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</si>
  <si>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</si>
  <si>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</si>
  <si>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</si>
  <si>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</si>
  <si>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</si>
  <si>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</si>
  <si>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</si>
  <si>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</si>
  <si>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</si>
  <si>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</si>
  <si>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</si>
  <si>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</si>
  <si>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</si>
  <si>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</si>
  <si>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</si>
  <si>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</si>
  <si>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</si>
  <si>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</si>
  <si>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</si>
  <si>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</si>
  <si>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</si>
  <si>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</si>
  <si>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</si>
  <si>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</si>
  <si>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</si>
  <si>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</si>
  <si>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</si>
  <si>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</si>
  <si>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</si>
  <si>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</si>
  <si>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</si>
  <si>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</si>
  <si>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</si>
  <si>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</si>
  <si>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</si>
  <si>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</si>
  <si>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</si>
  <si>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</si>
  <si>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</si>
  <si>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</si>
  <si>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</si>
  <si>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</si>
  <si>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</si>
  <si>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</si>
  <si>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</si>
  <si>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</si>
  <si>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</si>
  <si>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</si>
  <si>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</si>
  <si>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</si>
  <si>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</si>
  <si>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</si>
  <si>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</si>
  <si>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</si>
  <si>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</si>
  <si>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</si>
  <si>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</si>
  <si>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</si>
  <si>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</si>
  <si>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</si>
  <si>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</si>
  <si>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</si>
  <si>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</si>
  <si>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</si>
  <si>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</si>
  <si>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</si>
  <si>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</si>
  <si>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</si>
  <si>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</si>
  <si>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</si>
  <si>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</si>
  <si>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</si>
  <si>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</si>
  <si>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</si>
  <si>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</si>
  <si>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</si>
  <si>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</si>
  <si>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</si>
  <si>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</si>
  <si>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</si>
  <si>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</si>
  <si>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</si>
  <si>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</si>
  <si>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</si>
  <si>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</si>
  <si>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</si>
  <si>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</si>
  <si>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</si>
  <si>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</si>
  <si>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</si>
  <si>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</si>
  <si>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</si>
  <si>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</si>
  <si>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</si>
  <si>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</si>
  <si>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</si>
  <si>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</si>
  <si>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</si>
  <si>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</si>
  <si>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</si>
  <si>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</si>
  <si>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</si>
  <si>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</si>
  <si>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</si>
  <si>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</si>
  <si>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</si>
  <si>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</si>
  <si>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</si>
  <si>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</si>
  <si>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</si>
  <si>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</si>
  <si>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</si>
  <si>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</si>
  <si>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</si>
  <si>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</si>
  <si>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</si>
  <si>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</si>
  <si>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</si>
  <si>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</si>
  <si>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</si>
  <si>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</si>
  <si>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</si>
  <si>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</si>
  <si>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</si>
  <si>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</si>
  <si>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</si>
  <si>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</si>
  <si>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</si>
  <si>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</si>
  <si>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</si>
  <si>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</si>
  <si>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</si>
  <si>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</si>
  <si>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</si>
  <si>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</si>
  <si>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</si>
  <si>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</si>
  <si>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</si>
  <si>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</si>
  <si>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</si>
  <si>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</si>
  <si>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</si>
  <si>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</si>
  <si>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</si>
  <si>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</si>
  <si>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</si>
  <si>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</si>
  <si>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</si>
  <si>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</si>
  <si>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</si>
  <si>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</si>
  <si>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</si>
  <si>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</si>
  <si>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</si>
  <si>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</si>
  <si>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</si>
  <si>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</si>
  <si>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</si>
  <si>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</si>
  <si>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</si>
  <si>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</si>
  <si>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</si>
  <si>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</si>
  <si>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</si>
  <si>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</si>
  <si>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</si>
  <si>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</si>
  <si>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</si>
  <si>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</si>
  <si>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</si>
  <si>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</si>
  <si>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</si>
  <si>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</si>
  <si>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</si>
  <si>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</si>
  <si>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</si>
  <si>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</si>
  <si>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</si>
  <si>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</si>
  <si>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</si>
  <si>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</si>
  <si>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</si>
  <si>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</si>
  <si>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</si>
  <si>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</si>
  <si>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</si>
  <si>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</si>
  <si>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</si>
  <si>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</si>
  <si>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</si>
  <si>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</si>
  <si>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</si>
  <si>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</si>
  <si>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</si>
  <si>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</si>
  <si>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</si>
  <si>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</si>
  <si>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</si>
  <si>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</si>
  <si>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</si>
  <si>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</si>
  <si>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</si>
  <si>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</si>
  <si>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</si>
  <si>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</si>
  <si>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</si>
  <si>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</si>
  <si>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</si>
  <si>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</si>
  <si>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</si>
  <si>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</si>
  <si>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</si>
  <si>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</si>
  <si>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</si>
  <si>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</si>
  <si>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</si>
  <si>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</si>
  <si>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</si>
  <si>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</si>
  <si>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</si>
  <si>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</si>
  <si>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</si>
  <si>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</si>
  <si>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</si>
  <si>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</si>
  <si>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</si>
  <si>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</si>
  <si>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</si>
  <si>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</si>
  <si>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</si>
  <si>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</si>
  <si>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</si>
  <si>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</si>
  <si>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</si>
  <si>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</si>
  <si>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</si>
  <si>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</si>
  <si>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</si>
  <si>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</si>
  <si>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</si>
  <si>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</si>
  <si>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</si>
  <si>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</si>
  <si>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</si>
  <si>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</si>
  <si>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</si>
  <si>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</si>
  <si>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</si>
  <si>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</si>
  <si>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</si>
  <si>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</si>
  <si>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</si>
  <si>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</si>
  <si>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</si>
  <si>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</si>
  <si>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</si>
  <si>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</si>
  <si>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</si>
  <si>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</si>
  <si>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</si>
  <si>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</si>
  <si>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</si>
  <si>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</si>
  <si>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</si>
  <si>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</si>
  <si>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</si>
  <si>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</si>
  <si>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</si>
  <si>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</si>
  <si>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</si>
  <si>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</si>
  <si>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</si>
  <si>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</si>
  <si>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</si>
  <si>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</si>
  <si>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</si>
  <si>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</si>
  <si>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</si>
  <si>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</si>
  <si>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</si>
  <si>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</si>
  <si>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</si>
  <si>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</si>
  <si>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</si>
  <si>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</si>
  <si>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</si>
  <si>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</si>
  <si>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</si>
  <si>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</si>
  <si>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</si>
  <si>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</si>
  <si>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</si>
  <si>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</si>
  <si>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</si>
  <si>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</si>
  <si>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</si>
  <si>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</si>
  <si>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</si>
  <si>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</si>
  <si>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</si>
  <si>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</si>
  <si>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</si>
  <si>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</si>
  <si>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</si>
  <si>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</si>
  <si>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</si>
  <si>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</si>
  <si>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</si>
  <si>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</si>
  <si>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</si>
  <si>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</si>
  <si>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</si>
  <si>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</si>
  <si>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</si>
  <si>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</si>
  <si>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</si>
  <si>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</si>
  <si>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</si>
  <si>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</si>
  <si>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</si>
  <si>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</si>
  <si>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</si>
  <si>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</si>
  <si>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</si>
  <si>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</si>
  <si>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</si>
  <si>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</si>
  <si>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</si>
  <si>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</si>
  <si>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</si>
  <si>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</si>
  <si>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</si>
  <si>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</si>
  <si>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</si>
  <si>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</si>
  <si>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</si>
  <si>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</si>
  <si>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</si>
  <si>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</si>
  <si>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</si>
  <si>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</si>
  <si>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</si>
  <si>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</si>
  <si>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</si>
  <si>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</si>
  <si>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</si>
  <si>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</si>
  <si>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</si>
  <si>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</si>
  <si>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</si>
  <si>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</si>
  <si>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</si>
  <si>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</si>
  <si>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</si>
  <si>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</si>
  <si>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</si>
  <si>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</si>
  <si>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</si>
  <si>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</si>
  <si>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</si>
  <si>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</si>
  <si>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</si>
  <si>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</si>
  <si>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</si>
  <si>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</si>
  <si>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</si>
  <si>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</si>
  <si>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</si>
  <si>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</si>
  <si>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</si>
  <si>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</si>
  <si>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</si>
  <si>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</si>
  <si>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</si>
  <si>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</si>
  <si>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</si>
  <si>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</si>
  <si>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</si>
  <si>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</si>
  <si>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</si>
  <si>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</si>
  <si>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</si>
  <si>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</si>
  <si>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</si>
  <si>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</si>
  <si>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</si>
  <si>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</si>
  <si>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</si>
  <si>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</si>
  <si>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</si>
  <si>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</si>
  <si>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</si>
  <si>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</si>
  <si>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</si>
  <si>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</si>
  <si>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</si>
  <si>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</si>
  <si>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</si>
  <si>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</si>
  <si>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</si>
  <si>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</si>
  <si>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</si>
  <si>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</si>
  <si>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</si>
  <si>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</si>
  <si>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</si>
  <si>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</si>
  <si>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</si>
  <si>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</si>
  <si>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</si>
  <si>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</si>
  <si>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</si>
  <si>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</si>
  <si>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</si>
  <si>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</si>
  <si>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</si>
  <si>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</si>
  <si>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</si>
  <si>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</si>
  <si>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</si>
  <si>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</si>
  <si>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</si>
  <si>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</si>
  <si>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</si>
  <si>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</si>
  <si>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</si>
  <si>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</si>
  <si>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</si>
  <si>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</si>
  <si>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</si>
  <si>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</si>
  <si>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</si>
  <si>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</si>
  <si>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</si>
  <si>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</si>
  <si>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</si>
  <si>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</si>
  <si>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</si>
  <si>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</si>
  <si>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</si>
  <si>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</si>
  <si>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</si>
  <si>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</si>
  <si>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</si>
  <si>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</si>
  <si>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</si>
  <si>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</si>
  <si>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</si>
  <si>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</si>
  <si>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</si>
  <si>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</si>
  <si>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</si>
  <si>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</si>
  <si>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</si>
  <si>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</si>
  <si>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</si>
  <si>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</si>
  <si>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</si>
  <si>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</si>
  <si>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</si>
  <si>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</si>
  <si>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</si>
  <si>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</si>
  <si>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</si>
  <si>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</si>
  <si>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</si>
  <si>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</si>
  <si>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</si>
  <si>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</si>
  <si>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</si>
  <si>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</si>
  <si>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</si>
  <si>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</si>
  <si>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</si>
  <si>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</si>
  <si>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</si>
  <si>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</si>
  <si>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</si>
  <si>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</si>
  <si>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</si>
  <si>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</si>
  <si>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</si>
  <si>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</si>
  <si>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</si>
  <si>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</si>
  <si>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</si>
  <si>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</si>
  <si>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</si>
  <si>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</si>
  <si>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</si>
  <si>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</si>
  <si>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</si>
  <si>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</si>
  <si>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</si>
  <si>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</si>
  <si>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</si>
  <si>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</si>
  <si>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</si>
  <si>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</si>
  <si>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</si>
  <si>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</si>
  <si>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</si>
  <si>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</si>
  <si>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</si>
  <si>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</si>
  <si>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</si>
  <si>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</si>
  <si>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</si>
  <si>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</si>
  <si>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</si>
  <si>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</si>
  <si>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</si>
  <si>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</si>
  <si>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</si>
  <si>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</si>
  <si>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</si>
  <si>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</si>
  <si>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</si>
  <si>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</si>
  <si>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</si>
  <si>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</si>
  <si>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</si>
  <si>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</si>
  <si>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</si>
  <si>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</si>
  <si>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</si>
  <si>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</si>
  <si>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</si>
  <si>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</si>
  <si>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</si>
  <si>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</si>
  <si>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</si>
  <si>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</si>
  <si>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</si>
  <si>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</si>
  <si>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</si>
  <si>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</si>
  <si>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</si>
  <si>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</si>
  <si>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</si>
  <si>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</si>
  <si>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</si>
  <si>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</si>
  <si>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</si>
  <si>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</si>
  <si>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</si>
  <si>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</si>
  <si>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</si>
  <si>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</si>
  <si>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</si>
  <si>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</si>
  <si>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</si>
  <si>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</si>
  <si>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</si>
  <si>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</si>
  <si>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</si>
  <si>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</si>
  <si>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</si>
  <si>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</si>
  <si>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</si>
  <si>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</si>
  <si>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</si>
  <si>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</si>
  <si>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</si>
  <si>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</si>
  <si>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</si>
  <si>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</si>
  <si>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</si>
  <si>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</si>
  <si>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</si>
  <si>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</si>
  <si>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</si>
  <si>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</si>
  <si>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</si>
  <si>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</si>
  <si>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</si>
  <si>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</si>
  <si>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</si>
  <si>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</si>
  <si>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</si>
  <si>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</si>
  <si>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</si>
  <si>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</si>
  <si>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</si>
  <si>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</si>
  <si>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</si>
  <si>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</si>
  <si>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</si>
  <si>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</si>
  <si>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</si>
  <si>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</si>
  <si>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</si>
  <si>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</si>
  <si>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</si>
  <si>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</si>
  <si>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</si>
  <si>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</si>
  <si>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</si>
  <si>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</si>
  <si>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</si>
  <si>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</si>
  <si>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</si>
  <si>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</si>
  <si>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</si>
  <si>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</si>
  <si>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</si>
  <si>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</si>
  <si>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</si>
  <si>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</si>
  <si>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</si>
  <si>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</si>
  <si>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</si>
  <si>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</si>
  <si>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</si>
  <si>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</si>
  <si>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</si>
  <si>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</si>
  <si>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</si>
  <si>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</si>
  <si>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</si>
  <si>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</si>
  <si>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</si>
  <si>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</si>
  <si>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</si>
  <si>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</si>
  <si>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</si>
  <si>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</si>
  <si>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</si>
  <si>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</si>
  <si>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</si>
  <si>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</si>
  <si>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</si>
  <si>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</si>
  <si>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</si>
  <si>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</si>
  <si>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</si>
  <si>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</si>
  <si>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</si>
  <si>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</si>
  <si>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</si>
  <si>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</si>
  <si>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</si>
  <si>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</si>
  <si>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</si>
  <si>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</si>
  <si>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</si>
  <si>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</si>
  <si>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</si>
  <si>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</si>
  <si>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</si>
  <si>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</si>
  <si>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</si>
  <si>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</si>
  <si>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</si>
  <si>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</si>
  <si>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</si>
  <si>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</si>
  <si>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</si>
  <si>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</si>
  <si>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</si>
  <si>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</si>
  <si>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</si>
  <si>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</si>
  <si>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</si>
  <si>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</si>
  <si>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</si>
  <si>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</si>
  <si>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</si>
  <si>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</si>
  <si>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</si>
  <si>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</si>
  <si>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</si>
  <si>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</si>
  <si>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</si>
  <si>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</si>
  <si>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</si>
  <si>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</si>
  <si>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</si>
  <si>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</si>
  <si>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</si>
  <si>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</si>
  <si>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</si>
  <si>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</si>
  <si>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</si>
  <si>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</si>
  <si>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</si>
  <si>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</si>
  <si>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</si>
  <si>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</si>
  <si>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</si>
  <si>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</si>
  <si>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</si>
  <si>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</si>
  <si>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</si>
  <si>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</si>
  <si>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</si>
  <si>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</si>
  <si>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</si>
  <si>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</si>
  <si>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</si>
  <si>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</si>
  <si>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</si>
  <si>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</si>
  <si>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</si>
  <si>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</si>
  <si>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</si>
  <si>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</si>
  <si>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</si>
  <si>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</si>
  <si>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</si>
  <si>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</si>
  <si>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</si>
  <si>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</si>
  <si>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</si>
  <si>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</si>
  <si>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</si>
  <si>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</si>
  <si>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</si>
  <si>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</si>
  <si>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</si>
  <si>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</si>
  <si>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</si>
  <si>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</si>
  <si>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</si>
  <si>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</si>
  <si>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</si>
  <si>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</si>
  <si>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</si>
  <si>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</si>
  <si>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</si>
  <si>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</si>
  <si>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</si>
  <si>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</si>
  <si>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</si>
  <si>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</si>
  <si>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</si>
  <si>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</si>
  <si>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</si>
  <si>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</si>
  <si>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</si>
  <si>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</si>
  <si>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</si>
  <si>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</si>
  <si>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</si>
  <si>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</si>
  <si>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</si>
  <si>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</si>
  <si>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</si>
  <si>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</si>
  <si>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</si>
  <si>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</si>
  <si>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</si>
  <si>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</si>
  <si>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</si>
  <si>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</si>
  <si>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</si>
  <si>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</si>
  <si>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</si>
  <si>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</si>
  <si>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</si>
  <si>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</si>
  <si>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</si>
  <si>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</si>
  <si>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</si>
  <si>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</si>
  <si>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</si>
  <si>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</si>
  <si>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</si>
  <si>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</si>
  <si>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</si>
  <si>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</si>
  <si>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</si>
  <si>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</si>
  <si>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</si>
  <si>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</si>
  <si>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</si>
  <si>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</si>
  <si>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</si>
  <si>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</si>
  <si>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</si>
  <si>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</si>
  <si>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</si>
  <si>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</si>
  <si>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</si>
  <si>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</si>
  <si>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</si>
  <si>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</si>
  <si>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</si>
  <si>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</si>
  <si>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</si>
  <si>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</si>
  <si>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</si>
  <si>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</si>
  <si>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</si>
  <si>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</si>
  <si>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</si>
  <si>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</si>
  <si>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</si>
  <si>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</si>
  <si>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</si>
  <si>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</si>
  <si>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</si>
  <si>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</si>
  <si>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</si>
  <si>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</si>
  <si>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</si>
  <si>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</si>
  <si>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</si>
  <si>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</si>
  <si>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</si>
  <si>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</si>
  <si>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</si>
  <si>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</si>
  <si>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</si>
  <si>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</si>
  <si>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</si>
  <si>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</si>
  <si>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</si>
  <si>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</si>
  <si>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</si>
  <si>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</si>
  <si>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</si>
  <si>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</si>
  <si>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</si>
  <si>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</si>
  <si>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</si>
  <si>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</si>
  <si>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</si>
  <si>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</si>
  <si>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</si>
  <si>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</si>
  <si>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</si>
  <si>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</si>
  <si>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</si>
  <si>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</si>
  <si>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</si>
  <si>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</si>
  <si>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</si>
  <si>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</si>
  <si>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</si>
  <si>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</si>
  <si>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</si>
  <si>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</si>
  <si>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</si>
  <si>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</si>
  <si>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</si>
  <si>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</si>
  <si>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</si>
  <si>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</si>
  <si>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</si>
  <si>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</si>
  <si>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</si>
  <si>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</si>
  <si>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</si>
  <si>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</si>
  <si>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</si>
  <si>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</si>
  <si>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</si>
  <si>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</si>
  <si>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</si>
  <si>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</si>
  <si>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</si>
  <si>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</si>
  <si>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</si>
  <si>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</si>
  <si>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</si>
  <si>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</si>
  <si>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</si>
  <si>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</si>
  <si>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</si>
  <si>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</si>
  <si>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</si>
  <si>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</si>
  <si>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</si>
  <si>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</si>
  <si>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</si>
  <si>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</si>
  <si>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</si>
  <si>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</si>
  <si>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</si>
  <si>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</si>
  <si>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</si>
  <si>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</si>
  <si>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</si>
  <si>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</si>
  <si>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</si>
  <si>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</si>
  <si>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</si>
  <si>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</si>
  <si>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</si>
  <si>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</si>
  <si>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</si>
  <si>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</si>
  <si>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</si>
  <si>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</si>
  <si>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</si>
  <si>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</si>
  <si>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</si>
  <si>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</si>
  <si>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</si>
  <si>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</si>
  <si>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</si>
  <si>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</si>
  <si>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</si>
  <si>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</si>
  <si>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</si>
  <si>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</si>
  <si>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</si>
  <si>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</si>
  <si>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</si>
  <si>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</si>
  <si>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</si>
  <si>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</si>
  <si>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</si>
  <si>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</si>
  <si>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</si>
  <si>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</si>
  <si>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</si>
  <si>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</si>
  <si>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</si>
  <si>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</si>
  <si>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</si>
  <si>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</si>
  <si>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</si>
  <si>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</si>
  <si>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</si>
  <si>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</si>
  <si>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</si>
  <si>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</si>
  <si>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</si>
  <si>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</si>
  <si>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</si>
  <si>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</si>
  <si>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</si>
  <si>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</si>
  <si>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</si>
  <si>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</si>
  <si>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</si>
  <si>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</si>
  <si>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</si>
  <si>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</si>
  <si>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</si>
  <si>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</si>
  <si>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</si>
  <si>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</si>
  <si>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</si>
  <si>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</si>
  <si>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</si>
  <si>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</si>
  <si>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</si>
  <si>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</si>
  <si>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</si>
  <si>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</si>
  <si>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</si>
  <si>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</si>
  <si>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</si>
  <si>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</si>
  <si>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</si>
  <si>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</si>
  <si>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</si>
  <si>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</si>
  <si>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</si>
  <si>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</si>
  <si>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</si>
  <si>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</si>
  <si>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</si>
  <si>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</si>
  <si>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</si>
  <si>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</si>
  <si>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</si>
  <si>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</si>
  <si>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</si>
  <si>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</si>
  <si>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</si>
  <si>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</si>
  <si>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</si>
  <si>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</si>
  <si>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</si>
  <si>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</si>
  <si>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</si>
  <si>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</si>
  <si>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</si>
  <si>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</si>
  <si>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</si>
  <si>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</si>
  <si>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</si>
  <si>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</si>
  <si>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</si>
  <si>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</si>
  <si>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</si>
  <si>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</si>
  <si>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</si>
  <si>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</si>
  <si>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</si>
  <si>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Z:\Modality\Medical Service\Shared\Endo\Technical Report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</si>
  <si>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</si>
  <si>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</si>
  <si>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</si>
  <si>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</si>
  <si>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</si>
  <si>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</si>
  <si>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</si>
  <si>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</si>
  <si>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</si>
  <si>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</si>
  <si>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</si>
  <si>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</si>
  <si>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</si>
  <si>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</si>
  <si>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</si>
  <si>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</si>
  <si>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</si>
  <si>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</si>
  <si>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</si>
  <si>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</si>
  <si>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</si>
  <si>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</si>
  <si>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</si>
  <si>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</si>
  <si>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</si>
  <si>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</si>
  <si>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</si>
  <si>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</si>
  <si>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</si>
  <si>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</si>
  <si>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</si>
  <si>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</si>
  <si>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</si>
  <si>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</si>
  <si>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</si>
  <si>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</si>
  <si>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</si>
  <si>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</si>
  <si>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</si>
  <si>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</si>
  <si>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</si>
  <si>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</si>
  <si>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</si>
  <si>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</si>
  <si>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</si>
  <si>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</si>
  <si>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</si>
  <si>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</si>
  <si>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</si>
  <si>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</si>
  <si>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</si>
  <si>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</si>
  <si>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</si>
  <si>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</si>
  <si>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</si>
  <si>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</si>
  <si>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</si>
  <si>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</si>
  <si>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</si>
  <si>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</si>
  <si>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</si>
  <si>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</si>
  <si>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</si>
  <si>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</si>
  <si>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</si>
  <si>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</si>
  <si>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</si>
  <si>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</si>
  <si>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</si>
  <si>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</si>
  <si>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</si>
  <si>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</si>
  <si>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</si>
  <si>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</si>
  <si>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</si>
  <si>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</si>
  <si>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</si>
  <si>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</si>
  <si>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</si>
  <si>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</si>
  <si>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</si>
  <si>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</si>
  <si>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</si>
  <si>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</si>
  <si>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</si>
  <si>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</si>
  <si>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</si>
  <si>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Report_ID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</si>
  <si>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</si>
  <si>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</si>
  <si>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</si>
  <si>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</si>
  <si>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</si>
  <si>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</si>
  <si>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</si>
  <si>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</si>
  <si>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</si>
  <si>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</si>
  <si>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</si>
  <si>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</si>
  <si>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</si>
  <si>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</si>
  <si>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</si>
  <si>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</si>
  <si>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</si>
  <si>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</si>
  <si>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</si>
  <si>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</si>
  <si>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</si>
  <si>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</si>
  <si>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</si>
  <si>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</si>
  <si>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</si>
  <si>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</si>
  <si>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</si>
  <si>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</si>
  <si>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</si>
  <si>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</si>
  <si>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</si>
  <si>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</si>
  <si>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</si>
  <si>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</si>
  <si>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</si>
  <si>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</si>
  <si>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</si>
  <si>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</si>
  <si>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</si>
  <si>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</si>
  <si>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</si>
  <si>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</si>
  <si>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</si>
  <si>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</si>
  <si>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</si>
  <si>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</si>
  <si>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</si>
  <si>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</si>
  <si>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</si>
  <si>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</si>
  <si>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</si>
  <si>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</si>
  <si>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</si>
  <si>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</si>
  <si>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</si>
  <si>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</si>
  <si>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</si>
  <si>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</si>
  <si>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</si>
  <si>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</si>
  <si>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</si>
  <si>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</si>
  <si>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</si>
  <si>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</si>
  <si>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</si>
  <si>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</si>
  <si>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</si>
  <si>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</si>
  <si>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</si>
  <si>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</si>
  <si>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</si>
  <si>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</si>
  <si>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TAT PO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</si>
  <si>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</si>
  <si>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</si>
  <si>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</si>
  <si>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</si>
  <si>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</si>
  <si>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</si>
  <si>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</si>
  <si>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</si>
  <si>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</si>
  <si>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</si>
  <si>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</si>
  <si>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</si>
  <si>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</si>
  <si>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</si>
  <si>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</si>
  <si>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</si>
  <si>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</si>
  <si>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</si>
  <si>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</si>
  <si>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</si>
  <si>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</si>
  <si>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</si>
  <si>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</si>
  <si>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</si>
  <si>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</si>
  <si>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</si>
  <si>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</si>
  <si>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</si>
  <si>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</si>
  <si>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</si>
  <si>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</si>
  <si>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</si>
  <si>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</si>
  <si>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</si>
  <si>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</si>
  <si>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</si>
  <si>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</si>
  <si>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</si>
  <si>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</si>
  <si>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</si>
  <si>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</si>
  <si>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</si>
  <si>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</si>
  <si>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</si>
  <si>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</si>
  <si>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</si>
  <si>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</si>
  <si>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</si>
  <si>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</si>
  <si>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</si>
  <si>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</si>
  <si>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</si>
  <si>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</si>
  <si>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</si>
  <si>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</si>
  <si>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</si>
  <si>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</si>
  <si>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</si>
  <si>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</si>
  <si>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</si>
  <si>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</si>
  <si>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</si>
  <si>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</si>
  <si>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</si>
  <si>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</si>
  <si>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</si>
  <si>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</si>
  <si>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</si>
  <si>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</si>
  <si>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</si>
  <si>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</si>
  <si>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</si>
  <si>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</si>
  <si>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</si>
  <si>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</si>
  <si>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</si>
  <si>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</si>
  <si>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</si>
  <si>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</si>
  <si>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</si>
  <si>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</si>
  <si>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</si>
  <si>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</si>
  <si>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</si>
  <si>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</si>
  <si>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</si>
  <si>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</si>
  <si>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</si>
  <si>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</si>
  <si>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</si>
  <si>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</si>
  <si>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</si>
  <si>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</si>
  <si>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</si>
  <si>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</si>
  <si>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</si>
  <si>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</si>
  <si>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</si>
  <si>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</si>
  <si>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</si>
  <si>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</si>
  <si>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</si>
  <si>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</si>
  <si>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</si>
  <si>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</si>
  <si>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</si>
  <si>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</si>
  <si>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</si>
  <si>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</si>
  <si>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</si>
  <si>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</si>
  <si>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</si>
  <si>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</si>
  <si>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</si>
  <si>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</si>
  <si>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</si>
  <si>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</si>
  <si>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</si>
  <si>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</si>
  <si>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</si>
  <si>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</si>
  <si>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</si>
  <si>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</si>
  <si>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</si>
  <si>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</si>
  <si>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</si>
  <si>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</si>
  <si>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</si>
  <si>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</si>
  <si>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</si>
  <si>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</si>
  <si>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</si>
  <si>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</si>
  <si>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</si>
  <si>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</si>
  <si>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</si>
  <si>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</si>
  <si>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</si>
  <si>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</si>
  <si>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</si>
  <si>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</si>
  <si>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</si>
  <si>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</si>
  <si>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</si>
  <si>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</si>
  <si>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</si>
  <si>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</si>
  <si>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</si>
  <si>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</si>
  <si>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</si>
  <si>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</si>
  <si>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</si>
  <si>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</si>
  <si>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</si>
  <si>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</si>
  <si>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</si>
  <si>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</si>
  <si>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</si>
  <si>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</si>
  <si>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</si>
  <si>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</si>
  <si>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</si>
  <si>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</si>
  <si>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</si>
  <si>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</si>
  <si>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</si>
  <si>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</si>
  <si>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</si>
  <si>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</si>
  <si>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</si>
  <si>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</si>
  <si>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</si>
  <si>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</si>
  <si>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</si>
  <si>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</si>
  <si>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</si>
  <si>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</si>
  <si>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</si>
  <si>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</si>
  <si>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</si>
  <si>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</si>
  <si>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</si>
  <si>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</si>
  <si>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</si>
  <si>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</si>
  <si>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</si>
  <si>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</si>
  <si>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</si>
  <si>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</si>
  <si>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</si>
  <si>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</si>
  <si>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</si>
  <si>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</si>
  <si>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</si>
  <si>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</si>
  <si>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</si>
  <si>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</si>
  <si>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</si>
  <si>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</si>
  <si>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</si>
  <si>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</si>
  <si>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</si>
  <si>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</si>
  <si>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</si>
  <si>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</si>
  <si>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</si>
  <si>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</si>
  <si>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</si>
  <si>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</si>
  <si>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</si>
  <si>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</si>
  <si>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</si>
  <si>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</si>
  <si>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</si>
  <si>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</si>
  <si>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</si>
  <si>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</si>
  <si>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</si>
  <si>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</si>
  <si>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</si>
  <si>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</si>
  <si>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</si>
  <si>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</si>
  <si>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</si>
  <si>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</si>
  <si>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</si>
  <si>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</si>
  <si>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</si>
  <si>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</si>
  <si>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</si>
  <si>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</si>
  <si>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</si>
  <si>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</si>
  <si>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</si>
  <si>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</si>
  <si>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</si>
  <si>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</si>
  <si>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</si>
  <si>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</si>
  <si>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</si>
  <si>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</si>
  <si>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</si>
  <si>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</si>
  <si>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</si>
  <si>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</si>
  <si>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</si>
  <si>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</si>
  <si>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</si>
  <si>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</si>
  <si>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</si>
  <si>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</si>
  <si>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</si>
  <si>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</si>
  <si>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</si>
  <si>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</si>
  <si>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</si>
  <si>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</si>
  <si>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</si>
  <si>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</si>
  <si>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</si>
  <si>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</si>
  <si>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</si>
  <si>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</si>
  <si>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</si>
  <si>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</si>
  <si>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</si>
  <si>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</si>
  <si>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</si>
  <si>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</si>
  <si>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</si>
  <si>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</si>
  <si>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</si>
  <si>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</si>
  <si>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</si>
  <si>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</si>
  <si>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</si>
  <si>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</si>
  <si>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</si>
  <si>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</si>
  <si>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</si>
  <si>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</si>
  <si>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</si>
  <si>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</si>
  <si>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</si>
  <si>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</si>
  <si>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</si>
  <si>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</si>
  <si>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</si>
  <si>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</si>
  <si>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</si>
  <si>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</si>
  <si>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</si>
  <si>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</si>
  <si>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</si>
  <si>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</si>
  <si>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</si>
  <si>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</si>
  <si>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</si>
  <si>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</si>
  <si>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</si>
  <si>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</si>
  <si>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</si>
  <si>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</si>
  <si>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</si>
  <si>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</si>
  <si>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</si>
  <si>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</si>
  <si>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</si>
  <si>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</si>
  <si>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</si>
  <si>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</si>
  <si>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</si>
  <si>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</si>
  <si>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</si>
  <si>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</si>
  <si>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</si>
  <si>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</si>
  <si>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</si>
  <si>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</si>
  <si>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</si>
  <si>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</si>
  <si>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</si>
  <si>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</si>
  <si>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</si>
  <si>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</si>
  <si>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</si>
  <si>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</si>
  <si>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</si>
  <si>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</si>
  <si>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</si>
  <si>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</si>
  <si>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</si>
  <si>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</si>
  <si>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</si>
  <si>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</si>
  <si>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</si>
  <si>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</si>
  <si>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</si>
  <si>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</si>
  <si>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</si>
  <si>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</si>
  <si>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</si>
  <si>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</si>
  <si>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</si>
  <si>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</si>
  <si>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</si>
  <si>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</si>
  <si>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</si>
  <si>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</si>
  <si>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</si>
  <si>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</si>
  <si>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</si>
  <si>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</si>
  <si>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</si>
  <si>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</si>
  <si>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</si>
  <si>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</si>
  <si>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</si>
  <si>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</si>
  <si>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</si>
  <si>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</si>
  <si>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</si>
  <si>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</si>
  <si>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</si>
  <si>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</si>
  <si>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</si>
  <si>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</si>
  <si>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</si>
  <si>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</si>
  <si>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</si>
  <si>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</si>
  <si>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</si>
  <si>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</si>
  <si>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</si>
  <si>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</si>
  <si>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</si>
  <si>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</si>
  <si>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</si>
  <si>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</si>
  <si>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</si>
  <si>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</si>
  <si>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</si>
  <si>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</si>
  <si>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</si>
  <si>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</si>
  <si>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</si>
  <si>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</si>
  <si>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</si>
  <si>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</si>
  <si>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</si>
  <si>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</si>
  <si>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</si>
  <si>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</si>
  <si>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</si>
  <si>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</si>
  <si>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</si>
  <si>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</si>
  <si>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</si>
  <si>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</si>
  <si>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</si>
  <si>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</si>
  <si>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</si>
  <si>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</si>
  <si>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</si>
  <si>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</si>
  <si>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</si>
  <si>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</si>
  <si>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</si>
  <si>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</si>
  <si>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</si>
  <si>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</si>
  <si>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</si>
  <si>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</si>
  <si>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</si>
  <si>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</si>
  <si>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</si>
  <si>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</si>
  <si>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</si>
  <si>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</si>
  <si>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</si>
  <si>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</si>
  <si>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</si>
  <si>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</si>
  <si>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</si>
  <si>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</si>
  <si>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</si>
  <si>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</si>
  <si>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</si>
  <si>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</si>
  <si>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</si>
  <si>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</si>
  <si>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</si>
  <si>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</si>
  <si>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</si>
  <si>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</si>
  <si>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</si>
  <si>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</si>
  <si>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</si>
  <si>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esql select customer, model, sn,mj_mn ,receive,quotation,issue,PIC, note,rma,technical_report,price,confirmation,location from mlist where status like '%transfer to sale team' order by note asc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</si>
  <si>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</si>
  <si>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</si>
  <si>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</si>
  <si>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</si>
  <si>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</si>
  <si>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</si>
  <si>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</si>
  <si>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</si>
  <si>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</si>
  <si>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</si>
  <si>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</si>
  <si>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</si>
  <si>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</si>
  <si>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</si>
  <si>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</si>
  <si>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</si>
  <si>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</si>
  <si>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</si>
  <si>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</si>
  <si>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</si>
  <si>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</si>
  <si>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</si>
  <si>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</si>
  <si>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</si>
  <si>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</si>
  <si>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</si>
  <si>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</si>
  <si>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</si>
  <si>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</si>
  <si>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</si>
  <si>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</si>
  <si>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</si>
  <si>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</si>
  <si>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</si>
  <si>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</si>
  <si>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</si>
  <si>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</si>
  <si>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</si>
  <si>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</si>
  <si>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</si>
  <si>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</si>
  <si>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</si>
  <si>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</si>
  <si>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</si>
  <si>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</si>
  <si>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</si>
  <si>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</si>
  <si>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</si>
  <si>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</si>
  <si>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</si>
  <si>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</si>
  <si>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</si>
  <si>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</si>
  <si>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</si>
  <si>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</si>
  <si>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</si>
  <si>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</si>
  <si>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</si>
  <si>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</si>
  <si>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</si>
  <si>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</si>
  <si>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</si>
  <si>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</si>
  <si>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</si>
  <si>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</si>
  <si>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</si>
  <si>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</si>
  <si>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</si>
  <si>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</si>
  <si>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</si>
  <si>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</si>
  <si>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</si>
  <si>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</si>
  <si>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</si>
  <si>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</si>
  <si>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</si>
  <si>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</si>
  <si>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</si>
  <si>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</si>
  <si>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</si>
  <si>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</si>
  <si>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</si>
  <si>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</si>
  <si>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</si>
  <si>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</si>
  <si>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</si>
  <si>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</si>
  <si>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</si>
  <si>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</si>
  <si>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</si>
  <si>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</si>
  <si>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</si>
  <si>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</si>
  <si>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</si>
  <si>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</si>
  <si>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</si>
  <si>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</si>
  <si>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</si>
  <si>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</si>
  <si>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</si>
  <si>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</si>
  <si>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</si>
  <si>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</si>
  <si>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</si>
  <si>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</si>
  <si>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</si>
  <si>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</si>
  <si>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</si>
  <si>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</si>
  <si>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</si>
  <si>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</si>
  <si>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</si>
  <si>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</si>
  <si>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</si>
  <si>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</si>
  <si>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</si>
  <si>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</si>
  <si>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</si>
  <si>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</si>
  <si>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</si>
  <si>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</si>
  <si>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</si>
  <si>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</si>
  <si>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</si>
  <si>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</si>
  <si>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</si>
  <si>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</si>
  <si>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</si>
  <si>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</si>
  <si>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</si>
  <si>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</si>
  <si>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</si>
  <si>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</si>
  <si>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</si>
  <si>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</si>
  <si>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</si>
  <si>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</si>
  <si>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</si>
  <si>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</si>
  <si>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</si>
  <si>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</si>
  <si>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</si>
  <si>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</si>
  <si>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</si>
  <si>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</si>
  <si>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</si>
  <si>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</si>
  <si>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</si>
  <si>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</si>
  <si>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</si>
  <si>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</si>
  <si>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</si>
  <si>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</si>
  <si>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</si>
  <si>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</si>
  <si>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</si>
  <si>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</si>
  <si>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</si>
  <si>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</si>
  <si>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</si>
  <si>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</si>
  <si>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</si>
  <si>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</si>
  <si>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</si>
  <si>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</si>
  <si>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</si>
  <si>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</si>
  <si>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</si>
  <si>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</si>
  <si>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</si>
  <si>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</si>
  <si>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</si>
  <si>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</si>
  <si>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</si>
  <si>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</si>
  <si>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</si>
  <si>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</si>
  <si>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</si>
  <si>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</si>
  <si>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</si>
  <si>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</si>
  <si>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</si>
  <si>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</si>
  <si>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</si>
  <si>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</si>
  <si>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</si>
  <si>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</si>
  <si>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</si>
  <si>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</si>
  <si>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</si>
  <si>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</si>
  <si>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</si>
  <si>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</si>
  <si>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</si>
  <si>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</si>
  <si>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</si>
  <si>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</si>
  <si>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</si>
  <si>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</si>
  <si>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</si>
  <si>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</si>
  <si>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</si>
  <si>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</si>
  <si>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</si>
  <si>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</si>
  <si>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</si>
  <si>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</si>
  <si>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</si>
  <si>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</si>
  <si>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</si>
  <si>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</si>
  <si>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</si>
  <si>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</si>
  <si>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</si>
  <si>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</si>
  <si>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</si>
  <si>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</si>
  <si>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</si>
  <si>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</si>
  <si>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</si>
  <si>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</si>
  <si>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</si>
  <si>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</si>
  <si>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</si>
  <si>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</si>
  <si>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</si>
  <si>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</si>
  <si>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</si>
  <si>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</si>
  <si>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</si>
  <si>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</si>
  <si>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</si>
  <si>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</si>
  <si>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</si>
  <si>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</si>
  <si>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</si>
  <si>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</si>
  <si>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</si>
  <si>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</si>
  <si>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</si>
  <si>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</si>
  <si>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</si>
  <si>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</si>
  <si>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</si>
  <si>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</si>
  <si>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</si>
  <si>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</si>
  <si>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</si>
  <si>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</si>
  <si>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</si>
  <si>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</si>
  <si>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</si>
  <si>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</si>
  <si>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</si>
  <si>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</si>
  <si>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</si>
  <si>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</si>
  <si>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</si>
  <si>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</si>
  <si>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</si>
  <si>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</si>
  <si>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</si>
  <si>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</si>
  <si>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</si>
  <si>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</si>
  <si>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</si>
  <si>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</si>
  <si>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</si>
  <si>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</si>
  <si>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</si>
  <si>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</si>
  <si>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</si>
  <si>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</si>
  <si>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</si>
  <si>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</si>
  <si>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</si>
  <si>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</si>
  <si>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</si>
  <si>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</si>
  <si>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</si>
  <si>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</si>
  <si>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</si>
  <si>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</si>
  <si>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</si>
  <si>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</si>
  <si>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</si>
  <si>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</si>
  <si>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</si>
  <si>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</si>
  <si>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</si>
  <si>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</si>
  <si>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</si>
  <si>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</si>
  <si>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</si>
  <si>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</si>
  <si>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</si>
  <si>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</si>
  <si>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</si>
  <si>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</si>
  <si>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</si>
  <si>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</si>
  <si>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</si>
  <si>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</si>
  <si>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</si>
  <si>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</si>
  <si>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</si>
  <si>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</si>
  <si>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</si>
  <si>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</si>
  <si>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</si>
  <si>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</si>
  <si>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</si>
  <si>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</si>
  <si>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</si>
  <si>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</si>
  <si>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</si>
  <si>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</si>
  <si>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</si>
  <si>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</si>
  <si>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</si>
  <si>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</si>
  <si>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</si>
  <si>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</si>
  <si>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</si>
  <si>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</si>
  <si>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</si>
  <si>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</si>
  <si>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</si>
  <si>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</si>
  <si>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</si>
  <si>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</si>
  <si>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</si>
  <si>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</si>
  <si>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</si>
  <si>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</si>
  <si>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</si>
  <si>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</si>
  <si>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</si>
  <si>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</si>
  <si>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</si>
  <si>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</si>
  <si>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</si>
  <si>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</si>
  <si>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</si>
  <si>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</si>
  <si>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</si>
  <si>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</si>
  <si>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</si>
  <si>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</si>
  <si>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</si>
  <si>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</si>
  <si>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</si>
  <si>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</si>
  <si>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</si>
  <si>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</si>
  <si>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</si>
  <si>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</si>
  <si>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</si>
  <si>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</si>
  <si>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</si>
  <si>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</si>
  <si>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</si>
  <si>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</si>
  <si>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</si>
  <si>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</si>
  <si>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</si>
  <si>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</si>
  <si>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</si>
  <si>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</si>
  <si>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</si>
  <si>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</si>
  <si>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</si>
  <si>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</si>
  <si>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</si>
  <si>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</si>
  <si>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</si>
  <si>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</si>
  <si>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</si>
  <si>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</si>
  <si>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</si>
  <si>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</si>
  <si>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</si>
  <si>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</si>
  <si>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</si>
  <si>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</si>
  <si>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</si>
  <si>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</si>
  <si>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</si>
  <si>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</si>
  <si>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</si>
  <si>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</si>
  <si>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</si>
  <si>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</si>
  <si>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</si>
  <si>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</si>
  <si>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</si>
  <si>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</si>
  <si>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</si>
  <si>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</si>
  <si>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</si>
  <si>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</si>
  <si>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</si>
  <si>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</si>
  <si>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</si>
  <si>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</si>
  <si>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</si>
  <si>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</si>
  <si>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</si>
  <si>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</si>
  <si>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</si>
  <si>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</si>
  <si>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</si>
  <si>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</si>
  <si>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</si>
  <si>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</si>
  <si>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</si>
  <si>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</si>
  <si>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</si>
  <si>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</si>
  <si>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</si>
  <si>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</si>
  <si>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</si>
  <si>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</si>
  <si>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</si>
  <si>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</si>
  <si>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</si>
  <si>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</si>
  <si>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</si>
  <si>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</si>
  <si>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</si>
  <si>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</si>
  <si>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</si>
  <si>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</si>
  <si>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</si>
  <si>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</si>
  <si>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</si>
  <si>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</si>
  <si>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</si>
  <si>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</si>
  <si>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</si>
  <si>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</si>
  <si>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</si>
  <si>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</si>
  <si>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</si>
  <si>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</si>
  <si>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</si>
  <si>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</si>
  <si>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</si>
  <si>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</si>
  <si>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</si>
  <si>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</si>
  <si>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</si>
  <si>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</si>
  <si>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</si>
  <si>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</si>
  <si>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</si>
  <si>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</si>
  <si>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</si>
  <si>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</si>
  <si>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</si>
  <si>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</si>
  <si>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</si>
  <si>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</si>
  <si>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</si>
  <si>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</si>
  <si>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</si>
  <si>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</si>
  <si>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</si>
  <si>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</si>
  <si>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</si>
  <si>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</si>
  <si>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</si>
  <si>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</si>
  <si>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</si>
  <si>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</si>
  <si>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</si>
  <si>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</si>
  <si>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</si>
  <si>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</si>
  <si>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</si>
  <si>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</si>
  <si>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</si>
  <si>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</si>
  <si>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</si>
  <si>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</si>
  <si>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</si>
  <si>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</si>
  <si>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</si>
  <si>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</si>
  <si>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</si>
  <si>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</si>
  <si>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</si>
  <si>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</si>
  <si>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</si>
  <si>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</si>
  <si>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</si>
  <si>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</si>
  <si>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</si>
  <si>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</si>
  <si>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</si>
  <si>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</si>
  <si>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</si>
  <si>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</si>
  <si>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</si>
  <si>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</si>
  <si>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</si>
  <si>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</si>
  <si>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</si>
  <si>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</si>
  <si>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</si>
  <si>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</si>
  <si>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</si>
  <si>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</si>
  <si>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</si>
  <si>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</si>
  <si>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</si>
  <si>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</si>
  <si>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</si>
  <si>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</si>
  <si>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</si>
  <si>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</si>
  <si>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</si>
  <si>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</si>
  <si>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</si>
  <si>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</si>
  <si>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</si>
  <si>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</si>
  <si>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</si>
  <si>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</si>
  <si>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</si>
  <si>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</si>
  <si>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</si>
  <si>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</si>
  <si>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</si>
  <si>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</si>
  <si>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</si>
  <si>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</si>
  <si>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</si>
  <si>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</si>
  <si>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</si>
  <si>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</si>
  <si>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</si>
  <si>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</si>
  <si>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</si>
  <si>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</si>
  <si>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</si>
  <si>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</si>
  <si>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</si>
  <si>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</si>
  <si>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</si>
  <si>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</si>
  <si>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</si>
  <si>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</si>
  <si>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</si>
  <si>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</si>
  <si>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</si>
  <si>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</si>
  <si>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</si>
  <si>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</si>
  <si>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</si>
  <si>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</si>
  <si>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</si>
  <si>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</si>
  <si>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</si>
  <si>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</si>
  <si>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</si>
  <si>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</si>
  <si>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</si>
  <si>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</si>
  <si>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</si>
  <si>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</si>
  <si>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</si>
  <si>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</si>
  <si>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</si>
  <si>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</si>
  <si>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</si>
  <si>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</si>
  <si>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</si>
  <si>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</si>
  <si>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</si>
  <si>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</si>
  <si>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</si>
  <si>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</si>
  <si>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</si>
  <si>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</si>
  <si>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</si>
  <si>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</si>
  <si>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</si>
  <si>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</si>
  <si>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</si>
  <si>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</si>
  <si>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</si>
  <si>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</si>
  <si>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</si>
  <si>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</si>
  <si>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</si>
  <si>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</si>
  <si>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</si>
  <si>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</si>
  <si>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</si>
  <si>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</si>
  <si>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</si>
  <si>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</si>
  <si>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</si>
  <si>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</si>
  <si>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</si>
  <si>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</si>
  <si>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</si>
  <si>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</si>
  <si>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</si>
  <si>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</si>
  <si>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</si>
  <si>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</si>
  <si>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</si>
  <si>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</si>
  <si>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</si>
  <si>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</si>
  <si>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</si>
  <si>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</si>
  <si>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</si>
  <si>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</si>
  <si>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</si>
  <si>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</si>
  <si>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</si>
  <si>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</si>
  <si>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</si>
  <si>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</si>
  <si>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</si>
  <si>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</si>
  <si>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</si>
  <si>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</si>
  <si>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</si>
  <si>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</si>
  <si>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</si>
  <si>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</si>
  <si>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</si>
  <si>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</si>
  <si>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</si>
  <si>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</si>
  <si>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</si>
  <si>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</si>
  <si>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</si>
  <si>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</si>
  <si>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</si>
  <si>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</si>
  <si>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</si>
  <si>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</si>
  <si>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</si>
  <si>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</si>
  <si>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</si>
  <si>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</si>
  <si>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</si>
  <si>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</si>
  <si>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</si>
  <si>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</si>
  <si>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</si>
  <si>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</si>
  <si>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</si>
  <si>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</si>
  <si>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</si>
  <si>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</si>
  <si>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ETC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</si>
  <si>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</si>
  <si>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</si>
  <si>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</si>
  <si>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</si>
  <si>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</si>
  <si>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</si>
  <si>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</si>
  <si>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</si>
  <si>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</si>
  <si>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</si>
  <si>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</si>
  <si>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</si>
  <si>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</si>
  <si>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</si>
  <si>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</si>
  <si>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</si>
  <si>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</si>
  <si>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</si>
  <si>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</si>
  <si>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</si>
  <si>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</si>
  <si>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</si>
  <si>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</si>
  <si>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</si>
  <si>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</si>
  <si>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</si>
  <si>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</si>
  <si>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</si>
  <si>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</si>
  <si>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</si>
  <si>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</si>
  <si>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</si>
  <si>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</si>
  <si>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</si>
  <si>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</si>
  <si>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</si>
  <si>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</si>
  <si>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</si>
  <si>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</si>
  <si>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</si>
  <si>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</si>
  <si>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</si>
  <si>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</si>
  <si>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</si>
  <si>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</si>
  <si>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</si>
  <si>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</si>
  <si>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</si>
  <si>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</si>
  <si>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</si>
  <si>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</si>
  <si>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</si>
  <si>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</si>
  <si>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</si>
  <si>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</si>
  <si>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</si>
  <si>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</si>
  <si>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</si>
  <si>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</si>
  <si>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</si>
  <si>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</si>
  <si>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</si>
  <si>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</si>
  <si>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</si>
  <si>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</si>
  <si>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</si>
  <si>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</si>
  <si>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</si>
  <si>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</si>
  <si>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</si>
  <si>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</si>
  <si>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</si>
  <si>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</si>
  <si>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</si>
  <si>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</si>
  <si>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</si>
  <si>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</si>
  <si>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</si>
  <si>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</si>
  <si>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</si>
  <si>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</si>
  <si>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</si>
  <si>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</si>
  <si>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</si>
  <si>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</si>
  <si>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</si>
  <si>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</si>
  <si>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</si>
  <si>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</si>
  <si>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</si>
  <si>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</si>
  <si>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</si>
  <si>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</si>
  <si>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</si>
  <si>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</si>
  <si>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</si>
  <si>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</si>
  <si>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</si>
  <si>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</si>
  <si>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</si>
  <si>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</si>
  <si>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</si>
  <si>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</si>
  <si>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</si>
  <si>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</si>
  <si>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</si>
  <si>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</si>
  <si>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</si>
  <si>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</si>
  <si>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</si>
  <si>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</si>
  <si>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</si>
  <si>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</si>
  <si>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</si>
  <si>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</si>
  <si>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</si>
  <si>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</si>
  <si>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</si>
  <si>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</si>
  <si>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</si>
  <si>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</si>
  <si>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</si>
  <si>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</si>
  <si>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</si>
  <si>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</si>
  <si>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</si>
  <si>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</si>
  <si>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</si>
  <si>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Hanoi Medical University\FMSV2023020050 (FOC)</t>
  </si>
  <si>
    <t>2302025TR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</si>
  <si>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</si>
  <si>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</si>
  <si>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</si>
  <si>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</si>
  <si>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</si>
  <si>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</si>
  <si>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</si>
  <si>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</si>
  <si>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</si>
  <si>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</si>
  <si>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</si>
  <si>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</si>
  <si>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</si>
  <si>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</si>
  <si>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</si>
  <si>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</si>
  <si>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</si>
  <si>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</si>
  <si>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</si>
  <si>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</si>
  <si>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</si>
  <si>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</si>
  <si>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</si>
  <si>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</si>
  <si>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</si>
  <si>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</si>
  <si>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</si>
  <si>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</si>
  <si>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</si>
  <si>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</si>
  <si>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</si>
  <si>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GDKT-2303033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</si>
  <si>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</si>
  <si>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</si>
  <si>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</si>
  <si>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</si>
  <si>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</si>
  <si>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</si>
  <si>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</si>
  <si>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</si>
  <si>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</si>
  <si>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</si>
  <si>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</si>
  <si>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</si>
  <si>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</si>
  <si>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</si>
  <si>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</si>
  <si>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</si>
  <si>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</si>
  <si>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</si>
  <si>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</si>
  <si>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</si>
  <si>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</si>
  <si>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</si>
  <si>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</si>
  <si>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</si>
  <si>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</si>
  <si>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</si>
  <si>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</si>
  <si>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</si>
  <si>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</si>
  <si>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</si>
  <si>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</si>
  <si>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</si>
  <si>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</si>
  <si>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</si>
  <si>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</si>
  <si>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</si>
  <si>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</si>
  <si>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</si>
  <si>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</si>
  <si>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</si>
  <si>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</si>
  <si>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</si>
  <si>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</si>
  <si>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</si>
  <si>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</si>
  <si>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</si>
  <si>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</si>
  <si>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</si>
  <si>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</si>
  <si>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</si>
  <si>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Dong Thap Lung Hospital\FMSV2023030008</t>
  </si>
  <si>
    <t>GDKT-2303038</t>
  </si>
  <si>
    <t>Dong Thap Lung Hospital\FMSV2023030009</t>
  </si>
  <si>
    <t>GDKT-2303037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</si>
  <si>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</si>
  <si>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</si>
  <si>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</si>
  <si>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</si>
  <si>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</si>
  <si>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</si>
  <si>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</si>
  <si>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</si>
  <si>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</si>
  <si>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</si>
  <si>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</si>
  <si>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</si>
  <si>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</si>
  <si>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</si>
  <si>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</si>
  <si>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</si>
  <si>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</si>
  <si>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</si>
  <si>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</si>
  <si>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</si>
  <si>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</si>
  <si>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</si>
  <si>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</si>
  <si>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</si>
  <si>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</si>
  <si>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</si>
  <si>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</si>
  <si>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</si>
  <si>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</si>
  <si>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</si>
  <si>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</si>
  <si>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</si>
  <si>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</si>
  <si>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</si>
  <si>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</si>
  <si>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</si>
  <si>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</si>
  <si>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</si>
  <si>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</si>
  <si>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</si>
  <si>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</si>
  <si>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</si>
  <si>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</si>
  <si>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</si>
  <si>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</si>
  <si>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</si>
  <si>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</si>
  <si>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</si>
  <si>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</si>
  <si>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</si>
  <si>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</si>
  <si>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</si>
  <si>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</si>
  <si>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</si>
  <si>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</si>
  <si>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</si>
  <si>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</si>
  <si>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</si>
  <si>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</si>
  <si>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</si>
  <si>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</si>
  <si>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</si>
  <si>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</si>
  <si>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</si>
  <si>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</si>
  <si>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</si>
  <si>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ITO Dong Nai\FMSV2023030032</t>
  </si>
  <si>
    <t>Viet Duc Hospital\FMSV2023030040</t>
  </si>
  <si>
    <t>GDKT-2303049</t>
  </si>
  <si>
    <t>Hue University of Medicine and Pharmacy - Ginec FMSV00043\FMSV2023030041</t>
  </si>
  <si>
    <t>GDKT-2303044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</si>
  <si>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</si>
  <si>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</si>
  <si>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</si>
  <si>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</si>
  <si>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</si>
  <si>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</si>
  <si>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</si>
  <si>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</si>
  <si>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</si>
  <si>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</si>
  <si>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</si>
  <si>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</si>
  <si>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</si>
  <si>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</si>
  <si>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</si>
  <si>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</si>
  <si>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</si>
  <si>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</si>
  <si>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</si>
  <si>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</si>
  <si>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FMSV2023030073</t>
  </si>
  <si>
    <t>ANGL, PCB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</si>
  <si>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</si>
  <si>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</si>
  <si>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</si>
  <si>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</si>
  <si>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</si>
  <si>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</si>
  <si>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</si>
  <si>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</si>
  <si>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</si>
  <si>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</si>
  <si>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</si>
  <si>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</si>
  <si>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</si>
  <si>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</si>
  <si>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</si>
  <si>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</si>
  <si>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</si>
  <si>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</si>
  <si>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</si>
  <si>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</si>
  <si>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</si>
  <si>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</si>
  <si>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</si>
  <si>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</si>
  <si>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</si>
  <si>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</si>
  <si>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</si>
  <si>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</si>
  <si>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Thong Nhat Hospital\FMSV2023030069</t>
  </si>
  <si>
    <t>GDKT-2303055</t>
  </si>
  <si>
    <t>Endoscopy No. 91 Clinic\FMSV2023030073</t>
  </si>
  <si>
    <t>End: 27-Mar.</t>
  </si>
  <si>
    <t>FUJIFILM Vietnam Co., Ltd\FMSV2023030049</t>
  </si>
  <si>
    <t>2303034TR</t>
  </si>
  <si>
    <t>trả anh Hùng Hồng Phát</t>
  </si>
  <si>
    <t>Repaired, Đức Trần trả viện 27.03.2023</t>
  </si>
  <si>
    <t>Repaired, đã trả viện</t>
  </si>
  <si>
    <t>22-23</t>
  </si>
  <si>
    <t>Minor repaired, chuyển phát Newpost 05.04.23</t>
  </si>
  <si>
    <t>Pending</t>
  </si>
  <si>
    <t>Minor repaired, loaner Promed</t>
  </si>
  <si>
    <t>Minor repaired. trả Promed 15.03.2023</t>
  </si>
  <si>
    <t>Repaired, trả TT 16.03.23</t>
  </si>
  <si>
    <t>Minor repaired, đã trả Tràng Thi</t>
  </si>
  <si>
    <t>RU, trả TT 30.12.22</t>
  </si>
  <si>
    <t>Repaired, chuyển phát Newpost 3.4.23</t>
  </si>
  <si>
    <t>RU, trả anh Hùng Hồng Phát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</si>
  <si>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</si>
  <si>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</si>
  <si>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</si>
  <si>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</si>
  <si>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</si>
  <si>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</si>
  <si>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</si>
  <si>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BSA, FCT, FSB, ISA, FSB, WGB</t>
  </si>
  <si>
    <t>FMSV2023040013</t>
  </si>
  <si>
    <t>DWA, FSA, ANGL</t>
  </si>
  <si>
    <t>FMSV2023040020</t>
  </si>
  <si>
    <t>7G361K162</t>
  </si>
  <si>
    <t>FMSV2023040002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</si>
  <si>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</si>
  <si>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</si>
  <si>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</si>
  <si>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</si>
  <si>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</si>
  <si>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</si>
  <si>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</si>
  <si>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</si>
  <si>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</si>
  <si>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</si>
  <si>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</si>
  <si>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</si>
  <si>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</si>
  <si>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</si>
  <si>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</si>
  <si>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</si>
  <si>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</si>
  <si>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</si>
  <si>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</si>
  <si>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</si>
  <si>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</si>
  <si>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</si>
  <si>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</si>
  <si>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</si>
  <si>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</si>
  <si>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</si>
  <si>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</si>
  <si>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</si>
  <si>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</si>
  <si>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</si>
  <si>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</si>
  <si>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</si>
  <si>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</si>
  <si>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</si>
  <si>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</si>
  <si>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End: 05-Apr.Start: 05-Apr.</t>
  </si>
  <si>
    <t>TAT received</t>
  </si>
  <si>
    <t>TAT_Received</t>
  </si>
  <si>
    <t>Dong Trieu General Hospital\FMSV2023030079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</si>
  <si>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</si>
  <si>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</si>
  <si>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</si>
  <si>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</si>
  <si>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</si>
  <si>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</si>
  <si>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</si>
  <si>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</si>
  <si>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</si>
  <si>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</si>
  <si>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</si>
  <si>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</si>
  <si>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GDKT-2304064</t>
  </si>
  <si>
    <t>End: 12-Apr.</t>
  </si>
  <si>
    <t>Dai Duong Tien Hai General Clinic\FMSV2023040002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</si>
  <si>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</si>
  <si>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</si>
  <si>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</si>
  <si>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</si>
  <si>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</si>
  <si>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</si>
  <si>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</si>
  <si>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</si>
  <si>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</si>
  <si>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FMSV2023040040</t>
  </si>
  <si>
    <t>JG402K336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</si>
  <si>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</si>
  <si>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</si>
  <si>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</si>
  <si>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</si>
  <si>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</si>
  <si>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</si>
  <si>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</si>
  <si>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</si>
  <si>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</si>
  <si>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</si>
  <si>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</si>
  <si>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</si>
  <si>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</si>
  <si>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</si>
  <si>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Viet Tiep Friendship Hospital- Hai Phong\FMSV2023040019</t>
  </si>
  <si>
    <t>GDKT-2304067</t>
  </si>
  <si>
    <t>115 People Hospital\FMSV2023040038</t>
  </si>
  <si>
    <t>PR #106</t>
  </si>
  <si>
    <t>PR #105</t>
  </si>
  <si>
    <t>GDKT-2304070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</si>
  <si>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</si>
  <si>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</si>
  <si>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</si>
  <si>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</si>
  <si>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</si>
  <si>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</si>
  <si>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</si>
  <si>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</si>
  <si>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</si>
  <si>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</si>
  <si>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</si>
  <si>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</si>
  <si>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</si>
  <si>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</si>
  <si>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</si>
  <si>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</si>
  <si>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</si>
  <si>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</si>
  <si>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</si>
  <si>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</si>
  <si>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</si>
  <si>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</si>
  <si>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</si>
  <si>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</si>
  <si>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</si>
  <si>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</si>
  <si>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FUJIFILM Vietnam Co., Ltd\FMSV2023040040</t>
  </si>
  <si>
    <t>Nghe An Friendship General Hospital\FMSV2023040041</t>
  </si>
  <si>
    <t>FUJIFILM Vietnam Co., Ltd\FMSV2023040043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</si>
  <si>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</si>
  <si>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</si>
  <si>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</si>
  <si>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</si>
  <si>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</si>
  <si>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</si>
  <si>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FFVN-2304051TR</t>
  </si>
  <si>
    <t>GDKT-2304075</t>
  </si>
  <si>
    <t>FFVN-2304052TR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</si>
  <si>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</si>
  <si>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</si>
  <si>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</si>
  <si>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</si>
  <si>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</si>
  <si>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</si>
  <si>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</si>
  <si>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</si>
  <si>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</si>
  <si>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</si>
  <si>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</si>
  <si>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</si>
  <si>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</si>
  <si>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</si>
  <si>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</si>
  <si>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</si>
  <si>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</si>
  <si>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</si>
  <si>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</si>
  <si>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</si>
  <si>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</si>
  <si>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</si>
  <si>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</si>
  <si>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</si>
  <si>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</si>
  <si>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</si>
  <si>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</si>
  <si>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</si>
  <si>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</si>
  <si>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</si>
  <si>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</si>
  <si>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</si>
  <si>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</si>
  <si>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</si>
  <si>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</si>
  <si>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</si>
  <si>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</si>
  <si>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</si>
  <si>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</si>
  <si>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</si>
  <si>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</si>
  <si>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</si>
  <si>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K3 Hanoi National Cancer Hospital\FMSV2023040063</t>
  </si>
  <si>
    <t>K3 Hanoi National Cancer Hospital\FMSV2023040064</t>
  </si>
  <si>
    <t>K3 Hanoi National Cancer Hospital\FMSV2023040066</t>
  </si>
  <si>
    <t>GDKT-2304080</t>
  </si>
  <si>
    <t>GDKT-2304081</t>
  </si>
  <si>
    <t>GDKT-2304082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</si>
  <si>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</si>
  <si>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</si>
  <si>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</si>
  <si>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</si>
  <si>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</si>
  <si>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</si>
  <si>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</si>
  <si>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</si>
  <si>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</si>
  <si>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</si>
  <si>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</si>
  <si>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</si>
  <si>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</si>
  <si>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</si>
  <si>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</si>
  <si>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</si>
  <si>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</si>
  <si>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</si>
  <si>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</si>
  <si>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</si>
  <si>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</si>
  <si>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</si>
  <si>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</si>
  <si>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</si>
  <si>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</si>
  <si>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</si>
  <si>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</si>
  <si>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</si>
  <si>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</si>
  <si>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</si>
  <si>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</si>
  <si>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</si>
  <si>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</si>
  <si>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</si>
  <si>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</si>
  <si>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</si>
  <si>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</si>
  <si>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</si>
  <si>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</si>
  <si>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 xml:space="preserve">esql select Customer, Model, SN,Location,mj_mn,receive,Issue,PIC, Note,rma,technical_report,part_list,quotation,confirmation,[tat received] from mlist where status like'%Completed repair' order by rma 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</si>
  <si>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</si>
  <si>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</si>
  <si>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</si>
  <si>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</si>
  <si>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</si>
  <si>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</si>
  <si>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</si>
  <si>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</si>
  <si>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</si>
  <si>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</si>
  <si>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</si>
  <si>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</si>
  <si>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</si>
  <si>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</si>
  <si>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</si>
  <si>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</si>
  <si>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</si>
  <si>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</si>
  <si>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FMSV2023050020</t>
  </si>
  <si>
    <t>2V567K860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</si>
  <si>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</si>
  <si>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</si>
  <si>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</si>
  <si>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</si>
  <si>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</si>
  <si>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</si>
  <si>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</si>
  <si>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</si>
  <si>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</si>
  <si>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</si>
  <si>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</si>
  <si>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</si>
  <si>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</si>
  <si>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</si>
  <si>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</si>
  <si>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</si>
  <si>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</si>
  <si>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GMS</t>
  </si>
  <si>
    <t>2G403K048</t>
  </si>
  <si>
    <t>FMSV2023050030</t>
  </si>
  <si>
    <t>Buon Don General Hospital</t>
  </si>
  <si>
    <t>5G361K072</t>
  </si>
  <si>
    <t>CHA, PCB, DEC</t>
  </si>
  <si>
    <t>K3 Hanoi National Cancer Hospital\FMSV2023040065</t>
  </si>
  <si>
    <t>GDKT-2023040065</t>
  </si>
  <si>
    <t>Hanoi Medical University\FMSV2023040077</t>
  </si>
  <si>
    <t>FFVN-2305015</t>
  </si>
  <si>
    <t>Dam Doi hospital\FMSV2023040063</t>
  </si>
  <si>
    <t>GDKT-2023050018</t>
  </si>
  <si>
    <t>GDKT-2023050020</t>
  </si>
  <si>
    <t>Thien Hanh hospital\FMSV2023050020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</si>
  <si>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</si>
  <si>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</si>
  <si>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</si>
  <si>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</si>
  <si>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</si>
  <si>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Dong Thap General Hospital\FMSV2023050017</t>
  </si>
  <si>
    <t>ExFM Info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</si>
  <si>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</si>
  <si>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</si>
  <si>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</si>
  <si>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</si>
  <si>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</si>
  <si>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</si>
  <si>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</si>
  <si>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</si>
  <si>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</si>
  <si>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RU: . Old Stt: LP/waiting for part. Approved: 10-Feb-23. (email)</t>
  </si>
  <si>
    <t>RU: . Old Stt: waiting for part. Approved: 10-Feb-23 (email)</t>
  </si>
  <si>
    <t>RU: . Old Stt: waiting for part. Approved: 10-Feb-23. (email)</t>
  </si>
  <si>
    <t>RU: . Old Stt: waiting approved. waiting for approved by GM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</si>
  <si>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</si>
  <si>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</si>
  <si>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</si>
  <si>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</si>
  <si>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</si>
  <si>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</si>
  <si>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</si>
  <si>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</si>
  <si>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</si>
  <si>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</si>
  <si>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</si>
  <si>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</si>
  <si>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</si>
  <si>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</si>
  <si>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</si>
  <si>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</si>
  <si>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</si>
  <si>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</si>
  <si>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</si>
  <si>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</si>
  <si>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PCB, PCB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</si>
  <si>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</si>
  <si>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</si>
  <si>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</si>
  <si>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</si>
  <si>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</si>
  <si>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</si>
  <si>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</si>
  <si>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</si>
  <si>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</si>
  <si>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</si>
  <si>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</si>
  <si>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</si>
  <si>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</si>
  <si>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</si>
  <si>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</si>
  <si>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</si>
  <si>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</si>
  <si>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</si>
  <si>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</si>
  <si>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</si>
  <si>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</si>
  <si>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</si>
  <si>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</si>
  <si>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</si>
  <si>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</si>
  <si>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</si>
  <si>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</si>
  <si>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HECI Center\FMSV2023050029</t>
  </si>
  <si>
    <t>Thanh An- Ha Noi limited company\FMSV2023050013</t>
  </si>
  <si>
    <t>Thanh An- Ha Noi limited company\FMSV2023050016</t>
  </si>
  <si>
    <t>Hai Duong Tuberculosis Hospital\FMSV2023050023</t>
  </si>
  <si>
    <t>Lam Hoa Private Hospital\FMSV2023050024</t>
  </si>
  <si>
    <t>End: Nguyen Tuan Minh.End: Nguyen Tuan Minh.End: Nguyen Tuan Minh.</t>
  </si>
  <si>
    <t>Count</t>
  </si>
  <si>
    <t>Bach Mai</t>
  </si>
  <si>
    <t>Hoang Long</t>
  </si>
  <si>
    <t>Thien Hanh</t>
  </si>
  <si>
    <t>Phu Tho</t>
  </si>
  <si>
    <t>Thanh An - Hanoi</t>
  </si>
  <si>
    <t>Fujifilm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</si>
  <si>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</si>
  <si>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</si>
  <si>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</si>
  <si>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</si>
  <si>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</si>
  <si>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</si>
  <si>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</si>
  <si>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</si>
  <si>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</si>
  <si>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</si>
  <si>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</si>
  <si>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</si>
  <si>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</si>
  <si>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</si>
  <si>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</si>
  <si>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</si>
  <si>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</si>
  <si>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</si>
  <si>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GDKT-2023050013</t>
  </si>
  <si>
    <t>GDKT-2023050016</t>
  </si>
  <si>
    <t>GDKT-2023050023</t>
  </si>
  <si>
    <t>GDKT-2023050024</t>
  </si>
  <si>
    <t>GDKT-2023050025</t>
  </si>
  <si>
    <t>GDKT-2023050038</t>
  </si>
  <si>
    <t>ETC Company\FMSV2023050038</t>
  </si>
  <si>
    <t>FMSV2023050041</t>
  </si>
  <si>
    <t>8G403K090</t>
  </si>
  <si>
    <t>FSB, DRY</t>
  </si>
  <si>
    <t>FMSV2023050042</t>
  </si>
  <si>
    <t>Hoan My Da Nang Hospital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</si>
  <si>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</si>
  <si>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</si>
  <si>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</si>
  <si>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</si>
  <si>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</si>
  <si>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</si>
  <si>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</si>
  <si>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</si>
  <si>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</si>
  <si>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</si>
  <si>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</si>
  <si>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</si>
  <si>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</si>
  <si>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</si>
  <si>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</si>
  <si>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</si>
  <si>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</si>
  <si>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</si>
  <si>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</si>
  <si>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</si>
  <si>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</si>
  <si>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</si>
  <si>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</si>
  <si>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</si>
  <si>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GDKT-2023050041</t>
  </si>
  <si>
    <t>FUJIFILM Vietnam Co., Ltd\FMSV2023050041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</si>
  <si>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</si>
  <si>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</si>
  <si>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</si>
  <si>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</si>
  <si>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</si>
  <si>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</si>
  <si>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</si>
  <si>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</si>
  <si>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</si>
  <si>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</si>
  <si>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</si>
  <si>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</si>
  <si>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</si>
  <si>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</si>
  <si>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</si>
  <si>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</si>
  <si>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</si>
  <si>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</si>
  <si>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</si>
  <si>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</si>
  <si>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</si>
  <si>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</si>
  <si>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</si>
  <si>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</si>
  <si>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</si>
  <si>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</si>
  <si>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 xml:space="preserve">End: 29-May.Warranty Parts. 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</si>
  <si>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</si>
  <si>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</si>
  <si>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</si>
  <si>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</si>
  <si>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</si>
  <si>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</si>
  <si>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</si>
  <si>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</si>
  <si>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</si>
  <si>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</si>
  <si>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</si>
  <si>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</si>
  <si>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</si>
  <si>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 xml:space="preserve">RU: . Old Stt: waiting for part. Approved: 06-Feb-23. </t>
  </si>
  <si>
    <t>RU: 29-May. (waiting confirm</t>
  </si>
  <si>
    <t>RU: 08-May</t>
  </si>
  <si>
    <t>GDKT-2023050042</t>
  </si>
  <si>
    <t>Hoan My Da Nang Hospital\FMSV2023050042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</si>
  <si>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</si>
  <si>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</si>
  <si>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</si>
  <si>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</si>
  <si>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</si>
  <si>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</si>
  <si>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</si>
  <si>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</si>
  <si>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</si>
  <si>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</si>
  <si>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</si>
  <si>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</si>
  <si>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</si>
  <si>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</si>
  <si>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</si>
  <si>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</si>
  <si>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</si>
  <si>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</si>
  <si>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</si>
  <si>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</si>
  <si>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</si>
  <si>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FMSV2023050082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</si>
  <si>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</si>
  <si>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</si>
  <si>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</si>
  <si>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</si>
  <si>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</si>
  <si>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</si>
  <si>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</si>
  <si>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</si>
  <si>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FCT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</si>
  <si>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</si>
  <si>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</si>
  <si>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</si>
  <si>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</si>
  <si>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</si>
  <si>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</si>
  <si>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</si>
  <si>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</si>
  <si>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FFVN-2306018</t>
  </si>
  <si>
    <t>VCA, VCA</t>
  </si>
  <si>
    <t>FFVN-2306019</t>
  </si>
  <si>
    <t>FMSV2023060002</t>
  </si>
  <si>
    <t>FMSV2023060003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</si>
  <si>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</si>
  <si>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</si>
  <si>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</si>
  <si>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</si>
  <si>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</si>
  <si>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</si>
  <si>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</si>
  <si>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</si>
  <si>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</si>
  <si>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</si>
  <si>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</si>
  <si>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</si>
  <si>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</si>
  <si>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</si>
  <si>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</si>
  <si>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</si>
  <si>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</si>
  <si>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</si>
  <si>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</si>
  <si>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</si>
  <si>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</si>
  <si>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Hospital\FMSV2023050077</t>
  </si>
  <si>
    <t xml:space="preserve">Approved: 05-Jun-23. Warranty Parts. </t>
  </si>
  <si>
    <t>Thai Binh Hospital\FMSV2023050078</t>
  </si>
  <si>
    <t>FFVN-2306017</t>
  </si>
  <si>
    <t>Thai Binh Hospital\FMSV2023050079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</si>
  <si>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</si>
  <si>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</si>
  <si>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</si>
  <si>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</si>
  <si>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</si>
  <si>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</si>
  <si>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</si>
  <si>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checked stock not found</t>
  </si>
  <si>
    <t>Cancel</t>
  </si>
  <si>
    <t>ETC-324</t>
  </si>
  <si>
    <t>checked not found</t>
  </si>
  <si>
    <t>GDKT-2303048</t>
  </si>
  <si>
    <t>GDKT-2303053</t>
  </si>
  <si>
    <t>GDKT-2304066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</si>
  <si>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</si>
  <si>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</si>
  <si>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</si>
  <si>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</si>
  <si>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</si>
  <si>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</si>
  <si>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</si>
  <si>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</si>
  <si>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</si>
  <si>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</si>
  <si>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</si>
  <si>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</si>
  <si>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</si>
  <si>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</si>
  <si>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</si>
  <si>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</si>
  <si>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</si>
  <si>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</si>
  <si>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</si>
  <si>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FMSV2023060022</t>
  </si>
  <si>
    <t>ANGL, ANGL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</si>
  <si>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</si>
  <si>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</si>
  <si>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</si>
  <si>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</si>
  <si>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</si>
  <si>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</si>
  <si>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</si>
  <si>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</si>
  <si>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</si>
  <si>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</si>
  <si>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</si>
  <si>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</si>
  <si>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</si>
  <si>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</si>
  <si>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</si>
  <si>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</si>
  <si>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</si>
  <si>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Confirmed: 15-May. #PO108</t>
  </si>
  <si>
    <t>#PO109</t>
  </si>
  <si>
    <t>PO#108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</si>
  <si>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</si>
  <si>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</si>
  <si>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</si>
  <si>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</si>
  <si>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</si>
  <si>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</si>
  <si>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</si>
  <si>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</si>
  <si>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GDKT-2023060022</t>
  </si>
  <si>
    <t>End: 09-Jun.Start: .</t>
  </si>
  <si>
    <t>HECI Center\FMSV2023060024</t>
  </si>
  <si>
    <t>GDKT-2023060024</t>
  </si>
  <si>
    <t xml:space="preserve">Start: 19-Jun End: 23-Jun. Part OK: 12-Jun. Confirmed: 12-Jun. 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</si>
  <si>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</si>
  <si>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</si>
  <si>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</si>
  <si>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</si>
  <si>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iferror(NETWORKDAYS.INTL(T3,AB3),1)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</si>
  <si>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</si>
  <si>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</si>
  <si>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</si>
  <si>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</si>
  <si>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</si>
  <si>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</si>
  <si>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</si>
  <si>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FUJIFILM Vietnam Co., Ltd\FMSV2023060022</t>
  </si>
  <si>
    <t>End: 13-Jun.</t>
  </si>
  <si>
    <t>GDKT-2023060003</t>
  </si>
  <si>
    <t>FUJIFILM Vietnam Co., Ltd\FMSV2023060003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</si>
  <si>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</si>
  <si>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</si>
  <si>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</si>
  <si>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</si>
  <si>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</si>
  <si>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</si>
  <si>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</si>
  <si>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</si>
  <si>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ISA, PCB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</si>
  <si>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</si>
  <si>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</si>
  <si>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</si>
  <si>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</si>
  <si>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</si>
  <si>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</si>
  <si>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</si>
  <si>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</si>
  <si>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</si>
  <si>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</si>
  <si>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</si>
  <si>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</si>
  <si>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</si>
  <si>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</si>
  <si>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</si>
  <si>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Confirmed: 16-Jun. 1. Less than 4 weeks after giving the quotation</t>
  </si>
  <si>
    <t>Awating Contract billing</t>
  </si>
  <si>
    <t>Parts on Order</t>
  </si>
  <si>
    <t>Parts Selection</t>
  </si>
  <si>
    <t>PO Received</t>
  </si>
  <si>
    <t>Awating Parts billing</t>
  </si>
  <si>
    <t>Waiting for Next Process Available</t>
  </si>
  <si>
    <t>Part OK: 16-Jun. #PO109</t>
  </si>
  <si>
    <t>Part OK: 16-Jun. Approved: 14-Jun-23. (Write off)</t>
  </si>
  <si>
    <t>txtRMA</t>
  </si>
  <si>
    <t>lbCustomer</t>
  </si>
  <si>
    <t>FMSV2023070033L</t>
  </si>
  <si>
    <t>Chart Data</t>
  </si>
  <si>
    <t>INDEX([tat_repair.xlsx]Sheet1!$1:$1048576,MATCH($E3,[tat_repair.xlsx]Sheet1!$D:$D,0),MATCH(Z$2,[tat_repair.xlsx]Sheet1!$1:$1,0))</t>
  </si>
  <si>
    <t>INDEX([tat_repair.xlsx]Sheet1!$1:$1048576,MATCH($E3,[tat_repair.xlsx]Sheet1!$D:$D,0),MATCH(AB$2,[tat_repair.xlsx]Sheet1!$1:$1,0))</t>
  </si>
  <si>
    <t>INDEX([tat_repair.xlsx]Sheet1!$1:$1048576,MATCH($E3,[tat_repair.xlsx]Sheet1!$D:$D,0),MATCH(U$2,[tat_repair.xlsx]Sheet1!$1:$1,0))</t>
  </si>
  <si>
    <t>INDEX([tat_repair.xlsx]Sheet1!$1:$1048576,MATCH($E3,[tat_repair.xlsx]Sheet1!$D:$D,0),MATCH(W$2,[tat_repair.xlsx]Sheet1!$1:$1,0))</t>
  </si>
  <si>
    <t>INDEX([tat_repair.xlsx]Sheet1!$1:$1048576,MATCH($E3,[tat_repair.xlsx]Sheet1!$D:$D,0),MATCH(X$2,[tat_repair.xlsx]Sheet1!$1:$1,0))</t>
  </si>
  <si>
    <t>Inspection, Trả Promed Cường 24/05/2023</t>
  </si>
  <si>
    <t>Inspection (OSA), RU trả viện 23/05/2023</t>
  </si>
  <si>
    <t>Inspection, Trả viện 08/05/2023 Duc Tran</t>
  </si>
  <si>
    <t>RU, trả viện 01/04/2023</t>
  </si>
  <si>
    <t>Inspection, RU trả viện 24/05/2023 Đức Nguyễn</t>
  </si>
  <si>
    <t>RU. trả TT 11.04.23</t>
  </si>
  <si>
    <t>Trả khách sau sửa chữa MJ, 12/04/2023 (Đức Trần)</t>
  </si>
  <si>
    <t>Inspection, đã trả Promed. Cường 14/04/2023</t>
  </si>
  <si>
    <t>Inspection (ISA)</t>
  </si>
  <si>
    <t>Inspection, RU trả viện 23/05/2023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</si>
  <si>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</si>
  <si>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</si>
  <si>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</si>
  <si>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</si>
  <si>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</si>
  <si>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</si>
  <si>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</si>
  <si>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</si>
  <si>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</si>
  <si>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</si>
  <si>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</si>
  <si>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</si>
  <si>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</si>
  <si>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</si>
  <si>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</si>
  <si>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</si>
  <si>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</si>
  <si>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</si>
  <si>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</si>
  <si>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</si>
  <si>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</si>
  <si>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</si>
  <si>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</si>
  <si>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</si>
  <si>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</si>
  <si>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</si>
  <si>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</si>
  <si>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</si>
  <si>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</si>
  <si>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</si>
  <si>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</si>
  <si>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</si>
  <si>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</si>
  <si>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</si>
  <si>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</si>
  <si>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</si>
  <si>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</si>
  <si>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</si>
  <si>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</si>
  <si>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</si>
  <si>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</si>
  <si>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Hanoi Medical University\FMSV2023050064 (FOC)</t>
  </si>
  <si>
    <t>TR-2023050064</t>
  </si>
  <si>
    <t>FUJIFILM Vietnam Co., Ltd\FMSV2023060039</t>
  </si>
  <si>
    <t>TR-2023060039</t>
  </si>
  <si>
    <t>Hoang Long Clinic\FMSV2023060041</t>
  </si>
  <si>
    <t>GDKT-2023060041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</si>
  <si>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</si>
  <si>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</si>
  <si>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</si>
  <si>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</si>
  <si>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</si>
  <si>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</si>
  <si>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</si>
  <si>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</si>
  <si>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</si>
  <si>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</si>
  <si>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</si>
  <si>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</si>
  <si>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</si>
  <si>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</si>
  <si>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</si>
  <si>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</si>
  <si>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</si>
  <si>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</si>
  <si>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</si>
  <si>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FUJIFILM Vietnam Co., Ltd\FMSV2023040070</t>
  </si>
  <si>
    <t>Bach Mai Hospital\FMSV2023060038</t>
  </si>
  <si>
    <t>Bach Mai Hospital\FMSV2023060040</t>
  </si>
  <si>
    <t xml:space="preserve">RU: . Old Stt: prepairing quotation. 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</si>
  <si>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</si>
  <si>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</si>
  <si>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</si>
  <si>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</si>
  <si>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</si>
  <si>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</si>
  <si>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</si>
  <si>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</si>
  <si>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</si>
  <si>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</si>
  <si>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IFERROR(NETWORKDAYS.INTL(Z3,AB3),1)</t>
  </si>
  <si>
    <t>IFERROR(NETWORKDAYS.INTL(W3,X3),1)</t>
  </si>
  <si>
    <t>IF(O3&lt;&gt;"",O3,"")</t>
  </si>
  <si>
    <t>Duc Nguyen</t>
  </si>
  <si>
    <t>QC OK</t>
  </si>
  <si>
    <t>Minor repair</t>
  </si>
  <si>
    <t>Minor repair, chờ trả viện</t>
  </si>
  <si>
    <t>Minor FOC repair, trả viện 09/06/2023</t>
  </si>
  <si>
    <t>Minor repaired, Trả viện 23/05/2023</t>
  </si>
  <si>
    <t>Minor repair, Trả viện 01/05/2023</t>
  </si>
  <si>
    <t xml:space="preserve">Minor repair, chuyển phát Cu ba Đồng Hới </t>
  </si>
  <si>
    <t>Minor repaired, Trả viện 13/06/2023 Duc Tran</t>
  </si>
  <si>
    <t>Minor repair, trả viện 16/06/2023</t>
  </si>
  <si>
    <t>Minor FOC repair, trả viện 05/06/2023</t>
  </si>
  <si>
    <t>Minor repair, trả viện ngày 07/06/2023</t>
  </si>
  <si>
    <t>Minor repaired, Trả viện 19/06/2023</t>
  </si>
  <si>
    <t>Inspection, Chờ trả viện</t>
  </si>
  <si>
    <t>Minor repaired, trả viện ngày 13/06/2023</t>
  </si>
  <si>
    <t>Minor repaired, trả viện 12/06/2023</t>
  </si>
  <si>
    <t>Minor repaired, trả viện ngày 12/06/2023</t>
  </si>
  <si>
    <t>Minor repaired, Trả viện 12/06/2023</t>
  </si>
  <si>
    <t>Minor repaired, trả viện 23/05/2023</t>
  </si>
  <si>
    <t>Minor repaired, Trả viện 07/06/2023</t>
  </si>
  <si>
    <t>Minor repair, Trả viện 02/06/2023</t>
  </si>
  <si>
    <t>Minor repair, Trả viện 02/06/203</t>
  </si>
  <si>
    <t>Minor repair, Trả viện 05/06/2023</t>
  </si>
  <si>
    <t>Minor repair, đã trả viện 16/06/2023 Chuyển phát</t>
  </si>
  <si>
    <t>Inspection (Trả Promed Cường 23/05/2023)</t>
  </si>
  <si>
    <t>Inspection ( FCT), trả viện 12/06/2023 Duc Nguyen</t>
  </si>
  <si>
    <t>FMSV2023060064</t>
  </si>
  <si>
    <t>1C694K023</t>
  </si>
  <si>
    <t>CHA, FSA</t>
  </si>
  <si>
    <t>FMSV2023060065</t>
  </si>
  <si>
    <t>2V567K846</t>
  </si>
  <si>
    <t>FMSV2023060066</t>
  </si>
  <si>
    <t>Transfer to other Centre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</si>
  <si>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</si>
  <si>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</si>
  <si>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</si>
  <si>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</si>
  <si>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</si>
  <si>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</si>
  <si>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</si>
  <si>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</si>
  <si>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</si>
  <si>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</si>
  <si>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</si>
  <si>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</si>
  <si>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</si>
  <si>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</si>
  <si>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</si>
  <si>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</si>
  <si>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</si>
  <si>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</si>
  <si>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</si>
  <si>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</si>
  <si>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</si>
  <si>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</si>
  <si>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</si>
  <si>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</si>
  <si>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 xml:space="preserve">RU: . Old Stt: LP/waiting confirm. </t>
  </si>
  <si>
    <t>End: 03-Jul.Start: .</t>
  </si>
  <si>
    <t xml:space="preserve">End: 30-Jun.Approved: 30-Jun-23. Warranty Parts. </t>
  </si>
  <si>
    <t>End: 30-Jun.Start: .</t>
  </si>
  <si>
    <t>SPR Project</t>
  </si>
  <si>
    <r>
      <t>I would like to update Master List from Jun 19</t>
    </r>
    <r>
      <rPr>
        <vertAlign val="superscript"/>
        <sz val="12"/>
        <color rgb="FF000000"/>
        <rFont val="Calibri"/>
        <family val="2"/>
        <scheme val="minor"/>
      </rPr>
      <t>th</t>
    </r>
    <r>
      <rPr>
        <sz val="12"/>
        <color rgb="FF000000"/>
        <rFont val="Calibri"/>
        <family val="2"/>
        <scheme val="minor"/>
      </rPr>
      <t> - 23</t>
    </r>
    <r>
      <rPr>
        <vertAlign val="superscript"/>
        <sz val="12"/>
        <color rgb="FF000000"/>
        <rFont val="Calibri"/>
        <family val="2"/>
        <scheme val="minor"/>
      </rPr>
      <t>rd</t>
    </r>
    <r>
      <rPr>
        <sz val="12"/>
        <color rgb="FF000000"/>
        <rFont val="Calibri"/>
        <family val="2"/>
        <scheme val="minor"/>
      </rPr>
      <t>, 2023:</t>
    </r>
  </si>
  <si>
    <t>TR-2023060064</t>
  </si>
  <si>
    <t>-</t>
  </si>
  <si>
    <t>Awating Internal Approval</t>
  </si>
  <si>
    <t>DRY, DEC, SW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</si>
  <si>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</si>
  <si>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</si>
  <si>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</si>
  <si>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</si>
  <si>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</si>
  <si>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</si>
  <si>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</si>
  <si>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</si>
  <si>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</si>
  <si>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</si>
  <si>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</si>
  <si>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</si>
  <si>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</si>
  <si>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</si>
  <si>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</si>
  <si>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</si>
  <si>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</si>
  <si>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</si>
  <si>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FMSV2023070010</t>
  </si>
  <si>
    <t>9G391K106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</si>
  <si>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</si>
  <si>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</si>
  <si>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</si>
  <si>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</si>
  <si>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</si>
  <si>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</si>
  <si>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</si>
  <si>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</si>
  <si>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</si>
  <si>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</si>
  <si>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</si>
  <si>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</si>
  <si>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</si>
  <si>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</si>
  <si>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</si>
  <si>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</si>
  <si>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</si>
  <si>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</si>
  <si>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</si>
  <si>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</si>
  <si>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</si>
  <si>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</si>
  <si>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</si>
  <si>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</si>
  <si>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>Part OK: 03-Jul</t>
  </si>
  <si>
    <t xml:space="preserve">Part OK: 03-Jul. </t>
  </si>
  <si>
    <t>mj_mn</t>
  </si>
  <si>
    <t>rma</t>
  </si>
  <si>
    <t>technical_report</t>
  </si>
  <si>
    <t>part_list</t>
  </si>
  <si>
    <t>quotation</t>
  </si>
  <si>
    <t>tat received</t>
  </si>
  <si>
    <t>78</t>
  </si>
  <si>
    <t>46</t>
  </si>
  <si>
    <t>5</t>
  </si>
  <si>
    <t>price</t>
  </si>
  <si>
    <t>45099</t>
  </si>
  <si>
    <t>* copy before delete completed repair</t>
  </si>
  <si>
    <t>* copy after delete completed repair</t>
  </si>
  <si>
    <t>count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</si>
  <si>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</si>
  <si>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</si>
  <si>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</si>
  <si>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</si>
  <si>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</si>
  <si>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</si>
  <si>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</si>
  <si>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</si>
  <si>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65</t>
  </si>
  <si>
    <t>Start: .Part OK: 16-Jun. #PO109</t>
  </si>
  <si>
    <t>End: 04-Jul.Confirmed: 23-May. PO108</t>
  </si>
  <si>
    <t>45014</t>
  </si>
  <si>
    <t>73</t>
  </si>
  <si>
    <t>End: 29-Jun.Confirmed: 16-Jun. 1. Less than 4 weeks after giving the quotation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</si>
</sst>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_([$$-409]* #,##0.00_);_([$$-409]* \(#,##0.00\);_([$$-409]* &quot;-&quot;??_);_(@_)"/>
    <numFmt numFmtId="173" formatCode="[$-409]d/mmm/yy;@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b/>
      <sz val="14"/>
      <color indexed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vertAlign val="superscript"/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5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2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1" fillId="0" borderId="0"/>
    <xf numFmtId="0" fontId="46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8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0" fontId="11" fillId="3" borderId="1" xfId="1" applyFont="1" applyFill="1" applyBorder="1" applyAlignment="1">
      <alignment vertical="center"/>
    </xf>
    <xf numFmtId="0" fontId="10" fillId="0" borderId="2" xfId="1" applyFont="1" applyBorder="1" applyAlignment="1">
      <alignment horizontal="center"/>
    </xf>
    <xf numFmtId="0" fontId="13" fillId="3" borderId="2" xfId="1" applyFont="1" applyFill="1" applyBorder="1" applyAlignment="1">
      <alignment horizontal="center" vertical="center"/>
    </xf>
    <xf numFmtId="0" fontId="13" fillId="3" borderId="2" xfId="1" applyFont="1" applyFill="1" applyBorder="1" applyAlignment="1">
      <alignment horizontal="center" vertical="center" wrapText="1"/>
    </xf>
    <xf numFmtId="165" fontId="13" fillId="3" borderId="2" xfId="1" applyNumberFormat="1" applyFont="1" applyFill="1" applyBorder="1" applyAlignment="1">
      <alignment horizontal="center" vertical="center" wrapText="1"/>
    </xf>
    <xf numFmtId="164" fontId="12" fillId="4" borderId="2" xfId="1" applyNumberFormat="1" applyFont="1" applyFill="1" applyBorder="1" applyAlignment="1">
      <alignment horizontal="center" vertical="center" wrapText="1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6" fillId="0" borderId="0" xfId="0" applyFont="1"/>
    <xf numFmtId="16" fontId="0" fillId="0" borderId="0" xfId="0" applyNumberFormat="1"/>
    <xf numFmtId="0" fontId="18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20" fillId="7" borderId="0" xfId="0" applyFont="1" applyFill="1"/>
    <xf numFmtId="164" fontId="21" fillId="4" borderId="6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7" fillId="7" borderId="3" xfId="3" applyFont="1" applyFill="1" applyBorder="1" applyAlignment="1">
      <alignment horizontal="center" vertical="center"/>
    </xf>
    <xf numFmtId="0" fontId="17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6" fillId="0" borderId="4" xfId="0" applyNumberFormat="1" applyFont="1" applyBorder="1" applyAlignment="1">
      <alignment vertical="center"/>
    </xf>
    <xf numFmtId="169" fontId="26" fillId="0" borderId="4" xfId="0" applyNumberFormat="1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0" fontId="20" fillId="0" borderId="4" xfId="0" applyFont="1" applyBorder="1" applyAlignment="1">
      <alignment vertical="center"/>
    </xf>
    <xf numFmtId="38" fontId="20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8" fillId="0" borderId="4" xfId="0" applyNumberFormat="1" applyFont="1" applyBorder="1" applyAlignment="1">
      <alignment vertical="center"/>
    </xf>
    <xf numFmtId="3" fontId="28" fillId="0" borderId="7" xfId="0" applyNumberFormat="1" applyFont="1" applyBorder="1" applyAlignment="1">
      <alignment vertical="center"/>
    </xf>
    <xf numFmtId="38" fontId="28" fillId="0" borderId="4" xfId="7" applyFont="1" applyBorder="1">
      <alignment vertical="center"/>
    </xf>
    <xf numFmtId="0" fontId="29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20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5" fillId="0" borderId="1" xfId="0" applyFont="1" applyBorder="1" applyAlignment="1">
      <alignment horizontal="center"/>
    </xf>
    <xf numFmtId="165" fontId="17" fillId="0" borderId="1" xfId="1" applyNumberFormat="1" applyFont="1" applyBorder="1" applyAlignment="1">
      <alignment horizontal="center"/>
    </xf>
    <xf numFmtId="0" fontId="17" fillId="7" borderId="1" xfId="0" applyFont="1" applyFill="1" applyBorder="1" applyAlignment="1">
      <alignment horizontal="center"/>
    </xf>
    <xf numFmtId="0" fontId="17" fillId="7" borderId="1" xfId="0" applyFont="1" applyFill="1" applyBorder="1"/>
    <xf numFmtId="165" fontId="17" fillId="7" borderId="1" xfId="1" applyNumberFormat="1" applyFont="1" applyFill="1" applyBorder="1" applyAlignment="1">
      <alignment horizontal="center"/>
    </xf>
    <xf numFmtId="0" fontId="17" fillId="7" borderId="1" xfId="0" applyFont="1" applyFill="1" applyBorder="1" applyAlignment="1">
      <alignment horizontal="left"/>
    </xf>
    <xf numFmtId="0" fontId="17" fillId="7" borderId="1" xfId="1" applyFont="1" applyFill="1" applyBorder="1" applyAlignment="1">
      <alignment horizontal="left" vertical="center"/>
    </xf>
    <xf numFmtId="0" fontId="17" fillId="7" borderId="1" xfId="1" applyFont="1" applyFill="1" applyBorder="1" applyAlignment="1">
      <alignment horizontal="center" vertical="center"/>
    </xf>
    <xf numFmtId="0" fontId="17" fillId="7" borderId="1" xfId="1" applyFont="1" applyFill="1" applyBorder="1" applyAlignment="1">
      <alignment horizontal="left"/>
    </xf>
    <xf numFmtId="0" fontId="17" fillId="7" borderId="5" xfId="0" applyFont="1" applyFill="1" applyBorder="1"/>
    <xf numFmtId="0" fontId="0" fillId="6" borderId="1" xfId="0" applyFill="1" applyBorder="1"/>
    <xf numFmtId="0" fontId="17" fillId="6" borderId="1" xfId="0" applyFont="1" applyFill="1" applyBorder="1"/>
    <xf numFmtId="0" fontId="25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33" fillId="4" borderId="2" xfId="1" applyNumberFormat="1" applyFont="1" applyFill="1" applyBorder="1" applyAlignment="1">
      <alignment horizontal="center" vertical="center" wrapText="1"/>
    </xf>
    <xf numFmtId="165" fontId="34" fillId="3" borderId="2" xfId="1" applyNumberFormat="1" applyFont="1" applyFill="1" applyBorder="1" applyAlignment="1">
      <alignment horizontal="center" vertical="center" wrapText="1"/>
    </xf>
    <xf numFmtId="164" fontId="34" fillId="4" borderId="2" xfId="1" applyNumberFormat="1" applyFont="1" applyFill="1" applyBorder="1" applyAlignment="1">
      <alignment horizontal="center" vertical="center" wrapText="1"/>
    </xf>
    <xf numFmtId="164" fontId="16" fillId="0" borderId="0" xfId="0" applyNumberFormat="1" applyFont="1"/>
    <xf numFmtId="0" fontId="19" fillId="0" borderId="0" xfId="0" applyFont="1" applyAlignment="1">
      <alignment horizontal="center" vertical="center"/>
    </xf>
    <xf numFmtId="164" fontId="0" fillId="0" borderId="0" xfId="0" applyNumberFormat="1"/>
    <xf numFmtId="0" fontId="36" fillId="0" borderId="0" xfId="0" applyFont="1"/>
    <xf numFmtId="0" fontId="38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0" fillId="0" borderId="10" xfId="1" applyFont="1" applyBorder="1" applyAlignment="1">
      <alignment horizontal="center"/>
    </xf>
    <xf numFmtId="0" fontId="11" fillId="3" borderId="10" xfId="1" applyFont="1" applyFill="1" applyBorder="1" applyAlignment="1">
      <alignment vertical="center"/>
    </xf>
    <xf numFmtId="0" fontId="11" fillId="3" borderId="10" xfId="1" applyFont="1" applyFill="1" applyBorder="1" applyAlignment="1">
      <alignment horizontal="left" vertical="center"/>
    </xf>
    <xf numFmtId="0" fontId="11" fillId="3" borderId="10" xfId="1" applyFont="1" applyFill="1" applyBorder="1" applyAlignment="1">
      <alignment horizontal="center" vertical="center"/>
    </xf>
    <xf numFmtId="165" fontId="11" fillId="3" borderId="10" xfId="1" applyNumberFormat="1" applyFont="1" applyFill="1" applyBorder="1" applyAlignment="1">
      <alignment vertical="center"/>
    </xf>
    <xf numFmtId="165" fontId="21" fillId="3" borderId="10" xfId="1" applyNumberFormat="1" applyFont="1" applyFill="1" applyBorder="1" applyAlignment="1">
      <alignment vertical="center"/>
    </xf>
    <xf numFmtId="1" fontId="11" fillId="5" borderId="10" xfId="1" applyNumberFormat="1" applyFont="1" applyFill="1" applyBorder="1" applyAlignment="1">
      <alignment horizontal="left" vertical="center" wrapText="1"/>
    </xf>
    <xf numFmtId="1" fontId="13" fillId="5" borderId="10" xfId="1" applyNumberFormat="1" applyFont="1" applyFill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20" fillId="0" borderId="0" xfId="0" quotePrefix="1" applyNumberFormat="1" applyFont="1"/>
    <xf numFmtId="0" fontId="2" fillId="7" borderId="0" xfId="1" applyFill="1"/>
    <xf numFmtId="168" fontId="2" fillId="7" borderId="0" xfId="1" applyNumberFormat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2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0" fontId="23" fillId="3" borderId="10" xfId="1" applyFont="1" applyFill="1" applyBorder="1" applyAlignment="1">
      <alignment horizontal="left" vertical="center"/>
    </xf>
    <xf numFmtId="164" fontId="11" fillId="3" borderId="1" xfId="1" applyNumberFormat="1" applyFont="1" applyFill="1" applyBorder="1" applyAlignment="1">
      <alignment vertical="center"/>
    </xf>
    <xf numFmtId="0" fontId="13" fillId="3" borderId="13" xfId="1" applyFont="1" applyFill="1" applyBorder="1" applyAlignment="1">
      <alignment horizontal="center" vertical="center" wrapText="1"/>
    </xf>
    <xf numFmtId="164" fontId="13" fillId="3" borderId="13" xfId="1" applyNumberFormat="1" applyFont="1" applyFill="1" applyBorder="1" applyAlignment="1">
      <alignment horizontal="center" vertical="center" wrapText="1"/>
    </xf>
    <xf numFmtId="0" fontId="40" fillId="0" borderId="0" xfId="1" applyFont="1"/>
    <xf numFmtId="164" fontId="41" fillId="0" borderId="0" xfId="1" applyNumberFormat="1" applyFont="1"/>
    <xf numFmtId="0" fontId="13" fillId="9" borderId="0" xfId="1" applyFont="1" applyFill="1" applyAlignment="1">
      <alignment horizontal="left" vertical="center" wrapText="1"/>
    </xf>
    <xf numFmtId="0" fontId="34" fillId="3" borderId="10" xfId="1" applyFont="1" applyFill="1" applyBorder="1" applyAlignment="1">
      <alignment horizontal="center" vertical="center" wrapText="1"/>
    </xf>
    <xf numFmtId="0" fontId="17" fillId="0" borderId="0" xfId="0" applyFont="1"/>
    <xf numFmtId="164" fontId="36" fillId="0" borderId="0" xfId="0" applyNumberFormat="1" applyFont="1"/>
    <xf numFmtId="164" fontId="39" fillId="0" borderId="0" xfId="0" applyNumberFormat="1" applyFont="1"/>
    <xf numFmtId="0" fontId="43" fillId="10" borderId="15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right" vertical="center"/>
    </xf>
    <xf numFmtId="0" fontId="44" fillId="10" borderId="16" xfId="0" applyFont="1" applyFill="1" applyBorder="1" applyAlignment="1">
      <alignment horizontal="center" vertical="center"/>
    </xf>
    <xf numFmtId="0" fontId="44" fillId="10" borderId="16" xfId="0" applyFont="1" applyFill="1" applyBorder="1" applyAlignment="1">
      <alignment horizontal="right" vertical="center"/>
    </xf>
    <xf numFmtId="16" fontId="44" fillId="10" borderId="16" xfId="0" applyNumberFormat="1" applyFont="1" applyFill="1" applyBorder="1" applyAlignment="1">
      <alignment vertical="center"/>
    </xf>
    <xf numFmtId="0" fontId="45" fillId="11" borderId="15" xfId="0" applyFont="1" applyFill="1" applyBorder="1" applyAlignment="1">
      <alignment horizontal="right" vertical="center"/>
    </xf>
    <xf numFmtId="0" fontId="45" fillId="12" borderId="15" xfId="0" applyFont="1" applyFill="1" applyBorder="1" applyAlignment="1">
      <alignment horizontal="right" vertical="center"/>
    </xf>
    <xf numFmtId="0" fontId="45" fillId="12" borderId="15" xfId="0" applyFont="1" applyFill="1" applyBorder="1" applyAlignment="1">
      <alignment vertical="center"/>
    </xf>
    <xf numFmtId="0" fontId="45" fillId="13" borderId="15" xfId="0" applyFont="1" applyFill="1" applyBorder="1" applyAlignment="1">
      <alignment horizontal="right" vertical="center"/>
    </xf>
    <xf numFmtId="0" fontId="45" fillId="13" borderId="15" xfId="0" applyFont="1" applyFill="1" applyBorder="1" applyAlignment="1">
      <alignment vertical="center"/>
    </xf>
    <xf numFmtId="0" fontId="45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vertical="center"/>
    </xf>
    <xf numFmtId="0" fontId="44" fillId="0" borderId="5" xfId="0" applyFont="1" applyBorder="1" applyAlignment="1">
      <alignment horizontal="right" vertical="center"/>
    </xf>
    <xf numFmtId="0" fontId="45" fillId="0" borderId="19" xfId="0" applyFont="1" applyBorder="1" applyAlignment="1">
      <alignment horizontal="center" vertical="center" textRotation="90"/>
    </xf>
    <xf numFmtId="0" fontId="45" fillId="0" borderId="15" xfId="0" applyFont="1" applyBorder="1" applyAlignment="1">
      <alignment horizontal="right" vertical="center"/>
    </xf>
    <xf numFmtId="0" fontId="45" fillId="0" borderId="16" xfId="0" applyFont="1" applyBorder="1" applyAlignment="1">
      <alignment horizontal="right" vertical="center"/>
    </xf>
    <xf numFmtId="0" fontId="44" fillId="6" borderId="15" xfId="0" applyFont="1" applyFill="1" applyBorder="1" applyAlignment="1">
      <alignment horizontal="center" vertical="center"/>
    </xf>
    <xf numFmtId="0" fontId="44" fillId="6" borderId="15" xfId="0" applyFont="1" applyFill="1" applyBorder="1" applyAlignment="1">
      <alignment horizontal="right" vertical="center"/>
    </xf>
    <xf numFmtId="0" fontId="44" fillId="6" borderId="16" xfId="0" applyFont="1" applyFill="1" applyBorder="1" applyAlignment="1">
      <alignment horizontal="right" vertical="center"/>
    </xf>
    <xf numFmtId="0" fontId="44" fillId="0" borderId="15" xfId="0" applyFont="1" applyBorder="1" applyAlignment="1">
      <alignment horizontal="center" vertical="center"/>
    </xf>
    <xf numFmtId="0" fontId="44" fillId="0" borderId="15" xfId="0" applyFont="1" applyBorder="1" applyAlignment="1">
      <alignment horizontal="right" vertical="center"/>
    </xf>
    <xf numFmtId="0" fontId="44" fillId="0" borderId="20" xfId="0" applyFont="1" applyBorder="1" applyAlignment="1">
      <alignment horizontal="right" vertical="center"/>
    </xf>
    <xf numFmtId="0" fontId="45" fillId="14" borderId="15" xfId="0" applyFont="1" applyFill="1" applyBorder="1" applyAlignment="1">
      <alignment horizontal="center" vertical="center"/>
    </xf>
    <xf numFmtId="0" fontId="45" fillId="14" borderId="6" xfId="0" applyFont="1" applyFill="1" applyBorder="1" applyAlignment="1">
      <alignment horizontal="right" vertical="center"/>
    </xf>
    <xf numFmtId="0" fontId="44" fillId="14" borderId="15" xfId="0" applyFont="1" applyFill="1" applyBorder="1" applyAlignment="1">
      <alignment horizontal="right" vertical="center"/>
    </xf>
    <xf numFmtId="0" fontId="44" fillId="14" borderId="14" xfId="0" applyFont="1" applyFill="1" applyBorder="1" applyAlignment="1">
      <alignment horizontal="right" vertical="center"/>
    </xf>
    <xf numFmtId="0" fontId="44" fillId="14" borderId="15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16" xfId="1" applyFont="1" applyBorder="1" applyAlignment="1">
      <alignment horizontal="center"/>
    </xf>
    <xf numFmtId="164" fontId="42" fillId="0" borderId="0" xfId="0" applyNumberFormat="1" applyFont="1"/>
    <xf numFmtId="0" fontId="42" fillId="0" borderId="0" xfId="0" applyFont="1"/>
    <xf numFmtId="0" fontId="0" fillId="6" borderId="21" xfId="0" applyFill="1" applyBorder="1"/>
    <xf numFmtId="0" fontId="11" fillId="3" borderId="22" xfId="1" applyFont="1" applyFill="1" applyBorder="1" applyAlignment="1">
      <alignment horizontal="left" vertical="center"/>
    </xf>
    <xf numFmtId="0" fontId="13" fillId="3" borderId="21" xfId="1" applyFont="1" applyFill="1" applyBorder="1" applyAlignment="1">
      <alignment horizontal="center" vertical="center" wrapText="1"/>
    </xf>
    <xf numFmtId="0" fontId="0" fillId="0" borderId="23" xfId="0" applyBorder="1"/>
    <xf numFmtId="0" fontId="22" fillId="0" borderId="0" xfId="6" applyAlignment="1"/>
    <xf numFmtId="0" fontId="0" fillId="6" borderId="5" xfId="0" applyFill="1" applyBorder="1"/>
    <xf numFmtId="14" fontId="0" fillId="6" borderId="21" xfId="0" applyNumberFormat="1" applyFill="1" applyBorder="1"/>
    <xf numFmtId="164" fontId="2" fillId="0" borderId="24" xfId="1" applyNumberFormat="1" applyBorder="1" applyAlignment="1">
      <alignment horizontal="center" vertical="center"/>
    </xf>
    <xf numFmtId="164" fontId="21" fillId="4" borderId="20" xfId="1" applyNumberFormat="1" applyFont="1" applyFill="1" applyBorder="1" applyAlignment="1">
      <alignment vertical="center" wrapText="1"/>
    </xf>
    <xf numFmtId="164" fontId="47" fillId="4" borderId="10" xfId="9" applyNumberFormat="1" applyFont="1" applyFill="1" applyBorder="1" applyAlignment="1">
      <alignment horizontal="center" vertical="center" wrapText="1"/>
    </xf>
    <xf numFmtId="0" fontId="10" fillId="2" borderId="24" xfId="1" applyFont="1" applyFill="1" applyBorder="1" applyAlignment="1">
      <alignment horizontal="center"/>
    </xf>
    <xf numFmtId="0" fontId="40" fillId="7" borderId="0" xfId="1" applyFont="1" applyFill="1" applyAlignment="1">
      <alignment horizontal="left"/>
    </xf>
    <xf numFmtId="167" fontId="0" fillId="0" borderId="25" xfId="0" applyNumberFormat="1" applyBorder="1"/>
    <xf numFmtId="164" fontId="2" fillId="0" borderId="26" xfId="1" applyNumberFormat="1" applyBorder="1" applyAlignment="1">
      <alignment horizontal="center" vertical="center"/>
    </xf>
    <xf numFmtId="0" fontId="10" fillId="2" borderId="27" xfId="1" applyFont="1" applyFill="1" applyBorder="1" applyAlignment="1">
      <alignment horizontal="center"/>
    </xf>
    <xf numFmtId="170" fontId="2" fillId="0" borderId="27" xfId="1" applyNumberFormat="1" applyBorder="1" applyAlignment="1">
      <alignment horizontal="center" vertical="center"/>
    </xf>
    <xf numFmtId="164" fontId="2" fillId="0" borderId="27" xfId="1" applyNumberFormat="1" applyBorder="1" applyAlignment="1">
      <alignment horizontal="center" vertical="center"/>
    </xf>
    <xf numFmtId="14" fontId="0" fillId="0" borderId="28" xfId="0" applyNumberFormat="1" applyBorder="1"/>
    <xf numFmtId="14" fontId="0" fillId="0" borderId="29" xfId="0" applyNumberFormat="1" applyBorder="1"/>
    <xf numFmtId="164" fontId="17" fillId="0" borderId="0" xfId="0" applyNumberFormat="1" applyFont="1"/>
    <xf numFmtId="167" fontId="0" fillId="0" borderId="19" xfId="0" applyNumberFormat="1" applyBorder="1"/>
    <xf numFmtId="167" fontId="0" fillId="6" borderId="21" xfId="0" applyNumberFormat="1" applyFill="1" applyBorder="1"/>
    <xf numFmtId="0" fontId="13" fillId="3" borderId="31" xfId="1" applyFont="1" applyFill="1" applyBorder="1" applyAlignment="1">
      <alignment horizontal="center" vertical="center" wrapText="1"/>
    </xf>
    <xf numFmtId="164" fontId="13" fillId="3" borderId="31" xfId="1" applyNumberFormat="1" applyFont="1" applyFill="1" applyBorder="1" applyAlignment="1">
      <alignment horizontal="center" vertical="center" wrapText="1"/>
    </xf>
    <xf numFmtId="0" fontId="0" fillId="0" borderId="33" xfId="0" applyBorder="1"/>
    <xf numFmtId="0" fontId="0" fillId="17" borderId="33" xfId="0" applyFill="1" applyBorder="1"/>
    <xf numFmtId="0" fontId="25" fillId="17" borderId="33" xfId="0" applyFont="1" applyFill="1" applyBorder="1" applyAlignment="1">
      <alignment horizontal="center"/>
    </xf>
    <xf numFmtId="16" fontId="0" fillId="17" borderId="33" xfId="0" applyNumberFormat="1" applyFill="1" applyBorder="1" applyAlignment="1">
      <alignment horizontal="center"/>
    </xf>
    <xf numFmtId="0" fontId="48" fillId="16" borderId="33" xfId="0" applyFont="1" applyFill="1" applyBorder="1" applyAlignment="1">
      <alignment horizontal="center"/>
    </xf>
    <xf numFmtId="0" fontId="0" fillId="16" borderId="33" xfId="0" applyFill="1" applyBorder="1" applyAlignment="1">
      <alignment horizontal="center"/>
    </xf>
    <xf numFmtId="0" fontId="25" fillId="0" borderId="33" xfId="0" applyFont="1" applyBorder="1" applyAlignment="1">
      <alignment horizontal="center" vertical="center"/>
    </xf>
    <xf numFmtId="0" fontId="0" fillId="15" borderId="33" xfId="0" applyFill="1" applyBorder="1"/>
    <xf numFmtId="164" fontId="0" fillId="0" borderId="33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5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34" xfId="0" applyBorder="1"/>
    <xf numFmtId="167" fontId="0" fillId="0" borderId="34" xfId="0" applyNumberFormat="1" applyBorder="1"/>
    <xf numFmtId="16" fontId="0" fillId="0" borderId="34" xfId="0" applyNumberFormat="1" applyBorder="1"/>
    <xf numFmtId="167" fontId="0" fillId="0" borderId="30" xfId="0" applyNumberFormat="1" applyBorder="1"/>
    <xf numFmtId="0" fontId="49" fillId="0" borderId="0" xfId="0" applyFont="1"/>
    <xf numFmtId="164" fontId="0" fillId="0" borderId="35" xfId="0" applyNumberFormat="1" applyBorder="1"/>
    <xf numFmtId="14" fontId="0" fillId="0" borderId="36" xfId="0" applyNumberFormat="1" applyBorder="1"/>
    <xf numFmtId="164" fontId="36" fillId="0" borderId="35" xfId="0" applyNumberFormat="1" applyFont="1" applyBorder="1"/>
    <xf numFmtId="164" fontId="42" fillId="0" borderId="35" xfId="0" applyNumberFormat="1" applyFont="1" applyBorder="1"/>
    <xf numFmtId="0" fontId="42" fillId="0" borderId="35" xfId="0" applyFont="1" applyBorder="1"/>
    <xf numFmtId="167" fontId="0" fillId="0" borderId="36" xfId="0" applyNumberFormat="1" applyBorder="1"/>
    <xf numFmtId="0" fontId="0" fillId="0" borderId="30" xfId="0" applyBorder="1"/>
    <xf numFmtId="171" fontId="7" fillId="2" borderId="0" xfId="10" applyNumberFormat="1" applyFont="1" applyFill="1" applyAlignment="1">
      <alignment vertical="center"/>
    </xf>
    <xf numFmtId="171" fontId="2" fillId="0" borderId="24" xfId="10" applyNumberFormat="1" applyFont="1" applyBorder="1" applyAlignment="1">
      <alignment horizontal="center" vertical="center"/>
    </xf>
    <xf numFmtId="171" fontId="11" fillId="4" borderId="10" xfId="10" applyNumberFormat="1" applyFont="1" applyFill="1" applyBorder="1" applyAlignment="1">
      <alignment horizontal="center" vertical="center" wrapText="1"/>
    </xf>
    <xf numFmtId="171" fontId="2" fillId="0" borderId="0" xfId="10" applyNumberFormat="1" applyFont="1"/>
    <xf numFmtId="164" fontId="40" fillId="0" borderId="0" xfId="1" applyNumberFormat="1" applyFont="1"/>
    <xf numFmtId="0" fontId="0" fillId="0" borderId="38" xfId="0" applyBorder="1"/>
    <xf numFmtId="1" fontId="2" fillId="0" borderId="24" xfId="1" applyNumberFormat="1" applyBorder="1" applyAlignment="1">
      <alignment horizontal="center" vertical="center"/>
    </xf>
    <xf numFmtId="167" fontId="0" fillId="0" borderId="37" xfId="0" applyNumberFormat="1" applyBorder="1"/>
    <xf numFmtId="167" fontId="0" fillId="0" borderId="38" xfId="0" applyNumberFormat="1" applyBorder="1"/>
    <xf numFmtId="1" fontId="2" fillId="0" borderId="0" xfId="1" applyNumberFormat="1" applyAlignment="1">
      <alignment horizontal="center" vertical="center"/>
    </xf>
    <xf numFmtId="172" fontId="14" fillId="4" borderId="2" xfId="10" applyNumberFormat="1" applyFont="1" applyFill="1" applyBorder="1" applyAlignment="1">
      <alignment vertical="center" wrapText="1"/>
    </xf>
    <xf numFmtId="164" fontId="40" fillId="0" borderId="24" xfId="1" applyNumberFormat="1" applyFont="1" applyBorder="1" applyAlignment="1">
      <alignment horizontal="center" vertical="center"/>
    </xf>
    <xf numFmtId="171" fontId="40" fillId="0" borderId="24" xfId="10" applyNumberFormat="1" applyFont="1" applyBorder="1" applyAlignment="1">
      <alignment horizontal="center" vertical="center"/>
    </xf>
    <xf numFmtId="164" fontId="40" fillId="0" borderId="24" xfId="1" applyNumberFormat="1" applyFont="1" applyBorder="1" applyAlignment="1">
      <alignment horizontal="left" vertical="center"/>
    </xf>
    <xf numFmtId="0" fontId="0" fillId="6" borderId="37" xfId="0" applyFill="1" applyBorder="1"/>
    <xf numFmtId="1" fontId="0" fillId="0" borderId="0" xfId="0" applyNumberFormat="1"/>
    <xf numFmtId="173" fontId="50" fillId="11" borderId="39" xfId="6" applyNumberFormat="1" applyFont="1" applyFill="1" applyBorder="1" applyAlignment="1">
      <alignment horizontal="center" vertical="center" wrapText="1"/>
    </xf>
    <xf numFmtId="0" fontId="50" fillId="11" borderId="39" xfId="6" applyFont="1" applyFill="1" applyBorder="1" applyAlignment="1">
      <alignment horizontal="center" vertical="center" wrapText="1"/>
    </xf>
    <xf numFmtId="173" fontId="44" fillId="11" borderId="39" xfId="0" applyNumberFormat="1" applyFont="1" applyFill="1" applyBorder="1" applyAlignment="1">
      <alignment horizontal="center" vertical="center"/>
    </xf>
    <xf numFmtId="1" fontId="34" fillId="11" borderId="39" xfId="6" applyNumberFormat="1" applyFont="1" applyFill="1" applyBorder="1" applyAlignment="1">
      <alignment horizontal="center" vertical="center"/>
    </xf>
    <xf numFmtId="1" fontId="44" fillId="11" borderId="39" xfId="0" applyNumberFormat="1" applyFont="1" applyFill="1" applyBorder="1" applyAlignment="1">
      <alignment horizontal="center" vertical="center"/>
    </xf>
    <xf numFmtId="1" fontId="44" fillId="0" borderId="39" xfId="0" applyNumberFormat="1" applyFont="1" applyBorder="1" applyAlignment="1">
      <alignment horizontal="center" vertical="center"/>
    </xf>
    <xf numFmtId="1" fontId="0" fillId="0" borderId="34" xfId="0" applyNumberFormat="1" applyBorder="1"/>
    <xf numFmtId="0" fontId="44" fillId="11" borderId="39" xfId="0" applyFont="1" applyFill="1" applyBorder="1" applyAlignment="1">
      <alignment horizontal="center" vertical="center"/>
    </xf>
    <xf numFmtId="0" fontId="11" fillId="3" borderId="40" xfId="1" applyFont="1" applyFill="1" applyBorder="1" applyAlignment="1">
      <alignment vertical="center"/>
    </xf>
    <xf numFmtId="173" fontId="44" fillId="11" borderId="41" xfId="0" applyNumberFormat="1" applyFont="1" applyFill="1" applyBorder="1" applyAlignment="1">
      <alignment horizontal="center" vertical="center"/>
    </xf>
    <xf numFmtId="1" fontId="34" fillId="11" borderId="41" xfId="6" applyNumberFormat="1" applyFont="1" applyFill="1" applyBorder="1" applyAlignment="1">
      <alignment horizontal="center" vertical="center"/>
    </xf>
    <xf numFmtId="14" fontId="0" fillId="0" borderId="34" xfId="0" applyNumberFormat="1" applyBorder="1"/>
    <xf numFmtId="0" fontId="0" fillId="0" borderId="42" xfId="0" applyBorder="1"/>
    <xf numFmtId="0" fontId="51" fillId="0" borderId="0" xfId="0" applyFont="1"/>
    <xf numFmtId="0" fontId="52" fillId="0" borderId="0" xfId="1" applyFont="1" applyAlignment="1">
      <alignment horizontal="center"/>
    </xf>
    <xf numFmtId="0" fontId="17" fillId="0" borderId="42" xfId="0" applyFont="1" applyBorder="1"/>
    <xf numFmtId="14" fontId="17" fillId="0" borderId="42" xfId="0" applyNumberFormat="1" applyFont="1" applyBorder="1"/>
    <xf numFmtId="14" fontId="17" fillId="0" borderId="43" xfId="0" applyNumberFormat="1" applyFont="1" applyBorder="1"/>
    <xf numFmtId="0" fontId="0" fillId="0" borderId="44" xfId="0" applyBorder="1"/>
    <xf numFmtId="167" fontId="0" fillId="0" borderId="44" xfId="0" applyNumberFormat="1" applyBorder="1"/>
    <xf numFmtId="0" fontId="25" fillId="0" borderId="0" xfId="0" applyFont="1"/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/>
    <xf numFmtId="173" fontId="13" fillId="12" borderId="39" xfId="6" applyNumberFormat="1" applyFont="1" applyFill="1" applyBorder="1" applyAlignment="1">
      <alignment horizontal="center" vertical="center" wrapText="1"/>
    </xf>
    <xf numFmtId="173" fontId="44" fillId="12" borderId="41" xfId="0" applyNumberFormat="1" applyFont="1" applyFill="1" applyBorder="1" applyAlignment="1">
      <alignment horizontal="center" vertical="center"/>
    </xf>
    <xf numFmtId="173" fontId="44" fillId="12" borderId="39" xfId="0" applyNumberFormat="1" applyFont="1" applyFill="1" applyBorder="1" applyAlignment="1">
      <alignment horizontal="center" vertical="center"/>
    </xf>
    <xf numFmtId="173" fontId="13" fillId="18" borderId="39" xfId="6" applyNumberFormat="1" applyFont="1" applyFill="1" applyBorder="1" applyAlignment="1">
      <alignment horizontal="center" vertical="center" wrapText="1"/>
    </xf>
    <xf numFmtId="173" fontId="50" fillId="18" borderId="39" xfId="6" applyNumberFormat="1" applyFont="1" applyFill="1" applyBorder="1" applyAlignment="1">
      <alignment horizontal="center" vertical="center" wrapText="1"/>
    </xf>
    <xf numFmtId="173" fontId="44" fillId="18" borderId="41" xfId="0" applyNumberFormat="1" applyFont="1" applyFill="1" applyBorder="1" applyAlignment="1">
      <alignment horizontal="center" vertical="center"/>
    </xf>
    <xf numFmtId="0" fontId="44" fillId="18" borderId="41" xfId="0" applyFont="1" applyFill="1" applyBorder="1" applyAlignment="1">
      <alignment horizontal="center" vertical="center"/>
    </xf>
    <xf numFmtId="173" fontId="44" fillId="18" borderId="39" xfId="0" applyNumberFormat="1" applyFont="1" applyFill="1" applyBorder="1" applyAlignment="1">
      <alignment horizontal="center" vertical="center"/>
    </xf>
    <xf numFmtId="0" fontId="44" fillId="18" borderId="39" xfId="0" applyFont="1" applyFill="1" applyBorder="1" applyAlignment="1">
      <alignment horizontal="center" vertical="center"/>
    </xf>
    <xf numFmtId="173" fontId="13" fillId="19" borderId="39" xfId="6" applyNumberFormat="1" applyFont="1" applyFill="1" applyBorder="1" applyAlignment="1">
      <alignment horizontal="center" vertical="center" wrapText="1"/>
    </xf>
    <xf numFmtId="0" fontId="50" fillId="19" borderId="39" xfId="6" applyFont="1" applyFill="1" applyBorder="1" applyAlignment="1">
      <alignment horizontal="center" vertical="center" wrapText="1"/>
    </xf>
    <xf numFmtId="173" fontId="50" fillId="19" borderId="39" xfId="6" applyNumberFormat="1" applyFont="1" applyFill="1" applyBorder="1" applyAlignment="1">
      <alignment horizontal="center" vertical="center" wrapText="1"/>
    </xf>
    <xf numFmtId="173" fontId="44" fillId="19" borderId="41" xfId="0" applyNumberFormat="1" applyFont="1" applyFill="1" applyBorder="1" applyAlignment="1">
      <alignment horizontal="center" vertical="center"/>
    </xf>
    <xf numFmtId="1" fontId="34" fillId="19" borderId="41" xfId="6" applyNumberFormat="1" applyFont="1" applyFill="1" applyBorder="1" applyAlignment="1">
      <alignment horizontal="center" vertical="center"/>
    </xf>
    <xf numFmtId="1" fontId="44" fillId="19" borderId="41" xfId="0" applyNumberFormat="1" applyFont="1" applyFill="1" applyBorder="1" applyAlignment="1">
      <alignment horizontal="center" vertical="center"/>
    </xf>
    <xf numFmtId="173" fontId="44" fillId="19" borderId="39" xfId="0" applyNumberFormat="1" applyFont="1" applyFill="1" applyBorder="1" applyAlignment="1">
      <alignment horizontal="center" vertical="center"/>
    </xf>
    <xf numFmtId="1" fontId="44" fillId="19" borderId="39" xfId="0" applyNumberFormat="1" applyFont="1" applyFill="1" applyBorder="1" applyAlignment="1">
      <alignment horizontal="center" vertical="center"/>
    </xf>
    <xf numFmtId="0" fontId="10" fillId="2" borderId="45" xfId="1" applyFont="1" applyFill="1" applyBorder="1" applyAlignment="1">
      <alignment horizontal="center"/>
    </xf>
    <xf numFmtId="164" fontId="2" fillId="0" borderId="45" xfId="1" applyNumberFormat="1" applyBorder="1" applyAlignment="1">
      <alignment horizontal="center" vertical="center"/>
    </xf>
    <xf numFmtId="170" fontId="2" fillId="0" borderId="45" xfId="1" applyNumberFormat="1" applyBorder="1" applyAlignment="1">
      <alignment horizontal="center" vertical="center"/>
    </xf>
    <xf numFmtId="0" fontId="2" fillId="7" borderId="45" xfId="1" applyFill="1" applyBorder="1" applyAlignment="1">
      <alignment horizontal="center"/>
    </xf>
    <xf numFmtId="1" fontId="2" fillId="0" borderId="45" xfId="1" applyNumberFormat="1" applyBorder="1" applyAlignment="1">
      <alignment horizontal="center" vertical="center"/>
    </xf>
    <xf numFmtId="164" fontId="40" fillId="0" borderId="45" xfId="1" applyNumberFormat="1" applyFont="1" applyBorder="1" applyAlignment="1">
      <alignment horizontal="center" vertical="center"/>
    </xf>
    <xf numFmtId="171" fontId="40" fillId="0" borderId="45" xfId="10" applyNumberFormat="1" applyFont="1" applyBorder="1" applyAlignment="1">
      <alignment horizontal="center" vertical="center"/>
    </xf>
    <xf numFmtId="164" fontId="40" fillId="0" borderId="45" xfId="1" applyNumberFormat="1" applyFont="1" applyBorder="1" applyAlignment="1">
      <alignment horizontal="left" vertical="center"/>
    </xf>
    <xf numFmtId="164" fontId="0" fillId="0" borderId="47" xfId="0" applyNumberFormat="1" applyBorder="1"/>
    <xf numFmtId="0" fontId="0" fillId="0" borderId="47" xfId="0" applyBorder="1"/>
    <xf numFmtId="164" fontId="0" fillId="0" borderId="48" xfId="0" applyNumberFormat="1" applyBorder="1"/>
    <xf numFmtId="14" fontId="0" fillId="0" borderId="48" xfId="0" applyNumberFormat="1" applyBorder="1"/>
    <xf numFmtId="164" fontId="0" fillId="0" borderId="49" xfId="0" applyNumberFormat="1" applyBorder="1"/>
    <xf numFmtId="14" fontId="0" fillId="0" borderId="49" xfId="0" applyNumberFormat="1" applyBorder="1"/>
    <xf numFmtId="0" fontId="0" fillId="0" borderId="48" xfId="0" applyBorder="1"/>
    <xf numFmtId="0" fontId="0" fillId="0" borderId="49" xfId="0" applyBorder="1"/>
    <xf numFmtId="164" fontId="0" fillId="0" borderId="46" xfId="0" applyNumberFormat="1" applyBorder="1"/>
    <xf numFmtId="14" fontId="0" fillId="0" borderId="50" xfId="0" applyNumberFormat="1" applyBorder="1"/>
    <xf numFmtId="0" fontId="0" fillId="0" borderId="50" xfId="0" applyBorder="1"/>
    <xf numFmtId="0" fontId="0" fillId="0" borderId="51" xfId="0" applyBorder="1"/>
    <xf numFmtId="14" fontId="0" fillId="0" borderId="51" xfId="0" applyNumberFormat="1" applyBorder="1"/>
    <xf numFmtId="0" fontId="25" fillId="0" borderId="33" xfId="0" applyFont="1" applyBorder="1" applyAlignment="1">
      <alignment horizontal="center" vertical="center"/>
    </xf>
    <xf numFmtId="0" fontId="45" fillId="10" borderId="17" xfId="0" applyFont="1" applyFill="1" applyBorder="1" applyAlignment="1">
      <alignment horizontal="center" vertical="center" textRotation="90"/>
    </xf>
    <xf numFmtId="0" fontId="45" fillId="10" borderId="18" xfId="0" applyFont="1" applyFill="1" applyBorder="1" applyAlignment="1">
      <alignment horizontal="center" vertical="center" textRotation="90"/>
    </xf>
    <xf numFmtId="0" fontId="45" fillId="10" borderId="19" xfId="0" applyFont="1" applyFill="1" applyBorder="1" applyAlignment="1">
      <alignment horizontal="center" vertical="center" textRotation="90"/>
    </xf>
    <xf numFmtId="0" fontId="11" fillId="3" borderId="32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center" vertical="center"/>
    </xf>
    <xf numFmtId="0" fontId="11" fillId="3" borderId="30" xfId="1" applyFont="1" applyFill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0" fillId="0" borderId="52" xfId="0" applyBorder="1"/>
    <xf numFmtId="14" fontId="0" fillId="0" borderId="52" xfId="0" applyNumberFormat="1" applyBorder="1"/>
    <xf numFmtId="0" fontId="0" fillId="0" borderId="53" xfId="0" applyBorder="1"/>
    <xf numFmtId="14" fontId="0" fillId="0" borderId="53" xfId="0" applyNumberFormat="1" applyBorder="1"/>
    <xf numFmtId="167" fontId="0" fillId="0" borderId="53" xfId="0" applyNumberFormat="1" applyBorder="1"/>
    <xf numFmtId="22" fontId="0" fillId="0" borderId="53" xfId="0" applyNumberFormat="1" applyBorder="1"/>
    <xf numFmtId="0" fontId="0" fillId="0" borderId="53" xfId="0" applyBorder="1" applyAlignment="1">
      <alignment vertical="center"/>
    </xf>
  </cellXfs>
  <cellStyles count="11">
    <cellStyle name="Comma [0]" xfId="7" builtinId="6"/>
    <cellStyle name="Comma 2" xfId="4" xr:uid="{00000000-0005-0000-0000-000001000000}"/>
    <cellStyle name="Currency" xfId="10" builtinId="4"/>
    <cellStyle name="Hyperlink" xfId="9" builtinId="8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</cellStyles>
  <dxfs count="2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F00"/>
      <color rgb="FFFF5353"/>
      <color rgb="FF632D09"/>
      <color rgb="FFF65422"/>
      <color rgb="FFFFFF66"/>
      <color rgb="FF13A907"/>
      <color rgb="FFFF3300"/>
      <color rgb="FFFFC7CE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07-Jul'!$A$22</c:f>
              <c:strCache>
                <c:ptCount val="1"/>
                <c:pt idx="0">
                  <c:v>1. Less than 4 weeks after giving the quotation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07-Jul'!$B$21:$C$21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07-Jul'!$B$22:$C$22</c:f>
              <c:numCache>
                <c:formatCode>General</c:formatCode>
                <c:ptCount val="2"/>
                <c:pt idx="0">
                  <c:v>3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1-463E-A8EA-120B2ABCBA4E}"/>
            </c:ext>
          </c:extLst>
        </c:ser>
        <c:ser>
          <c:idx val="1"/>
          <c:order val="1"/>
          <c:tx>
            <c:strRef>
              <c:f>'Summary 07-Jul'!$A$23</c:f>
              <c:strCache>
                <c:ptCount val="1"/>
                <c:pt idx="0">
                  <c:v>2. dealer sending price to hospital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07-Jul'!$B$21:$C$21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07-Jul'!$B$23:$C$23</c:f>
              <c:numCache>
                <c:formatCode>General</c:formatCode>
                <c:ptCount val="2"/>
                <c:pt idx="0">
                  <c:v>5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1-463E-A8EA-120B2ABCB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[8]Sample!$B$127</c15:sqref>
                        </c15:formulaRef>
                      </c:ext>
                    </c:extLst>
                    <c:strCache>
                      <c:ptCount val="1"/>
                      <c:pt idx="0">
                        <c:v>Data series 3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07-Jul'!$B$21:$C$21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[8]Sample!$C$127:$H$127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</c:v>
                      </c:pt>
                      <c:pt idx="1">
                        <c:v>15</c:v>
                      </c:pt>
                      <c:pt idx="2">
                        <c:v>12</c:v>
                      </c:pt>
                      <c:pt idx="3">
                        <c:v>10</c:v>
                      </c:pt>
                      <c:pt idx="4">
                        <c:v>12</c:v>
                      </c:pt>
                      <c:pt idx="5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891-463E-A8EA-120B2ABCBA4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07-Jul'!$B$21:$C$21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91-463E-A8EA-120B2ABCBA4E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42352117440103187"/>
          <c:y val="2.7906969930545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06061999983"/>
          <c:y val="0.13855283426994938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'Summary 07-Jul'!$G$51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F5-4BDE-A9DE-B40305231E5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F5-4BDE-A9DE-B40305231E5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F5-4BDE-A9DE-B40305231E56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0F5-4BDE-A9DE-B40305231E5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94-44B6-B269-E7C136C3ED65}"/>
              </c:ext>
            </c:extLst>
          </c:dPt>
          <c:dPt>
            <c:idx val="5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B85-4B6C-AB06-E06A2BF37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'Summary 07-Jul'!$F$52:$F$62</c15:sqref>
                  </c15:fullRef>
                </c:ext>
              </c:extLst>
              <c:f>'Summary 07-Jul'!$F$52:$F$57</c:f>
              <c:strCache>
                <c:ptCount val="4"/>
                <c:pt idx="0">
                  <c:v>Hanoi Medical University Hospital</c:v>
                </c:pt>
                <c:pt idx="1">
                  <c:v>Hoan My Sai Gon Premier Hospital</c:v>
                </c:pt>
                <c:pt idx="2">
                  <c:v>Mediplus Clinic - Ha Noi</c:v>
                </c:pt>
                <c:pt idx="3">
                  <c:v>National Lung Hospital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'Summary 07-Jul'!$G$52:$G$62</c15:sqref>
                  </c15:fullRef>
                </c:ext>
              </c:extLst>
              <c:f>'Summary 07-Jul'!$G$52:$G$57</c:f>
              <c:numCache>
                <c:formatCode>General</c:formatCode>
                <c:ptCount val="6"/>
                <c:pt idx="0">
                  <c:v>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40F5-4BDE-A9DE-B40305231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lang="ja-JP"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7194655546105514"/>
          <c:y val="0.55319051492870985"/>
          <c:w val="0.72879446103719792"/>
          <c:h val="0.38363554730281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07-Jul'!$F$46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07-Jul'!$H$45</c:f>
              <c:strCache>
                <c:ptCount val="1"/>
                <c:pt idx="0">
                  <c:v>Hanoi</c:v>
                </c:pt>
              </c:strCache>
            </c:strRef>
          </c:cat>
          <c:val>
            <c:numRef>
              <c:f>'Summary 07-Jul'!$G$46:$H$46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A-4AA4-B0F4-E251D71E567C}"/>
            </c:ext>
          </c:extLst>
        </c:ser>
        <c:ser>
          <c:idx val="1"/>
          <c:order val="1"/>
          <c:tx>
            <c:strRef>
              <c:f>'Summary 07-Jul'!$F$47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07-Jul'!$H$45</c:f>
              <c:strCache>
                <c:ptCount val="1"/>
                <c:pt idx="0">
                  <c:v>Hanoi</c:v>
                </c:pt>
              </c:strCache>
            </c:strRef>
          </c:cat>
          <c:val>
            <c:numRef>
              <c:f>'Summary 07-Jul'!$G$47:$H$47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A-4AA4-B0F4-E251D71E567C}"/>
            </c:ext>
          </c:extLst>
        </c:ser>
        <c:ser>
          <c:idx val="2"/>
          <c:order val="2"/>
          <c:tx>
            <c:strRef>
              <c:f>'Summary 07-Jul'!$F$48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07-Jul'!$H$45</c:f>
              <c:strCache>
                <c:ptCount val="1"/>
                <c:pt idx="0">
                  <c:v>Hanoi</c:v>
                </c:pt>
              </c:strCache>
            </c:strRef>
          </c:cat>
          <c:val>
            <c:numRef>
              <c:f>'Summary 07-Jul'!$G$48:$H$48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4A-4AA4-B0F4-E251D71E56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/>
              <a:t>Received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152989721243073"/>
          <c:y val="0.15925925925925927"/>
          <c:w val="0.39290164404599998"/>
          <c:h val="0.56294652562369096"/>
        </c:manualLayout>
      </c:layout>
      <c:doughnutChart>
        <c:varyColors val="1"/>
        <c:ser>
          <c:idx val="0"/>
          <c:order val="0"/>
          <c:tx>
            <c:strRef>
              <c:f>Chart!$E$3</c:f>
              <c:strCache>
                <c:ptCount val="1"/>
                <c:pt idx="0">
                  <c:v>Received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73-4E95-A236-62ECC9F2BE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73-4E95-A236-62ECC9F2BE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73-4E95-A236-62ECC9F2BE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73-4E95-A236-62ECC9F2BE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11C-43EF-8391-846708B8E5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1C-43EF-8391-846708B8E5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11C-43EF-8391-846708B8E5E8}"/>
              </c:ext>
            </c:extLst>
          </c:dPt>
          <c:cat>
            <c:strRef>
              <c:f>Chart!$D$4:$D$10</c:f>
              <c:strCache>
                <c:ptCount val="7"/>
                <c:pt idx="0">
                  <c:v>Bach Mai</c:v>
                </c:pt>
                <c:pt idx="1">
                  <c:v>Other</c:v>
                </c:pt>
                <c:pt idx="2">
                  <c:v>Fujifilm</c:v>
                </c:pt>
                <c:pt idx="3">
                  <c:v>Hoang Long</c:v>
                </c:pt>
                <c:pt idx="4">
                  <c:v>Phu Tho</c:v>
                </c:pt>
                <c:pt idx="5">
                  <c:v>Thanh An - Hanoi</c:v>
                </c:pt>
                <c:pt idx="6">
                  <c:v>Thien Hanh</c:v>
                </c:pt>
              </c:strCache>
            </c:strRef>
          </c:cat>
          <c:val>
            <c:numRef>
              <c:f>Chart!$E$4:$E$10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3-4E95-A236-62ECC9F2B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714374</xdr:colOff>
      <xdr:row>18</xdr:row>
      <xdr:rowOff>28575</xdr:rowOff>
    </xdr:from>
    <xdr:to>
      <xdr:col>6</xdr:col>
      <xdr:colOff>1343024</xdr:colOff>
      <xdr:row>28</xdr:row>
      <xdr:rowOff>95249</xdr:rowOff>
    </xdr:to>
    <xdr:graphicFrame macro="">
      <xdr:nvGraphicFramePr>
        <xdr:cNvPr id="14" name="グラフ 8">
          <a:extLst>
            <a:ext uri="{FF2B5EF4-FFF2-40B4-BE49-F238E27FC236}">
              <a16:creationId xmlns:a16="http://schemas.microsoft.com/office/drawing/2014/main" id="{55E5B677-BBAD-45D3-8833-7C541874E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1118053</xdr:colOff>
      <xdr:row>0</xdr:row>
      <xdr:rowOff>229054</xdr:rowOff>
    </xdr:from>
    <xdr:to>
      <xdr:col>9</xdr:col>
      <xdr:colOff>40595</xdr:colOff>
      <xdr:row>23</xdr:row>
      <xdr:rowOff>72571</xdr:rowOff>
    </xdr:to>
    <xdr:graphicFrame macro="">
      <xdr:nvGraphicFramePr>
        <xdr:cNvPr id="7" name="グラフ 2">
          <a:extLst>
            <a:ext uri="{FF2B5EF4-FFF2-40B4-BE49-F238E27FC236}">
              <a16:creationId xmlns:a16="http://schemas.microsoft.com/office/drawing/2014/main" id="{3C5570F9-7AFB-47C1-8ABB-1E5311CE10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1737630</xdr:colOff>
      <xdr:row>28</xdr:row>
      <xdr:rowOff>226786</xdr:rowOff>
    </xdr:from>
    <xdr:to>
      <xdr:col>13</xdr:col>
      <xdr:colOff>644070</xdr:colOff>
      <xdr:row>42</xdr:row>
      <xdr:rowOff>117928</xdr:rowOff>
    </xdr:to>
    <xdr:graphicFrame macro="">
      <xdr:nvGraphicFramePr>
        <xdr:cNvPr id="3" name="グラフ 5">
          <a:extLst>
            <a:ext uri="{FF2B5EF4-FFF2-40B4-BE49-F238E27FC236}">
              <a16:creationId xmlns:a16="http://schemas.microsoft.com/office/drawing/2014/main" id="{6F471D98-1F9C-4C2D-86E1-5FE2E6E1C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5</xdr:row>
      <xdr:rowOff>28575</xdr:rowOff>
    </xdr:from>
    <xdr:to>
      <xdr:col>15</xdr:col>
      <xdr:colOff>508500</xdr:colOff>
      <xdr:row>24</xdr:row>
      <xdr:rowOff>171450</xdr:rowOff>
    </xdr:to>
    <xdr:graphicFrame macro="">
      <xdr:nvGraphicFramePr>
        <xdr:cNvPr id="3" name="グラフ 14">
          <a:extLst>
            <a:ext uri="{FF2B5EF4-FFF2-40B4-BE49-F238E27FC236}">
              <a16:creationId xmlns:a16="http://schemas.microsoft.com/office/drawing/2014/main" id="{CDA014D9-9690-4DFE-9F39-62518977F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275371</xdr:colOff>
      <xdr:row>0</xdr:row>
      <xdr:rowOff>0</xdr:rowOff>
    </xdr:from>
    <xdr:to>
      <xdr:col>3</xdr:col>
      <xdr:colOff>694471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275371</xdr:colOff>
      <xdr:row>0</xdr:row>
      <xdr:rowOff>0</xdr:rowOff>
    </xdr:from>
    <xdr:to>
      <xdr:col>3</xdr:col>
      <xdr:colOff>694471</xdr:colOff>
      <xdr:row>0</xdr:row>
      <xdr:rowOff>304800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163286</xdr:colOff>
      <xdr:row>2</xdr:row>
      <xdr:rowOff>0</xdr:rowOff>
    </xdr:from>
    <xdr:to>
      <xdr:col>26</xdr:col>
      <xdr:colOff>2517322</xdr:colOff>
      <xdr:row>2</xdr:row>
      <xdr:rowOff>258536</xdr:rowOff>
    </xdr:to>
    <xdr:sp macro="[0]!hiddenSheet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255107" y="680357"/>
          <a:ext cx="2354036" cy="258536"/>
        </a:xfrm>
        <a:prstGeom prst="rect">
          <a:avLst/>
        </a:prstGeom>
        <a:solidFill>
          <a:srgbClr val="00B0F0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81644</xdr:colOff>
      <xdr:row>2</xdr:row>
      <xdr:rowOff>40821</xdr:rowOff>
    </xdr:from>
    <xdr:to>
      <xdr:col>23</xdr:col>
      <xdr:colOff>2068286</xdr:colOff>
      <xdr:row>3</xdr:row>
      <xdr:rowOff>0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383501" y="843642"/>
          <a:ext cx="1986642" cy="23132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204107</xdr:colOff>
      <xdr:row>2</xdr:row>
      <xdr:rowOff>27214</xdr:rowOff>
    </xdr:from>
    <xdr:to>
      <xdr:col>25</xdr:col>
      <xdr:colOff>1442357</xdr:colOff>
      <xdr:row>2</xdr:row>
      <xdr:rowOff>244929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656143" y="707571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242687</xdr:colOff>
      <xdr:row>0</xdr:row>
      <xdr:rowOff>40821</xdr:rowOff>
    </xdr:from>
    <xdr:to>
      <xdr:col>1</xdr:col>
      <xdr:colOff>246292</xdr:colOff>
      <xdr:row>0</xdr:row>
      <xdr:rowOff>249010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19050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27</xdr:col>
      <xdr:colOff>13607</xdr:colOff>
      <xdr:row>2</xdr:row>
      <xdr:rowOff>27214</xdr:rowOff>
    </xdr:from>
    <xdr:to>
      <xdr:col>28</xdr:col>
      <xdr:colOff>0</xdr:colOff>
      <xdr:row>2</xdr:row>
      <xdr:rowOff>244928</xdr:rowOff>
    </xdr:to>
    <xdr:sp macro="[0]!UpdateExF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7051000" y="830035"/>
          <a:ext cx="1360714" cy="21771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13606</xdr:colOff>
      <xdr:row>0</xdr:row>
      <xdr:rowOff>0</xdr:rowOff>
    </xdr:from>
    <xdr:to>
      <xdr:col>28</xdr:col>
      <xdr:colOff>0</xdr:colOff>
      <xdr:row>1</xdr:row>
      <xdr:rowOff>0</xdr:rowOff>
    </xdr:to>
    <xdr:sp macro="[0]!UnBold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50999" y="0"/>
          <a:ext cx="1360715" cy="25853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163286</xdr:colOff>
      <xdr:row>2</xdr:row>
      <xdr:rowOff>0</xdr:rowOff>
    </xdr:from>
    <xdr:to>
      <xdr:col>26</xdr:col>
      <xdr:colOff>2517322</xdr:colOff>
      <xdr:row>2</xdr:row>
      <xdr:rowOff>258536</xdr:rowOff>
    </xdr:to>
    <xdr:sp macro="[0]!hiddenSheet2" textlink="">
      <xdr:nvSpPr>
        <xdr:cNvPr id="17" name="Note">
          <a:extLst>
            <a:ext uri="{FF2B5EF4-FFF2-40B4-BE49-F238E27FC236}">
              <a16:creationId xmlns:a16="http://schemas.microsoft.com/office/drawing/2014/main" id="{E4BC3EF1-9B93-4955-B0D6-D1BD42CB6195}"/>
            </a:ext>
          </a:extLst>
        </xdr:cNvPr>
        <xdr:cNvSpPr/>
      </xdr:nvSpPr>
      <xdr:spPr>
        <a:xfrm>
          <a:off x="25356911" y="790575"/>
          <a:ext cx="1439636" cy="258536"/>
        </a:xfrm>
        <a:prstGeom prst="rect">
          <a:avLst/>
        </a:prstGeom>
        <a:solidFill>
          <a:srgbClr val="00B0F0"/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81644</xdr:colOff>
      <xdr:row>2</xdr:row>
      <xdr:rowOff>40821</xdr:rowOff>
    </xdr:from>
    <xdr:to>
      <xdr:col>23</xdr:col>
      <xdr:colOff>2068286</xdr:colOff>
      <xdr:row>3</xdr:row>
      <xdr:rowOff>0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0417519" y="831396"/>
          <a:ext cx="1986642" cy="23540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204107</xdr:colOff>
      <xdr:row>2</xdr:row>
      <xdr:rowOff>27214</xdr:rowOff>
    </xdr:from>
    <xdr:to>
      <xdr:col>25</xdr:col>
      <xdr:colOff>1442357</xdr:colOff>
      <xdr:row>2</xdr:row>
      <xdr:rowOff>244929</xdr:rowOff>
    </xdr:to>
    <xdr:sp macro="[0]!callnew" textlink="">
      <xdr:nvSpPr>
        <xdr:cNvPr id="19" name="Rectangle 18">
          <a:extLst>
            <a:ext uri="{FF2B5EF4-FFF2-40B4-BE49-F238E27FC236}">
              <a16:creationId xmlns:a16="http://schemas.microsoft.com/office/drawing/2014/main" id="{21F7FC82-EEA7-49FB-8AA8-C17B725B7A75}"/>
            </a:ext>
          </a:extLst>
        </xdr:cNvPr>
        <xdr:cNvSpPr/>
      </xdr:nvSpPr>
      <xdr:spPr>
        <a:xfrm>
          <a:off x="23721332" y="817789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13607</xdr:colOff>
      <xdr:row>2</xdr:row>
      <xdr:rowOff>27214</xdr:rowOff>
    </xdr:from>
    <xdr:to>
      <xdr:col>28</xdr:col>
      <xdr:colOff>0</xdr:colOff>
      <xdr:row>2</xdr:row>
      <xdr:rowOff>244928</xdr:rowOff>
    </xdr:to>
    <xdr:sp macro="[0]!UpdateExFM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68D976E-E2F7-4F84-8D72-408E01D41EE3}"/>
            </a:ext>
          </a:extLst>
        </xdr:cNvPr>
        <xdr:cNvSpPr/>
      </xdr:nvSpPr>
      <xdr:spPr>
        <a:xfrm>
          <a:off x="26807432" y="817789"/>
          <a:ext cx="1357993" cy="21771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571500</xdr:colOff>
      <xdr:row>0</xdr:row>
      <xdr:rowOff>27214</xdr:rowOff>
    </xdr:from>
    <xdr:to>
      <xdr:col>9</xdr:col>
      <xdr:colOff>802822</xdr:colOff>
      <xdr:row>0</xdr:row>
      <xdr:rowOff>258536</xdr:rowOff>
    </xdr:to>
    <xdr:sp macro="[0]!FillUp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9527852-D1DE-4842-AB65-032D7D638943}"/>
            </a:ext>
          </a:extLst>
        </xdr:cNvPr>
        <xdr:cNvSpPr/>
      </xdr:nvSpPr>
      <xdr:spPr>
        <a:xfrm>
          <a:off x="7769679" y="27214"/>
          <a:ext cx="1047750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598715</xdr:colOff>
      <xdr:row>0</xdr:row>
      <xdr:rowOff>54429</xdr:rowOff>
    </xdr:from>
    <xdr:to>
      <xdr:col>26</xdr:col>
      <xdr:colOff>1877786</xdr:colOff>
      <xdr:row>0</xdr:row>
      <xdr:rowOff>367393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26738036" y="54429"/>
          <a:ext cx="1279071" cy="31296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0</xdr:row>
      <xdr:rowOff>0</xdr:rowOff>
    </xdr:from>
    <xdr:to>
      <xdr:col>5</xdr:col>
      <xdr:colOff>381000</xdr:colOff>
      <xdr:row>1</xdr:row>
      <xdr:rowOff>47625</xdr:rowOff>
    </xdr:to>
    <xdr:sp macro="[0]!CopyPa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76875" y="0"/>
          <a:ext cx="9429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Update Part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66675</xdr:colOff>
      <xdr:row>1</xdr:row>
      <xdr:rowOff>114300</xdr:rowOff>
    </xdr:from>
    <xdr:to>
      <xdr:col>19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5948698" y="560615"/>
          <a:ext cx="140313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554348</xdr:rowOff>
    </xdr:from>
    <xdr:to>
      <xdr:col>24</xdr:col>
      <xdr:colOff>609599</xdr:colOff>
      <xdr:row>1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7352349" y="554348"/>
          <a:ext cx="2007893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19</xdr:col>
      <xdr:colOff>5443</xdr:colOff>
      <xdr:row>0</xdr:row>
      <xdr:rowOff>561731</xdr:rowOff>
    </xdr:from>
    <xdr:to>
      <xdr:col>20</xdr:col>
      <xdr:colOff>5442</xdr:colOff>
      <xdr:row>1</xdr:row>
      <xdr:rowOff>5443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278100" y="561731"/>
          <a:ext cx="669471" cy="58671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nh.nguyenbao/Downloads/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Template/Excel%20Template_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7">
          <cell r="B127" t="str">
            <v>Data series 3</v>
          </cell>
          <cell r="C127">
            <v>20</v>
          </cell>
          <cell r="D127">
            <v>15</v>
          </cell>
          <cell r="E127">
            <v>12</v>
          </cell>
          <cell r="F127">
            <v>10</v>
          </cell>
          <cell r="G127">
            <v>12</v>
          </cell>
          <cell r="H127">
            <v>20</v>
          </cell>
        </row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fvn-bdc-001\ffvn\Modality\Medical%20Service\Shared\Endo\Technical%20Report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V60"/>
  <sheetViews>
    <sheetView topLeftCell="A12" zoomScale="70" zoomScaleNormal="70" workbookViewId="0">
      <selection activeCell="K27" sqref="K27"/>
    </sheetView>
  </sheetViews>
  <sheetFormatPr defaultColWidth="9.28515625" defaultRowHeight="15"/>
  <cols>
    <col min="1" max="1" width="32.5703125" customWidth="1"/>
    <col min="2" max="2" width="12.7109375" customWidth="1"/>
    <col min="3" max="3" width="12" customWidth="1"/>
    <col min="4" max="4" width="10.7109375" bestFit="1" customWidth="1"/>
    <col min="5" max="5" width="10.42578125" customWidth="1"/>
    <col min="6" max="6" width="19.5703125" bestFit="1" customWidth="1"/>
    <col min="7" max="7" width="21.5703125" customWidth="1"/>
    <col min="8" max="8" width="17.7109375" customWidth="1"/>
    <col min="9" max="9" width="39.140625" customWidth="1"/>
    <col min="10" max="10" width="16.28515625" bestFit="1" customWidth="1"/>
    <col min="11" max="11" width="11.28515625" customWidth="1"/>
  </cols>
  <sheetData>
    <row r="1" spans="1:9" ht="19.5">
      <c r="A1" s="86" t="str">
        <f>"Received: Hanoi "&amp;COUNTIF(E:E,"Hanoi")&amp;" - "&amp;COUNTIF(E:E,"HCM")&amp;" HCM"</f>
        <v>Received: Hanoi 11 - 1 HCM</v>
      </c>
      <c r="C1" s="161" t="s">
        <v>1258</v>
      </c>
      <c r="D1" s="15"/>
      <c r="F1" s="128"/>
    </row>
    <row r="2" spans="1:9">
      <c r="A2" s="280" t="s">
        <v>7</v>
      </c>
      <c r="B2" s="280" t="s">
        <v>8</v>
      </c>
      <c r="C2" s="280" t="s">
        <v>80</v>
      </c>
      <c r="D2" s="280" t="s">
        <v>74</v>
      </c>
      <c r="E2" s="280" t="s">
        <v>15</v>
      </c>
      <c r="F2" s="281" t="s">
        <v>12</v>
      </c>
      <c r="G2" s="280" t="s">
        <v>10</v>
      </c>
      <c r="I2" s="288"/>
    </row>
    <row r="3" spans="1:9">
      <c r="A3" s="282" t="s">
        <v>41</v>
      </c>
      <c r="B3" s="282" t="s">
        <v>34</v>
      </c>
      <c r="C3" s="282" t="s">
        <v>4822</v>
      </c>
      <c r="D3" s="283">
        <v>45113.795479004628</v>
      </c>
      <c r="E3" s="283" t="s">
        <v>138</v>
      </c>
      <c r="F3" s="283" t="s">
        <v>1065</v>
      </c>
      <c r="G3" s="282"/>
    </row>
    <row r="4" spans="1:9">
      <c r="A4" s="282" t="s">
        <v>41</v>
      </c>
      <c r="B4" s="282" t="s">
        <v>34</v>
      </c>
      <c r="C4" s="282" t="s">
        <v>5895</v>
      </c>
      <c r="D4" s="283">
        <v>45112</v>
      </c>
      <c r="E4" s="283" t="s">
        <v>138</v>
      </c>
      <c r="F4" s="283" t="s">
        <v>1065</v>
      </c>
      <c r="G4" s="282"/>
    </row>
    <row r="5" spans="1:9">
      <c r="A5" s="282" t="s">
        <v>41</v>
      </c>
      <c r="B5" s="282" t="s">
        <v>38</v>
      </c>
      <c r="C5" s="282" t="s">
        <v>2757</v>
      </c>
      <c r="D5" s="283">
        <v>45111</v>
      </c>
      <c r="E5" s="283" t="s">
        <v>138</v>
      </c>
      <c r="F5" s="283" t="s">
        <v>39</v>
      </c>
      <c r="G5" s="282"/>
    </row>
    <row r="6" spans="1:9">
      <c r="A6" s="282" t="s">
        <v>41</v>
      </c>
      <c r="B6" s="282" t="s">
        <v>34</v>
      </c>
      <c r="C6" s="282" t="s">
        <v>1224</v>
      </c>
      <c r="D6" s="283">
        <v>45111</v>
      </c>
      <c r="E6" s="283" t="s">
        <v>138</v>
      </c>
      <c r="F6" s="283" t="s">
        <v>71</v>
      </c>
      <c r="G6" s="282" t="s">
        <v>5903</v>
      </c>
    </row>
    <row r="7" spans="1:9">
      <c r="A7" s="282" t="s">
        <v>41</v>
      </c>
      <c r="B7" s="282" t="s">
        <v>34</v>
      </c>
      <c r="C7" s="282" t="s">
        <v>5885</v>
      </c>
      <c r="D7" s="283">
        <v>45111</v>
      </c>
      <c r="E7" s="283" t="s">
        <v>138</v>
      </c>
      <c r="F7" s="283" t="s">
        <v>1041</v>
      </c>
      <c r="G7" s="282"/>
      <c r="I7">
        <f t="shared" ref="I7:I14" si="0">COUNTIF($A$3:$A$14,H7)</f>
        <v>0</v>
      </c>
    </row>
    <row r="8" spans="1:9">
      <c r="A8" s="282" t="s">
        <v>41</v>
      </c>
      <c r="B8" s="282" t="s">
        <v>34</v>
      </c>
      <c r="C8" s="282" t="s">
        <v>5484</v>
      </c>
      <c r="D8" s="283">
        <v>45111</v>
      </c>
      <c r="E8" s="283" t="s">
        <v>138</v>
      </c>
      <c r="F8" s="283" t="s">
        <v>66</v>
      </c>
      <c r="G8" s="282"/>
      <c r="I8">
        <f t="shared" si="0"/>
        <v>0</v>
      </c>
    </row>
    <row r="9" spans="1:9">
      <c r="A9" s="282" t="s">
        <v>41</v>
      </c>
      <c r="B9" s="282" t="s">
        <v>34</v>
      </c>
      <c r="C9" s="282" t="s">
        <v>4914</v>
      </c>
      <c r="D9" s="283">
        <v>45111</v>
      </c>
      <c r="E9" s="283" t="s">
        <v>138</v>
      </c>
      <c r="F9" s="283" t="s">
        <v>66</v>
      </c>
      <c r="G9" s="282"/>
      <c r="I9">
        <f t="shared" si="0"/>
        <v>0</v>
      </c>
    </row>
    <row r="10" spans="1:9">
      <c r="A10" s="282" t="s">
        <v>41</v>
      </c>
      <c r="B10" s="282" t="s">
        <v>38</v>
      </c>
      <c r="C10" s="282" t="s">
        <v>3312</v>
      </c>
      <c r="D10" s="283">
        <v>45111</v>
      </c>
      <c r="E10" s="283" t="s">
        <v>138</v>
      </c>
      <c r="F10" s="283" t="s">
        <v>71</v>
      </c>
      <c r="G10" s="282" t="s">
        <v>5903</v>
      </c>
      <c r="I10">
        <f t="shared" si="0"/>
        <v>0</v>
      </c>
    </row>
    <row r="11" spans="1:9">
      <c r="A11" s="282" t="s">
        <v>41</v>
      </c>
      <c r="B11" s="282" t="s">
        <v>34</v>
      </c>
      <c r="C11" s="282" t="s">
        <v>3020</v>
      </c>
      <c r="D11" s="283">
        <v>45111</v>
      </c>
      <c r="E11" s="283" t="s">
        <v>138</v>
      </c>
      <c r="F11" s="283" t="s">
        <v>66</v>
      </c>
      <c r="G11" s="282"/>
      <c r="I11">
        <f t="shared" si="0"/>
        <v>0</v>
      </c>
    </row>
    <row r="12" spans="1:9">
      <c r="A12" s="282" t="s">
        <v>4195</v>
      </c>
      <c r="B12" s="282" t="s">
        <v>51</v>
      </c>
      <c r="C12" s="282" t="s">
        <v>5892</v>
      </c>
      <c r="D12" s="283">
        <v>45111</v>
      </c>
      <c r="E12" s="283" t="s">
        <v>26</v>
      </c>
      <c r="F12" s="283" t="s">
        <v>39</v>
      </c>
      <c r="G12" s="282"/>
      <c r="I12">
        <f t="shared" si="0"/>
        <v>0</v>
      </c>
    </row>
    <row r="13" spans="1:9">
      <c r="A13" s="282" t="s">
        <v>2353</v>
      </c>
      <c r="B13" s="282" t="s">
        <v>60</v>
      </c>
      <c r="C13" s="282" t="s">
        <v>2354</v>
      </c>
      <c r="D13" s="283">
        <v>45112.683210937503</v>
      </c>
      <c r="E13" s="283" t="s">
        <v>138</v>
      </c>
      <c r="F13" s="283" t="s">
        <v>1065</v>
      </c>
      <c r="G13" s="282"/>
      <c r="I13">
        <f t="shared" si="0"/>
        <v>0</v>
      </c>
    </row>
    <row r="14" spans="1:9">
      <c r="A14" s="284" t="s">
        <v>3857</v>
      </c>
      <c r="B14" s="284" t="s">
        <v>23</v>
      </c>
      <c r="C14" s="284" t="s">
        <v>3725</v>
      </c>
      <c r="D14" s="285">
        <v>45111</v>
      </c>
      <c r="E14" s="285" t="s">
        <v>138</v>
      </c>
      <c r="F14" s="285" t="s">
        <v>71</v>
      </c>
      <c r="G14" s="284" t="s">
        <v>3527</v>
      </c>
      <c r="I14">
        <f t="shared" si="0"/>
        <v>0</v>
      </c>
    </row>
    <row r="15" spans="1:9">
      <c r="A15" s="85"/>
      <c r="B15" s="85"/>
      <c r="C15" s="85"/>
      <c r="D15" s="14"/>
      <c r="F15" s="85"/>
    </row>
    <row r="16" spans="1:9" ht="19.5">
      <c r="A16" s="129" t="s">
        <v>2621</v>
      </c>
      <c r="B16" s="130"/>
    </row>
    <row r="17" spans="1:22">
      <c r="A17" s="280" t="s">
        <v>81</v>
      </c>
      <c r="B17" s="280" t="s">
        <v>82</v>
      </c>
      <c r="C17" s="280" t="s">
        <v>83</v>
      </c>
      <c r="D17" s="280" t="s">
        <v>5922</v>
      </c>
      <c r="E17" s="280" t="s">
        <v>105</v>
      </c>
      <c r="F17" s="281" t="s">
        <v>5926</v>
      </c>
      <c r="G17" s="280" t="s">
        <v>99</v>
      </c>
      <c r="H17" s="280" t="s">
        <v>11</v>
      </c>
      <c r="I17" s="280" t="s">
        <v>84</v>
      </c>
      <c r="J17" s="280" t="s">
        <v>5923</v>
      </c>
      <c r="K17" s="281" t="s">
        <v>5924</v>
      </c>
      <c r="L17" s="281" t="s">
        <v>5931</v>
      </c>
      <c r="M17" s="281" t="s">
        <v>2434</v>
      </c>
      <c r="N17" s="281" t="s">
        <v>3083</v>
      </c>
    </row>
    <row r="18" spans="1:22">
      <c r="A18" s="284" t="s">
        <v>2752</v>
      </c>
      <c r="B18" s="284" t="s">
        <v>31</v>
      </c>
      <c r="C18" s="284" t="s">
        <v>5678</v>
      </c>
      <c r="D18" s="285" t="s">
        <v>5</v>
      </c>
      <c r="E18" s="285">
        <v>45092.474062499998</v>
      </c>
      <c r="F18" s="285" t="s">
        <v>5932</v>
      </c>
      <c r="G18" s="284"/>
      <c r="H18" s="284" t="s">
        <v>24</v>
      </c>
      <c r="I18" s="284" t="s">
        <v>5353</v>
      </c>
      <c r="J18" s="284" t="s">
        <v>5677</v>
      </c>
      <c r="K18" s="285">
        <v>45103</v>
      </c>
      <c r="L18" s="285">
        <v>10335</v>
      </c>
      <c r="M18" s="285"/>
      <c r="N18" s="285" t="s">
        <v>26</v>
      </c>
    </row>
    <row r="19" spans="1:22" ht="15.75">
      <c r="A19" s="162"/>
      <c r="B19" s="168"/>
      <c r="C19" s="85"/>
      <c r="D19" s="85"/>
    </row>
    <row r="20" spans="1:22" ht="19.5">
      <c r="A20" s="129" t="str">
        <f>"Scope Waiting confirm BreakDown: (Total " &amp; SUM(B:C) &amp;")"</f>
        <v>Scope Waiting confirm BreakDown: (Total 45)</v>
      </c>
      <c r="C20" s="85"/>
      <c r="D20" s="85"/>
    </row>
    <row r="21" spans="1:22" ht="19.5">
      <c r="A21" s="210" t="s">
        <v>12</v>
      </c>
      <c r="B21" s="208" t="s">
        <v>3224</v>
      </c>
      <c r="C21" s="208" t="s">
        <v>3225</v>
      </c>
      <c r="D21" s="85"/>
    </row>
    <row r="22" spans="1:22" ht="15.75">
      <c r="A22" s="211" t="s">
        <v>1774</v>
      </c>
      <c r="B22" s="212">
        <f>COUNTIFS('1.MasterPendingList'!$Z:$Z,"waiting confirm",'1.MasterPendingList'!$AA:$AA,$A22,'1.MasterPendingList'!$C:$C,B$21)</f>
        <v>3</v>
      </c>
      <c r="C22" s="212">
        <f>COUNTIFS('1.MasterPendingList'!$Z:$Z,"waiting confirm",'1.MasterPendingList'!$AA:$AA,$A22,'1.MasterPendingList'!$C:$C,C$21)</f>
        <v>18</v>
      </c>
      <c r="D22" s="85"/>
      <c r="H22" s="128"/>
    </row>
    <row r="23" spans="1:22" ht="15.75">
      <c r="A23" s="211" t="s">
        <v>1776</v>
      </c>
      <c r="B23" s="212">
        <f>COUNTIFS('1.MasterPendingList'!$Z:$Z,"waiting confirm",'1.MasterPendingList'!$AA:$AA,$A23,'1.MasterPendingList'!$C:$C,B$21)</f>
        <v>5</v>
      </c>
      <c r="C23" s="212">
        <f>COUNTIFS('1.MasterPendingList'!$Z:$Z,"waiting confirm",'1.MasterPendingList'!$AA:$AA,$A23,'1.MasterPendingList'!$C:$C,C$21)</f>
        <v>19</v>
      </c>
      <c r="D23" s="85"/>
      <c r="H23" s="128"/>
    </row>
    <row r="24" spans="1:22" ht="15.75">
      <c r="A24" s="211" t="s">
        <v>1777</v>
      </c>
      <c r="B24" s="212">
        <f>COUNTIFS('1.MasterPendingList'!$Z:$Z,"waiting confirm",'1.MasterPendingList'!$AA:$AA,$A24,'1.MasterPendingList'!$C:$C,B$21)</f>
        <v>0</v>
      </c>
      <c r="C24" s="212">
        <f>COUNTIFS('1.MasterPendingList'!$Z:$Z,"waiting confirm",'1.MasterPendingList'!$AA:$AA,$A24,'1.MasterPendingList'!$C:$C,C$21)</f>
        <v>0</v>
      </c>
      <c r="D24" s="85"/>
      <c r="H24" s="128"/>
    </row>
    <row r="25" spans="1:22" ht="15.75">
      <c r="A25" s="211" t="s">
        <v>1778</v>
      </c>
      <c r="B25" s="212">
        <f>COUNTIFS('1.MasterPendingList'!$Z:$Z,"waiting confirm",'1.MasterPendingList'!$AA:$AA,$A25,'1.MasterPendingList'!$C:$C,B$21)</f>
        <v>0</v>
      </c>
      <c r="C25" s="212">
        <f>COUNTIFS('1.MasterPendingList'!$Z:$Z,"waiting confirm",'1.MasterPendingList'!$AA:$AA,$A25,'1.MasterPendingList'!$C:$C,C$21)</f>
        <v>0</v>
      </c>
      <c r="D25" s="85"/>
    </row>
    <row r="26" spans="1:22" ht="15.75">
      <c r="A26" s="162"/>
      <c r="B26" s="163"/>
      <c r="C26" s="163"/>
      <c r="D26" s="85"/>
    </row>
    <row r="27" spans="1:22" ht="19.5">
      <c r="A27" s="130" t="str">
        <f>"Inspection this week ("&amp;SUM(COUNTIFS(F:F,{"Minor","Major","Other","Maintain"}))&amp;" items)"</f>
        <v>Inspection this week (3 items)</v>
      </c>
      <c r="B27" s="163"/>
      <c r="C27" s="85"/>
      <c r="D27" s="85"/>
    </row>
    <row r="28" spans="1:22" ht="15.75">
      <c r="A28" s="162"/>
      <c r="B28" s="85"/>
      <c r="C28" s="85"/>
      <c r="D28" s="85"/>
    </row>
    <row r="29" spans="1:22" ht="19.5">
      <c r="A29" s="129" t="str">
        <f>"Completed repair: " &amp;COUNTIF(E:E,"Major")&amp; " Major, "&amp;COUNTIF(E:E,"Minor")&amp; " Minor, "&amp;COUNTIF(E:E,"Other")&amp; " Other"</f>
        <v>Completed repair: 4 Major, 4 Minor, 0 Other</v>
      </c>
    </row>
    <row r="30" spans="1:22">
      <c r="A30" s="280" t="s">
        <v>7</v>
      </c>
      <c r="B30" s="280" t="s">
        <v>8</v>
      </c>
      <c r="C30" s="280" t="s">
        <v>80</v>
      </c>
      <c r="D30" s="280" t="s">
        <v>15</v>
      </c>
      <c r="E30" s="280" t="s">
        <v>5922</v>
      </c>
      <c r="F30" s="281" t="s">
        <v>105</v>
      </c>
      <c r="G30" s="280" t="s">
        <v>300</v>
      </c>
      <c r="H30" s="280" t="s">
        <v>11</v>
      </c>
      <c r="I30" s="280" t="s">
        <v>10</v>
      </c>
      <c r="J30" s="280" t="s">
        <v>5923</v>
      </c>
      <c r="K30" s="281" t="s">
        <v>5924</v>
      </c>
      <c r="L30" s="281" t="s">
        <v>5925</v>
      </c>
      <c r="M30" s="281" t="s">
        <v>5926</v>
      </c>
      <c r="N30" s="281" t="s">
        <v>2434</v>
      </c>
      <c r="O30" s="281" t="s">
        <v>5927</v>
      </c>
    </row>
    <row r="31" spans="1:22">
      <c r="A31" s="282" t="s">
        <v>45</v>
      </c>
      <c r="B31" s="282" t="s">
        <v>20</v>
      </c>
      <c r="C31" s="282" t="s">
        <v>1218</v>
      </c>
      <c r="D31" s="283" t="s">
        <v>26</v>
      </c>
      <c r="E31" s="283" t="s">
        <v>3</v>
      </c>
      <c r="F31" s="283">
        <v>45012</v>
      </c>
      <c r="G31" s="282" t="s">
        <v>5363</v>
      </c>
      <c r="H31" s="282" t="s">
        <v>22</v>
      </c>
      <c r="I31" s="282" t="s">
        <v>5705</v>
      </c>
      <c r="J31" s="282" t="s">
        <v>4983</v>
      </c>
      <c r="K31" s="283">
        <v>45020</v>
      </c>
      <c r="L31" s="283"/>
      <c r="M31" s="283" t="s">
        <v>70</v>
      </c>
      <c r="N31" s="283"/>
      <c r="O31" s="286" t="s">
        <v>5928</v>
      </c>
    </row>
    <row r="32" spans="1:22">
      <c r="A32" s="85" t="s">
        <v>1131</v>
      </c>
      <c r="B32" s="85" t="s">
        <v>62</v>
      </c>
      <c r="C32" s="85" t="s">
        <v>5103</v>
      </c>
      <c r="D32" s="14" t="s">
        <v>138</v>
      </c>
      <c r="E32" s="14" t="s">
        <v>3</v>
      </c>
      <c r="F32" s="14">
        <v>45023</v>
      </c>
      <c r="G32" s="85" t="s">
        <v>5371</v>
      </c>
      <c r="H32" s="85" t="s">
        <v>37</v>
      </c>
      <c r="I32" s="85" t="s">
        <v>5921</v>
      </c>
      <c r="J32" s="85" t="s">
        <v>5102</v>
      </c>
      <c r="K32" s="14"/>
      <c r="L32" s="14"/>
      <c r="M32" s="14" t="s">
        <v>59</v>
      </c>
      <c r="N32" s="14"/>
      <c r="O32" t="s">
        <v>5944</v>
      </c>
      <c r="P32" s="230"/>
      <c r="V32" s="14"/>
    </row>
    <row r="33" spans="1:15">
      <c r="A33" s="282" t="s">
        <v>1131</v>
      </c>
      <c r="B33" s="282" t="s">
        <v>20</v>
      </c>
      <c r="C33" s="282" t="s">
        <v>5269</v>
      </c>
      <c r="D33" s="283" t="s">
        <v>138</v>
      </c>
      <c r="E33" s="283" t="s">
        <v>3</v>
      </c>
      <c r="F33" s="283">
        <v>45050</v>
      </c>
      <c r="G33" s="282" t="s">
        <v>5391</v>
      </c>
      <c r="H33" s="282" t="s">
        <v>37</v>
      </c>
      <c r="I33" s="282" t="s">
        <v>5920</v>
      </c>
      <c r="J33" s="282" t="s">
        <v>5268</v>
      </c>
      <c r="K33" s="283"/>
      <c r="L33" s="283"/>
      <c r="M33" s="283" t="s">
        <v>59</v>
      </c>
      <c r="N33" s="283"/>
      <c r="O33" s="286" t="s">
        <v>5929</v>
      </c>
    </row>
    <row r="34" spans="1:15">
      <c r="A34" s="282" t="s">
        <v>2396</v>
      </c>
      <c r="B34" s="282" t="s">
        <v>1157</v>
      </c>
      <c r="C34" s="282" t="s">
        <v>1175</v>
      </c>
      <c r="D34" s="283" t="s">
        <v>26</v>
      </c>
      <c r="E34" s="283" t="s">
        <v>4</v>
      </c>
      <c r="F34" s="283">
        <v>45107.650462962964</v>
      </c>
      <c r="G34" s="282" t="s">
        <v>5876</v>
      </c>
      <c r="H34" s="282" t="s">
        <v>1309</v>
      </c>
      <c r="I34" s="282" t="s">
        <v>5904</v>
      </c>
      <c r="J34" s="282" t="s">
        <v>5863</v>
      </c>
      <c r="K34" s="283"/>
      <c r="L34" s="283"/>
      <c r="M34" s="283"/>
      <c r="N34" s="283"/>
      <c r="O34" s="286" t="s">
        <v>5930</v>
      </c>
    </row>
    <row r="35" spans="1:15">
      <c r="A35" s="282" t="s">
        <v>41</v>
      </c>
      <c r="B35" s="282" t="s">
        <v>38</v>
      </c>
      <c r="C35" s="282" t="s">
        <v>3312</v>
      </c>
      <c r="D35" s="283" t="s">
        <v>138</v>
      </c>
      <c r="E35" s="283" t="s">
        <v>4</v>
      </c>
      <c r="F35" s="283">
        <v>45111</v>
      </c>
      <c r="G35" s="282" t="s">
        <v>2179</v>
      </c>
      <c r="H35" s="282" t="s">
        <v>1132</v>
      </c>
      <c r="I35" s="282" t="s">
        <v>5903</v>
      </c>
      <c r="J35" s="282" t="s">
        <v>5879</v>
      </c>
      <c r="K35" s="283"/>
      <c r="L35" s="283"/>
      <c r="M35" s="283"/>
      <c r="N35" s="283"/>
      <c r="O35" s="286"/>
    </row>
    <row r="36" spans="1:15">
      <c r="A36" s="282" t="s">
        <v>41</v>
      </c>
      <c r="B36" s="282" t="s">
        <v>34</v>
      </c>
      <c r="C36" s="282" t="s">
        <v>1224</v>
      </c>
      <c r="D36" s="283" t="s">
        <v>138</v>
      </c>
      <c r="E36" s="283" t="s">
        <v>4</v>
      </c>
      <c r="F36" s="283">
        <v>45111</v>
      </c>
      <c r="G36" s="282" t="s">
        <v>4799</v>
      </c>
      <c r="H36" s="282" t="s">
        <v>37</v>
      </c>
      <c r="I36" s="282" t="s">
        <v>5903</v>
      </c>
      <c r="J36" s="282" t="s">
        <v>5887</v>
      </c>
      <c r="K36" s="283"/>
      <c r="L36" s="283"/>
      <c r="M36" s="283"/>
      <c r="N36" s="283"/>
      <c r="O36" s="286"/>
    </row>
    <row r="37" spans="1:15">
      <c r="A37" s="284" t="s">
        <v>3857</v>
      </c>
      <c r="B37" s="284" t="s">
        <v>23</v>
      </c>
      <c r="C37" s="284" t="s">
        <v>3725</v>
      </c>
      <c r="D37" s="285" t="s">
        <v>138</v>
      </c>
      <c r="E37" s="285" t="s">
        <v>4</v>
      </c>
      <c r="F37" s="285">
        <v>45111</v>
      </c>
      <c r="G37" s="284" t="s">
        <v>4654</v>
      </c>
      <c r="H37" s="284" t="s">
        <v>1310</v>
      </c>
      <c r="I37" s="284" t="s">
        <v>3527</v>
      </c>
      <c r="J37" s="284" t="s">
        <v>5888</v>
      </c>
      <c r="K37" s="285"/>
      <c r="L37" s="285"/>
      <c r="M37" s="285"/>
      <c r="N37" s="285"/>
      <c r="O37" s="287"/>
    </row>
    <row r="38" spans="1:15">
      <c r="A38" s="284" t="s">
        <v>4195</v>
      </c>
      <c r="B38" s="287" t="s">
        <v>1115</v>
      </c>
      <c r="C38" s="287" t="s">
        <v>5010</v>
      </c>
      <c r="D38" s="287" t="s">
        <v>26</v>
      </c>
      <c r="E38" s="285" t="s">
        <v>3</v>
      </c>
      <c r="F38" s="287">
        <v>45013.44054398148</v>
      </c>
      <c r="G38" s="287" t="s">
        <v>5011</v>
      </c>
      <c r="H38" s="287" t="s">
        <v>297</v>
      </c>
      <c r="I38" s="287" t="s">
        <v>5946</v>
      </c>
      <c r="J38" s="287" t="s">
        <v>5009</v>
      </c>
      <c r="K38" s="287"/>
      <c r="L38" s="287"/>
      <c r="M38" s="287" t="s">
        <v>5947</v>
      </c>
      <c r="N38" s="287">
        <v>45036</v>
      </c>
      <c r="O38" s="287" t="s">
        <v>5948</v>
      </c>
    </row>
    <row r="39" spans="1:15" ht="19.5">
      <c r="A39" s="129" t="s">
        <v>3036</v>
      </c>
      <c r="E39" s="14"/>
    </row>
    <row r="40" spans="1:15">
      <c r="A40" s="183"/>
      <c r="B40" s="128"/>
      <c r="C40" s="128"/>
      <c r="D40" s="128"/>
      <c r="E40" s="128"/>
      <c r="F40" s="128"/>
      <c r="G40" s="128"/>
    </row>
    <row r="41" spans="1:15">
      <c r="A41" s="83"/>
      <c r="B41" s="128"/>
      <c r="C41" s="128"/>
      <c r="E41" s="128"/>
      <c r="F41" s="128"/>
      <c r="G41" s="128"/>
    </row>
    <row r="42" spans="1:15">
      <c r="A42" s="83"/>
      <c r="C42" s="245"/>
      <c r="D42" s="128"/>
    </row>
    <row r="43" spans="1:15" ht="19.5">
      <c r="C43" s="245"/>
      <c r="F43" s="244" t="s">
        <v>5710</v>
      </c>
    </row>
    <row r="44" spans="1:15">
      <c r="C44" s="128"/>
      <c r="F44" t="s">
        <v>1206</v>
      </c>
    </row>
    <row r="45" spans="1:15">
      <c r="C45" s="128"/>
      <c r="F45" s="246"/>
      <c r="G45" s="246" t="s">
        <v>26</v>
      </c>
      <c r="H45" s="247" t="s">
        <v>138</v>
      </c>
    </row>
    <row r="46" spans="1:15">
      <c r="C46" s="128"/>
      <c r="F46" s="246" t="s">
        <v>3</v>
      </c>
      <c r="G46" s="246">
        <f t="shared" ref="G46:H48" si="1">COUNTIFS($D:$D,G$45,$E:$E,$F46)</f>
        <v>2</v>
      </c>
      <c r="H46" s="246">
        <f t="shared" si="1"/>
        <v>2</v>
      </c>
    </row>
    <row r="47" spans="1:15">
      <c r="C47" s="128"/>
      <c r="F47" s="246" t="s">
        <v>4</v>
      </c>
      <c r="G47" s="246">
        <f t="shared" si="1"/>
        <v>1</v>
      </c>
      <c r="H47" s="246">
        <f t="shared" si="1"/>
        <v>3</v>
      </c>
    </row>
    <row r="48" spans="1:15">
      <c r="C48" s="245"/>
      <c r="F48" s="246" t="s">
        <v>5</v>
      </c>
      <c r="G48" s="246">
        <f t="shared" si="1"/>
        <v>0</v>
      </c>
      <c r="H48" s="246">
        <f t="shared" si="1"/>
        <v>0</v>
      </c>
    </row>
    <row r="49" spans="2:7">
      <c r="C49" s="245"/>
      <c r="G49" s="128"/>
    </row>
    <row r="50" spans="2:7" ht="19.5">
      <c r="C50" s="245"/>
      <c r="F50" s="244" t="s">
        <v>74</v>
      </c>
      <c r="G50" s="128"/>
    </row>
    <row r="51" spans="2:7">
      <c r="C51" s="245"/>
      <c r="F51" s="248" t="s">
        <v>7</v>
      </c>
      <c r="G51" s="248" t="s">
        <v>5935</v>
      </c>
    </row>
    <row r="52" spans="2:7">
      <c r="C52" s="128"/>
      <c r="F52" s="248" t="s">
        <v>41</v>
      </c>
      <c r="G52" s="246">
        <v>9</v>
      </c>
    </row>
    <row r="53" spans="2:7">
      <c r="B53" s="128"/>
      <c r="C53" s="128"/>
      <c r="F53" s="248" t="s">
        <v>4195</v>
      </c>
      <c r="G53" s="246">
        <v>1</v>
      </c>
    </row>
    <row r="54" spans="2:7">
      <c r="B54" s="128"/>
      <c r="C54" s="128"/>
      <c r="F54" s="248" t="s">
        <v>2353</v>
      </c>
      <c r="G54" s="246">
        <v>1</v>
      </c>
    </row>
    <row r="55" spans="2:7">
      <c r="B55" s="128"/>
      <c r="C55" s="128"/>
      <c r="F55" s="248" t="s">
        <v>3857</v>
      </c>
      <c r="G55" s="246">
        <v>1</v>
      </c>
    </row>
    <row r="56" spans="2:7">
      <c r="F56" s="248"/>
      <c r="G56" s="246"/>
    </row>
    <row r="57" spans="2:7">
      <c r="F57" s="246"/>
      <c r="G57" s="246"/>
    </row>
    <row r="60" spans="2:7">
      <c r="D60" s="243"/>
      <c r="E60" s="246"/>
    </row>
  </sheetData>
  <dataConsolidate/>
  <phoneticPr fontId="37" type="noConversion"/>
  <conditionalFormatting sqref="A19 F50:F56 F43 A1 A16:B16 A27:A29">
    <cfRule type="containsText" dxfId="218" priority="2557" operator="containsText" text="plan">
      <formula>NOT(ISERROR(SEARCH("plan",A1)))</formula>
    </cfRule>
    <cfRule type="containsText" dxfId="217" priority="2558" operator="containsText" text="BreakDown">
      <formula>NOT(ISERROR(SEARCH("BreakDown",A1)))</formula>
    </cfRule>
    <cfRule type="containsText" dxfId="216" priority="2559" operator="containsText" text="Completed">
      <formula>NOT(ISERROR(SEARCH("Completed",A1)))</formula>
    </cfRule>
    <cfRule type="containsText" dxfId="215" priority="2560" operator="containsText" text="transfer">
      <formula>NOT(ISERROR(SEARCH("transfer",A1)))</formula>
    </cfRule>
    <cfRule type="containsText" dxfId="214" priority="2561" operator="containsText" text="Received:">
      <formula>NOT(ISERROR(SEARCH("Received:",A1)))</formula>
    </cfRule>
  </conditionalFormatting>
  <conditionalFormatting sqref="A39">
    <cfRule type="containsText" dxfId="213" priority="2552" operator="containsText" text="plan">
      <formula>NOT(ISERROR(SEARCH("plan",A39)))</formula>
    </cfRule>
    <cfRule type="containsText" dxfId="212" priority="2553" operator="containsText" text="Inspect">
      <formula>NOT(ISERROR(SEARCH("Inspect",A39)))</formula>
    </cfRule>
    <cfRule type="containsText" dxfId="211" priority="2554" operator="containsText" text="Completed">
      <formula>NOT(ISERROR(SEARCH("Completed",A39)))</formula>
    </cfRule>
    <cfRule type="containsText" dxfId="210" priority="2555" operator="containsText" text="transfer">
      <formula>NOT(ISERROR(SEARCH("transfer",A39)))</formula>
    </cfRule>
    <cfRule type="containsText" dxfId="209" priority="2556" operator="containsText" text="Received:">
      <formula>NOT(ISERROR(SEARCH("Received:",A39)))</formula>
    </cfRule>
  </conditionalFormatting>
  <conditionalFormatting sqref="A20">
    <cfRule type="containsText" dxfId="208" priority="890" operator="containsText" text="plan">
      <formula>NOT(ISERROR(SEARCH("plan",A20)))</formula>
    </cfRule>
    <cfRule type="containsText" dxfId="207" priority="891" operator="containsText" text="BreakDown">
      <formula>NOT(ISERROR(SEARCH("BreakDown",A20)))</formula>
    </cfRule>
    <cfRule type="containsText" dxfId="206" priority="892" operator="containsText" text="Completed">
      <formula>NOT(ISERROR(SEARCH("Completed",A20)))</formula>
    </cfRule>
    <cfRule type="containsText" dxfId="205" priority="893" operator="containsText" text="transfer">
      <formula>NOT(ISERROR(SEARCH("transfer",A20)))</formula>
    </cfRule>
    <cfRule type="containsText" dxfId="204" priority="894" operator="containsText" text="Received:">
      <formula>NOT(ISERROR(SEARCH("Received:",A20)))</formula>
    </cfRule>
  </conditionalFormatting>
  <conditionalFormatting sqref="A21:A26">
    <cfRule type="containsText" dxfId="203" priority="885" operator="containsText" text="plan">
      <formula>NOT(ISERROR(SEARCH("plan",A21)))</formula>
    </cfRule>
    <cfRule type="containsText" dxfId="202" priority="886" operator="containsText" text="BreakDown">
      <formula>NOT(ISERROR(SEARCH("BreakDown",A21)))</formula>
    </cfRule>
    <cfRule type="containsText" dxfId="201" priority="887" operator="containsText" text="Completed">
      <formula>NOT(ISERROR(SEARCH("Completed",A21)))</formula>
    </cfRule>
    <cfRule type="containsText" dxfId="200" priority="888" operator="containsText" text="transfer">
      <formula>NOT(ISERROR(SEARCH("transfer",A21)))</formula>
    </cfRule>
    <cfRule type="containsText" dxfId="199" priority="889" operator="containsText" text="Received:">
      <formula>NOT(ISERROR(SEARCH("Received:",A21)))</formula>
    </cfRule>
  </conditionalFormatting>
  <conditionalFormatting sqref="C20">
    <cfRule type="duplicateValues" dxfId="198" priority="895"/>
  </conditionalFormatting>
  <conditionalFormatting sqref="C1">
    <cfRule type="expression" dxfId="197" priority="8457">
      <formula>IF(SEARCH("Received",#REF!),1,0)</formula>
    </cfRule>
    <cfRule type="expression" dxfId="196" priority="8458">
      <formula>IF(SEARCH("under inspection",#REF!),1,0)</formula>
    </cfRule>
    <cfRule type="expression" dxfId="195" priority="8459">
      <formula>IF(SEARCH("prepairing quotation",#REF!),1,0)</formula>
    </cfRule>
    <cfRule type="expression" dxfId="194" priority="8460">
      <formula>IF(SEARCH("waiting confirm",#REF!),1,0)</formula>
    </cfRule>
    <cfRule type="expression" dxfId="193" priority="8461">
      <formula>IF(SEARCH("waiting approved",#REF!),1,0)</formula>
    </cfRule>
    <cfRule type="expression" dxfId="192" priority="8462">
      <formula>IF(SEARCH("waiting for part",#REF!),1,0)</formula>
    </cfRule>
    <cfRule type="expression" dxfId="191" priority="8463">
      <formula>IF(SEARCH("under repair",#REF!),1,0)</formula>
    </cfRule>
    <cfRule type="expression" dxfId="190" priority="8464">
      <formula>IF(SEARCH("waiting for repair",#REF!),1,0)</formula>
    </cfRule>
    <cfRule type="expression" dxfId="189" priority="8465">
      <formula>IF(SEARCH("Completed repair",#REF!),1,0)</formula>
    </cfRule>
    <cfRule type="expression" dxfId="188" priority="8466">
      <formula>IF(SEARCH("Transfer to sale team",#REF!),1,0)</formula>
    </cfRule>
    <cfRule type="expression" dxfId="187" priority="8467">
      <formula>MOD($A1,2)</formula>
    </cfRule>
  </conditionalFormatting>
  <conditionalFormatting sqref="C48:C49 F45:F48">
    <cfRule type="expression" dxfId="186" priority="16758">
      <formula>IF(SEARCH("Received",#REF!),1,0)</formula>
    </cfRule>
    <cfRule type="expression" dxfId="185" priority="16759">
      <formula>IF(SEARCH("under inspection",#REF!),1,0)</formula>
    </cfRule>
    <cfRule type="expression" dxfId="184" priority="16760">
      <formula>IF(SEARCH("prepairing quotation",#REF!),1,0)</formula>
    </cfRule>
    <cfRule type="expression" dxfId="183" priority="16761">
      <formula>IF(SEARCH("waiting confirm",#REF!),1,0)</formula>
    </cfRule>
    <cfRule type="expression" dxfId="182" priority="16762">
      <formula>IF(SEARCH("waiting approved",#REF!),1,0)</formula>
    </cfRule>
    <cfRule type="expression" dxfId="181" priority="16763">
      <formula>IF(SEARCH("waiting for part",#REF!),1,0)</formula>
    </cfRule>
    <cfRule type="expression" dxfId="180" priority="16764">
      <formula>IF(SEARCH("under repair",#REF!),1,0)</formula>
    </cfRule>
    <cfRule type="expression" dxfId="179" priority="16765">
      <formula>IF(SEARCH("waiting for repair",#REF!),1,0)</formula>
    </cfRule>
    <cfRule type="expression" dxfId="178" priority="16766">
      <formula>IF(SEARCH("Completed repair",#REF!),1,0)</formula>
    </cfRule>
    <cfRule type="expression" dxfId="177" priority="16767">
      <formula>IF(SEARCH("Transfer to sale team",#REF!),1,0)</formula>
    </cfRule>
    <cfRule type="expression" dxfId="176" priority="16768">
      <formula>MOD(#REF!,2)</formula>
    </cfRule>
  </conditionalFormatting>
  <conditionalFormatting sqref="C15:C16">
    <cfRule type="duplicateValues" dxfId="175" priority="18491"/>
  </conditionalFormatting>
  <conditionalFormatting sqref="C43">
    <cfRule type="expression" dxfId="174" priority="18578">
      <formula>IF(SEARCH("Received",#REF!),1,0)</formula>
    </cfRule>
    <cfRule type="expression" dxfId="173" priority="18579">
      <formula>IF(SEARCH("under inspection",#REF!),1,0)</formula>
    </cfRule>
    <cfRule type="expression" dxfId="172" priority="18580">
      <formula>IF(SEARCH("prepairing quotation",#REF!),1,0)</formula>
    </cfRule>
    <cfRule type="expression" dxfId="171" priority="18581">
      <formula>IF(SEARCH("waiting confirm",#REF!),1,0)</formula>
    </cfRule>
    <cfRule type="expression" dxfId="170" priority="18582">
      <formula>IF(SEARCH("waiting approved",#REF!),1,0)</formula>
    </cfRule>
    <cfRule type="expression" dxfId="169" priority="18583">
      <formula>IF(SEARCH("waiting for part",#REF!),1,0)</formula>
    </cfRule>
    <cfRule type="expression" dxfId="168" priority="18584">
      <formula>IF(SEARCH("under repair",#REF!),1,0)</formula>
    </cfRule>
    <cfRule type="expression" dxfId="167" priority="18585">
      <formula>IF(SEARCH("waiting for repair",#REF!),1,0)</formula>
    </cfRule>
    <cfRule type="expression" dxfId="166" priority="18586">
      <formula>IF(SEARCH("Completed repair",#REF!),1,0)</formula>
    </cfRule>
    <cfRule type="expression" dxfId="165" priority="18587">
      <formula>IF(SEARCH("Transfer to sale team",#REF!),1,0)</formula>
    </cfRule>
    <cfRule type="expression" dxfId="164" priority="18588">
      <formula>MOD($F50,2)</formula>
    </cfRule>
  </conditionalFormatting>
  <conditionalFormatting sqref="C50:C51">
    <cfRule type="expression" dxfId="163" priority="18589">
      <formula>IF(SEARCH("Received",#REF!),1,0)</formula>
    </cfRule>
    <cfRule type="expression" dxfId="162" priority="18590">
      <formula>IF(SEARCH("under inspection",#REF!),1,0)</formula>
    </cfRule>
    <cfRule type="expression" dxfId="161" priority="18591">
      <formula>IF(SEARCH("prepairing quotation",#REF!),1,0)</formula>
    </cfRule>
    <cfRule type="expression" dxfId="160" priority="18592">
      <formula>IF(SEARCH("waiting confirm",#REF!),1,0)</formula>
    </cfRule>
    <cfRule type="expression" dxfId="159" priority="18593">
      <formula>IF(SEARCH("waiting approved",#REF!),1,0)</formula>
    </cfRule>
    <cfRule type="expression" dxfId="158" priority="18594">
      <formula>IF(SEARCH("waiting for part",#REF!),1,0)</formula>
    </cfRule>
    <cfRule type="expression" dxfId="157" priority="18595">
      <formula>IF(SEARCH("under repair",#REF!),1,0)</formula>
    </cfRule>
    <cfRule type="expression" dxfId="156" priority="18596">
      <formula>IF(SEARCH("waiting for repair",#REF!),1,0)</formula>
    </cfRule>
    <cfRule type="expression" dxfId="155" priority="18597">
      <formula>IF(SEARCH("Completed repair",#REF!),1,0)</formula>
    </cfRule>
    <cfRule type="expression" dxfId="154" priority="18598">
      <formula>IF(SEARCH("Transfer to sale team",#REF!),1,0)</formula>
    </cfRule>
    <cfRule type="expression" dxfId="153" priority="18599">
      <formula>MOD($F55,2)</formula>
    </cfRule>
  </conditionalFormatting>
  <conditionalFormatting sqref="C42">
    <cfRule type="expression" dxfId="152" priority="18600">
      <formula>IF(SEARCH("Received",#REF!),1,0)</formula>
    </cfRule>
    <cfRule type="expression" dxfId="151" priority="18601">
      <formula>IF(SEARCH("under inspection",#REF!),1,0)</formula>
    </cfRule>
    <cfRule type="expression" dxfId="150" priority="18602">
      <formula>IF(SEARCH("prepairing quotation",#REF!),1,0)</formula>
    </cfRule>
    <cfRule type="expression" dxfId="149" priority="18603">
      <formula>IF(SEARCH("waiting confirm",#REF!),1,0)</formula>
    </cfRule>
    <cfRule type="expression" dxfId="148" priority="18604">
      <formula>IF(SEARCH("waiting approved",#REF!),1,0)</formula>
    </cfRule>
    <cfRule type="expression" dxfId="147" priority="18605">
      <formula>IF(SEARCH("waiting for part",#REF!),1,0)</formula>
    </cfRule>
    <cfRule type="expression" dxfId="146" priority="18606">
      <formula>IF(SEARCH("under repair",#REF!),1,0)</formula>
    </cfRule>
    <cfRule type="expression" dxfId="145" priority="18607">
      <formula>IF(SEARCH("waiting for repair",#REF!),1,0)</formula>
    </cfRule>
    <cfRule type="expression" dxfId="144" priority="18608">
      <formula>IF(SEARCH("Completed repair",#REF!),1,0)</formula>
    </cfRule>
    <cfRule type="expression" dxfId="143" priority="18609">
      <formula>IF(SEARCH("Transfer to sale team",#REF!),1,0)</formula>
    </cfRule>
    <cfRule type="expression" dxfId="142" priority="18610">
      <formula>MOD($F43,2)</formula>
    </cfRule>
  </conditionalFormatting>
  <conditionalFormatting sqref="A2">
    <cfRule type="containsText" dxfId="141" priority="20" operator="containsText" text="plan">
      <formula>NOT(ISERROR(SEARCH("plan",A2)))</formula>
    </cfRule>
    <cfRule type="containsText" dxfId="140" priority="21" operator="containsText" text="Inspect">
      <formula>NOT(ISERROR(SEARCH("Inspect",A2)))</formula>
    </cfRule>
    <cfRule type="containsText" dxfId="139" priority="22" operator="containsText" text="Completed">
      <formula>NOT(ISERROR(SEARCH("Completed",A2)))</formula>
    </cfRule>
    <cfRule type="containsText" dxfId="138" priority="23" operator="containsText" text="transfer">
      <formula>NOT(ISERROR(SEARCH("transfer",A2)))</formula>
    </cfRule>
    <cfRule type="containsText" dxfId="137" priority="24" operator="containsText" text="Received:">
      <formula>NOT(ISERROR(SEARCH("Received:",A2)))</formula>
    </cfRule>
  </conditionalFormatting>
  <conditionalFormatting sqref="C2:C14">
    <cfRule type="duplicateValues" dxfId="136" priority="19"/>
  </conditionalFormatting>
  <conditionalFormatting sqref="C3:C14">
    <cfRule type="duplicateValues" dxfId="135" priority="25"/>
  </conditionalFormatting>
  <conditionalFormatting sqref="C2">
    <cfRule type="duplicateValues" dxfId="134" priority="26"/>
  </conditionalFormatting>
  <conditionalFormatting sqref="A17">
    <cfRule type="containsText" dxfId="133" priority="12" operator="containsText" text="plan">
      <formula>NOT(ISERROR(SEARCH("plan",A17)))</formula>
    </cfRule>
    <cfRule type="containsText" dxfId="132" priority="13" operator="containsText" text="Inspect">
      <formula>NOT(ISERROR(SEARCH("Inspect",A17)))</formula>
    </cfRule>
    <cfRule type="containsText" dxfId="131" priority="14" operator="containsText" text="Completed">
      <formula>NOT(ISERROR(SEARCH("Completed",A17)))</formula>
    </cfRule>
    <cfRule type="containsText" dxfId="130" priority="15" operator="containsText" text="transfer">
      <formula>NOT(ISERROR(SEARCH("transfer",A17)))</formula>
    </cfRule>
    <cfRule type="containsText" dxfId="129" priority="16" operator="containsText" text="Received:">
      <formula>NOT(ISERROR(SEARCH("Received:",A17)))</formula>
    </cfRule>
  </conditionalFormatting>
  <conditionalFormatting sqref="C17:C18">
    <cfRule type="duplicateValues" dxfId="128" priority="11"/>
  </conditionalFormatting>
  <conditionalFormatting sqref="C18">
    <cfRule type="duplicateValues" dxfId="127" priority="17"/>
  </conditionalFormatting>
  <conditionalFormatting sqref="C17">
    <cfRule type="duplicateValues" dxfId="126" priority="18"/>
  </conditionalFormatting>
  <conditionalFormatting sqref="A30">
    <cfRule type="containsText" dxfId="125" priority="4" operator="containsText" text="plan">
      <formula>NOT(ISERROR(SEARCH("plan",A30)))</formula>
    </cfRule>
    <cfRule type="containsText" dxfId="124" priority="5" operator="containsText" text="Inspect">
      <formula>NOT(ISERROR(SEARCH("Inspect",A30)))</formula>
    </cfRule>
    <cfRule type="containsText" dxfId="123" priority="6" operator="containsText" text="Completed">
      <formula>NOT(ISERROR(SEARCH("Completed",A30)))</formula>
    </cfRule>
    <cfRule type="containsText" dxfId="122" priority="7" operator="containsText" text="transfer">
      <formula>NOT(ISERROR(SEARCH("transfer",A30)))</formula>
    </cfRule>
    <cfRule type="containsText" dxfId="121" priority="8" operator="containsText" text="Received:">
      <formula>NOT(ISERROR(SEARCH("Received:",A30)))</formula>
    </cfRule>
  </conditionalFormatting>
  <conditionalFormatting sqref="C30:C31 C33:C37">
    <cfRule type="duplicateValues" dxfId="120" priority="3"/>
  </conditionalFormatting>
  <conditionalFormatting sqref="C31 C33:C37">
    <cfRule type="duplicateValues" dxfId="119" priority="9"/>
  </conditionalFormatting>
  <conditionalFormatting sqref="C30">
    <cfRule type="duplicateValues" dxfId="118" priority="10"/>
  </conditionalFormatting>
  <conditionalFormatting sqref="C32">
    <cfRule type="duplicateValues" dxfId="117" priority="1"/>
  </conditionalFormatting>
  <conditionalFormatting sqref="C32">
    <cfRule type="duplicateValues" dxfId="116" priority="2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2:E19"/>
  <sheetViews>
    <sheetView workbookViewId="0">
      <selection activeCell="G14" sqref="G14"/>
    </sheetView>
  </sheetViews>
  <sheetFormatPr defaultRowHeight="15"/>
  <cols>
    <col min="1" max="1" width="29.85546875" customWidth="1"/>
  </cols>
  <sheetData>
    <row r="2" spans="1:5">
      <c r="A2" t="s">
        <v>1065</v>
      </c>
    </row>
    <row r="3" spans="1:5">
      <c r="A3" t="s">
        <v>7</v>
      </c>
      <c r="B3" t="s">
        <v>5412</v>
      </c>
      <c r="E3" t="s">
        <v>1065</v>
      </c>
    </row>
    <row r="4" spans="1:5">
      <c r="A4" t="e" cm="1">
        <f t="array" ref="A4">_xlfn.UNIQUE('Summary 07-Jul'!#REF!)</f>
        <v>#REF!</v>
      </c>
      <c r="B4" t="e">
        <f>COUNTIF('Summary 07-Jul'!#REF!,Chart!A4)</f>
        <v>#REF!</v>
      </c>
      <c r="C4" t="s">
        <v>5413</v>
      </c>
      <c r="D4" t="str" cm="1">
        <f t="array" ref="D4:D10">_xlfn.UNIQUE(C4:C19)</f>
        <v>Bach Mai</v>
      </c>
      <c r="E4" t="e">
        <f>SUMIF($C$4:$C$19,D4,$B$4:$B$19)</f>
        <v>#REF!</v>
      </c>
    </row>
    <row r="5" spans="1:5">
      <c r="B5" t="e">
        <f>COUNTIF('Summary 07-Jul'!#REF!,Chart!A5)</f>
        <v>#REF!</v>
      </c>
      <c r="C5" t="s">
        <v>5</v>
      </c>
      <c r="D5" t="str">
        <v>Other</v>
      </c>
      <c r="E5" t="e">
        <f t="shared" ref="E5:E10" si="0">SUMIF($C$4:$C$19,D5,$B$4:$B$19)</f>
        <v>#REF!</v>
      </c>
    </row>
    <row r="6" spans="1:5">
      <c r="B6">
        <f>COUNTIF('Summary 07-Jul'!A15:A16,Chart!A6)</f>
        <v>0</v>
      </c>
      <c r="C6" t="s">
        <v>5</v>
      </c>
      <c r="D6" t="str">
        <v>Fujifilm</v>
      </c>
      <c r="E6">
        <f t="shared" si="0"/>
        <v>0</v>
      </c>
    </row>
    <row r="7" spans="1:5">
      <c r="B7">
        <f>COUNTIF('Summary 07-Jul'!A15:A16,Chart!A7)</f>
        <v>0</v>
      </c>
      <c r="C7" t="s">
        <v>5</v>
      </c>
      <c r="D7" t="str">
        <v>Hoang Long</v>
      </c>
      <c r="E7">
        <f t="shared" si="0"/>
        <v>0</v>
      </c>
    </row>
    <row r="8" spans="1:5">
      <c r="B8">
        <f>COUNTIF('Summary 07-Jul'!A15:A16,Chart!A8)</f>
        <v>0</v>
      </c>
      <c r="C8" t="s">
        <v>5</v>
      </c>
      <c r="D8" t="str">
        <v>Phu Tho</v>
      </c>
      <c r="E8">
        <f t="shared" si="0"/>
        <v>0</v>
      </c>
    </row>
    <row r="9" spans="1:5">
      <c r="B9">
        <f>COUNTIF('Summary 07-Jul'!A15:A16,Chart!A9)</f>
        <v>0</v>
      </c>
      <c r="C9" t="s">
        <v>5418</v>
      </c>
      <c r="D9" t="str">
        <v>Thanh An - Hanoi</v>
      </c>
      <c r="E9">
        <f t="shared" si="0"/>
        <v>0</v>
      </c>
    </row>
    <row r="10" spans="1:5">
      <c r="B10">
        <f>COUNTIF('Summary 07-Jul'!A15:A16,Chart!A10)</f>
        <v>0</v>
      </c>
      <c r="C10" t="s">
        <v>5</v>
      </c>
      <c r="D10" t="str">
        <v>Thien Hanh</v>
      </c>
      <c r="E10">
        <f t="shared" si="0"/>
        <v>0</v>
      </c>
    </row>
    <row r="11" spans="1:5">
      <c r="B11">
        <f>COUNTIF('Summary 07-Jul'!A15:A16,Chart!A11)</f>
        <v>0</v>
      </c>
      <c r="C11" t="s">
        <v>5</v>
      </c>
    </row>
    <row r="12" spans="1:5">
      <c r="B12">
        <f>COUNTIF('Summary 07-Jul'!A15:A16,Chart!A12)</f>
        <v>0</v>
      </c>
      <c r="C12" t="s">
        <v>5414</v>
      </c>
    </row>
    <row r="13" spans="1:5">
      <c r="B13">
        <f>COUNTIF('Summary 07-Jul'!A15:A16,Chart!A13)</f>
        <v>0</v>
      </c>
      <c r="C13" t="s">
        <v>5</v>
      </c>
    </row>
    <row r="14" spans="1:5">
      <c r="B14">
        <f>COUNTIF('Summary 07-Jul'!A15:A16,Chart!A14)</f>
        <v>0</v>
      </c>
      <c r="C14" t="s">
        <v>5</v>
      </c>
    </row>
    <row r="15" spans="1:5">
      <c r="B15">
        <f>COUNTIF('Summary 07-Jul'!A15:A16,Chart!A15)</f>
        <v>0</v>
      </c>
      <c r="C15" t="s">
        <v>5416</v>
      </c>
    </row>
    <row r="16" spans="1:5">
      <c r="B16">
        <f>COUNTIF('Summary 07-Jul'!A15:A16,Chart!A16)</f>
        <v>0</v>
      </c>
      <c r="C16" t="s">
        <v>5416</v>
      </c>
    </row>
    <row r="17" spans="2:3">
      <c r="B17">
        <f>COUNTIF('Summary 07-Jul'!A15:A16,Chart!A17)</f>
        <v>0</v>
      </c>
      <c r="C17" t="s">
        <v>5416</v>
      </c>
    </row>
    <row r="18" spans="2:3">
      <c r="B18">
        <f>COUNTIF('Summary 07-Jul'!A15:A16,Chart!A18)</f>
        <v>0</v>
      </c>
      <c r="C18" t="s">
        <v>5417</v>
      </c>
    </row>
    <row r="19" spans="2:3">
      <c r="B19">
        <f>COUNTIF('Summary 07-Jul'!A15:A16,Chart!A19)</f>
        <v>0</v>
      </c>
      <c r="C19" t="s">
        <v>5415</v>
      </c>
    </row>
  </sheetData>
  <autoFilter ref="D3:E10" xr:uid="{037C7618-D092-4556-8E63-637ED5DC324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60"/>
  <sheetViews>
    <sheetView zoomScale="110" zoomScaleNormal="110" zoomScaleSheetLayoutView="50" workbookViewId="0"/>
  </sheetViews>
  <sheetFormatPr defaultRowHeight="15"/>
  <cols>
    <col min="1" max="1" width="34.7109375" style="85" bestFit="1" customWidth="1"/>
    <col min="2" max="2" width="11.7109375" style="85" bestFit="1" customWidth="1"/>
    <col min="3" max="3" width="10.42578125" style="85" bestFit="1" customWidth="1"/>
    <col min="4" max="4" width="12.5703125" style="85" customWidth="1"/>
    <col min="5" max="5" width="15.7109375" style="85" customWidth="1"/>
    <col min="6" max="6" width="20.28515625" customWidth="1"/>
    <col min="7" max="7" width="18" style="85" customWidth="1"/>
    <col min="8" max="8" width="17.42578125" style="85" customWidth="1"/>
    <col min="9" max="9" width="18.42578125" style="85" customWidth="1"/>
    <col min="10" max="10" width="9.7109375" style="8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230" bestFit="1" customWidth="1"/>
  </cols>
  <sheetData>
    <row r="1" spans="1:22" s="15" customFormat="1" ht="27" customHeight="1">
      <c r="A1" s="118" t="s">
        <v>33</v>
      </c>
      <c r="B1" s="84">
        <f>COUNTA($B$3:$B$88)</f>
        <v>1</v>
      </c>
      <c r="C1" s="21" t="str">
        <f>VLOOKUP(A1,Sheet1!$A$2:$C$19,3,0)</f>
        <v>esql select customer, model, sn,mj_mn ,receive,quotation,issue,PIC, note,rma,technical_report,price,confirmation,location from mlist where status like '%transfer to sale team' order by note asc</v>
      </c>
      <c r="D1" s="102" t="s">
        <v>5897</v>
      </c>
      <c r="E1" s="83"/>
      <c r="G1" s="83"/>
      <c r="H1" s="83"/>
      <c r="I1" s="83"/>
      <c r="J1" s="83"/>
      <c r="P1" s="230"/>
    </row>
    <row r="2" spans="1:22" s="188" customFormat="1">
      <c r="A2" s="196" t="s">
        <v>81</v>
      </c>
      <c r="B2" s="196" t="s">
        <v>82</v>
      </c>
      <c r="C2" s="196" t="s">
        <v>83</v>
      </c>
      <c r="D2" s="196" t="s">
        <v>5922</v>
      </c>
      <c r="E2" s="196" t="s">
        <v>105</v>
      </c>
      <c r="F2" s="188" t="s">
        <v>5926</v>
      </c>
      <c r="G2" s="196" t="s">
        <v>99</v>
      </c>
      <c r="H2" s="196" t="s">
        <v>11</v>
      </c>
      <c r="I2" s="196" t="s">
        <v>84</v>
      </c>
      <c r="J2" s="196" t="s">
        <v>5923</v>
      </c>
      <c r="K2" s="188" t="s">
        <v>5924</v>
      </c>
      <c r="L2" s="188" t="s">
        <v>5931</v>
      </c>
      <c r="M2" s="188" t="s">
        <v>2434</v>
      </c>
      <c r="N2" s="188" t="s">
        <v>3083</v>
      </c>
      <c r="P2" s="230"/>
    </row>
    <row r="3" spans="1:22">
      <c r="A3" s="85" t="s">
        <v>2752</v>
      </c>
      <c r="B3" s="85" t="s">
        <v>31</v>
      </c>
      <c r="C3" s="85" t="s">
        <v>5678</v>
      </c>
      <c r="D3" s="14" t="s">
        <v>5</v>
      </c>
      <c r="E3" s="14">
        <v>45092.474062499998</v>
      </c>
      <c r="F3" s="14" t="s">
        <v>5932</v>
      </c>
      <c r="H3" s="85" t="s">
        <v>24</v>
      </c>
      <c r="I3" s="85" t="s">
        <v>5353</v>
      </c>
      <c r="J3" s="85" t="s">
        <v>5677</v>
      </c>
      <c r="K3" s="14">
        <v>45103</v>
      </c>
      <c r="L3" s="14">
        <v>10335</v>
      </c>
      <c r="M3" s="14"/>
      <c r="N3" s="14" t="s">
        <v>26</v>
      </c>
      <c r="V3" s="14"/>
    </row>
    <row r="4" spans="1:22">
      <c r="D4" s="14"/>
      <c r="E4" s="14"/>
      <c r="F4" s="14"/>
      <c r="K4" s="14"/>
      <c r="L4" s="14"/>
      <c r="M4" s="14"/>
      <c r="N4" s="14"/>
      <c r="V4" s="14"/>
    </row>
    <row r="5" spans="1:22">
      <c r="D5" s="14"/>
      <c r="E5" s="14"/>
      <c r="F5" s="14"/>
      <c r="K5" s="14"/>
      <c r="L5" s="14"/>
      <c r="M5" s="14"/>
      <c r="N5" s="14"/>
      <c r="V5" s="14"/>
    </row>
    <row r="6" spans="1:22">
      <c r="D6" s="14"/>
      <c r="E6" s="14"/>
      <c r="F6" s="14"/>
      <c r="K6" s="14"/>
      <c r="L6" s="14"/>
      <c r="M6" s="14"/>
      <c r="N6" s="14"/>
      <c r="V6" s="14"/>
    </row>
    <row r="7" spans="1:22">
      <c r="D7" s="14"/>
      <c r="E7" s="14"/>
      <c r="F7" s="14"/>
      <c r="K7" s="14"/>
      <c r="L7" s="14"/>
      <c r="M7" s="14"/>
      <c r="N7" s="14"/>
      <c r="V7" s="14"/>
    </row>
    <row r="8" spans="1:22">
      <c r="D8" s="14"/>
      <c r="E8" s="14"/>
      <c r="F8" s="14"/>
      <c r="K8" s="14"/>
      <c r="L8" s="14"/>
      <c r="M8" s="14"/>
      <c r="N8" s="14"/>
      <c r="V8" s="14"/>
    </row>
    <row r="9" spans="1:22">
      <c r="D9" s="14"/>
      <c r="E9" s="14"/>
      <c r="F9" s="14"/>
      <c r="K9" s="14"/>
      <c r="L9" s="14"/>
      <c r="M9" s="14"/>
      <c r="N9" s="14"/>
      <c r="V9" s="14"/>
    </row>
    <row r="10" spans="1:22">
      <c r="D10" s="14"/>
      <c r="E10" s="14"/>
      <c r="F10" s="14"/>
      <c r="K10" s="14"/>
      <c r="L10" s="14"/>
      <c r="M10" s="14"/>
      <c r="N10" s="14"/>
      <c r="V10" s="14"/>
    </row>
    <row r="11" spans="1:22">
      <c r="D11" s="14"/>
      <c r="E11" s="14"/>
      <c r="F11" s="14"/>
      <c r="K11" s="14"/>
      <c r="L11" s="14"/>
      <c r="M11" s="14"/>
      <c r="N11" s="14"/>
      <c r="V11" s="14"/>
    </row>
    <row r="12" spans="1:22">
      <c r="D12" s="14"/>
      <c r="E12" s="14"/>
      <c r="F12" s="14"/>
      <c r="K12" s="14"/>
      <c r="L12" s="14"/>
      <c r="M12" s="14"/>
      <c r="N12" s="14"/>
      <c r="V12" s="14"/>
    </row>
    <row r="13" spans="1:22">
      <c r="D13" s="14"/>
      <c r="E13" s="14"/>
      <c r="F13" s="14"/>
      <c r="K13" s="14"/>
      <c r="L13" s="14"/>
      <c r="M13" s="14"/>
      <c r="N13" s="14"/>
      <c r="V13" s="14"/>
    </row>
    <row r="14" spans="1:22">
      <c r="D14" s="14"/>
      <c r="E14" s="14"/>
      <c r="F14" s="14"/>
      <c r="K14" s="14"/>
      <c r="L14" s="14"/>
      <c r="M14" s="14"/>
      <c r="N14" s="14"/>
      <c r="V14" s="14"/>
    </row>
    <row r="15" spans="1:22">
      <c r="D15" s="14"/>
      <c r="E15" s="14"/>
      <c r="F15" s="14"/>
      <c r="K15" s="14"/>
      <c r="L15" s="14"/>
      <c r="M15" s="14"/>
      <c r="N15" s="14"/>
      <c r="V15" s="14"/>
    </row>
    <row r="16" spans="1:22">
      <c r="D16" s="14"/>
      <c r="E16" s="14"/>
      <c r="F16" s="14"/>
      <c r="K16" s="14"/>
      <c r="L16" s="14"/>
      <c r="M16" s="14"/>
      <c r="N16" s="14"/>
      <c r="V16" s="14"/>
    </row>
    <row r="17" spans="4:22">
      <c r="D17" s="14"/>
      <c r="E17" s="14"/>
      <c r="F17" s="14"/>
      <c r="K17" s="14"/>
      <c r="L17" s="14"/>
      <c r="M17" s="14"/>
      <c r="N17" s="14"/>
      <c r="V17" s="14"/>
    </row>
    <row r="18" spans="4:22">
      <c r="D18" s="14"/>
      <c r="E18" s="14"/>
      <c r="F18" s="14"/>
      <c r="K18" s="14"/>
      <c r="L18" s="14"/>
      <c r="M18" s="14"/>
      <c r="N18" s="14"/>
      <c r="P18" s="14"/>
      <c r="V18" s="14"/>
    </row>
    <row r="19" spans="4:22">
      <c r="D19" s="14"/>
      <c r="E19" s="14"/>
      <c r="F19" s="14"/>
      <c r="K19" s="14"/>
      <c r="L19" s="14"/>
      <c r="M19" s="14"/>
      <c r="N19" s="14"/>
      <c r="V19" s="14"/>
    </row>
    <row r="20" spans="4:22">
      <c r="D20" s="14"/>
      <c r="E20" s="14"/>
      <c r="F20" s="14"/>
      <c r="K20" s="14"/>
      <c r="M20" s="14"/>
      <c r="V20" s="14"/>
    </row>
    <row r="21" spans="4:22">
      <c r="D21" s="14"/>
      <c r="E21" s="14"/>
      <c r="K21" s="14"/>
      <c r="M21" s="14"/>
      <c r="V21" s="14"/>
    </row>
    <row r="22" spans="4:22">
      <c r="D22" s="14"/>
      <c r="E22" s="14"/>
      <c r="K22" s="14"/>
      <c r="M22" s="14"/>
      <c r="V22" s="14"/>
    </row>
    <row r="23" spans="4:22">
      <c r="D23" s="14"/>
      <c r="E23" s="14"/>
      <c r="K23" s="14"/>
      <c r="M23" s="14"/>
      <c r="V23" s="14"/>
    </row>
    <row r="24" spans="4:22">
      <c r="D24" s="14"/>
      <c r="E24" s="14"/>
      <c r="K24" s="14"/>
      <c r="M24" s="14"/>
      <c r="V24" s="14"/>
    </row>
    <row r="25" spans="4:22">
      <c r="D25" s="14"/>
      <c r="E25" s="14"/>
      <c r="K25" s="14"/>
      <c r="M25" s="14"/>
      <c r="V25" s="14"/>
    </row>
    <row r="26" spans="4:22">
      <c r="D26" s="14"/>
      <c r="E26" s="14"/>
      <c r="K26" s="14"/>
      <c r="M26" s="14"/>
      <c r="V26" s="14"/>
    </row>
    <row r="27" spans="4:22">
      <c r="D27" s="14"/>
      <c r="E27" s="14"/>
      <c r="K27" s="14"/>
      <c r="M27" s="14"/>
      <c r="V27" s="14"/>
    </row>
    <row r="28" spans="4:22">
      <c r="D28" s="14"/>
      <c r="E28" s="14"/>
      <c r="K28" s="14"/>
      <c r="M28" s="14"/>
      <c r="V28" s="14"/>
    </row>
    <row r="29" spans="4:22">
      <c r="D29" s="14"/>
      <c r="E29" s="14"/>
      <c r="K29" s="14"/>
      <c r="M29" s="14"/>
    </row>
    <row r="30" spans="4:22">
      <c r="D30" s="14"/>
      <c r="E30" s="14"/>
      <c r="K30" s="14"/>
      <c r="M30" s="14"/>
    </row>
    <row r="31" spans="4:22">
      <c r="D31" s="14"/>
      <c r="E31" s="14"/>
      <c r="K31" s="14"/>
      <c r="M31" s="14"/>
    </row>
    <row r="32" spans="4:22">
      <c r="D32" s="14"/>
      <c r="E32" s="14"/>
      <c r="K32" s="14"/>
      <c r="M32" s="14"/>
    </row>
    <row r="33" spans="4:13">
      <c r="D33" s="14"/>
      <c r="E33" s="14"/>
      <c r="K33" s="14"/>
      <c r="M33" s="14"/>
    </row>
    <row r="34" spans="4:13">
      <c r="D34" s="14"/>
      <c r="E34" s="14"/>
      <c r="K34" s="14"/>
      <c r="M34" s="14"/>
    </row>
    <row r="35" spans="4:13">
      <c r="D35" s="14"/>
      <c r="E35" s="14"/>
      <c r="K35" s="14"/>
      <c r="M35" s="14"/>
    </row>
    <row r="36" spans="4:13">
      <c r="D36" s="14"/>
      <c r="E36" s="14"/>
      <c r="K36" s="14"/>
      <c r="M36" s="14"/>
    </row>
    <row r="37" spans="4:13">
      <c r="D37" s="14"/>
      <c r="E37" s="14"/>
      <c r="K37" s="14"/>
      <c r="M37" s="14"/>
    </row>
    <row r="38" spans="4:13">
      <c r="D38" s="14"/>
      <c r="E38" s="14"/>
      <c r="K38" s="14"/>
      <c r="M38" s="14"/>
    </row>
    <row r="39" spans="4:13">
      <c r="E39" s="14"/>
      <c r="K39" s="14"/>
      <c r="M39" s="14"/>
    </row>
    <row r="40" spans="4:13">
      <c r="E40" s="14"/>
      <c r="K40" s="14"/>
      <c r="M40" s="14"/>
    </row>
    <row r="41" spans="4:13">
      <c r="E41" s="14"/>
      <c r="K41" s="14"/>
      <c r="M41" s="14"/>
    </row>
    <row r="42" spans="4:13">
      <c r="E42" s="14"/>
      <c r="K42" s="14"/>
      <c r="M42" s="14"/>
    </row>
    <row r="43" spans="4:13">
      <c r="E43" s="14"/>
      <c r="K43" s="14"/>
      <c r="M43" s="14"/>
    </row>
    <row r="44" spans="4:13">
      <c r="E44" s="14"/>
      <c r="K44" s="14"/>
      <c r="M44" s="14"/>
    </row>
    <row r="45" spans="4:13">
      <c r="E45" s="14"/>
      <c r="K45" s="14"/>
      <c r="M45" s="14"/>
    </row>
    <row r="46" spans="4:13">
      <c r="E46" s="14"/>
      <c r="K46" s="14"/>
      <c r="M46" s="14"/>
    </row>
    <row r="47" spans="4:13">
      <c r="E47" s="14"/>
      <c r="K47" s="14"/>
      <c r="M47" s="14"/>
    </row>
    <row r="48" spans="4:13">
      <c r="E48" s="14"/>
      <c r="K48" s="14"/>
      <c r="M48" s="14"/>
    </row>
    <row r="49" spans="5:13">
      <c r="E49" s="14"/>
      <c r="K49" s="14"/>
      <c r="M49" s="14"/>
    </row>
    <row r="50" spans="5:13">
      <c r="E50" s="14"/>
      <c r="K50" s="14"/>
      <c r="M50" s="14"/>
    </row>
    <row r="51" spans="5:13">
      <c r="E51" s="14"/>
      <c r="K51" s="14"/>
      <c r="M51" s="14"/>
    </row>
    <row r="52" spans="5:13">
      <c r="E52" s="14"/>
      <c r="K52" s="14"/>
      <c r="M52" s="14"/>
    </row>
    <row r="53" spans="5:13">
      <c r="E53" s="14"/>
      <c r="K53" s="14"/>
      <c r="M53" s="14"/>
    </row>
    <row r="54" spans="5:13">
      <c r="E54" s="14"/>
      <c r="K54" s="14"/>
      <c r="M54" s="14"/>
    </row>
    <row r="55" spans="5:13">
      <c r="E55" s="14"/>
      <c r="K55" s="14"/>
      <c r="M55" s="14"/>
    </row>
    <row r="56" spans="5:13">
      <c r="E56" s="14"/>
      <c r="K56" s="14"/>
      <c r="M56" s="14"/>
    </row>
    <row r="57" spans="5:13">
      <c r="E57" s="14"/>
      <c r="K57" s="14"/>
      <c r="M57" s="14"/>
    </row>
    <row r="58" spans="5:13">
      <c r="E58" s="14"/>
      <c r="K58" s="14"/>
      <c r="M58" s="14"/>
    </row>
    <row r="59" spans="5:13">
      <c r="E59" s="14"/>
      <c r="K59" s="14"/>
      <c r="M59" s="14"/>
    </row>
    <row r="60" spans="5:13">
      <c r="E60" s="14"/>
      <c r="K60" s="14"/>
      <c r="M60" s="14"/>
    </row>
  </sheetData>
  <phoneticPr fontId="24"/>
  <conditionalFormatting sqref="A2">
    <cfRule type="containsText" dxfId="115" priority="6" operator="containsText" text="plan">
      <formula>NOT(ISERROR(SEARCH("plan",A2)))</formula>
    </cfRule>
    <cfRule type="containsText" dxfId="114" priority="7" operator="containsText" text="Inspect">
      <formula>NOT(ISERROR(SEARCH("Inspect",A2)))</formula>
    </cfRule>
    <cfRule type="containsText" dxfId="113" priority="8" operator="containsText" text="Completed">
      <formula>NOT(ISERROR(SEARCH("Completed",A2)))</formula>
    </cfRule>
    <cfRule type="containsText" dxfId="112" priority="9" operator="containsText" text="transfer">
      <formula>NOT(ISERROR(SEARCH("transfer",A2)))</formula>
    </cfRule>
    <cfRule type="containsText" dxfId="111" priority="10" operator="containsText" text="Received:">
      <formula>NOT(ISERROR(SEARCH("Received:",A2)))</formula>
    </cfRule>
  </conditionalFormatting>
  <conditionalFormatting sqref="C1:C1048576">
    <cfRule type="duplicateValues" dxfId="110" priority="1"/>
  </conditionalFormatting>
  <conditionalFormatting sqref="C3:C1048576 C1">
    <cfRule type="duplicateValues" dxfId="109" priority="6185"/>
  </conditionalFormatting>
  <conditionalFormatting sqref="C2">
    <cfRule type="duplicateValues" dxfId="108" priority="6824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89"/>
      <c r="C3" s="190" t="s">
        <v>1</v>
      </c>
      <c r="D3" s="191">
        <v>44736</v>
      </c>
      <c r="E3" s="191">
        <v>44743</v>
      </c>
      <c r="F3" s="191">
        <v>44750</v>
      </c>
      <c r="G3" s="191">
        <v>44757</v>
      </c>
      <c r="H3" s="191">
        <v>44764</v>
      </c>
      <c r="I3" s="191">
        <v>44771</v>
      </c>
      <c r="J3" s="191">
        <v>44778</v>
      </c>
      <c r="K3" s="191">
        <v>44785</v>
      </c>
      <c r="L3" s="200"/>
    </row>
    <row r="4" spans="1:13" ht="18.75">
      <c r="B4" s="188" t="s">
        <v>3534</v>
      </c>
      <c r="C4" s="192">
        <f>SUM(D4:M4)</f>
        <v>33</v>
      </c>
      <c r="D4" s="193">
        <v>1</v>
      </c>
      <c r="E4" s="193">
        <v>8</v>
      </c>
      <c r="F4" s="193">
        <v>6</v>
      </c>
      <c r="G4" s="193">
        <v>7</v>
      </c>
      <c r="H4" s="193">
        <v>3</v>
      </c>
      <c r="I4" s="193">
        <v>6</v>
      </c>
      <c r="J4" s="197">
        <v>1</v>
      </c>
      <c r="K4" s="197">
        <v>1</v>
      </c>
      <c r="L4" s="201"/>
    </row>
    <row r="6" spans="1:13" ht="30.75" customHeight="1">
      <c r="A6" s="188" t="s">
        <v>101</v>
      </c>
      <c r="B6" s="194" t="s">
        <v>3408</v>
      </c>
      <c r="C6" s="194" t="s">
        <v>3409</v>
      </c>
      <c r="D6" s="194" t="s">
        <v>3410</v>
      </c>
      <c r="E6" s="293" t="s">
        <v>3411</v>
      </c>
      <c r="F6" s="293"/>
      <c r="G6" s="293"/>
      <c r="H6" s="293"/>
      <c r="I6" s="194" t="s">
        <v>3412</v>
      </c>
      <c r="J6" s="194" t="s">
        <v>11</v>
      </c>
      <c r="K6" s="194" t="s">
        <v>12</v>
      </c>
      <c r="L6" s="199"/>
      <c r="M6" s="199" t="s">
        <v>3798</v>
      </c>
    </row>
    <row r="7" spans="1:13">
      <c r="A7" s="195">
        <v>1</v>
      </c>
      <c r="B7" s="195" t="s">
        <v>41</v>
      </c>
      <c r="C7" s="195" t="s">
        <v>280</v>
      </c>
      <c r="D7" s="195" t="s">
        <v>3391</v>
      </c>
      <c r="E7" s="195" t="s">
        <v>3413</v>
      </c>
      <c r="F7" s="195"/>
      <c r="G7" s="195"/>
      <c r="H7" s="195"/>
      <c r="I7" s="195" t="s">
        <v>26</v>
      </c>
      <c r="J7" s="195" t="s">
        <v>3414</v>
      </c>
      <c r="K7" s="195" t="s">
        <v>3501</v>
      </c>
      <c r="L7" s="202"/>
    </row>
    <row r="8" spans="1:13">
      <c r="A8" s="195">
        <v>2</v>
      </c>
      <c r="B8" s="195" t="s">
        <v>41</v>
      </c>
      <c r="C8" s="195" t="s">
        <v>280</v>
      </c>
      <c r="D8" s="195" t="s">
        <v>1121</v>
      </c>
      <c r="E8" s="195" t="s">
        <v>3415</v>
      </c>
      <c r="F8" s="195"/>
      <c r="G8" s="195"/>
      <c r="H8" s="195"/>
      <c r="I8" s="195" t="s">
        <v>26</v>
      </c>
      <c r="J8" s="195" t="s">
        <v>3416</v>
      </c>
      <c r="K8" s="195" t="s">
        <v>3570</v>
      </c>
      <c r="L8" s="202"/>
    </row>
    <row r="9" spans="1:13">
      <c r="A9" s="195">
        <v>3</v>
      </c>
      <c r="B9" s="195" t="s">
        <v>41</v>
      </c>
      <c r="C9" s="195" t="s">
        <v>284</v>
      </c>
      <c r="D9" s="195" t="s">
        <v>1798</v>
      </c>
      <c r="E9" s="195" t="s">
        <v>3417</v>
      </c>
      <c r="F9" s="195"/>
      <c r="G9" s="195"/>
      <c r="H9" s="195"/>
      <c r="I9" s="195" t="s">
        <v>26</v>
      </c>
      <c r="J9" s="195" t="s">
        <v>28</v>
      </c>
      <c r="K9" s="195" t="s">
        <v>3481</v>
      </c>
      <c r="L9" s="202"/>
    </row>
    <row r="10" spans="1:13">
      <c r="A10" s="195">
        <v>4</v>
      </c>
      <c r="B10" s="195" t="s">
        <v>41</v>
      </c>
      <c r="C10" s="195" t="s">
        <v>284</v>
      </c>
      <c r="D10" s="195" t="s">
        <v>1278</v>
      </c>
      <c r="E10" s="195" t="s">
        <v>3418</v>
      </c>
      <c r="F10" s="195"/>
      <c r="G10" s="195"/>
      <c r="H10" s="195"/>
      <c r="I10" s="195" t="s">
        <v>26</v>
      </c>
      <c r="J10" s="195" t="s">
        <v>3419</v>
      </c>
      <c r="K10" s="195" t="s">
        <v>3647</v>
      </c>
      <c r="L10" s="202"/>
    </row>
    <row r="11" spans="1:13">
      <c r="A11" s="195">
        <v>5</v>
      </c>
      <c r="B11" s="195" t="s">
        <v>41</v>
      </c>
      <c r="C11" s="195" t="s">
        <v>280</v>
      </c>
      <c r="D11" s="195" t="s">
        <v>1242</v>
      </c>
      <c r="E11" s="195" t="s">
        <v>3420</v>
      </c>
      <c r="F11" s="195"/>
      <c r="G11" s="195"/>
      <c r="H11" s="195"/>
      <c r="I11" s="195" t="s">
        <v>26</v>
      </c>
      <c r="J11" s="195" t="s">
        <v>3416</v>
      </c>
      <c r="K11" s="195" t="s">
        <v>3501</v>
      </c>
      <c r="L11" s="202"/>
    </row>
    <row r="12" spans="1:13">
      <c r="A12" s="195">
        <v>6</v>
      </c>
      <c r="B12" s="195" t="s">
        <v>41</v>
      </c>
      <c r="C12" s="195" t="s">
        <v>280</v>
      </c>
      <c r="D12" s="195" t="s">
        <v>1684</v>
      </c>
      <c r="E12" s="195" t="s">
        <v>3418</v>
      </c>
      <c r="F12" s="195"/>
      <c r="G12" s="195"/>
      <c r="H12" s="195"/>
      <c r="I12" s="195" t="s">
        <v>26</v>
      </c>
      <c r="J12" s="195" t="s">
        <v>3419</v>
      </c>
      <c r="K12" s="195" t="s">
        <v>3501</v>
      </c>
      <c r="L12" s="202"/>
    </row>
    <row r="13" spans="1:13">
      <c r="A13" s="195">
        <v>7</v>
      </c>
      <c r="B13" s="195" t="s">
        <v>41</v>
      </c>
      <c r="C13" s="195" t="s">
        <v>284</v>
      </c>
      <c r="D13" s="195" t="s">
        <v>1823</v>
      </c>
      <c r="E13" s="195" t="s">
        <v>3421</v>
      </c>
      <c r="F13" s="195"/>
      <c r="G13" s="195"/>
      <c r="H13" s="195"/>
      <c r="I13" s="195" t="s">
        <v>138</v>
      </c>
      <c r="J13" s="195" t="s">
        <v>37</v>
      </c>
      <c r="K13" s="195" t="s">
        <v>3794</v>
      </c>
      <c r="L13" s="202"/>
    </row>
    <row r="14" spans="1:13">
      <c r="A14" s="195">
        <v>8</v>
      </c>
      <c r="B14" s="195" t="s">
        <v>41</v>
      </c>
      <c r="C14" s="195" t="s">
        <v>284</v>
      </c>
      <c r="D14" s="195" t="s">
        <v>3405</v>
      </c>
      <c r="E14" s="195" t="s">
        <v>3422</v>
      </c>
      <c r="F14" s="195"/>
      <c r="G14" s="195"/>
      <c r="H14" s="195"/>
      <c r="I14" s="195" t="s">
        <v>26</v>
      </c>
      <c r="J14" s="195" t="s">
        <v>3419</v>
      </c>
      <c r="K14" s="195" t="s">
        <v>3501</v>
      </c>
      <c r="L14" s="202"/>
    </row>
    <row r="15" spans="1:13">
      <c r="A15" s="195">
        <v>9</v>
      </c>
      <c r="B15" s="195" t="s">
        <v>41</v>
      </c>
      <c r="C15" s="195" t="s">
        <v>280</v>
      </c>
      <c r="D15" s="195" t="s">
        <v>3402</v>
      </c>
      <c r="E15" s="195" t="s">
        <v>3423</v>
      </c>
      <c r="F15" s="195"/>
      <c r="G15" s="195"/>
      <c r="H15" s="195"/>
      <c r="I15" s="195" t="s">
        <v>26</v>
      </c>
      <c r="J15" s="195" t="s">
        <v>3416</v>
      </c>
      <c r="K15" s="195" t="s">
        <v>3482</v>
      </c>
      <c r="L15" s="202"/>
    </row>
    <row r="16" spans="1:13">
      <c r="A16" s="195">
        <v>10</v>
      </c>
      <c r="B16" s="195" t="s">
        <v>41</v>
      </c>
      <c r="C16" s="195" t="s">
        <v>284</v>
      </c>
      <c r="D16" s="195" t="s">
        <v>3401</v>
      </c>
      <c r="E16" s="195" t="s">
        <v>3424</v>
      </c>
      <c r="F16" s="195"/>
      <c r="G16" s="195"/>
      <c r="H16" s="195"/>
      <c r="I16" s="195" t="s">
        <v>26</v>
      </c>
      <c r="J16" s="195" t="s">
        <v>3414</v>
      </c>
      <c r="K16" s="195" t="s">
        <v>3482</v>
      </c>
      <c r="L16" s="202"/>
    </row>
    <row r="17" spans="1:13">
      <c r="A17" s="195">
        <v>11</v>
      </c>
      <c r="B17" s="195" t="s">
        <v>41</v>
      </c>
      <c r="C17" s="195" t="s">
        <v>284</v>
      </c>
      <c r="D17" s="195" t="s">
        <v>3400</v>
      </c>
      <c r="E17" s="195" t="s">
        <v>3425</v>
      </c>
      <c r="F17" s="195"/>
      <c r="G17" s="195"/>
      <c r="H17" s="195"/>
      <c r="I17" s="195" t="s">
        <v>26</v>
      </c>
      <c r="J17" s="195" t="s">
        <v>24</v>
      </c>
      <c r="K17" s="195" t="s">
        <v>3647</v>
      </c>
      <c r="L17" s="202"/>
    </row>
    <row r="18" spans="1:13">
      <c r="A18" s="195">
        <v>12</v>
      </c>
      <c r="B18" s="195" t="s">
        <v>41</v>
      </c>
      <c r="C18" s="195" t="s">
        <v>280</v>
      </c>
      <c r="D18" s="195" t="s">
        <v>3398</v>
      </c>
      <c r="E18" s="195" t="s">
        <v>3424</v>
      </c>
      <c r="F18" s="195"/>
      <c r="G18" s="195"/>
      <c r="H18" s="195"/>
      <c r="I18" s="195" t="s">
        <v>26</v>
      </c>
      <c r="J18" s="195" t="s">
        <v>3416</v>
      </c>
      <c r="K18" s="195" t="s">
        <v>3649</v>
      </c>
      <c r="L18" s="202"/>
    </row>
    <row r="19" spans="1:13">
      <c r="A19" s="195">
        <v>13</v>
      </c>
      <c r="B19" s="195" t="s">
        <v>41</v>
      </c>
      <c r="C19" s="195" t="s">
        <v>280</v>
      </c>
      <c r="D19" s="195" t="s">
        <v>3397</v>
      </c>
      <c r="E19" s="195" t="s">
        <v>3420</v>
      </c>
      <c r="F19" s="195"/>
      <c r="G19" s="195"/>
      <c r="H19" s="195"/>
      <c r="I19" s="195" t="s">
        <v>26</v>
      </c>
      <c r="J19" s="195" t="s">
        <v>3414</v>
      </c>
      <c r="K19" s="195" t="s">
        <v>3570</v>
      </c>
      <c r="L19" s="202"/>
    </row>
    <row r="20" spans="1:13">
      <c r="A20" s="195">
        <v>14</v>
      </c>
      <c r="B20" s="195" t="s">
        <v>41</v>
      </c>
      <c r="C20" s="195" t="s">
        <v>280</v>
      </c>
      <c r="D20" s="195" t="s">
        <v>3396</v>
      </c>
      <c r="E20" s="195" t="s">
        <v>3420</v>
      </c>
      <c r="F20" s="195"/>
      <c r="G20" s="195"/>
      <c r="H20" s="195"/>
      <c r="I20" s="195" t="s">
        <v>26</v>
      </c>
      <c r="J20" s="195" t="s">
        <v>3416</v>
      </c>
      <c r="K20" s="195" t="s">
        <v>3570</v>
      </c>
      <c r="L20" s="202"/>
    </row>
    <row r="21" spans="1:13">
      <c r="A21" s="195">
        <v>15</v>
      </c>
      <c r="B21" s="195" t="s">
        <v>41</v>
      </c>
      <c r="C21" s="195" t="s">
        <v>280</v>
      </c>
      <c r="D21" s="195" t="s">
        <v>3314</v>
      </c>
      <c r="E21" s="195" t="s">
        <v>3426</v>
      </c>
      <c r="F21" s="195"/>
      <c r="G21" s="195"/>
      <c r="H21" s="195"/>
      <c r="I21" s="195" t="s">
        <v>26</v>
      </c>
      <c r="J21" s="195" t="s">
        <v>3419</v>
      </c>
      <c r="K21" s="195" t="s">
        <v>3482</v>
      </c>
      <c r="L21" s="202"/>
    </row>
    <row r="22" spans="1:13">
      <c r="A22" s="195">
        <v>16</v>
      </c>
      <c r="B22" s="195" t="s">
        <v>41</v>
      </c>
      <c r="C22" s="195" t="s">
        <v>284</v>
      </c>
      <c r="D22" s="195" t="s">
        <v>3395</v>
      </c>
      <c r="E22" s="195" t="s">
        <v>3427</v>
      </c>
      <c r="F22" s="195"/>
      <c r="G22" s="195"/>
      <c r="H22" s="195"/>
      <c r="I22" s="195" t="s">
        <v>26</v>
      </c>
      <c r="J22" s="195" t="s">
        <v>3414</v>
      </c>
      <c r="K22" s="195" t="s">
        <v>3482</v>
      </c>
      <c r="L22" s="202"/>
    </row>
    <row r="23" spans="1:13">
      <c r="A23" s="195">
        <v>17</v>
      </c>
      <c r="B23" s="195" t="s">
        <v>41</v>
      </c>
      <c r="C23" s="195" t="s">
        <v>284</v>
      </c>
      <c r="D23" s="195" t="s">
        <v>3312</v>
      </c>
      <c r="E23" s="195" t="s">
        <v>3428</v>
      </c>
      <c r="F23" s="195"/>
      <c r="G23" s="195"/>
      <c r="H23" s="195"/>
      <c r="I23" s="195" t="s">
        <v>26</v>
      </c>
      <c r="J23" s="195" t="s">
        <v>3419</v>
      </c>
      <c r="K23" s="195" t="s">
        <v>3649</v>
      </c>
      <c r="L23" s="202"/>
    </row>
    <row r="24" spans="1:13">
      <c r="A24" s="195">
        <v>18</v>
      </c>
      <c r="B24" s="195" t="s">
        <v>41</v>
      </c>
      <c r="C24" s="195" t="s">
        <v>280</v>
      </c>
      <c r="D24" s="195" t="s">
        <v>3393</v>
      </c>
      <c r="E24" s="195" t="s">
        <v>3423</v>
      </c>
      <c r="F24" s="195"/>
      <c r="G24" s="195"/>
      <c r="H24" s="195"/>
      <c r="I24" s="195" t="s">
        <v>26</v>
      </c>
      <c r="J24" s="195" t="s">
        <v>3416</v>
      </c>
      <c r="K24" s="195" t="s">
        <v>3649</v>
      </c>
      <c r="L24" s="202"/>
    </row>
    <row r="25" spans="1:13">
      <c r="A25" s="195">
        <v>19</v>
      </c>
      <c r="B25" s="195" t="s">
        <v>41</v>
      </c>
      <c r="C25" s="195" t="s">
        <v>280</v>
      </c>
      <c r="D25" s="195" t="s">
        <v>3407</v>
      </c>
      <c r="E25" s="195" t="s">
        <v>3429</v>
      </c>
      <c r="F25" s="195"/>
      <c r="G25" s="195"/>
      <c r="H25" s="195"/>
      <c r="I25" s="195" t="s">
        <v>3430</v>
      </c>
      <c r="J25" s="195" t="s">
        <v>3431</v>
      </c>
      <c r="K25" s="195" t="s">
        <v>4306</v>
      </c>
      <c r="L25" s="202" t="s">
        <v>3799</v>
      </c>
      <c r="M25" t="s">
        <v>3800</v>
      </c>
    </row>
    <row r="26" spans="1:13">
      <c r="A26" s="195">
        <v>20</v>
      </c>
      <c r="B26" s="195" t="s">
        <v>41</v>
      </c>
      <c r="C26" s="195" t="s">
        <v>280</v>
      </c>
      <c r="D26" s="195" t="s">
        <v>3404</v>
      </c>
      <c r="E26" s="195" t="s">
        <v>3423</v>
      </c>
      <c r="F26" s="195"/>
      <c r="G26" s="195"/>
      <c r="H26" s="195"/>
      <c r="I26" s="195" t="s">
        <v>3430</v>
      </c>
      <c r="J26" s="195" t="s">
        <v>3432</v>
      </c>
      <c r="K26" s="195" t="s">
        <v>4138</v>
      </c>
      <c r="L26" s="202"/>
    </row>
    <row r="27" spans="1:13">
      <c r="A27" s="195">
        <v>21</v>
      </c>
      <c r="B27" s="195" t="s">
        <v>41</v>
      </c>
      <c r="C27" s="195" t="s">
        <v>280</v>
      </c>
      <c r="D27" s="195" t="s">
        <v>3403</v>
      </c>
      <c r="E27" s="195" t="s">
        <v>3423</v>
      </c>
      <c r="F27" s="195"/>
      <c r="G27" s="195"/>
      <c r="H27" s="195"/>
      <c r="I27" s="195" t="s">
        <v>3430</v>
      </c>
      <c r="J27" s="195" t="s">
        <v>1101</v>
      </c>
      <c r="K27" s="195" t="s">
        <v>4138</v>
      </c>
      <c r="L27" s="202"/>
    </row>
    <row r="28" spans="1:13">
      <c r="A28" s="195">
        <v>22</v>
      </c>
      <c r="B28" s="195" t="s">
        <v>41</v>
      </c>
      <c r="C28" s="195" t="s">
        <v>280</v>
      </c>
      <c r="D28" s="195" t="s">
        <v>3406</v>
      </c>
      <c r="E28" s="195" t="s">
        <v>3433</v>
      </c>
      <c r="F28" s="195"/>
      <c r="G28" s="195"/>
      <c r="H28" s="195"/>
      <c r="I28" s="195" t="s">
        <v>3430</v>
      </c>
      <c r="J28" s="195" t="s">
        <v>3431</v>
      </c>
      <c r="K28" s="195" t="s">
        <v>4306</v>
      </c>
      <c r="L28" s="202" t="s">
        <v>3797</v>
      </c>
      <c r="M28" t="s">
        <v>3797</v>
      </c>
    </row>
    <row r="29" spans="1:13">
      <c r="A29" s="195">
        <v>23</v>
      </c>
      <c r="B29" s="195" t="s">
        <v>41</v>
      </c>
      <c r="C29" s="195" t="s">
        <v>284</v>
      </c>
      <c r="D29" s="195" t="s">
        <v>3399</v>
      </c>
      <c r="E29" s="195" t="s">
        <v>3434</v>
      </c>
      <c r="F29" s="195"/>
      <c r="G29" s="195"/>
      <c r="H29" s="195"/>
      <c r="I29" s="195" t="s">
        <v>3430</v>
      </c>
      <c r="J29" s="195" t="s">
        <v>3432</v>
      </c>
      <c r="K29" s="195" t="s">
        <v>4306</v>
      </c>
      <c r="L29" s="202"/>
      <c r="M29" t="s">
        <v>3796</v>
      </c>
    </row>
    <row r="30" spans="1:13">
      <c r="A30" s="195">
        <v>24</v>
      </c>
      <c r="B30" s="195" t="s">
        <v>41</v>
      </c>
      <c r="C30" s="195" t="s">
        <v>280</v>
      </c>
      <c r="D30" s="195" t="s">
        <v>3394</v>
      </c>
      <c r="E30" s="195" t="s">
        <v>3423</v>
      </c>
      <c r="F30" s="195"/>
      <c r="G30" s="195"/>
      <c r="H30" s="195"/>
      <c r="I30" s="195" t="s">
        <v>3430</v>
      </c>
      <c r="J30" s="195" t="s">
        <v>1101</v>
      </c>
      <c r="K30" s="195" t="s">
        <v>4138</v>
      </c>
      <c r="L30" s="202"/>
    </row>
    <row r="31" spans="1:13">
      <c r="A31" s="195">
        <v>25</v>
      </c>
      <c r="B31" s="195" t="s">
        <v>41</v>
      </c>
      <c r="C31" s="195" t="s">
        <v>284</v>
      </c>
      <c r="D31" s="195" t="s">
        <v>3392</v>
      </c>
      <c r="E31" s="195" t="s">
        <v>3423</v>
      </c>
      <c r="F31" s="195"/>
      <c r="G31" s="195"/>
      <c r="H31" s="195"/>
      <c r="I31" s="195" t="s">
        <v>3430</v>
      </c>
      <c r="J31" s="195" t="s">
        <v>3431</v>
      </c>
      <c r="K31" s="195" t="s">
        <v>3482</v>
      </c>
      <c r="L31" s="202"/>
    </row>
    <row r="32" spans="1:13">
      <c r="A32" s="195">
        <v>26</v>
      </c>
      <c r="B32" s="195" t="s">
        <v>41</v>
      </c>
      <c r="C32" s="195" t="s">
        <v>3435</v>
      </c>
      <c r="D32" s="195" t="s">
        <v>1720</v>
      </c>
      <c r="E32" s="195" t="s">
        <v>3436</v>
      </c>
      <c r="F32" s="195"/>
      <c r="G32" s="195"/>
      <c r="H32" s="195"/>
      <c r="I32" s="195" t="s">
        <v>3430</v>
      </c>
      <c r="J32" s="195" t="s">
        <v>3432</v>
      </c>
      <c r="K32" s="195" t="s">
        <v>3570</v>
      </c>
      <c r="L32" s="202"/>
    </row>
    <row r="33" spans="1:12">
      <c r="A33" s="195">
        <v>27</v>
      </c>
      <c r="B33" s="195" t="s">
        <v>41</v>
      </c>
      <c r="C33" s="195" t="s">
        <v>49</v>
      </c>
      <c r="D33" s="195" t="s">
        <v>1678</v>
      </c>
      <c r="E33" s="195" t="s">
        <v>3437</v>
      </c>
      <c r="F33" s="195"/>
      <c r="G33" s="195"/>
      <c r="H33" s="195"/>
      <c r="I33" s="195" t="s">
        <v>3430</v>
      </c>
      <c r="J33" s="195" t="s">
        <v>1101</v>
      </c>
      <c r="K33" s="195" t="s">
        <v>3482</v>
      </c>
      <c r="L33" s="202"/>
    </row>
    <row r="34" spans="1:12">
      <c r="A34" s="195">
        <v>28</v>
      </c>
      <c r="B34" s="195" t="s">
        <v>41</v>
      </c>
      <c r="C34" s="195" t="s">
        <v>3438</v>
      </c>
      <c r="D34" s="195" t="s">
        <v>1964</v>
      </c>
      <c r="E34" s="195" t="s">
        <v>3439</v>
      </c>
      <c r="F34" s="195"/>
      <c r="G34" s="195"/>
      <c r="H34" s="195"/>
      <c r="I34" s="195" t="s">
        <v>3430</v>
      </c>
      <c r="J34" s="195" t="s">
        <v>3432</v>
      </c>
      <c r="K34" s="195" t="s">
        <v>3570</v>
      </c>
      <c r="L34" s="202"/>
    </row>
    <row r="35" spans="1:12">
      <c r="A35" s="195">
        <v>29</v>
      </c>
      <c r="B35" s="195" t="s">
        <v>41</v>
      </c>
      <c r="C35" s="195" t="s">
        <v>284</v>
      </c>
      <c r="D35" s="195" t="s">
        <v>307</v>
      </c>
      <c r="E35" s="195" t="s">
        <v>3440</v>
      </c>
      <c r="F35" s="195"/>
      <c r="G35" s="195"/>
      <c r="H35" s="195"/>
      <c r="I35" s="195" t="s">
        <v>3430</v>
      </c>
      <c r="J35" s="195" t="s">
        <v>3431</v>
      </c>
      <c r="K35" s="195" t="s">
        <v>3482</v>
      </c>
      <c r="L35" s="202"/>
    </row>
    <row r="36" spans="1:12">
      <c r="A36" s="195">
        <v>30</v>
      </c>
      <c r="B36" s="195" t="s">
        <v>41</v>
      </c>
      <c r="C36" s="195" t="s">
        <v>284</v>
      </c>
      <c r="D36" s="195" t="s">
        <v>1980</v>
      </c>
      <c r="E36" s="195" t="s">
        <v>1227</v>
      </c>
      <c r="F36" s="195"/>
      <c r="G36" s="195"/>
      <c r="H36" s="195"/>
      <c r="I36" s="195" t="s">
        <v>3430</v>
      </c>
      <c r="J36" s="195" t="s">
        <v>1101</v>
      </c>
      <c r="K36" s="195" t="s">
        <v>3501</v>
      </c>
      <c r="L36" s="202"/>
    </row>
    <row r="37" spans="1:12">
      <c r="A37" s="195">
        <v>31</v>
      </c>
      <c r="B37" s="195" t="s">
        <v>41</v>
      </c>
      <c r="C37" s="195" t="s">
        <v>280</v>
      </c>
      <c r="D37" s="195" t="s">
        <v>1263</v>
      </c>
      <c r="E37" s="195" t="s">
        <v>3441</v>
      </c>
      <c r="F37" s="195"/>
      <c r="G37" s="195"/>
      <c r="H37" s="195"/>
      <c r="I37" s="195" t="s">
        <v>3430</v>
      </c>
      <c r="J37" s="195" t="s">
        <v>3431</v>
      </c>
      <c r="K37" s="195" t="s">
        <v>3501</v>
      </c>
      <c r="L37" s="202"/>
    </row>
    <row r="38" spans="1:12">
      <c r="A38" s="195">
        <v>32</v>
      </c>
      <c r="B38" s="195" t="s">
        <v>41</v>
      </c>
      <c r="C38" s="195" t="s">
        <v>284</v>
      </c>
      <c r="D38" s="195" t="s">
        <v>1691</v>
      </c>
      <c r="E38" s="195" t="s">
        <v>3442</v>
      </c>
      <c r="F38" s="195"/>
      <c r="G38" s="195"/>
      <c r="H38" s="195"/>
      <c r="I38" s="195" t="s">
        <v>3430</v>
      </c>
      <c r="J38" s="195" t="s">
        <v>3432</v>
      </c>
      <c r="K38" s="195" t="s">
        <v>3501</v>
      </c>
      <c r="L38" s="202"/>
    </row>
    <row r="39" spans="1:12">
      <c r="A39" s="195">
        <v>33</v>
      </c>
      <c r="B39" s="195" t="s">
        <v>41</v>
      </c>
      <c r="C39" s="195" t="s">
        <v>280</v>
      </c>
      <c r="D39" s="195" t="s">
        <v>1306</v>
      </c>
      <c r="E39" s="195" t="s">
        <v>3415</v>
      </c>
      <c r="F39" s="195"/>
      <c r="G39" s="195"/>
      <c r="H39" s="195"/>
      <c r="I39" s="195" t="s">
        <v>3430</v>
      </c>
      <c r="J39" s="195" t="s">
        <v>134</v>
      </c>
      <c r="K39" s="195" t="s">
        <v>3649</v>
      </c>
      <c r="L39" s="202"/>
    </row>
    <row r="40" spans="1:12">
      <c r="A40" s="195">
        <v>34</v>
      </c>
      <c r="B40" s="195" t="s">
        <v>41</v>
      </c>
      <c r="C40" s="195" t="s">
        <v>280</v>
      </c>
      <c r="D40" s="195" t="s">
        <v>1304</v>
      </c>
      <c r="E40" s="195" t="s">
        <v>3279</v>
      </c>
      <c r="F40" s="195"/>
      <c r="G40" s="195"/>
      <c r="H40" s="195"/>
      <c r="I40" s="195" t="s">
        <v>3430</v>
      </c>
      <c r="J40" s="195" t="s">
        <v>3431</v>
      </c>
      <c r="K40" s="195" t="s">
        <v>3764</v>
      </c>
      <c r="L40" s="202"/>
    </row>
    <row r="41" spans="1:12">
      <c r="A41" s="195">
        <v>35</v>
      </c>
      <c r="B41" s="195" t="s">
        <v>41</v>
      </c>
      <c r="C41" s="195" t="s">
        <v>280</v>
      </c>
      <c r="D41" s="195" t="s">
        <v>1134</v>
      </c>
      <c r="E41" s="195" t="s">
        <v>3443</v>
      </c>
      <c r="F41" s="195"/>
      <c r="G41" s="195"/>
      <c r="H41" s="195"/>
      <c r="I41" s="195" t="s">
        <v>3430</v>
      </c>
      <c r="J41" s="195" t="s">
        <v>3432</v>
      </c>
      <c r="K41" s="195" t="s">
        <v>3647</v>
      </c>
      <c r="L41" s="202"/>
    </row>
    <row r="42" spans="1:12">
      <c r="A42" s="195">
        <v>36</v>
      </c>
      <c r="B42" s="195" t="s">
        <v>41</v>
      </c>
      <c r="C42" s="195" t="s">
        <v>280</v>
      </c>
      <c r="D42" s="195" t="s">
        <v>2660</v>
      </c>
      <c r="E42" s="195" t="s">
        <v>3415</v>
      </c>
      <c r="F42" s="195"/>
      <c r="G42" s="195"/>
      <c r="H42" s="195"/>
      <c r="I42" s="195" t="s">
        <v>3430</v>
      </c>
      <c r="J42" s="195" t="s">
        <v>1101</v>
      </c>
      <c r="K42" s="195" t="s">
        <v>3649</v>
      </c>
      <c r="L42" s="202"/>
    </row>
    <row r="43" spans="1:12">
      <c r="A43" s="195">
        <v>37</v>
      </c>
      <c r="B43" s="195" t="s">
        <v>41</v>
      </c>
      <c r="C43" s="195" t="s">
        <v>284</v>
      </c>
      <c r="D43" s="195" t="s">
        <v>1661</v>
      </c>
      <c r="E43" s="195" t="s">
        <v>3418</v>
      </c>
      <c r="F43" s="195"/>
      <c r="G43" s="195"/>
      <c r="H43" s="195"/>
      <c r="I43" s="195" t="s">
        <v>3430</v>
      </c>
      <c r="J43" s="195" t="s">
        <v>3431</v>
      </c>
      <c r="K43" s="195" t="s">
        <v>3570</v>
      </c>
      <c r="L43" s="202"/>
    </row>
    <row r="44" spans="1:12">
      <c r="A44" s="195">
        <v>38</v>
      </c>
      <c r="B44" s="195" t="s">
        <v>41</v>
      </c>
      <c r="C44" s="195" t="s">
        <v>280</v>
      </c>
      <c r="D44" s="195" t="s">
        <v>2775</v>
      </c>
      <c r="E44" s="195" t="s">
        <v>3415</v>
      </c>
      <c r="F44" s="195"/>
      <c r="G44" s="195"/>
      <c r="H44" s="195"/>
      <c r="I44" s="195" t="s">
        <v>3430</v>
      </c>
      <c r="J44" s="195" t="s">
        <v>3432</v>
      </c>
      <c r="K44" s="195" t="s">
        <v>3649</v>
      </c>
      <c r="L44" s="202"/>
    </row>
    <row r="45" spans="1:12">
      <c r="A45" s="195">
        <v>39</v>
      </c>
      <c r="B45" s="195" t="s">
        <v>41</v>
      </c>
      <c r="C45" s="195" t="s">
        <v>49</v>
      </c>
      <c r="D45" s="195" t="s">
        <v>2782</v>
      </c>
      <c r="E45" s="195" t="s">
        <v>3437</v>
      </c>
      <c r="F45" s="195"/>
      <c r="G45" s="195"/>
      <c r="H45" s="195"/>
      <c r="I45" s="195" t="s">
        <v>3430</v>
      </c>
      <c r="J45" s="195" t="s">
        <v>1101</v>
      </c>
      <c r="K45" s="195" t="s">
        <v>3482</v>
      </c>
      <c r="L45" s="202"/>
    </row>
    <row r="47" spans="1:12">
      <c r="D47" s="85"/>
    </row>
    <row r="48" spans="1:12">
      <c r="D48" s="14"/>
    </row>
    <row r="49" spans="4:4">
      <c r="D49" s="14"/>
    </row>
    <row r="50" spans="4:4">
      <c r="D50" s="14"/>
    </row>
    <row r="51" spans="4:4">
      <c r="D51" s="14"/>
    </row>
    <row r="52" spans="4:4">
      <c r="D52" s="14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07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0"/>
  <sheetViews>
    <sheetView zoomScale="90" zoomScaleNormal="90" workbookViewId="0">
      <selection activeCell="K16" sqref="K16"/>
    </sheetView>
  </sheetViews>
  <sheetFormatPr defaultRowHeight="15"/>
  <cols>
    <col min="1" max="1" width="7.28515625" style="133" bestFit="1" customWidth="1"/>
    <col min="2" max="2" width="29.42578125" style="160" customWidth="1"/>
    <col min="3" max="3" width="7.28515625" style="160" bestFit="1" customWidth="1"/>
  </cols>
  <sheetData>
    <row r="1" spans="1:15" ht="15.75">
      <c r="A1" s="131" t="s">
        <v>281</v>
      </c>
      <c r="B1" s="131" t="s">
        <v>1830</v>
      </c>
      <c r="C1" s="132" t="s">
        <v>5933</v>
      </c>
      <c r="K1" t="s">
        <v>5934</v>
      </c>
    </row>
    <row r="2" spans="1:15">
      <c r="B2" s="134" t="s">
        <v>1831</v>
      </c>
      <c r="C2"/>
    </row>
    <row r="3" spans="1:15" ht="18.75">
      <c r="A3" s="135"/>
      <c r="B3" s="136" t="s">
        <v>1832</v>
      </c>
      <c r="C3" s="137"/>
      <c r="O3" s="1"/>
    </row>
    <row r="4" spans="1:15" ht="18.75">
      <c r="A4" s="131" t="s">
        <v>138</v>
      </c>
      <c r="B4" s="138" t="s">
        <v>1833</v>
      </c>
      <c r="C4" s="138">
        <f>COUNTIF('1.MasterPendingList'!F:F,"Hanoi")-SUM(COUNTIFS('1.MasterPendingList'!F:F,FFAP!$A$4,'1.MasterPendingList'!Z:Z,{"*completed*"}))</f>
        <v>80</v>
      </c>
      <c r="K4" s="252" t="s">
        <v>5871</v>
      </c>
      <c r="O4" s="1"/>
    </row>
    <row r="5" spans="1:15" ht="18.75">
      <c r="A5" s="294" t="s">
        <v>1834</v>
      </c>
      <c r="B5" s="139" t="s">
        <v>1835</v>
      </c>
      <c r="C5" s="140">
        <f>COUNTIF('Summary 07-Jul'!E:E,FFAP!$A$4)</f>
        <v>11</v>
      </c>
      <c r="H5" s="251">
        <f>COUNTIF('Summary 07-Jul'!E:E,"H*")</f>
        <v>12</v>
      </c>
      <c r="I5">
        <f>COUNTIF('Summary 07-Jul'!E:E,"Hanoi")</f>
        <v>11</v>
      </c>
      <c r="J5">
        <f>COUNTIF('Summary 07-Jul'!E:E,"HCM")</f>
        <v>1</v>
      </c>
      <c r="K5" s="253" t="str">
        <f>"1. In-coming: "&amp;H5&amp;" items (Hanoi "&amp;I5&amp;" - "&amp;J5&amp;" HCM)"</f>
        <v>1. In-coming: 12 items (Hanoi 11 - 1 HCM)</v>
      </c>
      <c r="O5" s="1"/>
    </row>
    <row r="6" spans="1:15">
      <c r="A6" s="295"/>
      <c r="B6" s="141" t="s">
        <v>1836</v>
      </c>
      <c r="C6" s="142">
        <f>SUM(COUNTIFS('1.MasterPendingList'!F:F,FFAP!$A$4,'1.MasterPendingList'!Z:Z,{"*completed*"}))</f>
        <v>0</v>
      </c>
      <c r="J6" s="251">
        <f>SUM(H7:J8)</f>
        <v>30</v>
      </c>
      <c r="K6" s="253" t="str">
        <f>"2. Outgoing: "&amp;J6&amp;" items"</f>
        <v>2. Outgoing: 30 items</v>
      </c>
    </row>
    <row r="7" spans="1:15">
      <c r="A7" s="295"/>
      <c r="B7" s="143" t="s">
        <v>1837</v>
      </c>
      <c r="C7" s="144"/>
      <c r="G7">
        <f>SUM(COUNTIF('Summary 07-Jul'!E:E,"Major"),COUNTIF('Summary 07-Jul'!E:E,"Minor"),COUNTIF('Summary 07-Jul'!E:E,"Other"))</f>
        <v>8</v>
      </c>
      <c r="H7">
        <f>COUNTIF('Summary 07-Jul'!E:E,"Major")</f>
        <v>4</v>
      </c>
      <c r="I7">
        <f>COUNTIF('Summary 07-Jul'!E:E,"Minor")</f>
        <v>4</v>
      </c>
      <c r="J7">
        <f>COUNTIF('Summary 07-Jul'!E:E,"Other")</f>
        <v>0</v>
      </c>
      <c r="K7" s="253" t="str">
        <f>"         A. Completed repair: "&amp;G7&amp;" items ("&amp;H7&amp;" Major - "&amp;I7&amp;" Minor - "&amp;J7&amp;" Other)"</f>
        <v>         A. Completed repair: 8 items (4 Major - 4 Minor - 0 Other)</v>
      </c>
    </row>
    <row r="8" spans="1:15">
      <c r="A8" s="295"/>
      <c r="B8" s="145" t="s">
        <v>1838</v>
      </c>
      <c r="C8" s="145">
        <f>SUM(COUNTIFS('1.MasterPendingList'!F:F,FFAP!$A$4,'1.MasterPendingList'!Z:Z,{"*Received","*Under inspection","*quotation"}))</f>
        <v>21</v>
      </c>
      <c r="D8" t="str">
        <f>IF(E8&gt;0,"(included "&amp;E8&amp;" items ""prepairing quotation"")","")</f>
        <v>(included 14 items "prepairing quotation")</v>
      </c>
      <c r="E8">
        <f>SUM(COUNTIFS('1.MasterPendingList'!F:F,FFAP!$A$4,'1.MasterPendingList'!Z:Z,{"*quotation"}))</f>
        <v>14</v>
      </c>
      <c r="J8">
        <v>22</v>
      </c>
      <c r="K8" s="253" t="str">
        <f>"    B. Transfer to sale last week: "&amp;J8&amp;" items"</f>
        <v>    B. Transfer to sale last week: 22 items</v>
      </c>
    </row>
    <row r="9" spans="1:15" ht="15.75">
      <c r="A9" s="295"/>
      <c r="B9" s="145" t="s">
        <v>1839</v>
      </c>
      <c r="C9" s="145">
        <f>SUM(COUNTIFS('1.MasterPendingList'!F:F,FFAP!$A$4,'1.MasterPendingList'!Z:Z,{"*confirm","*approved"}))</f>
        <v>47</v>
      </c>
      <c r="D9" t="str">
        <f>IF(E10=0,"","(included "&amp;E10&amp;" items ""waiting approved"")")</f>
        <v>(included 6 items "waiting approved")</v>
      </c>
      <c r="H9" s="254">
        <v>126</v>
      </c>
      <c r="I9" s="251">
        <f>MAX('1.MasterPendingList'!A:A)</f>
        <v>107</v>
      </c>
      <c r="J9">
        <f>I9-COUNTIF('1.MasterPendingList'!Z:Z,"LP/*")</f>
        <v>95</v>
      </c>
      <c r="K9" s="253" t="str">
        <f>"Pending: "&amp;H9&amp;" (last week)  + "&amp;H5&amp;" - "&amp;J6&amp;" = "&amp;I9&amp;" items ("&amp;J9&amp;" scopes)"</f>
        <v>Pending: 126 (last week)  + 12 - 30 = 107 items (95 scopes)</v>
      </c>
    </row>
    <row r="10" spans="1:15">
      <c r="A10" s="295"/>
      <c r="B10" s="145" t="s">
        <v>1840</v>
      </c>
      <c r="C10" s="145">
        <f>SUM(COUNTIFS('1.MasterPendingList'!F:F,FFAP!$A$4,'1.MasterPendingList'!Z:Z,{"*waiting for part"}))</f>
        <v>11</v>
      </c>
      <c r="E10">
        <f>SUM(COUNTIFS('1.MasterPendingList'!F:F,FFAP!$A$4,'1.MasterPendingList'!Z:Z,{"*approved"}))</f>
        <v>6</v>
      </c>
    </row>
    <row r="11" spans="1:15">
      <c r="A11" s="295"/>
      <c r="B11" s="145" t="s">
        <v>1841</v>
      </c>
      <c r="C11" s="145">
        <f>SUM(COUNTIFS('1.MasterPendingList'!F:F,FFAP!$A$4,'1.MasterPendingList'!Z:Z,{"*waiting for repair"}))</f>
        <v>0</v>
      </c>
    </row>
    <row r="12" spans="1:15">
      <c r="A12" s="295"/>
      <c r="B12" s="145" t="s">
        <v>1842</v>
      </c>
      <c r="C12" s="145">
        <f>SUM(COUNTIFS('1.MasterPendingList'!F:F,FFAP!$A$4,'1.MasterPendingList'!Z:Z,{"*under repair"}))</f>
        <v>1</v>
      </c>
    </row>
    <row r="13" spans="1:15">
      <c r="A13" s="295"/>
      <c r="B13" s="145" t="s">
        <v>1843</v>
      </c>
      <c r="C13" s="145">
        <f>SUM(COUNTIFS('1.MasterPendingList'!F:F,FFAP!$A$4,'1.MasterPendingList'!Z:Z,{"*transfer to sale team"}))</f>
        <v>0</v>
      </c>
    </row>
    <row r="14" spans="1:15" ht="15.75">
      <c r="A14" s="296"/>
      <c r="B14" s="138" t="s">
        <v>1844</v>
      </c>
      <c r="C14" s="138">
        <f>C4</f>
        <v>80</v>
      </c>
      <c r="K14" s="252"/>
    </row>
    <row r="15" spans="1:15">
      <c r="A15" s="146"/>
      <c r="B15" s="147"/>
      <c r="C15" s="148"/>
      <c r="K15" s="253"/>
    </row>
    <row r="16" spans="1:15">
      <c r="A16" s="149"/>
      <c r="B16" s="150" t="s">
        <v>1845</v>
      </c>
      <c r="C16" s="151">
        <f>SUM(COUNTIFS('1.MasterPendingList'!F:F,FFAP!$A$4,'1.MasterPendingList'!Z:Z,{"*plan for next week"}))</f>
        <v>0</v>
      </c>
      <c r="K16" s="253"/>
    </row>
    <row r="17" spans="1:14">
      <c r="A17" s="152"/>
      <c r="B17" s="153"/>
      <c r="C17" s="154"/>
      <c r="K17" s="253"/>
    </row>
    <row r="18" spans="1:14">
      <c r="A18" s="155"/>
      <c r="B18" s="155" t="s">
        <v>1846</v>
      </c>
      <c r="C18" s="156"/>
      <c r="K18" s="253"/>
    </row>
    <row r="19" spans="1:14">
      <c r="A19" s="157"/>
      <c r="B19" s="157" t="s">
        <v>1847</v>
      </c>
      <c r="C19" s="158">
        <v>3</v>
      </c>
      <c r="K19" s="253"/>
      <c r="N19">
        <f>126+12-29</f>
        <v>109</v>
      </c>
    </row>
    <row r="20" spans="1:14">
      <c r="A20" s="157"/>
      <c r="B20" s="157" t="s">
        <v>1848</v>
      </c>
      <c r="C20" s="157">
        <v>2</v>
      </c>
    </row>
    <row r="21" spans="1:14">
      <c r="A21" s="159"/>
      <c r="B21" s="157" t="s">
        <v>1849</v>
      </c>
      <c r="C21" s="157">
        <v>0</v>
      </c>
    </row>
    <row r="22" spans="1:14">
      <c r="B22" s="134"/>
      <c r="C22" s="134"/>
    </row>
    <row r="23" spans="1:14" ht="15.75">
      <c r="A23" s="131" t="s">
        <v>26</v>
      </c>
      <c r="B23" s="138" t="s">
        <v>1833</v>
      </c>
      <c r="C23" s="138">
        <f>COUNTIF('1.MasterPendingList'!F:F,"HCM")-SUM(COUNTIFS('1.MasterPendingList'!F:F,FFAP!$A$23,'1.MasterPendingList'!Z:Z,{"*completed*"}))</f>
        <v>26</v>
      </c>
    </row>
    <row r="24" spans="1:14">
      <c r="A24" s="294" t="s">
        <v>1834</v>
      </c>
      <c r="B24" s="139" t="s">
        <v>1835</v>
      </c>
      <c r="C24" s="140">
        <f>COUNTIF('Summary 07-Jul'!E:E,FFAP!$A$23)</f>
        <v>1</v>
      </c>
    </row>
    <row r="25" spans="1:14">
      <c r="A25" s="295"/>
      <c r="B25" s="141" t="s">
        <v>1836</v>
      </c>
      <c r="C25" s="142">
        <f>SUM(COUNTIFS('1.MasterPendingList'!F:F,FFAP!$A$23,'1.MasterPendingList'!Z:Z,{"*completed*"}))</f>
        <v>1</v>
      </c>
    </row>
    <row r="26" spans="1:14">
      <c r="A26" s="295"/>
      <c r="B26" s="143" t="s">
        <v>1837</v>
      </c>
      <c r="C26" s="144"/>
    </row>
    <row r="27" spans="1:14">
      <c r="A27" s="295"/>
      <c r="B27" s="145" t="s">
        <v>1838</v>
      </c>
      <c r="C27" s="145">
        <f>SUM(COUNTIFS('1.MasterPendingList'!F:F,FFAP!$A$23,'1.MasterPendingList'!Z:Z,{"*Received","*Under inspection","*quotation"}))</f>
        <v>0</v>
      </c>
      <c r="D27" t="str">
        <f>IF(E27&gt;0,"(included "&amp;E27&amp;" items ""prepairing quotation"")","")</f>
        <v/>
      </c>
      <c r="E27">
        <f>SUM(COUNTIFS('1.MasterPendingList'!F:F,FFAP!$A$23,'1.MasterPendingList'!Z:Z,{"*quotation"}))</f>
        <v>0</v>
      </c>
    </row>
    <row r="28" spans="1:14">
      <c r="A28" s="295"/>
      <c r="B28" s="145" t="s">
        <v>1839</v>
      </c>
      <c r="C28" s="145">
        <f>SUM(COUNTIFS('1.MasterPendingList'!F:F,FFAP!$A$23,'1.MasterPendingList'!Z:Z,{"*confirm","*approved"}))</f>
        <v>19</v>
      </c>
      <c r="D28" t="str">
        <f>IF(E29=0,"","(included " &amp; E29&amp; " items ""waiting approved"")")</f>
        <v>(included 4 items "waiting approved")</v>
      </c>
    </row>
    <row r="29" spans="1:14">
      <c r="A29" s="295"/>
      <c r="B29" s="145" t="s">
        <v>1840</v>
      </c>
      <c r="C29" s="145">
        <f>SUM(COUNTIFS('1.MasterPendingList'!F:F,FFAP!$A$23,'1.MasterPendingList'!Z:Z,{"*waiting for part"}))</f>
        <v>5</v>
      </c>
      <c r="E29">
        <f>SUM(COUNTIFS('1.MasterPendingList'!F:F,FFAP!$A$23,'1.MasterPendingList'!Z:Z,{"*approved"}))</f>
        <v>4</v>
      </c>
    </row>
    <row r="30" spans="1:14">
      <c r="A30" s="295"/>
      <c r="B30" s="145" t="s">
        <v>1841</v>
      </c>
      <c r="C30" s="145">
        <f>SUM(COUNTIFS('1.MasterPendingList'!F:F,FFAP!$A$23,'1.MasterPendingList'!Z:Z,{"*waiting for repair"}))</f>
        <v>1</v>
      </c>
    </row>
    <row r="31" spans="1:14">
      <c r="A31" s="295"/>
      <c r="B31" s="145" t="s">
        <v>1842</v>
      </c>
      <c r="C31" s="145">
        <f>SUM(COUNTIFS('1.MasterPendingList'!F:F,FFAP!$A$23,'1.MasterPendingList'!Z:Z,{"*under repair"}))</f>
        <v>1</v>
      </c>
    </row>
    <row r="32" spans="1:14">
      <c r="A32" s="295"/>
      <c r="B32" s="145" t="s">
        <v>1843</v>
      </c>
      <c r="C32" s="145">
        <f>SUM(COUNTIFS('1.MasterPendingList'!F:F,FFAP!$A$23,'1.MasterPendingList'!Z:Z,{"*transfer to sale team"}))</f>
        <v>0</v>
      </c>
    </row>
    <row r="33" spans="1:3">
      <c r="A33" s="296"/>
      <c r="B33" s="138" t="s">
        <v>1844</v>
      </c>
      <c r="C33" s="138">
        <f>C23</f>
        <v>26</v>
      </c>
    </row>
    <row r="34" spans="1:3">
      <c r="A34" s="146"/>
      <c r="B34" s="147"/>
      <c r="C34" s="148"/>
    </row>
    <row r="35" spans="1:3">
      <c r="A35" s="149"/>
      <c r="B35" s="150" t="s">
        <v>1845</v>
      </c>
      <c r="C35" s="151">
        <f>SUM(COUNTIFS('1.MasterPendingList'!F:F,FFAP!$A$23,'1.MasterPendingList'!Z:Z,{"*plan for next week"}))</f>
        <v>0</v>
      </c>
    </row>
    <row r="36" spans="1:3">
      <c r="A36" s="152"/>
      <c r="B36" s="153"/>
      <c r="C36" s="154"/>
    </row>
    <row r="37" spans="1:3">
      <c r="A37" s="155"/>
      <c r="B37" s="155" t="s">
        <v>1846</v>
      </c>
      <c r="C37" s="156"/>
    </row>
    <row r="38" spans="1:3">
      <c r="A38" s="157"/>
      <c r="B38" s="157" t="s">
        <v>1847</v>
      </c>
      <c r="C38" s="158">
        <v>3</v>
      </c>
    </row>
    <row r="39" spans="1:3">
      <c r="A39" s="157"/>
      <c r="B39" s="157" t="s">
        <v>1848</v>
      </c>
      <c r="C39" s="157">
        <v>1</v>
      </c>
    </row>
    <row r="40" spans="1:3">
      <c r="A40" s="159"/>
      <c r="B40" s="157" t="s">
        <v>1849</v>
      </c>
      <c r="C40" s="157">
        <v>0</v>
      </c>
    </row>
  </sheetData>
  <mergeCells count="2">
    <mergeCell ref="A5:A14"/>
    <mergeCell ref="A24:A3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U111"/>
  <sheetViews>
    <sheetView zoomScale="70" zoomScaleNormal="70" zoomScaleSheetLayoutView="50" workbookViewId="0">
      <pane xSplit="10" ySplit="4" topLeftCell="Y44" activePane="bottomRight" state="frozen"/>
      <selection pane="topRight" activeCell="P1" sqref="P1"/>
      <selection pane="bottomLeft" activeCell="A26" sqref="A26"/>
      <selection pane="bottomRight" activeCell="D82" sqref="A82:XFD82"/>
    </sheetView>
  </sheetViews>
  <sheetFormatPr defaultColWidth="4.28515625" defaultRowHeight="18.75"/>
  <cols>
    <col min="1" max="1" width="5.5703125" style="1" customWidth="1"/>
    <col min="2" max="2" width="19" style="1" customWidth="1"/>
    <col min="3" max="3" width="14.28515625" style="1" customWidth="1"/>
    <col min="4" max="4" width="40.28515625" style="4" customWidth="1"/>
    <col min="5" max="5" width="8.5703125" style="4" customWidth="1"/>
    <col min="6" max="6" width="8.28515625" style="5" customWidth="1"/>
    <col min="7" max="7" width="12.28515625" style="13" customWidth="1"/>
    <col min="8" max="8" width="13.28515625" style="13" customWidth="1"/>
    <col min="9" max="9" width="12.28515625" style="5" customWidth="1"/>
    <col min="10" max="10" width="12.42578125" style="1" customWidth="1"/>
    <col min="11" max="11" width="11.28515625" style="1" customWidth="1"/>
    <col min="12" max="12" width="11.28515625" style="224" customWidth="1"/>
    <col min="13" max="13" width="12.28515625" style="1" customWidth="1"/>
    <col min="14" max="14" width="14.42578125" style="13" customWidth="1"/>
    <col min="15" max="15" width="14.42578125" style="79" customWidth="1"/>
    <col min="16" max="16" width="16.28515625" style="79" customWidth="1"/>
    <col min="17" max="17" width="17.7109375" style="3" hidden="1" customWidth="1"/>
    <col min="18" max="19" width="17.42578125" style="12" customWidth="1"/>
    <col min="20" max="20" width="19.7109375" style="12" customWidth="1"/>
    <col min="21" max="21" width="11" style="12" customWidth="1"/>
    <col min="22" max="22" width="30.140625" style="12" bestFit="1" customWidth="1"/>
    <col min="23" max="23" width="13.28515625" style="218" customWidth="1"/>
    <col min="24" max="24" width="31.7109375" style="2" customWidth="1"/>
    <col min="25" max="25" width="16" style="2" customWidth="1"/>
    <col min="26" max="26" width="25.28515625" style="4" customWidth="1"/>
    <col min="27" max="27" width="30.28515625" style="4" customWidth="1"/>
    <col min="28" max="29" width="20.5703125" style="1" hidden="1" customWidth="1"/>
    <col min="30" max="30" width="14.5703125" style="119" hidden="1" customWidth="1"/>
    <col min="31" max="31" width="15.42578125" style="1" hidden="1" customWidth="1"/>
    <col min="32" max="32" width="22.28515625" style="79" hidden="1" customWidth="1"/>
    <col min="33" max="33" width="14" style="105" hidden="1" customWidth="1"/>
    <col min="34" max="34" width="19.42578125" style="103" customWidth="1"/>
    <col min="35" max="35" width="21.5703125" style="103" customWidth="1"/>
    <col min="36" max="36" width="17.7109375" style="104" customWidth="1"/>
    <col min="37" max="37" width="47.7109375" style="103" customWidth="1"/>
    <col min="38" max="38" width="25.7109375" style="103" customWidth="1"/>
    <col min="39" max="39" width="12.5703125" style="104" customWidth="1"/>
    <col min="40" max="40" width="17" style="103" customWidth="1"/>
    <col min="41" max="41" width="11" style="103" customWidth="1"/>
    <col min="42" max="42" width="26.7109375" style="105" customWidth="1"/>
    <col min="43" max="43" width="35" style="103" bestFit="1" customWidth="1"/>
    <col min="44" max="44" width="15.28515625" style="103" bestFit="1" customWidth="1"/>
    <col min="45" max="47" width="4.28515625" style="103"/>
    <col min="48" max="16384" width="4.28515625" style="1"/>
  </cols>
  <sheetData>
    <row r="1" spans="1:42" ht="33">
      <c r="A1" s="114" t="s">
        <v>0</v>
      </c>
      <c r="B1" s="114"/>
      <c r="C1" s="114"/>
      <c r="D1" s="115"/>
      <c r="E1" s="115"/>
      <c r="F1" s="114"/>
      <c r="G1" s="114"/>
      <c r="H1" s="114"/>
      <c r="I1" s="115"/>
      <c r="J1" s="114"/>
      <c r="K1" s="114"/>
      <c r="L1" s="221"/>
      <c r="M1" s="114"/>
      <c r="N1" s="116"/>
      <c r="O1" s="116"/>
      <c r="P1" s="116"/>
      <c r="Q1" s="116"/>
      <c r="W1" s="215"/>
      <c r="X1" s="114"/>
      <c r="Y1" s="114"/>
      <c r="Z1" s="113"/>
      <c r="AA1" s="117"/>
      <c r="AB1" s="114"/>
      <c r="AC1" s="114"/>
      <c r="AG1" s="107"/>
      <c r="AJ1" s="103"/>
      <c r="AM1" s="103"/>
      <c r="AO1" s="106"/>
      <c r="AP1" s="107"/>
    </row>
    <row r="2" spans="1:42" ht="33">
      <c r="A2" s="174"/>
      <c r="B2" s="178" t="s">
        <v>5707</v>
      </c>
      <c r="C2" s="179" t="s">
        <v>3226</v>
      </c>
      <c r="D2" s="180" t="s">
        <v>5708</v>
      </c>
      <c r="E2" s="180"/>
      <c r="F2" s="180" t="s">
        <v>2005</v>
      </c>
      <c r="G2" s="177"/>
      <c r="H2" s="171"/>
      <c r="I2" s="174" t="s">
        <v>1991</v>
      </c>
      <c r="J2" s="171"/>
      <c r="K2" s="171"/>
      <c r="L2" s="221"/>
      <c r="M2" s="171" t="s">
        <v>1992</v>
      </c>
      <c r="N2" s="171" t="s">
        <v>1993</v>
      </c>
      <c r="O2" s="171" t="s">
        <v>1994</v>
      </c>
      <c r="P2" s="171" t="s">
        <v>1995</v>
      </c>
      <c r="Q2" s="171"/>
      <c r="R2" s="171" t="s">
        <v>1996</v>
      </c>
      <c r="S2" s="171" t="s">
        <v>4031</v>
      </c>
      <c r="T2" s="171" t="s">
        <v>1997</v>
      </c>
      <c r="U2" s="171" t="s">
        <v>1998</v>
      </c>
      <c r="V2" s="171" t="s">
        <v>1999</v>
      </c>
      <c r="W2" s="216" t="s">
        <v>2000</v>
      </c>
      <c r="X2" s="171" t="s">
        <v>2001</v>
      </c>
      <c r="Y2" s="171" t="s">
        <v>2002</v>
      </c>
      <c r="Z2" s="171" t="s">
        <v>2003</v>
      </c>
      <c r="AA2" s="171" t="s">
        <v>2004</v>
      </c>
      <c r="AB2" s="114"/>
      <c r="AC2" s="114"/>
      <c r="AG2" s="107"/>
      <c r="AJ2" s="103"/>
      <c r="AM2" s="103"/>
      <c r="AO2" s="106"/>
      <c r="AP2" s="107"/>
    </row>
    <row r="3" spans="1:42" ht="21.75" customHeight="1">
      <c r="A3" s="90"/>
      <c r="B3" s="120"/>
      <c r="C3" s="91" t="s">
        <v>3226</v>
      </c>
      <c r="D3" s="92" t="s">
        <v>7</v>
      </c>
      <c r="E3" s="165"/>
      <c r="F3" s="93" t="s">
        <v>2005</v>
      </c>
      <c r="G3" s="94"/>
      <c r="H3" s="94"/>
      <c r="I3" s="93"/>
      <c r="J3" s="93"/>
      <c r="K3" s="91"/>
      <c r="L3" s="91"/>
      <c r="M3" s="91"/>
      <c r="N3" s="95"/>
      <c r="O3" s="22"/>
      <c r="P3" s="22" t="s">
        <v>2006</v>
      </c>
      <c r="Q3" s="22"/>
      <c r="R3" s="22"/>
      <c r="S3" s="22"/>
      <c r="T3" s="22"/>
      <c r="U3" s="80" t="s">
        <v>2007</v>
      </c>
      <c r="V3" s="80" t="s">
        <v>300</v>
      </c>
      <c r="W3" s="217"/>
      <c r="X3" s="173" t="s">
        <v>3444</v>
      </c>
      <c r="Y3" s="11" t="s">
        <v>2008</v>
      </c>
      <c r="Z3" s="96" t="s">
        <v>2009</v>
      </c>
      <c r="AA3" s="96" t="s">
        <v>10</v>
      </c>
      <c r="AB3" s="91" t="s">
        <v>2010</v>
      </c>
      <c r="AC3" s="239"/>
      <c r="AD3" s="6" t="s">
        <v>1074</v>
      </c>
      <c r="AE3" s="91" t="s">
        <v>2011</v>
      </c>
      <c r="AF3" s="121" t="s">
        <v>2012</v>
      </c>
      <c r="AG3" s="109" t="s">
        <v>2013</v>
      </c>
      <c r="AH3" s="297" t="s">
        <v>3604</v>
      </c>
      <c r="AI3" s="298"/>
      <c r="AJ3" s="299"/>
      <c r="AO3" s="108"/>
      <c r="AP3" s="109"/>
    </row>
    <row r="4" spans="1:42" ht="21" customHeight="1">
      <c r="A4" s="7" t="s">
        <v>13</v>
      </c>
      <c r="B4" s="8" t="s">
        <v>1088</v>
      </c>
      <c r="C4" s="8" t="s">
        <v>14</v>
      </c>
      <c r="D4" s="9" t="s">
        <v>7</v>
      </c>
      <c r="E4" s="166" t="s">
        <v>1929</v>
      </c>
      <c r="F4" s="127" t="s">
        <v>15</v>
      </c>
      <c r="G4" s="10" t="s">
        <v>113</v>
      </c>
      <c r="H4" s="10" t="s">
        <v>1209</v>
      </c>
      <c r="I4" s="8" t="s">
        <v>8</v>
      </c>
      <c r="J4" s="8" t="s">
        <v>80</v>
      </c>
      <c r="K4" s="8" t="s">
        <v>2</v>
      </c>
      <c r="L4" s="8" t="s">
        <v>1966</v>
      </c>
      <c r="M4" s="9" t="s">
        <v>16</v>
      </c>
      <c r="N4" s="10" t="s">
        <v>74</v>
      </c>
      <c r="O4" s="82" t="s">
        <v>76</v>
      </c>
      <c r="P4" s="82" t="s">
        <v>3532</v>
      </c>
      <c r="Q4" s="80" t="s">
        <v>18</v>
      </c>
      <c r="R4" s="22" t="s">
        <v>19</v>
      </c>
      <c r="S4" s="172" t="s">
        <v>1990</v>
      </c>
      <c r="T4" s="81" t="s">
        <v>72</v>
      </c>
      <c r="U4" s="80" t="s">
        <v>75</v>
      </c>
      <c r="V4" s="80" t="s">
        <v>300</v>
      </c>
      <c r="W4" s="225" t="s">
        <v>296</v>
      </c>
      <c r="X4" s="11" t="s">
        <v>73</v>
      </c>
      <c r="Y4" s="11" t="s">
        <v>11</v>
      </c>
      <c r="Z4" s="97" t="s">
        <v>12</v>
      </c>
      <c r="AA4" s="96" t="s">
        <v>10</v>
      </c>
      <c r="AB4" s="122" t="s">
        <v>309</v>
      </c>
      <c r="AC4" s="166" t="s">
        <v>5344</v>
      </c>
      <c r="AD4" s="122" t="s">
        <v>1074</v>
      </c>
      <c r="AE4" s="122" t="s">
        <v>1206</v>
      </c>
      <c r="AF4" s="123" t="s">
        <v>1207</v>
      </c>
      <c r="AG4" s="126" t="s">
        <v>1965</v>
      </c>
      <c r="AH4" s="186" t="s">
        <v>5112</v>
      </c>
      <c r="AI4" s="186" t="s">
        <v>3605</v>
      </c>
      <c r="AJ4" s="187" t="s">
        <v>32</v>
      </c>
      <c r="AO4" s="111"/>
      <c r="AP4" s="110"/>
    </row>
    <row r="5" spans="1:42">
      <c r="A5" s="174">
        <f>COUNTA($J$5:J5)</f>
        <v>1</v>
      </c>
      <c r="B5" s="272" t="s">
        <v>4762</v>
      </c>
      <c r="C5" s="274" t="s">
        <v>1729</v>
      </c>
      <c r="D5" s="273" t="s">
        <v>45</v>
      </c>
      <c r="E5" s="273"/>
      <c r="F5" s="273" t="s">
        <v>138</v>
      </c>
      <c r="G5" s="273">
        <v>44965</v>
      </c>
      <c r="H5" s="273">
        <v>43803</v>
      </c>
      <c r="I5" s="272" t="s">
        <v>60</v>
      </c>
      <c r="J5" s="273" t="s">
        <v>3894</v>
      </c>
      <c r="K5" s="273" t="s">
        <v>1055</v>
      </c>
      <c r="L5" s="276">
        <v>760</v>
      </c>
      <c r="M5" s="273">
        <v>44169</v>
      </c>
      <c r="N5" s="273">
        <v>44965</v>
      </c>
      <c r="O5" s="277">
        <v>44977</v>
      </c>
      <c r="P5" s="277" t="s">
        <v>4796</v>
      </c>
      <c r="Q5" s="277"/>
      <c r="R5" s="277" t="s">
        <v>70</v>
      </c>
      <c r="S5" s="277"/>
      <c r="T5" s="277">
        <v>44970.731469907405</v>
      </c>
      <c r="U5" s="277" t="s">
        <v>3</v>
      </c>
      <c r="V5" s="277" t="s">
        <v>4817</v>
      </c>
      <c r="W5" s="278">
        <v>1241</v>
      </c>
      <c r="X5" s="277" t="s">
        <v>4794</v>
      </c>
      <c r="Y5" s="277" t="s">
        <v>37</v>
      </c>
      <c r="Z5" s="277" t="s">
        <v>32</v>
      </c>
      <c r="AA5" s="277" t="s">
        <v>5643</v>
      </c>
      <c r="AB5" s="124" t="s">
        <v>72</v>
      </c>
      <c r="AC5" s="124" t="s">
        <v>5700</v>
      </c>
      <c r="AD5" s="125"/>
      <c r="AE5" s="124"/>
      <c r="AF5" s="219">
        <v>45083.476943125002</v>
      </c>
      <c r="AG5" s="175" t="s">
        <v>5521</v>
      </c>
      <c r="AH5" s="275">
        <v>107</v>
      </c>
      <c r="AI5" s="275" t="s">
        <v>5873</v>
      </c>
      <c r="AJ5" s="275" t="s">
        <v>5873</v>
      </c>
      <c r="AK5"/>
      <c r="AL5"/>
      <c r="AM5"/>
      <c r="AN5"/>
      <c r="AO5"/>
      <c r="AP5"/>
    </row>
    <row r="6" spans="1:42">
      <c r="A6" s="174">
        <f>COUNTA($J$5:J6)</f>
        <v>2</v>
      </c>
      <c r="B6" s="272" t="s">
        <v>4765</v>
      </c>
      <c r="C6" s="274" t="s">
        <v>1729</v>
      </c>
      <c r="D6" s="273" t="s">
        <v>48</v>
      </c>
      <c r="E6" s="273"/>
      <c r="F6" s="273" t="s">
        <v>138</v>
      </c>
      <c r="G6" s="273">
        <v>44965</v>
      </c>
      <c r="H6" s="273">
        <v>43231</v>
      </c>
      <c r="I6" s="272" t="s">
        <v>60</v>
      </c>
      <c r="J6" s="273" t="s">
        <v>127</v>
      </c>
      <c r="K6" s="273" t="s">
        <v>1055</v>
      </c>
      <c r="L6" s="276">
        <v>760</v>
      </c>
      <c r="M6" s="273">
        <v>43596</v>
      </c>
      <c r="N6" s="273">
        <v>44965</v>
      </c>
      <c r="O6" s="277">
        <v>44977</v>
      </c>
      <c r="P6" s="277" t="s">
        <v>4797</v>
      </c>
      <c r="Q6" s="277"/>
      <c r="R6" s="277" t="s">
        <v>70</v>
      </c>
      <c r="S6" s="277"/>
      <c r="T6" s="277">
        <v>44971.506863425922</v>
      </c>
      <c r="U6" s="277" t="s">
        <v>3</v>
      </c>
      <c r="V6" s="277" t="s">
        <v>5359</v>
      </c>
      <c r="W6" s="278">
        <v>2559</v>
      </c>
      <c r="X6" s="277" t="s">
        <v>4795</v>
      </c>
      <c r="Y6" s="277" t="s">
        <v>1132</v>
      </c>
      <c r="Z6" s="277" t="s">
        <v>32</v>
      </c>
      <c r="AA6" s="277" t="s">
        <v>5643</v>
      </c>
      <c r="AB6" s="124" t="s">
        <v>72</v>
      </c>
      <c r="AC6" s="124" t="s">
        <v>5700</v>
      </c>
      <c r="AD6" s="125"/>
      <c r="AE6" s="124"/>
      <c r="AF6" s="219">
        <v>45083.476290844905</v>
      </c>
      <c r="AG6" s="175" t="s">
        <v>5521</v>
      </c>
      <c r="AH6" s="275">
        <v>107</v>
      </c>
      <c r="AI6" s="275" t="s">
        <v>5873</v>
      </c>
      <c r="AJ6" s="275" t="s">
        <v>5873</v>
      </c>
      <c r="AK6"/>
      <c r="AL6"/>
      <c r="AM6"/>
      <c r="AN6"/>
      <c r="AO6"/>
      <c r="AP6"/>
    </row>
    <row r="7" spans="1:42">
      <c r="A7" s="174">
        <f>COUNTA($J$5:J7)</f>
        <v>3</v>
      </c>
      <c r="B7" s="272" t="s">
        <v>4789</v>
      </c>
      <c r="C7" s="274" t="s">
        <v>3224</v>
      </c>
      <c r="D7" s="273" t="s">
        <v>44</v>
      </c>
      <c r="E7" s="273" t="s">
        <v>4665</v>
      </c>
      <c r="F7" s="273" t="s">
        <v>138</v>
      </c>
      <c r="G7" s="273">
        <v>44973</v>
      </c>
      <c r="H7" s="273">
        <v>42744</v>
      </c>
      <c r="I7" s="272" t="s">
        <v>55</v>
      </c>
      <c r="J7" s="273" t="s">
        <v>4790</v>
      </c>
      <c r="K7" s="273" t="s">
        <v>1055</v>
      </c>
      <c r="L7" s="276">
        <v>760</v>
      </c>
      <c r="M7" s="273">
        <v>43109</v>
      </c>
      <c r="N7" s="273">
        <v>44973</v>
      </c>
      <c r="O7" s="277">
        <v>44984</v>
      </c>
      <c r="P7" s="277" t="s">
        <v>4837</v>
      </c>
      <c r="Q7" s="277"/>
      <c r="R7" s="277">
        <v>45007</v>
      </c>
      <c r="S7" s="277"/>
      <c r="T7" s="277">
        <v>44980</v>
      </c>
      <c r="U7" s="277" t="s">
        <v>3</v>
      </c>
      <c r="V7" s="277" t="s">
        <v>1264</v>
      </c>
      <c r="W7" s="278">
        <v>620</v>
      </c>
      <c r="X7" s="277" t="s">
        <v>4834</v>
      </c>
      <c r="Y7" s="277" t="s">
        <v>1114</v>
      </c>
      <c r="Z7" s="277" t="s">
        <v>1041</v>
      </c>
      <c r="AA7" s="279" t="s">
        <v>5870</v>
      </c>
      <c r="AB7" s="124" t="s">
        <v>72</v>
      </c>
      <c r="AC7" s="124" t="s">
        <v>5703</v>
      </c>
      <c r="AD7" s="125"/>
      <c r="AE7" s="124"/>
      <c r="AF7" s="219">
        <v>45107.650319201392</v>
      </c>
      <c r="AG7" s="175" t="s">
        <v>58</v>
      </c>
      <c r="AH7" s="275">
        <v>101</v>
      </c>
      <c r="AI7" s="275">
        <v>77</v>
      </c>
      <c r="AJ7" s="275" t="s">
        <v>5873</v>
      </c>
      <c r="AK7"/>
      <c r="AL7"/>
      <c r="AM7"/>
      <c r="AN7"/>
      <c r="AO7"/>
      <c r="AP7"/>
    </row>
    <row r="8" spans="1:42">
      <c r="A8" s="174">
        <f>COUNTA($J$5:J8)</f>
        <v>4</v>
      </c>
      <c r="B8" s="272" t="s">
        <v>4811</v>
      </c>
      <c r="C8" s="274" t="s">
        <v>3225</v>
      </c>
      <c r="D8" s="273" t="s">
        <v>41</v>
      </c>
      <c r="E8" s="273" t="s">
        <v>4665</v>
      </c>
      <c r="F8" s="273" t="s">
        <v>138</v>
      </c>
      <c r="G8" s="273">
        <v>44978</v>
      </c>
      <c r="H8" s="273">
        <v>42527</v>
      </c>
      <c r="I8" s="272" t="s">
        <v>38</v>
      </c>
      <c r="J8" s="273" t="s">
        <v>307</v>
      </c>
      <c r="K8" s="273" t="s">
        <v>1055</v>
      </c>
      <c r="L8" s="276">
        <v>600</v>
      </c>
      <c r="M8" s="273">
        <v>42892</v>
      </c>
      <c r="N8" s="273">
        <v>44978</v>
      </c>
      <c r="O8" s="277">
        <v>44984</v>
      </c>
      <c r="P8" s="277" t="s">
        <v>4836</v>
      </c>
      <c r="Q8" s="277"/>
      <c r="R8" s="277">
        <v>44984</v>
      </c>
      <c r="S8" s="277">
        <v>44984</v>
      </c>
      <c r="T8" s="277">
        <v>44978.789675925924</v>
      </c>
      <c r="U8" s="277" t="s">
        <v>4</v>
      </c>
      <c r="V8" s="277" t="s">
        <v>1681</v>
      </c>
      <c r="W8" s="278">
        <v>8</v>
      </c>
      <c r="X8" s="277" t="s">
        <v>4835</v>
      </c>
      <c r="Y8" s="277" t="s">
        <v>37</v>
      </c>
      <c r="Z8" s="277" t="s">
        <v>32</v>
      </c>
      <c r="AA8" s="277" t="s">
        <v>4840</v>
      </c>
      <c r="AB8" s="124" t="s">
        <v>5701</v>
      </c>
      <c r="AC8" s="124" t="s">
        <v>5520</v>
      </c>
      <c r="AD8" s="125"/>
      <c r="AE8" s="124"/>
      <c r="AF8" s="219">
        <v>45075.497667407406</v>
      </c>
      <c r="AG8" s="175" t="s">
        <v>22</v>
      </c>
      <c r="AH8" s="275">
        <v>98</v>
      </c>
      <c r="AI8" s="275">
        <v>94</v>
      </c>
      <c r="AJ8" s="275">
        <v>94</v>
      </c>
      <c r="AK8"/>
      <c r="AL8"/>
      <c r="AM8"/>
      <c r="AN8"/>
      <c r="AO8"/>
      <c r="AP8"/>
    </row>
    <row r="9" spans="1:42">
      <c r="A9" s="174">
        <f>COUNTA($J$5:J9)</f>
        <v>5</v>
      </c>
      <c r="B9" s="272" t="s">
        <v>4859</v>
      </c>
      <c r="C9" s="274" t="s">
        <v>3225</v>
      </c>
      <c r="D9" s="273" t="s">
        <v>41</v>
      </c>
      <c r="E9" s="273"/>
      <c r="F9" s="273" t="s">
        <v>138</v>
      </c>
      <c r="G9" s="273">
        <v>44985</v>
      </c>
      <c r="H9" s="273">
        <v>42508</v>
      </c>
      <c r="I9" s="272" t="s">
        <v>31</v>
      </c>
      <c r="J9" s="273" t="s">
        <v>4860</v>
      </c>
      <c r="K9" s="273" t="s">
        <v>1054</v>
      </c>
      <c r="L9" s="276">
        <v>4450</v>
      </c>
      <c r="M9" s="273">
        <v>42873</v>
      </c>
      <c r="N9" s="273">
        <v>44985</v>
      </c>
      <c r="O9" s="277"/>
      <c r="P9" s="277" t="s">
        <v>4868</v>
      </c>
      <c r="Q9" s="277"/>
      <c r="R9" s="277">
        <v>45000</v>
      </c>
      <c r="S9" s="277"/>
      <c r="T9" s="277">
        <v>44987.513009259259</v>
      </c>
      <c r="U9" s="277" t="s">
        <v>5</v>
      </c>
      <c r="V9" s="277" t="s">
        <v>1105</v>
      </c>
      <c r="W9" s="278">
        <v>11144</v>
      </c>
      <c r="X9" s="277" t="s">
        <v>4867</v>
      </c>
      <c r="Y9" s="277" t="s">
        <v>1114</v>
      </c>
      <c r="Z9" s="277" t="s">
        <v>3640</v>
      </c>
      <c r="AA9" s="277" t="s">
        <v>1774</v>
      </c>
      <c r="AB9" s="124" t="s">
        <v>72</v>
      </c>
      <c r="AC9" s="124" t="s">
        <v>5699</v>
      </c>
      <c r="AD9" s="125"/>
      <c r="AE9" s="124"/>
      <c r="AF9" s="219">
        <v>45075.502130162036</v>
      </c>
      <c r="AG9" s="175" t="s">
        <v>22</v>
      </c>
      <c r="AH9" s="275">
        <v>93</v>
      </c>
      <c r="AI9" s="275">
        <v>82</v>
      </c>
      <c r="AJ9" s="275" t="s">
        <v>5873</v>
      </c>
    </row>
    <row r="10" spans="1:42">
      <c r="A10" s="174">
        <f>COUNTA($J$5:J10)</f>
        <v>6</v>
      </c>
      <c r="B10" s="272" t="s">
        <v>4880</v>
      </c>
      <c r="C10" s="274" t="s">
        <v>3225</v>
      </c>
      <c r="D10" s="273" t="s">
        <v>4881</v>
      </c>
      <c r="E10" s="273"/>
      <c r="F10" s="273" t="s">
        <v>26</v>
      </c>
      <c r="G10" s="273">
        <v>44992</v>
      </c>
      <c r="H10" s="273">
        <v>39938</v>
      </c>
      <c r="I10" s="272" t="s">
        <v>4882</v>
      </c>
      <c r="J10" s="273" t="s">
        <v>4883</v>
      </c>
      <c r="K10" s="273" t="s">
        <v>1259</v>
      </c>
      <c r="L10" s="276">
        <v>530</v>
      </c>
      <c r="M10" s="273">
        <v>40303</v>
      </c>
      <c r="N10" s="273">
        <v>44992</v>
      </c>
      <c r="O10" s="277"/>
      <c r="P10" s="277" t="s">
        <v>4922</v>
      </c>
      <c r="Q10" s="277"/>
      <c r="R10" s="277">
        <v>44999</v>
      </c>
      <c r="S10" s="277"/>
      <c r="T10" s="277">
        <v>44992.730127314811</v>
      </c>
      <c r="U10" s="277" t="s">
        <v>3</v>
      </c>
      <c r="V10" s="277" t="s">
        <v>4884</v>
      </c>
      <c r="W10" s="278">
        <v>10777</v>
      </c>
      <c r="X10" s="277" t="s">
        <v>4919</v>
      </c>
      <c r="Y10" s="277"/>
      <c r="Z10" s="277" t="s">
        <v>39</v>
      </c>
      <c r="AA10" s="279" t="s">
        <v>1776</v>
      </c>
      <c r="AB10" s="124" t="s">
        <v>72</v>
      </c>
      <c r="AC10" s="124" t="s">
        <v>5699</v>
      </c>
      <c r="AD10" s="125"/>
      <c r="AE10" s="124"/>
      <c r="AF10" s="219">
        <v>45075.505072430555</v>
      </c>
      <c r="AG10" s="175" t="s">
        <v>22</v>
      </c>
      <c r="AH10" s="275">
        <v>88</v>
      </c>
      <c r="AI10" s="275">
        <v>83</v>
      </c>
      <c r="AJ10" s="275" t="s">
        <v>5873</v>
      </c>
    </row>
    <row r="11" spans="1:42">
      <c r="A11" s="174">
        <f>COUNTA($J$5:J11)</f>
        <v>7</v>
      </c>
      <c r="B11" s="272" t="s">
        <v>4885</v>
      </c>
      <c r="C11" s="274" t="s">
        <v>3225</v>
      </c>
      <c r="D11" s="273" t="s">
        <v>4881</v>
      </c>
      <c r="E11" s="273"/>
      <c r="F11" s="273" t="s">
        <v>26</v>
      </c>
      <c r="G11" s="273">
        <v>44992</v>
      </c>
      <c r="H11" s="273">
        <v>39938</v>
      </c>
      <c r="I11" s="272" t="s">
        <v>23</v>
      </c>
      <c r="J11" s="273" t="s">
        <v>4886</v>
      </c>
      <c r="K11" s="273" t="s">
        <v>1259</v>
      </c>
      <c r="L11" s="276">
        <v>530</v>
      </c>
      <c r="M11" s="273">
        <v>40303</v>
      </c>
      <c r="N11" s="273">
        <v>44992</v>
      </c>
      <c r="O11" s="277"/>
      <c r="P11" s="277" t="s">
        <v>4920</v>
      </c>
      <c r="Q11" s="277"/>
      <c r="R11" s="277">
        <v>44999</v>
      </c>
      <c r="S11" s="277"/>
      <c r="T11" s="277">
        <v>44992.757847222223</v>
      </c>
      <c r="U11" s="277" t="s">
        <v>3</v>
      </c>
      <c r="V11" s="277" t="s">
        <v>4887</v>
      </c>
      <c r="W11" s="278">
        <v>9168</v>
      </c>
      <c r="X11" s="277" t="s">
        <v>4921</v>
      </c>
      <c r="Y11" s="277"/>
      <c r="Z11" s="277" t="s">
        <v>39</v>
      </c>
      <c r="AA11" s="279" t="s">
        <v>1776</v>
      </c>
      <c r="AB11" s="124" t="s">
        <v>72</v>
      </c>
      <c r="AC11" s="124" t="s">
        <v>5699</v>
      </c>
      <c r="AD11" s="125"/>
      <c r="AE11" s="124"/>
      <c r="AF11" s="219">
        <v>45075.50526046296</v>
      </c>
      <c r="AG11" s="175" t="s">
        <v>22</v>
      </c>
      <c r="AH11" s="275">
        <v>88</v>
      </c>
      <c r="AI11" s="275">
        <v>83</v>
      </c>
      <c r="AJ11" s="275" t="s">
        <v>5873</v>
      </c>
    </row>
    <row r="12" spans="1:42">
      <c r="A12" s="174">
        <f>COUNTA($J$5:J12)</f>
        <v>8</v>
      </c>
      <c r="B12" s="272" t="s">
        <v>4948</v>
      </c>
      <c r="C12" s="274" t="s">
        <v>3224</v>
      </c>
      <c r="D12" s="273" t="s">
        <v>1212</v>
      </c>
      <c r="E12" s="273" t="s">
        <v>4706</v>
      </c>
      <c r="F12" s="273" t="s">
        <v>26</v>
      </c>
      <c r="G12" s="273">
        <v>45005</v>
      </c>
      <c r="H12" s="273">
        <v>43465</v>
      </c>
      <c r="I12" s="272" t="s">
        <v>56</v>
      </c>
      <c r="J12" s="273" t="s">
        <v>4949</v>
      </c>
      <c r="K12" s="273" t="s">
        <v>1054</v>
      </c>
      <c r="L12" s="276">
        <v>2500</v>
      </c>
      <c r="M12" s="273">
        <v>43830</v>
      </c>
      <c r="N12" s="273">
        <v>45005</v>
      </c>
      <c r="O12" s="277">
        <v>45020</v>
      </c>
      <c r="P12" s="277" t="s">
        <v>4993</v>
      </c>
      <c r="Q12" s="277"/>
      <c r="R12" s="277">
        <v>45008</v>
      </c>
      <c r="S12" s="277"/>
      <c r="T12" s="277">
        <v>45005.692071759258</v>
      </c>
      <c r="U12" s="277" t="s">
        <v>5</v>
      </c>
      <c r="V12" s="277" t="s">
        <v>1856</v>
      </c>
      <c r="W12" s="278">
        <v>1415</v>
      </c>
      <c r="X12" s="277" t="s">
        <v>4989</v>
      </c>
      <c r="Y12" s="277" t="s">
        <v>28</v>
      </c>
      <c r="Z12" s="277" t="s">
        <v>1741</v>
      </c>
      <c r="AA12" s="279"/>
      <c r="AB12" s="124" t="s">
        <v>72</v>
      </c>
      <c r="AC12" s="124" t="s">
        <v>5699</v>
      </c>
      <c r="AD12" s="125"/>
      <c r="AE12" s="124"/>
      <c r="AF12" s="219">
        <v>45075.506882488429</v>
      </c>
      <c r="AG12" s="175" t="s">
        <v>22</v>
      </c>
      <c r="AH12" s="275">
        <v>79</v>
      </c>
      <c r="AI12" s="275">
        <v>76</v>
      </c>
      <c r="AJ12" s="275" t="s">
        <v>5873</v>
      </c>
    </row>
    <row r="13" spans="1:42">
      <c r="A13" s="174">
        <f>COUNTA($J$5:J13)</f>
        <v>9</v>
      </c>
      <c r="B13" s="272" t="s">
        <v>4962</v>
      </c>
      <c r="C13" s="274" t="s">
        <v>3225</v>
      </c>
      <c r="D13" s="273" t="s">
        <v>2908</v>
      </c>
      <c r="E13" s="273"/>
      <c r="F13" s="273" t="s">
        <v>26</v>
      </c>
      <c r="G13" s="273">
        <v>45006</v>
      </c>
      <c r="H13" s="273">
        <v>43080</v>
      </c>
      <c r="I13" s="272" t="s">
        <v>55</v>
      </c>
      <c r="J13" s="273" t="s">
        <v>3708</v>
      </c>
      <c r="K13" s="273" t="s">
        <v>1055</v>
      </c>
      <c r="L13" s="276">
        <v>760</v>
      </c>
      <c r="M13" s="273">
        <v>43445</v>
      </c>
      <c r="N13" s="273">
        <v>45006</v>
      </c>
      <c r="O13" s="277">
        <v>45009</v>
      </c>
      <c r="P13" s="277" t="s">
        <v>5601</v>
      </c>
      <c r="Q13" s="277"/>
      <c r="R13" s="277">
        <v>45015</v>
      </c>
      <c r="S13" s="277"/>
      <c r="T13" s="277">
        <v>45008.4533912037</v>
      </c>
      <c r="U13" s="277" t="s">
        <v>3</v>
      </c>
      <c r="V13" s="277" t="s">
        <v>4963</v>
      </c>
      <c r="W13" s="278">
        <v>2075</v>
      </c>
      <c r="X13" s="277" t="s">
        <v>4990</v>
      </c>
      <c r="Y13" s="277" t="s">
        <v>24</v>
      </c>
      <c r="Z13" s="277" t="s">
        <v>39</v>
      </c>
      <c r="AA13" s="279" t="s">
        <v>1776</v>
      </c>
      <c r="AB13" s="124" t="s">
        <v>72</v>
      </c>
      <c r="AC13" s="124" t="s">
        <v>5699</v>
      </c>
      <c r="AD13" s="125"/>
      <c r="AE13" s="124"/>
      <c r="AF13" s="219">
        <v>45075.507504930552</v>
      </c>
      <c r="AG13" s="175" t="s">
        <v>22</v>
      </c>
      <c r="AH13" s="275">
        <v>78</v>
      </c>
      <c r="AI13" s="275">
        <v>71</v>
      </c>
      <c r="AJ13" s="275" t="s">
        <v>5873</v>
      </c>
    </row>
    <row r="14" spans="1:42">
      <c r="A14" s="174">
        <f>COUNTA($J$5:J14)</f>
        <v>10</v>
      </c>
      <c r="B14" s="272" t="s">
        <v>4965</v>
      </c>
      <c r="C14" s="274" t="s">
        <v>3225</v>
      </c>
      <c r="D14" s="273" t="s">
        <v>69</v>
      </c>
      <c r="E14" s="273" t="s">
        <v>4706</v>
      </c>
      <c r="F14" s="273" t="s">
        <v>26</v>
      </c>
      <c r="G14" s="273">
        <v>45006</v>
      </c>
      <c r="H14" s="273">
        <v>41589</v>
      </c>
      <c r="I14" s="272" t="s">
        <v>20</v>
      </c>
      <c r="J14" s="273" t="s">
        <v>4966</v>
      </c>
      <c r="K14" s="273" t="s">
        <v>43</v>
      </c>
      <c r="L14" s="276">
        <v>530</v>
      </c>
      <c r="M14" s="273"/>
      <c r="N14" s="273">
        <v>45008</v>
      </c>
      <c r="O14" s="277">
        <v>45009</v>
      </c>
      <c r="P14" s="277" t="s">
        <v>4991</v>
      </c>
      <c r="Q14" s="277"/>
      <c r="R14" s="277">
        <v>45030</v>
      </c>
      <c r="S14" s="277"/>
      <c r="T14" s="277">
        <v>45008.747175925928</v>
      </c>
      <c r="U14" s="277" t="s">
        <v>3</v>
      </c>
      <c r="V14" s="277" t="s">
        <v>4967</v>
      </c>
      <c r="W14" s="278">
        <v>1170</v>
      </c>
      <c r="X14" s="277" t="s">
        <v>4992</v>
      </c>
      <c r="Y14" s="277" t="s">
        <v>22</v>
      </c>
      <c r="Z14" s="277" t="s">
        <v>39</v>
      </c>
      <c r="AA14" s="279" t="s">
        <v>1776</v>
      </c>
      <c r="AB14" s="124" t="s">
        <v>72</v>
      </c>
      <c r="AC14" s="124" t="s">
        <v>5699</v>
      </c>
      <c r="AD14" s="125"/>
      <c r="AE14" s="124"/>
      <c r="AF14" s="219">
        <v>45075.507773576392</v>
      </c>
      <c r="AG14" s="175" t="s">
        <v>22</v>
      </c>
      <c r="AH14" s="275">
        <v>76</v>
      </c>
      <c r="AI14" s="275">
        <v>60</v>
      </c>
      <c r="AJ14" s="275" t="s">
        <v>5873</v>
      </c>
    </row>
    <row r="15" spans="1:42">
      <c r="A15" s="174">
        <f>COUNTA($J$5:J15)</f>
        <v>11</v>
      </c>
      <c r="B15" s="272" t="s">
        <v>4984</v>
      </c>
      <c r="C15" s="274" t="s">
        <v>1729</v>
      </c>
      <c r="D15" s="273" t="s">
        <v>45</v>
      </c>
      <c r="E15" s="273"/>
      <c r="F15" s="273" t="s">
        <v>26</v>
      </c>
      <c r="G15" s="273">
        <v>45007</v>
      </c>
      <c r="H15" s="273">
        <v>42956</v>
      </c>
      <c r="I15" s="272" t="s">
        <v>1181</v>
      </c>
      <c r="J15" s="273" t="s">
        <v>2771</v>
      </c>
      <c r="K15" s="273" t="s">
        <v>1055</v>
      </c>
      <c r="L15" s="276">
        <v>590</v>
      </c>
      <c r="M15" s="273">
        <v>43321</v>
      </c>
      <c r="N15" s="273">
        <v>45013.421678240738</v>
      </c>
      <c r="O15" s="277">
        <v>45020</v>
      </c>
      <c r="P15" s="277" t="s">
        <v>5049</v>
      </c>
      <c r="Q15" s="277"/>
      <c r="R15" s="277" t="s">
        <v>70</v>
      </c>
      <c r="S15" s="277"/>
      <c r="T15" s="277">
        <v>45013.437673611108</v>
      </c>
      <c r="U15" s="277" t="s">
        <v>3</v>
      </c>
      <c r="V15" s="277" t="s">
        <v>5364</v>
      </c>
      <c r="W15" s="278">
        <v>1176</v>
      </c>
      <c r="X15" s="277" t="s">
        <v>5048</v>
      </c>
      <c r="Y15" s="277" t="s">
        <v>24</v>
      </c>
      <c r="Z15" s="277" t="s">
        <v>312</v>
      </c>
      <c r="AA15" s="277" t="s">
        <v>5945</v>
      </c>
      <c r="AB15" s="124" t="s">
        <v>4940</v>
      </c>
      <c r="AC15" s="124"/>
      <c r="AD15" s="125" t="s">
        <v>1074</v>
      </c>
      <c r="AE15" s="124"/>
      <c r="AF15" s="219">
        <v>45113.797084050922</v>
      </c>
      <c r="AG15" s="175" t="s">
        <v>24</v>
      </c>
      <c r="AH15" s="275">
        <v>77</v>
      </c>
      <c r="AI15" s="275" t="s">
        <v>5873</v>
      </c>
      <c r="AJ15" s="275" t="s">
        <v>5873</v>
      </c>
    </row>
    <row r="16" spans="1:42">
      <c r="A16" s="174">
        <f>COUNTA($J$5:J16)</f>
        <v>12</v>
      </c>
      <c r="B16" s="272" t="s">
        <v>5025</v>
      </c>
      <c r="C16" s="274" t="s">
        <v>3224</v>
      </c>
      <c r="D16" s="273" t="s">
        <v>44</v>
      </c>
      <c r="E16" s="273" t="s">
        <v>4665</v>
      </c>
      <c r="F16" s="273" t="s">
        <v>138</v>
      </c>
      <c r="G16" s="273">
        <v>45008</v>
      </c>
      <c r="H16" s="273">
        <v>42774</v>
      </c>
      <c r="I16" s="272" t="s">
        <v>1279</v>
      </c>
      <c r="J16" s="273" t="s">
        <v>5026</v>
      </c>
      <c r="K16" s="273" t="s">
        <v>1054</v>
      </c>
      <c r="L16" s="276">
        <v>7000</v>
      </c>
      <c r="M16" s="273">
        <v>43139</v>
      </c>
      <c r="N16" s="273">
        <v>45008.820173611108</v>
      </c>
      <c r="O16" s="277">
        <v>45021</v>
      </c>
      <c r="P16" s="277" t="s">
        <v>5063</v>
      </c>
      <c r="Q16" s="277"/>
      <c r="R16" s="277">
        <v>45030</v>
      </c>
      <c r="S16" s="277"/>
      <c r="T16" s="277">
        <v>45016.518078703702</v>
      </c>
      <c r="U16" s="277" t="s">
        <v>5</v>
      </c>
      <c r="V16" s="277" t="s">
        <v>1105</v>
      </c>
      <c r="W16" s="278">
        <v>5495</v>
      </c>
      <c r="X16" s="277" t="s">
        <v>5043</v>
      </c>
      <c r="Y16" s="277" t="s">
        <v>1114</v>
      </c>
      <c r="Z16" s="277" t="s">
        <v>1068</v>
      </c>
      <c r="AA16" s="279" t="s">
        <v>5870</v>
      </c>
      <c r="AB16" s="124" t="s">
        <v>72</v>
      </c>
      <c r="AC16" s="124" t="s">
        <v>5520</v>
      </c>
      <c r="AD16" s="125"/>
      <c r="AE16" s="124"/>
      <c r="AF16" s="219">
        <v>45103.550005844911</v>
      </c>
      <c r="AG16" s="175" t="s">
        <v>58</v>
      </c>
      <c r="AH16" s="275">
        <v>76</v>
      </c>
      <c r="AI16" s="275">
        <v>60</v>
      </c>
      <c r="AJ16" s="275" t="s">
        <v>5873</v>
      </c>
    </row>
    <row r="17" spans="1:36">
      <c r="A17" s="174">
        <f>COUNTA($J$5:J17)</f>
        <v>13</v>
      </c>
      <c r="B17" s="272" t="s">
        <v>5012</v>
      </c>
      <c r="C17" s="274" t="s">
        <v>3225</v>
      </c>
      <c r="D17" s="273" t="s">
        <v>2802</v>
      </c>
      <c r="E17" s="273" t="s">
        <v>4665</v>
      </c>
      <c r="F17" s="273" t="s">
        <v>26</v>
      </c>
      <c r="G17" s="273">
        <v>45012</v>
      </c>
      <c r="H17" s="273">
        <v>43823</v>
      </c>
      <c r="I17" s="272" t="s">
        <v>1151</v>
      </c>
      <c r="J17" s="273" t="s">
        <v>4660</v>
      </c>
      <c r="K17" s="273" t="s">
        <v>1055</v>
      </c>
      <c r="L17" s="276">
        <v>720</v>
      </c>
      <c r="M17" s="273">
        <v>44189</v>
      </c>
      <c r="N17" s="273">
        <v>45013</v>
      </c>
      <c r="O17" s="277">
        <v>45020</v>
      </c>
      <c r="P17" s="277" t="s">
        <v>5602</v>
      </c>
      <c r="Q17" s="277"/>
      <c r="R17" s="277">
        <v>45014</v>
      </c>
      <c r="S17" s="277"/>
      <c r="T17" s="277">
        <v>45013.469189814816</v>
      </c>
      <c r="U17" s="277" t="s">
        <v>3</v>
      </c>
      <c r="V17" s="277" t="s">
        <v>5013</v>
      </c>
      <c r="W17" s="278">
        <v>4875</v>
      </c>
      <c r="X17" s="277" t="s">
        <v>5044</v>
      </c>
      <c r="Y17" s="277" t="s">
        <v>110</v>
      </c>
      <c r="Z17" s="277" t="s">
        <v>39</v>
      </c>
      <c r="AA17" s="279" t="s">
        <v>1776</v>
      </c>
      <c r="AB17" s="124" t="s">
        <v>72</v>
      </c>
      <c r="AC17" s="124" t="s">
        <v>5699</v>
      </c>
      <c r="AD17" s="125"/>
      <c r="AE17" s="124"/>
      <c r="AF17" s="219">
        <v>45075.515569293981</v>
      </c>
      <c r="AG17" s="175" t="s">
        <v>22</v>
      </c>
      <c r="AH17" s="275">
        <v>73</v>
      </c>
      <c r="AI17" s="275">
        <v>72</v>
      </c>
      <c r="AJ17" s="275" t="s">
        <v>5873</v>
      </c>
    </row>
    <row r="18" spans="1:36">
      <c r="A18" s="174">
        <f>COUNTA($J$5:J18)</f>
        <v>14</v>
      </c>
      <c r="B18" s="272" t="s">
        <v>5014</v>
      </c>
      <c r="C18" s="274" t="s">
        <v>3224</v>
      </c>
      <c r="D18" s="273" t="s">
        <v>2396</v>
      </c>
      <c r="E18" s="273" t="s">
        <v>4706</v>
      </c>
      <c r="F18" s="273" t="s">
        <v>26</v>
      </c>
      <c r="G18" s="273">
        <v>45014</v>
      </c>
      <c r="H18" s="273">
        <v>43344</v>
      </c>
      <c r="I18" s="272" t="s">
        <v>60</v>
      </c>
      <c r="J18" s="273" t="s">
        <v>2723</v>
      </c>
      <c r="K18" s="273" t="s">
        <v>1055</v>
      </c>
      <c r="L18" s="276">
        <v>760</v>
      </c>
      <c r="M18" s="273">
        <v>43709</v>
      </c>
      <c r="N18" s="273">
        <v>45014.486226851855</v>
      </c>
      <c r="O18" s="277">
        <v>45020</v>
      </c>
      <c r="P18" s="277" t="s">
        <v>5045</v>
      </c>
      <c r="Q18" s="277"/>
      <c r="R18" s="277">
        <v>45014</v>
      </c>
      <c r="S18" s="277"/>
      <c r="T18" s="277">
        <v>45014.494583333333</v>
      </c>
      <c r="U18" s="277" t="s">
        <v>3</v>
      </c>
      <c r="V18" s="277" t="s">
        <v>5015</v>
      </c>
      <c r="W18" s="278">
        <v>1920</v>
      </c>
      <c r="X18" s="277" t="s">
        <v>5046</v>
      </c>
      <c r="Y18" s="277" t="s">
        <v>24</v>
      </c>
      <c r="Z18" s="277" t="s">
        <v>39</v>
      </c>
      <c r="AA18" s="279" t="s">
        <v>1776</v>
      </c>
      <c r="AB18" s="124" t="s">
        <v>72</v>
      </c>
      <c r="AC18" s="124" t="s">
        <v>5699</v>
      </c>
      <c r="AD18" s="125"/>
      <c r="AE18" s="124"/>
      <c r="AF18" s="219">
        <v>45105.43150796296</v>
      </c>
      <c r="AG18" s="175" t="s">
        <v>22</v>
      </c>
      <c r="AH18" s="275">
        <v>72</v>
      </c>
      <c r="AI18" s="275">
        <v>72</v>
      </c>
      <c r="AJ18" s="275" t="s">
        <v>5873</v>
      </c>
    </row>
    <row r="19" spans="1:36">
      <c r="A19" s="174">
        <f>COUNTA($J$5:J19)</f>
        <v>15</v>
      </c>
      <c r="B19" s="272" t="s">
        <v>5031</v>
      </c>
      <c r="C19" s="274" t="s">
        <v>1729</v>
      </c>
      <c r="D19" s="273" t="s">
        <v>45</v>
      </c>
      <c r="E19" s="273"/>
      <c r="F19" s="273" t="s">
        <v>138</v>
      </c>
      <c r="G19" s="273">
        <v>45015</v>
      </c>
      <c r="H19" s="273"/>
      <c r="I19" s="272" t="s">
        <v>29</v>
      </c>
      <c r="J19" s="273" t="s">
        <v>3612</v>
      </c>
      <c r="K19" s="273" t="s">
        <v>1055</v>
      </c>
      <c r="L19" s="276">
        <v>530</v>
      </c>
      <c r="M19" s="273">
        <v>43910</v>
      </c>
      <c r="N19" s="273">
        <v>45015</v>
      </c>
      <c r="O19" s="277">
        <v>45026</v>
      </c>
      <c r="P19" s="277" t="s">
        <v>5100</v>
      </c>
      <c r="Q19" s="277"/>
      <c r="R19" s="277" t="s">
        <v>70</v>
      </c>
      <c r="S19" s="277"/>
      <c r="T19" s="277">
        <v>45020.773136574076</v>
      </c>
      <c r="U19" s="277" t="s">
        <v>3</v>
      </c>
      <c r="V19" s="277" t="s">
        <v>5366</v>
      </c>
      <c r="W19" s="278">
        <v>2490</v>
      </c>
      <c r="X19" s="277" t="s">
        <v>5098</v>
      </c>
      <c r="Y19" s="277" t="s">
        <v>1132</v>
      </c>
      <c r="Z19" s="277" t="s">
        <v>32</v>
      </c>
      <c r="AA19" s="277" t="s">
        <v>5643</v>
      </c>
      <c r="AB19" s="124" t="s">
        <v>72</v>
      </c>
      <c r="AC19" s="124" t="s">
        <v>5700</v>
      </c>
      <c r="AD19" s="125"/>
      <c r="AE19" s="124"/>
      <c r="AF19" s="219">
        <v>45083.469110115744</v>
      </c>
      <c r="AG19" s="175" t="s">
        <v>5521</v>
      </c>
      <c r="AH19" s="275">
        <v>71</v>
      </c>
      <c r="AI19" s="275" t="s">
        <v>5873</v>
      </c>
      <c r="AJ19" s="275" t="s">
        <v>5873</v>
      </c>
    </row>
    <row r="20" spans="1:36">
      <c r="A20" s="174">
        <f>COUNTA($J$5:J20)</f>
        <v>16</v>
      </c>
      <c r="B20" s="272" t="s">
        <v>5036</v>
      </c>
      <c r="C20" s="274" t="s">
        <v>3224</v>
      </c>
      <c r="D20" s="273" t="s">
        <v>5037</v>
      </c>
      <c r="E20" s="273"/>
      <c r="F20" s="273" t="s">
        <v>138</v>
      </c>
      <c r="G20" s="273">
        <v>45015</v>
      </c>
      <c r="H20" s="273">
        <v>42671</v>
      </c>
      <c r="I20" s="272" t="s">
        <v>31</v>
      </c>
      <c r="J20" s="273" t="s">
        <v>5038</v>
      </c>
      <c r="K20" s="273" t="s">
        <v>1054</v>
      </c>
      <c r="L20" s="276">
        <v>4450</v>
      </c>
      <c r="M20" s="273">
        <v>43036</v>
      </c>
      <c r="N20" s="273">
        <v>45015</v>
      </c>
      <c r="O20" s="277"/>
      <c r="P20" s="277" t="s">
        <v>5127</v>
      </c>
      <c r="Q20" s="277"/>
      <c r="R20" s="277">
        <v>45027</v>
      </c>
      <c r="S20" s="277"/>
      <c r="T20" s="277">
        <v>45020.753831018519</v>
      </c>
      <c r="U20" s="277" t="s">
        <v>5</v>
      </c>
      <c r="V20" s="277" t="s">
        <v>1105</v>
      </c>
      <c r="W20" s="278">
        <v>11144</v>
      </c>
      <c r="X20" s="277" t="s">
        <v>5114</v>
      </c>
      <c r="Y20" s="277" t="s">
        <v>134</v>
      </c>
      <c r="Z20" s="277" t="s">
        <v>3640</v>
      </c>
      <c r="AA20" s="279" t="s">
        <v>1774</v>
      </c>
      <c r="AB20" s="124" t="s">
        <v>72</v>
      </c>
      <c r="AC20" s="124" t="s">
        <v>5699</v>
      </c>
      <c r="AD20" s="125"/>
      <c r="AE20" s="124"/>
      <c r="AF20" s="219">
        <v>45075.518005509257</v>
      </c>
      <c r="AG20" s="175" t="s">
        <v>22</v>
      </c>
      <c r="AH20" s="275">
        <v>71</v>
      </c>
      <c r="AI20" s="275">
        <v>63</v>
      </c>
      <c r="AJ20" s="275" t="s">
        <v>5873</v>
      </c>
    </row>
    <row r="21" spans="1:36">
      <c r="A21" s="174">
        <f>COUNTA($J$5:J21)</f>
        <v>17</v>
      </c>
      <c r="B21" s="272" t="s">
        <v>5075</v>
      </c>
      <c r="C21" s="274" t="s">
        <v>3224</v>
      </c>
      <c r="D21" s="273" t="s">
        <v>2371</v>
      </c>
      <c r="E21" s="273"/>
      <c r="F21" s="273" t="s">
        <v>138</v>
      </c>
      <c r="G21" s="273">
        <v>45019</v>
      </c>
      <c r="H21" s="273">
        <v>44497</v>
      </c>
      <c r="I21" s="272" t="s">
        <v>3566</v>
      </c>
      <c r="J21" s="273" t="s">
        <v>3567</v>
      </c>
      <c r="K21" s="273" t="s">
        <v>1055</v>
      </c>
      <c r="L21" s="276">
        <v>600</v>
      </c>
      <c r="M21" s="273">
        <v>44862</v>
      </c>
      <c r="N21" s="273">
        <v>45022</v>
      </c>
      <c r="O21" s="277">
        <v>45029</v>
      </c>
      <c r="P21" s="277" t="s">
        <v>5603</v>
      </c>
      <c r="Q21" s="277"/>
      <c r="R21" s="277">
        <v>45030</v>
      </c>
      <c r="S21" s="277">
        <v>45061</v>
      </c>
      <c r="T21" s="277">
        <v>45027.537974537037</v>
      </c>
      <c r="U21" s="277" t="s">
        <v>3</v>
      </c>
      <c r="V21" s="277" t="s">
        <v>21</v>
      </c>
      <c r="W21" s="278">
        <v>10787</v>
      </c>
      <c r="X21" s="277" t="s">
        <v>5129</v>
      </c>
      <c r="Y21" s="277" t="s">
        <v>37</v>
      </c>
      <c r="Z21" s="277" t="s">
        <v>32</v>
      </c>
      <c r="AA21" s="277" t="s">
        <v>5642</v>
      </c>
      <c r="AB21" s="124" t="s">
        <v>72</v>
      </c>
      <c r="AC21" s="124" t="s">
        <v>5700</v>
      </c>
      <c r="AD21" s="125"/>
      <c r="AE21" s="124"/>
      <c r="AF21" s="219">
        <v>45082.45138215278</v>
      </c>
      <c r="AG21" s="175" t="s">
        <v>5521</v>
      </c>
      <c r="AH21" s="275">
        <v>66</v>
      </c>
      <c r="AI21" s="275">
        <v>60</v>
      </c>
      <c r="AJ21" s="275">
        <v>39</v>
      </c>
    </row>
    <row r="22" spans="1:36">
      <c r="A22" s="174">
        <f>COUNTA($J$5:J22)</f>
        <v>18</v>
      </c>
      <c r="B22" s="272" t="s">
        <v>5078</v>
      </c>
      <c r="C22" s="274" t="s">
        <v>1729</v>
      </c>
      <c r="D22" s="273" t="s">
        <v>48</v>
      </c>
      <c r="E22" s="273"/>
      <c r="F22" s="273" t="s">
        <v>138</v>
      </c>
      <c r="G22" s="273">
        <v>45019</v>
      </c>
      <c r="H22" s="273">
        <v>41835</v>
      </c>
      <c r="I22" s="272" t="s">
        <v>2967</v>
      </c>
      <c r="J22" s="273" t="s">
        <v>172</v>
      </c>
      <c r="K22" s="273" t="s">
        <v>5079</v>
      </c>
      <c r="L22" s="276">
        <v>580</v>
      </c>
      <c r="M22" s="273">
        <v>42201</v>
      </c>
      <c r="N22" s="273">
        <v>45019</v>
      </c>
      <c r="O22" s="277">
        <v>45042</v>
      </c>
      <c r="P22" s="277" t="s">
        <v>5211</v>
      </c>
      <c r="Q22" s="277"/>
      <c r="R22" s="277" t="s">
        <v>70</v>
      </c>
      <c r="S22" s="277"/>
      <c r="T22" s="277">
        <v>45027.55741898148</v>
      </c>
      <c r="U22" s="277" t="s">
        <v>3</v>
      </c>
      <c r="V22" s="277" t="s">
        <v>5367</v>
      </c>
      <c r="W22" s="278">
        <v>907</v>
      </c>
      <c r="X22" s="277" t="s">
        <v>5194</v>
      </c>
      <c r="Y22" s="277" t="s">
        <v>1132</v>
      </c>
      <c r="Z22" s="277" t="s">
        <v>32</v>
      </c>
      <c r="AA22" s="277" t="s">
        <v>5643</v>
      </c>
      <c r="AB22" s="124" t="s">
        <v>72</v>
      </c>
      <c r="AC22" s="124" t="s">
        <v>5700</v>
      </c>
      <c r="AD22" s="125"/>
      <c r="AE22" s="124"/>
      <c r="AF22" s="219">
        <v>45083.469476736114</v>
      </c>
      <c r="AG22" s="175" t="s">
        <v>5521</v>
      </c>
      <c r="AH22" s="275">
        <v>69</v>
      </c>
      <c r="AI22" s="275" t="s">
        <v>5873</v>
      </c>
      <c r="AJ22" s="275" t="s">
        <v>5873</v>
      </c>
    </row>
    <row r="23" spans="1:36">
      <c r="A23" s="174">
        <f>COUNTA($J$5:J23)</f>
        <v>19</v>
      </c>
      <c r="B23" s="272" t="s">
        <v>5069</v>
      </c>
      <c r="C23" s="274" t="s">
        <v>3225</v>
      </c>
      <c r="D23" s="273" t="s">
        <v>41</v>
      </c>
      <c r="E23" s="273" t="s">
        <v>4665</v>
      </c>
      <c r="F23" s="273" t="s">
        <v>138</v>
      </c>
      <c r="G23" s="273">
        <v>45020</v>
      </c>
      <c r="H23" s="273">
        <v>43994</v>
      </c>
      <c r="I23" s="272" t="s">
        <v>34</v>
      </c>
      <c r="J23" s="273" t="s">
        <v>1290</v>
      </c>
      <c r="K23" s="273" t="s">
        <v>43</v>
      </c>
      <c r="L23" s="276">
        <v>600</v>
      </c>
      <c r="M23" s="273">
        <v>44360</v>
      </c>
      <c r="N23" s="273">
        <v>45020</v>
      </c>
      <c r="O23" s="277">
        <v>45026</v>
      </c>
      <c r="P23" s="277" t="s">
        <v>5101</v>
      </c>
      <c r="Q23" s="277"/>
      <c r="R23" s="277">
        <v>45027</v>
      </c>
      <c r="S23" s="277"/>
      <c r="T23" s="277">
        <v>45022.575636574074</v>
      </c>
      <c r="U23" s="277" t="s">
        <v>3</v>
      </c>
      <c r="V23" s="277" t="s">
        <v>5070</v>
      </c>
      <c r="W23" s="278">
        <v>3495</v>
      </c>
      <c r="X23" s="277" t="s">
        <v>5099</v>
      </c>
      <c r="Y23" s="277" t="s">
        <v>37</v>
      </c>
      <c r="Z23" s="277" t="s">
        <v>39</v>
      </c>
      <c r="AA23" s="279" t="s">
        <v>1776</v>
      </c>
      <c r="AB23" s="124" t="s">
        <v>72</v>
      </c>
      <c r="AC23" s="124" t="s">
        <v>5699</v>
      </c>
      <c r="AD23" s="125"/>
      <c r="AE23" s="124"/>
      <c r="AF23" s="219">
        <v>45075.520166006943</v>
      </c>
      <c r="AG23" s="175" t="s">
        <v>22</v>
      </c>
      <c r="AH23" s="275">
        <v>68</v>
      </c>
      <c r="AI23" s="275">
        <v>63</v>
      </c>
      <c r="AJ23" s="275" t="s">
        <v>5873</v>
      </c>
    </row>
    <row r="24" spans="1:36">
      <c r="A24" s="174">
        <f>COUNTA($J$5:J24)</f>
        <v>20</v>
      </c>
      <c r="B24" s="272" t="s">
        <v>5086</v>
      </c>
      <c r="C24" s="274" t="s">
        <v>3224</v>
      </c>
      <c r="D24" s="273" t="s">
        <v>1689</v>
      </c>
      <c r="E24" s="273" t="s">
        <v>3484</v>
      </c>
      <c r="F24" s="273" t="s">
        <v>138</v>
      </c>
      <c r="G24" s="273">
        <v>45021</v>
      </c>
      <c r="H24" s="273">
        <v>43536</v>
      </c>
      <c r="I24" s="272" t="s">
        <v>40</v>
      </c>
      <c r="J24" s="273" t="s">
        <v>5087</v>
      </c>
      <c r="K24" s="273" t="s">
        <v>43</v>
      </c>
      <c r="L24" s="276">
        <v>530</v>
      </c>
      <c r="M24" s="273">
        <v>43902</v>
      </c>
      <c r="N24" s="273">
        <v>45021</v>
      </c>
      <c r="O24" s="277">
        <v>45042</v>
      </c>
      <c r="P24" s="277" t="s">
        <v>5212</v>
      </c>
      <c r="Q24" s="277"/>
      <c r="R24" s="277">
        <v>45021</v>
      </c>
      <c r="S24" s="277"/>
      <c r="T24" s="277">
        <v>45034.43954861111</v>
      </c>
      <c r="U24" s="277" t="s">
        <v>3</v>
      </c>
      <c r="V24" s="277" t="s">
        <v>5369</v>
      </c>
      <c r="W24" s="278">
        <v>6918</v>
      </c>
      <c r="X24" s="277" t="s">
        <v>5270</v>
      </c>
      <c r="Y24" s="277" t="s">
        <v>1114</v>
      </c>
      <c r="Z24" s="277" t="s">
        <v>39</v>
      </c>
      <c r="AA24" s="279" t="s">
        <v>1776</v>
      </c>
      <c r="AB24" s="124" t="s">
        <v>72</v>
      </c>
      <c r="AC24" s="124" t="s">
        <v>5699</v>
      </c>
      <c r="AD24" s="125"/>
      <c r="AE24" s="124"/>
      <c r="AF24" s="219">
        <v>45075.520382905095</v>
      </c>
      <c r="AG24" s="175" t="s">
        <v>22</v>
      </c>
      <c r="AH24" s="275">
        <v>67</v>
      </c>
      <c r="AI24" s="275">
        <v>67</v>
      </c>
      <c r="AJ24" s="275" t="s">
        <v>5873</v>
      </c>
    </row>
    <row r="25" spans="1:36">
      <c r="A25" s="174">
        <f>COUNTA($J$5:J25)</f>
        <v>21</v>
      </c>
      <c r="B25" s="272" t="s">
        <v>5088</v>
      </c>
      <c r="C25" s="274" t="s">
        <v>5089</v>
      </c>
      <c r="D25" s="273" t="s">
        <v>1294</v>
      </c>
      <c r="E25" s="273"/>
      <c r="F25" s="273" t="s">
        <v>138</v>
      </c>
      <c r="G25" s="273">
        <v>45022</v>
      </c>
      <c r="H25" s="273">
        <v>44098</v>
      </c>
      <c r="I25" s="272" t="s">
        <v>1115</v>
      </c>
      <c r="J25" s="273" t="s">
        <v>2796</v>
      </c>
      <c r="K25" s="273" t="s">
        <v>1055</v>
      </c>
      <c r="L25" s="276">
        <v>530</v>
      </c>
      <c r="M25" s="273">
        <v>44463</v>
      </c>
      <c r="N25" s="273">
        <v>45022</v>
      </c>
      <c r="O25" s="277">
        <v>45034</v>
      </c>
      <c r="P25" s="277" t="s">
        <v>5160</v>
      </c>
      <c r="Q25" s="277"/>
      <c r="R25" s="277">
        <v>45036</v>
      </c>
      <c r="S25" s="277"/>
      <c r="T25" s="277">
        <v>45030.776122685187</v>
      </c>
      <c r="U25" s="277" t="s">
        <v>3</v>
      </c>
      <c r="V25" s="277" t="s">
        <v>5370</v>
      </c>
      <c r="W25" s="278">
        <v>6995</v>
      </c>
      <c r="X25" s="277" t="s">
        <v>5155</v>
      </c>
      <c r="Y25" s="277" t="s">
        <v>37</v>
      </c>
      <c r="Z25" s="277" t="s">
        <v>39</v>
      </c>
      <c r="AA25" s="279" t="s">
        <v>1776</v>
      </c>
      <c r="AB25" s="124" t="s">
        <v>72</v>
      </c>
      <c r="AC25" s="124" t="s">
        <v>5699</v>
      </c>
      <c r="AD25" s="125"/>
      <c r="AE25" s="124"/>
      <c r="AF25" s="219">
        <v>45075.520586250001</v>
      </c>
      <c r="AG25" s="175" t="s">
        <v>22</v>
      </c>
      <c r="AH25" s="275">
        <v>66</v>
      </c>
      <c r="AI25" s="275">
        <v>56</v>
      </c>
      <c r="AJ25" s="275" t="s">
        <v>5873</v>
      </c>
    </row>
    <row r="26" spans="1:36">
      <c r="A26" s="174">
        <f>COUNTA($J$5:J26)</f>
        <v>22</v>
      </c>
      <c r="B26" s="272" t="s">
        <v>5120</v>
      </c>
      <c r="C26" s="274" t="s">
        <v>3225</v>
      </c>
      <c r="D26" s="273" t="s">
        <v>78</v>
      </c>
      <c r="E26" s="273" t="s">
        <v>2985</v>
      </c>
      <c r="F26" s="273" t="s">
        <v>138</v>
      </c>
      <c r="G26" s="273">
        <v>45027</v>
      </c>
      <c r="H26" s="273">
        <v>43891</v>
      </c>
      <c r="I26" s="272" t="s">
        <v>53</v>
      </c>
      <c r="J26" s="273" t="s">
        <v>1169</v>
      </c>
      <c r="K26" s="273" t="s">
        <v>43</v>
      </c>
      <c r="L26" s="276">
        <v>760</v>
      </c>
      <c r="M26" s="273">
        <v>44256</v>
      </c>
      <c r="N26" s="273">
        <v>45027</v>
      </c>
      <c r="O26" s="277">
        <v>45036</v>
      </c>
      <c r="P26" s="277" t="s">
        <v>5185</v>
      </c>
      <c r="Q26" s="277"/>
      <c r="R26" s="277">
        <v>45044</v>
      </c>
      <c r="S26" s="277"/>
      <c r="T26" s="277">
        <v>45030.752847222226</v>
      </c>
      <c r="U26" s="277" t="s">
        <v>3</v>
      </c>
      <c r="V26" s="277" t="s">
        <v>5372</v>
      </c>
      <c r="W26" s="278">
        <v>6238</v>
      </c>
      <c r="X26" s="277" t="s">
        <v>5166</v>
      </c>
      <c r="Y26" s="277" t="s">
        <v>1132</v>
      </c>
      <c r="Z26" s="277" t="s">
        <v>39</v>
      </c>
      <c r="AA26" s="279" t="s">
        <v>1776</v>
      </c>
      <c r="AB26" s="124" t="s">
        <v>72</v>
      </c>
      <c r="AC26" s="124" t="s">
        <v>5699</v>
      </c>
      <c r="AD26" s="125"/>
      <c r="AE26" s="124"/>
      <c r="AF26" s="219">
        <v>45075.521670486109</v>
      </c>
      <c r="AG26" s="175" t="s">
        <v>22</v>
      </c>
      <c r="AH26" s="275">
        <v>63</v>
      </c>
      <c r="AI26" s="275">
        <v>50</v>
      </c>
      <c r="AJ26" s="275" t="s">
        <v>5873</v>
      </c>
    </row>
    <row r="27" spans="1:36">
      <c r="A27" s="174">
        <f>COUNTA($J$5:J27)</f>
        <v>23</v>
      </c>
      <c r="B27" s="272" t="s">
        <v>5121</v>
      </c>
      <c r="C27" s="274" t="s">
        <v>3225</v>
      </c>
      <c r="D27" s="273" t="s">
        <v>78</v>
      </c>
      <c r="E27" s="273" t="s">
        <v>2985</v>
      </c>
      <c r="F27" s="273" t="s">
        <v>138</v>
      </c>
      <c r="G27" s="273">
        <v>45027</v>
      </c>
      <c r="H27" s="273">
        <v>43891</v>
      </c>
      <c r="I27" s="272" t="s">
        <v>55</v>
      </c>
      <c r="J27" s="273" t="s">
        <v>1140</v>
      </c>
      <c r="K27" s="273" t="s">
        <v>1055</v>
      </c>
      <c r="L27" s="276">
        <v>760</v>
      </c>
      <c r="M27" s="273">
        <v>44256</v>
      </c>
      <c r="N27" s="273">
        <v>45027</v>
      </c>
      <c r="O27" s="277">
        <v>45036</v>
      </c>
      <c r="P27" s="277" t="s">
        <v>5186</v>
      </c>
      <c r="Q27" s="277"/>
      <c r="R27" s="277">
        <v>45044</v>
      </c>
      <c r="S27" s="277"/>
      <c r="T27" s="277">
        <v>45030.800208333334</v>
      </c>
      <c r="U27" s="277" t="s">
        <v>3</v>
      </c>
      <c r="V27" s="277" t="s">
        <v>5373</v>
      </c>
      <c r="W27" s="278">
        <v>14180</v>
      </c>
      <c r="X27" s="277" t="s">
        <v>5167</v>
      </c>
      <c r="Y27" s="277" t="s">
        <v>1132</v>
      </c>
      <c r="Z27" s="277" t="s">
        <v>39</v>
      </c>
      <c r="AA27" s="279" t="s">
        <v>1776</v>
      </c>
      <c r="AB27" s="124" t="s">
        <v>72</v>
      </c>
      <c r="AC27" s="124" t="s">
        <v>5699</v>
      </c>
      <c r="AD27" s="125"/>
      <c r="AE27" s="124"/>
      <c r="AF27" s="219">
        <v>45075.521841898146</v>
      </c>
      <c r="AG27" s="175" t="s">
        <v>22</v>
      </c>
      <c r="AH27" s="275">
        <v>63</v>
      </c>
      <c r="AI27" s="275">
        <v>50</v>
      </c>
      <c r="AJ27" s="275" t="s">
        <v>5873</v>
      </c>
    </row>
    <row r="28" spans="1:36">
      <c r="A28" s="174">
        <f>COUNTA($J$5:J28)</f>
        <v>24</v>
      </c>
      <c r="B28" s="272" t="s">
        <v>5134</v>
      </c>
      <c r="C28" s="274" t="s">
        <v>3225</v>
      </c>
      <c r="D28" s="273" t="s">
        <v>61</v>
      </c>
      <c r="E28" s="273" t="s">
        <v>4665</v>
      </c>
      <c r="F28" s="273" t="s">
        <v>26</v>
      </c>
      <c r="G28" s="273">
        <v>45029</v>
      </c>
      <c r="H28" s="273">
        <v>42746</v>
      </c>
      <c r="I28" s="272" t="s">
        <v>38</v>
      </c>
      <c r="J28" s="273" t="s">
        <v>5135</v>
      </c>
      <c r="K28" s="273" t="s">
        <v>1055</v>
      </c>
      <c r="L28" s="276">
        <v>600</v>
      </c>
      <c r="M28" s="273">
        <v>43111</v>
      </c>
      <c r="N28" s="273">
        <v>45029</v>
      </c>
      <c r="O28" s="277"/>
      <c r="P28" s="277" t="s">
        <v>5156</v>
      </c>
      <c r="Q28" s="277"/>
      <c r="R28" s="277">
        <v>45030</v>
      </c>
      <c r="S28" s="277"/>
      <c r="T28" s="277">
        <v>45029.682013888887</v>
      </c>
      <c r="U28" s="277" t="s">
        <v>3</v>
      </c>
      <c r="V28" s="277" t="s">
        <v>5136</v>
      </c>
      <c r="W28" s="278">
        <v>7081</v>
      </c>
      <c r="X28" s="277" t="s">
        <v>5157</v>
      </c>
      <c r="Y28" s="277" t="s">
        <v>22</v>
      </c>
      <c r="Z28" s="277" t="s">
        <v>39</v>
      </c>
      <c r="AA28" s="279" t="s">
        <v>1776</v>
      </c>
      <c r="AB28" s="124" t="s">
        <v>72</v>
      </c>
      <c r="AC28" s="124" t="s">
        <v>5699</v>
      </c>
      <c r="AD28" s="125"/>
      <c r="AE28" s="124"/>
      <c r="AF28" s="219">
        <v>45075.526488055555</v>
      </c>
      <c r="AG28" s="175" t="s">
        <v>22</v>
      </c>
      <c r="AH28" s="275">
        <v>61</v>
      </c>
      <c r="AI28" s="275">
        <v>60</v>
      </c>
      <c r="AJ28" s="275" t="s">
        <v>5873</v>
      </c>
    </row>
    <row r="29" spans="1:36">
      <c r="A29" s="174">
        <f>COUNTA($J$5:J29)</f>
        <v>25</v>
      </c>
      <c r="B29" s="272" t="s">
        <v>5139</v>
      </c>
      <c r="C29" s="274" t="s">
        <v>1729</v>
      </c>
      <c r="D29" s="273" t="s">
        <v>45</v>
      </c>
      <c r="E29" s="273"/>
      <c r="F29" s="273" t="s">
        <v>138</v>
      </c>
      <c r="G29" s="273">
        <v>45029</v>
      </c>
      <c r="H29" s="273">
        <v>44927</v>
      </c>
      <c r="I29" s="272" t="s">
        <v>53</v>
      </c>
      <c r="J29" s="273" t="s">
        <v>5140</v>
      </c>
      <c r="K29" s="273" t="s">
        <v>43</v>
      </c>
      <c r="L29" s="276">
        <v>760</v>
      </c>
      <c r="M29" s="273">
        <v>45292</v>
      </c>
      <c r="N29" s="273">
        <v>45029</v>
      </c>
      <c r="O29" s="277"/>
      <c r="P29" s="277" t="s">
        <v>5196</v>
      </c>
      <c r="Q29" s="277"/>
      <c r="R29" s="277" t="s">
        <v>70</v>
      </c>
      <c r="S29" s="277">
        <v>45085</v>
      </c>
      <c r="T29" s="277">
        <v>45034.790254629632</v>
      </c>
      <c r="U29" s="277" t="s">
        <v>3</v>
      </c>
      <c r="V29" s="277" t="s">
        <v>4802</v>
      </c>
      <c r="W29" s="278">
        <v>1340</v>
      </c>
      <c r="X29" s="277" t="s">
        <v>5187</v>
      </c>
      <c r="Y29" s="277" t="s">
        <v>1132</v>
      </c>
      <c r="Z29" s="277" t="s">
        <v>32</v>
      </c>
      <c r="AA29" s="277" t="s">
        <v>5643</v>
      </c>
      <c r="AB29" s="124" t="s">
        <v>72</v>
      </c>
      <c r="AC29" s="124" t="s">
        <v>5700</v>
      </c>
      <c r="AD29" s="125"/>
      <c r="AE29" s="124"/>
      <c r="AF29" s="219">
        <v>45082.452256979166</v>
      </c>
      <c r="AG29" s="175" t="s">
        <v>5521</v>
      </c>
      <c r="AH29" s="275">
        <v>61</v>
      </c>
      <c r="AI29" s="275" t="s">
        <v>5873</v>
      </c>
      <c r="AJ29" s="275">
        <v>21</v>
      </c>
    </row>
    <row r="30" spans="1:36">
      <c r="A30" s="174">
        <f>COUNTA($J$5:J30)</f>
        <v>26</v>
      </c>
      <c r="B30" s="272" t="s">
        <v>5141</v>
      </c>
      <c r="C30" s="274" t="s">
        <v>3224</v>
      </c>
      <c r="D30" s="273" t="s">
        <v>1118</v>
      </c>
      <c r="E30" s="273" t="s">
        <v>2985</v>
      </c>
      <c r="F30" s="273" t="s">
        <v>138</v>
      </c>
      <c r="G30" s="273">
        <v>45029</v>
      </c>
      <c r="H30" s="273">
        <v>42788</v>
      </c>
      <c r="I30" s="272" t="s">
        <v>49</v>
      </c>
      <c r="J30" s="273" t="s">
        <v>2854</v>
      </c>
      <c r="K30" s="273" t="s">
        <v>1054</v>
      </c>
      <c r="L30" s="276">
        <v>4450</v>
      </c>
      <c r="M30" s="273">
        <v>43153</v>
      </c>
      <c r="N30" s="273">
        <v>45029</v>
      </c>
      <c r="O30" s="277">
        <v>45037</v>
      </c>
      <c r="P30" s="277" t="s">
        <v>5197</v>
      </c>
      <c r="Q30" s="277"/>
      <c r="R30" s="277">
        <v>45044</v>
      </c>
      <c r="S30" s="277"/>
      <c r="T30" s="277">
        <v>45034.755520833336</v>
      </c>
      <c r="U30" s="277" t="s">
        <v>5</v>
      </c>
      <c r="V30" s="277" t="s">
        <v>4904</v>
      </c>
      <c r="W30" s="278">
        <v>1241</v>
      </c>
      <c r="X30" s="277" t="s">
        <v>5188</v>
      </c>
      <c r="Y30" s="277" t="s">
        <v>134</v>
      </c>
      <c r="Z30" s="277" t="s">
        <v>3640</v>
      </c>
      <c r="AA30" s="279"/>
      <c r="AB30" s="124" t="s">
        <v>72</v>
      </c>
      <c r="AC30" s="124" t="s">
        <v>5699</v>
      </c>
      <c r="AD30" s="125"/>
      <c r="AE30" s="124"/>
      <c r="AF30" s="219">
        <v>45075.527216817129</v>
      </c>
      <c r="AG30" s="175" t="s">
        <v>22</v>
      </c>
      <c r="AH30" s="275">
        <v>61</v>
      </c>
      <c r="AI30" s="275">
        <v>50</v>
      </c>
      <c r="AJ30" s="275" t="s">
        <v>5873</v>
      </c>
    </row>
    <row r="31" spans="1:36">
      <c r="A31" s="174">
        <f>COUNTA($J$5:J31)</f>
        <v>27</v>
      </c>
      <c r="B31" s="272" t="s">
        <v>5144</v>
      </c>
      <c r="C31" s="274" t="s">
        <v>1729</v>
      </c>
      <c r="D31" s="273" t="s">
        <v>45</v>
      </c>
      <c r="E31" s="273"/>
      <c r="F31" s="273" t="s">
        <v>138</v>
      </c>
      <c r="G31" s="273">
        <v>45030</v>
      </c>
      <c r="H31" s="273">
        <v>43552</v>
      </c>
      <c r="I31" s="272" t="s">
        <v>1205</v>
      </c>
      <c r="J31" s="273" t="s">
        <v>5145</v>
      </c>
      <c r="K31" s="273" t="s">
        <v>5146</v>
      </c>
      <c r="L31" s="276">
        <v>580</v>
      </c>
      <c r="M31" s="273">
        <v>43918</v>
      </c>
      <c r="N31" s="273">
        <v>45030</v>
      </c>
      <c r="O31" s="277"/>
      <c r="P31" s="277" t="s">
        <v>5198</v>
      </c>
      <c r="Q31" s="277"/>
      <c r="R31" s="277" t="s">
        <v>70</v>
      </c>
      <c r="S31" s="277"/>
      <c r="T31" s="277">
        <v>45034.795208333337</v>
      </c>
      <c r="U31" s="277" t="s">
        <v>3</v>
      </c>
      <c r="V31" s="277" t="s">
        <v>1500</v>
      </c>
      <c r="W31" s="278">
        <v>888</v>
      </c>
      <c r="X31" s="277" t="s">
        <v>5189</v>
      </c>
      <c r="Y31" s="277" t="s">
        <v>1132</v>
      </c>
      <c r="Z31" s="277" t="s">
        <v>32</v>
      </c>
      <c r="AA31" s="277" t="s">
        <v>5644</v>
      </c>
      <c r="AB31" s="124" t="s">
        <v>72</v>
      </c>
      <c r="AC31" s="124" t="s">
        <v>5700</v>
      </c>
      <c r="AD31" s="125"/>
      <c r="AE31" s="124"/>
      <c r="AF31" s="219">
        <v>45082.452668402781</v>
      </c>
      <c r="AG31" s="175" t="s">
        <v>5521</v>
      </c>
      <c r="AH31" s="275">
        <v>60</v>
      </c>
      <c r="AI31" s="275" t="s">
        <v>5873</v>
      </c>
      <c r="AJ31" s="275" t="s">
        <v>5873</v>
      </c>
    </row>
    <row r="32" spans="1:36">
      <c r="A32" s="174">
        <f>COUNTA($J$5:J32)</f>
        <v>28</v>
      </c>
      <c r="B32" s="272" t="s">
        <v>5169</v>
      </c>
      <c r="C32" s="274" t="s">
        <v>3225</v>
      </c>
      <c r="D32" s="273" t="s">
        <v>25</v>
      </c>
      <c r="E32" s="273" t="s">
        <v>4665</v>
      </c>
      <c r="F32" s="273" t="s">
        <v>138</v>
      </c>
      <c r="G32" s="273">
        <v>45034</v>
      </c>
      <c r="H32" s="273">
        <v>44520</v>
      </c>
      <c r="I32" s="272" t="s">
        <v>34</v>
      </c>
      <c r="J32" s="273" t="s">
        <v>5170</v>
      </c>
      <c r="K32" s="273" t="s">
        <v>43</v>
      </c>
      <c r="L32" s="276">
        <v>600</v>
      </c>
      <c r="M32" s="273">
        <v>44885</v>
      </c>
      <c r="N32" s="273">
        <v>45034</v>
      </c>
      <c r="O32" s="277"/>
      <c r="P32" s="277" t="s">
        <v>5435</v>
      </c>
      <c r="Q32" s="277"/>
      <c r="R32" s="277">
        <v>45091</v>
      </c>
      <c r="S32" s="277"/>
      <c r="T32" s="277">
        <v>45043.834178240744</v>
      </c>
      <c r="U32" s="277" t="s">
        <v>3</v>
      </c>
      <c r="V32" s="277" t="s">
        <v>5377</v>
      </c>
      <c r="W32" s="278">
        <v>5123</v>
      </c>
      <c r="X32" s="277" t="s">
        <v>5271</v>
      </c>
      <c r="Y32" s="277" t="s">
        <v>37</v>
      </c>
      <c r="Z32" s="277" t="s">
        <v>39</v>
      </c>
      <c r="AA32" s="279" t="s">
        <v>1776</v>
      </c>
      <c r="AB32" s="124" t="s">
        <v>72</v>
      </c>
      <c r="AC32" s="124" t="s">
        <v>5699</v>
      </c>
      <c r="AD32" s="125"/>
      <c r="AE32" s="124"/>
      <c r="AF32" s="219">
        <v>45075.532160810188</v>
      </c>
      <c r="AG32" s="175" t="s">
        <v>22</v>
      </c>
      <c r="AH32" s="275">
        <v>58</v>
      </c>
      <c r="AI32" s="275">
        <v>17</v>
      </c>
      <c r="AJ32" s="275" t="s">
        <v>5873</v>
      </c>
    </row>
    <row r="33" spans="1:36">
      <c r="A33" s="174">
        <f>COUNTA($J$5:J33)</f>
        <v>29</v>
      </c>
      <c r="B33" s="272" t="s">
        <v>5184</v>
      </c>
      <c r="C33" s="274" t="s">
        <v>3225</v>
      </c>
      <c r="D33" s="273" t="s">
        <v>1093</v>
      </c>
      <c r="E33" s="273"/>
      <c r="F33" s="273" t="s">
        <v>138</v>
      </c>
      <c r="G33" s="273">
        <v>45035</v>
      </c>
      <c r="H33" s="273">
        <v>43393</v>
      </c>
      <c r="I33" s="272" t="s">
        <v>1095</v>
      </c>
      <c r="J33" s="273" t="s">
        <v>1094</v>
      </c>
      <c r="K33" s="273" t="s">
        <v>1259</v>
      </c>
      <c r="L33" s="276">
        <v>530</v>
      </c>
      <c r="M33" s="273">
        <v>43758</v>
      </c>
      <c r="N33" s="273">
        <v>45035</v>
      </c>
      <c r="O33" s="277"/>
      <c r="P33" s="277" t="s">
        <v>5225</v>
      </c>
      <c r="Q33" s="277"/>
      <c r="R33" s="277">
        <v>45043</v>
      </c>
      <c r="S33" s="277"/>
      <c r="T33" s="277">
        <v>45041.701342592591</v>
      </c>
      <c r="U33" s="277" t="s">
        <v>3</v>
      </c>
      <c r="V33" s="277" t="s">
        <v>5379</v>
      </c>
      <c r="W33" s="278">
        <v>9371</v>
      </c>
      <c r="X33" s="277" t="s">
        <v>5224</v>
      </c>
      <c r="Y33" s="277" t="s">
        <v>37</v>
      </c>
      <c r="Z33" s="277" t="s">
        <v>39</v>
      </c>
      <c r="AA33" s="279" t="s">
        <v>1776</v>
      </c>
      <c r="AB33" s="124" t="s">
        <v>72</v>
      </c>
      <c r="AC33" s="124" t="s">
        <v>5699</v>
      </c>
      <c r="AD33" s="125"/>
      <c r="AE33" s="124"/>
      <c r="AF33" s="219">
        <v>45075.53267709491</v>
      </c>
      <c r="AG33" s="175" t="s">
        <v>22</v>
      </c>
      <c r="AH33" s="275">
        <v>57</v>
      </c>
      <c r="AI33" s="275">
        <v>51</v>
      </c>
      <c r="AJ33" s="275" t="s">
        <v>5873</v>
      </c>
    </row>
    <row r="34" spans="1:36">
      <c r="A34" s="174">
        <f>COUNTA($J$5:J34)</f>
        <v>30</v>
      </c>
      <c r="B34" s="272" t="s">
        <v>5214</v>
      </c>
      <c r="C34" s="274" t="s">
        <v>3225</v>
      </c>
      <c r="D34" s="273" t="s">
        <v>5215</v>
      </c>
      <c r="E34" s="273"/>
      <c r="F34" s="273" t="s">
        <v>138</v>
      </c>
      <c r="G34" s="273">
        <v>45040</v>
      </c>
      <c r="H34" s="273">
        <v>43063</v>
      </c>
      <c r="I34" s="272" t="s">
        <v>53</v>
      </c>
      <c r="J34" s="273" t="s">
        <v>3711</v>
      </c>
      <c r="K34" s="273" t="s">
        <v>43</v>
      </c>
      <c r="L34" s="276">
        <v>760</v>
      </c>
      <c r="M34" s="273">
        <v>43428</v>
      </c>
      <c r="N34" s="273">
        <v>45040</v>
      </c>
      <c r="O34" s="277">
        <v>45043</v>
      </c>
      <c r="P34" s="277" t="s">
        <v>5244</v>
      </c>
      <c r="Q34" s="277"/>
      <c r="R34" s="277">
        <v>45050</v>
      </c>
      <c r="S34" s="277"/>
      <c r="T34" s="277">
        <v>45042.703298611108</v>
      </c>
      <c r="U34" s="277" t="s">
        <v>3</v>
      </c>
      <c r="V34" s="277" t="s">
        <v>5380</v>
      </c>
      <c r="W34" s="278">
        <v>2615</v>
      </c>
      <c r="X34" s="277" t="s">
        <v>5241</v>
      </c>
      <c r="Y34" s="277" t="s">
        <v>1132</v>
      </c>
      <c r="Z34" s="277" t="s">
        <v>39</v>
      </c>
      <c r="AA34" s="279" t="s">
        <v>1776</v>
      </c>
      <c r="AB34" s="124" t="s">
        <v>72</v>
      </c>
      <c r="AC34" s="124" t="s">
        <v>5699</v>
      </c>
      <c r="AD34" s="125"/>
      <c r="AE34" s="124"/>
      <c r="AF34" s="219">
        <v>45075.533617002315</v>
      </c>
      <c r="AG34" s="175" t="s">
        <v>22</v>
      </c>
      <c r="AH34" s="275">
        <v>54</v>
      </c>
      <c r="AI34" s="275">
        <v>46</v>
      </c>
      <c r="AJ34" s="275" t="s">
        <v>5873</v>
      </c>
    </row>
    <row r="35" spans="1:36">
      <c r="A35" s="174">
        <f>COUNTA($J$5:J35)</f>
        <v>31</v>
      </c>
      <c r="B35" s="272" t="s">
        <v>5216</v>
      </c>
      <c r="C35" s="274" t="s">
        <v>3225</v>
      </c>
      <c r="D35" s="273" t="s">
        <v>5215</v>
      </c>
      <c r="E35" s="273"/>
      <c r="F35" s="273" t="s">
        <v>138</v>
      </c>
      <c r="G35" s="273">
        <v>45040</v>
      </c>
      <c r="H35" s="273">
        <v>43063</v>
      </c>
      <c r="I35" s="272" t="s">
        <v>55</v>
      </c>
      <c r="J35" s="273" t="s">
        <v>3712</v>
      </c>
      <c r="K35" s="273" t="s">
        <v>1055</v>
      </c>
      <c r="L35" s="276">
        <v>760</v>
      </c>
      <c r="M35" s="273">
        <v>43428</v>
      </c>
      <c r="N35" s="273">
        <v>45040</v>
      </c>
      <c r="O35" s="277">
        <v>45043</v>
      </c>
      <c r="P35" s="277" t="s">
        <v>5245</v>
      </c>
      <c r="Q35" s="277"/>
      <c r="R35" s="277">
        <v>45050</v>
      </c>
      <c r="S35" s="277"/>
      <c r="T35" s="277">
        <v>45042.766875000001</v>
      </c>
      <c r="U35" s="277" t="s">
        <v>3</v>
      </c>
      <c r="V35" s="277" t="s">
        <v>5381</v>
      </c>
      <c r="W35" s="278">
        <v>14077</v>
      </c>
      <c r="X35" s="277" t="s">
        <v>5242</v>
      </c>
      <c r="Y35" s="277" t="s">
        <v>1132</v>
      </c>
      <c r="Z35" s="277" t="s">
        <v>39</v>
      </c>
      <c r="AA35" s="279" t="s">
        <v>1776</v>
      </c>
      <c r="AB35" s="124" t="s">
        <v>72</v>
      </c>
      <c r="AC35" s="124" t="s">
        <v>5699</v>
      </c>
      <c r="AD35" s="125"/>
      <c r="AE35" s="124"/>
      <c r="AF35" s="219">
        <v>45075.533748784721</v>
      </c>
      <c r="AG35" s="175" t="s">
        <v>22</v>
      </c>
      <c r="AH35" s="275">
        <v>54</v>
      </c>
      <c r="AI35" s="275">
        <v>46</v>
      </c>
      <c r="AJ35" s="275" t="s">
        <v>5873</v>
      </c>
    </row>
    <row r="36" spans="1:36">
      <c r="A36" s="174">
        <f>COUNTA($J$5:J36)</f>
        <v>32</v>
      </c>
      <c r="B36" s="272" t="s">
        <v>5217</v>
      </c>
      <c r="C36" s="274" t="s">
        <v>3225</v>
      </c>
      <c r="D36" s="273" t="s">
        <v>5215</v>
      </c>
      <c r="E36" s="273"/>
      <c r="F36" s="273" t="s">
        <v>138</v>
      </c>
      <c r="G36" s="273">
        <v>45040</v>
      </c>
      <c r="H36" s="273">
        <v>43403</v>
      </c>
      <c r="I36" s="272" t="s">
        <v>55</v>
      </c>
      <c r="J36" s="273" t="s">
        <v>3732</v>
      </c>
      <c r="K36" s="273" t="s">
        <v>1055</v>
      </c>
      <c r="L36" s="276">
        <v>760</v>
      </c>
      <c r="M36" s="273">
        <v>43768</v>
      </c>
      <c r="N36" s="273">
        <v>45040</v>
      </c>
      <c r="O36" s="277"/>
      <c r="P36" s="277" t="s">
        <v>5331</v>
      </c>
      <c r="Q36" s="277"/>
      <c r="R36" s="277">
        <v>45054</v>
      </c>
      <c r="S36" s="277"/>
      <c r="T36" s="277">
        <v>45041.54582175926</v>
      </c>
      <c r="U36" s="277" t="s">
        <v>3</v>
      </c>
      <c r="V36" s="277" t="s">
        <v>5382</v>
      </c>
      <c r="W36" s="278">
        <v>4620</v>
      </c>
      <c r="X36" s="277" t="s">
        <v>5330</v>
      </c>
      <c r="Y36" s="277" t="s">
        <v>1114</v>
      </c>
      <c r="Z36" s="277" t="s">
        <v>39</v>
      </c>
      <c r="AA36" s="279" t="s">
        <v>1776</v>
      </c>
      <c r="AB36" s="124" t="s">
        <v>72</v>
      </c>
      <c r="AC36" s="124" t="s">
        <v>5699</v>
      </c>
      <c r="AD36" s="125"/>
      <c r="AE36" s="124"/>
      <c r="AF36" s="219">
        <v>45075.533941516202</v>
      </c>
      <c r="AG36" s="175" t="s">
        <v>22</v>
      </c>
      <c r="AH36" s="275">
        <v>54</v>
      </c>
      <c r="AI36" s="275">
        <v>44</v>
      </c>
      <c r="AJ36" s="275" t="s">
        <v>5873</v>
      </c>
    </row>
    <row r="37" spans="1:36">
      <c r="A37" s="174">
        <f>COUNTA($J$5:J37)</f>
        <v>33</v>
      </c>
      <c r="B37" s="272" t="s">
        <v>5218</v>
      </c>
      <c r="C37" s="274" t="s">
        <v>3225</v>
      </c>
      <c r="D37" s="273" t="s">
        <v>5215</v>
      </c>
      <c r="E37" s="273"/>
      <c r="F37" s="273" t="s">
        <v>138</v>
      </c>
      <c r="G37" s="273">
        <v>45040</v>
      </c>
      <c r="H37" s="273">
        <v>43063</v>
      </c>
      <c r="I37" s="272" t="s">
        <v>53</v>
      </c>
      <c r="J37" s="273" t="s">
        <v>3733</v>
      </c>
      <c r="K37" s="273" t="s">
        <v>43</v>
      </c>
      <c r="L37" s="276">
        <v>760</v>
      </c>
      <c r="M37" s="273">
        <v>43428</v>
      </c>
      <c r="N37" s="273">
        <v>45040</v>
      </c>
      <c r="O37" s="277">
        <v>45043</v>
      </c>
      <c r="P37" s="277" t="s">
        <v>5246</v>
      </c>
      <c r="Q37" s="277"/>
      <c r="R37" s="277">
        <v>45044</v>
      </c>
      <c r="S37" s="277"/>
      <c r="T37" s="277">
        <v>45042.715462962966</v>
      </c>
      <c r="U37" s="277" t="s">
        <v>3</v>
      </c>
      <c r="V37" s="277" t="s">
        <v>5383</v>
      </c>
      <c r="W37" s="278">
        <v>9761</v>
      </c>
      <c r="X37" s="277" t="s">
        <v>5243</v>
      </c>
      <c r="Y37" s="277" t="s">
        <v>1132</v>
      </c>
      <c r="Z37" s="277" t="s">
        <v>39</v>
      </c>
      <c r="AA37" s="279" t="s">
        <v>1776</v>
      </c>
      <c r="AB37" s="124" t="s">
        <v>72</v>
      </c>
      <c r="AC37" s="124" t="s">
        <v>5699</v>
      </c>
      <c r="AD37" s="125"/>
      <c r="AE37" s="124"/>
      <c r="AF37" s="219">
        <v>45075.534172569445</v>
      </c>
      <c r="AG37" s="175" t="s">
        <v>22</v>
      </c>
      <c r="AH37" s="275">
        <v>54</v>
      </c>
      <c r="AI37" s="275">
        <v>50</v>
      </c>
      <c r="AJ37" s="275" t="s">
        <v>5873</v>
      </c>
    </row>
    <row r="38" spans="1:36">
      <c r="A38" s="174">
        <f>COUNTA($J$5:J38)</f>
        <v>34</v>
      </c>
      <c r="B38" s="272" t="s">
        <v>5227</v>
      </c>
      <c r="C38" s="274" t="s">
        <v>1729</v>
      </c>
      <c r="D38" s="273" t="s">
        <v>45</v>
      </c>
      <c r="E38" s="273"/>
      <c r="F38" s="273" t="s">
        <v>26</v>
      </c>
      <c r="G38" s="273">
        <v>45042</v>
      </c>
      <c r="H38" s="273">
        <v>42917</v>
      </c>
      <c r="I38" s="272" t="s">
        <v>36</v>
      </c>
      <c r="J38" s="273" t="s">
        <v>4046</v>
      </c>
      <c r="K38" s="273" t="s">
        <v>43</v>
      </c>
      <c r="L38" s="276">
        <v>590</v>
      </c>
      <c r="M38" s="273">
        <v>43282</v>
      </c>
      <c r="N38" s="273">
        <v>45042</v>
      </c>
      <c r="O38" s="277">
        <v>45103</v>
      </c>
      <c r="P38" s="277" t="s">
        <v>5791</v>
      </c>
      <c r="Q38" s="277"/>
      <c r="R38" s="277" t="s">
        <v>70</v>
      </c>
      <c r="S38" s="277"/>
      <c r="T38" s="277">
        <v>45064</v>
      </c>
      <c r="U38" s="277" t="s">
        <v>3</v>
      </c>
      <c r="V38" s="277" t="s">
        <v>5419</v>
      </c>
      <c r="W38" s="278"/>
      <c r="X38" s="277" t="s">
        <v>5792</v>
      </c>
      <c r="Y38" s="277" t="s">
        <v>22</v>
      </c>
      <c r="Z38" s="277" t="s">
        <v>64</v>
      </c>
      <c r="AA38" s="277"/>
      <c r="AB38" s="124" t="s">
        <v>72</v>
      </c>
      <c r="AC38" s="124" t="s">
        <v>5520</v>
      </c>
      <c r="AD38" s="125"/>
      <c r="AE38" s="124"/>
      <c r="AF38" s="219">
        <v>45098.688216331022</v>
      </c>
      <c r="AG38" s="175" t="s">
        <v>24</v>
      </c>
      <c r="AH38" s="275">
        <v>52</v>
      </c>
      <c r="AI38" s="275" t="s">
        <v>5873</v>
      </c>
      <c r="AJ38" s="275" t="s">
        <v>5873</v>
      </c>
    </row>
    <row r="39" spans="1:36">
      <c r="A39" s="174">
        <f>COUNTA($J$5:J39)</f>
        <v>35</v>
      </c>
      <c r="B39" s="272" t="s">
        <v>5236</v>
      </c>
      <c r="C39" s="274" t="s">
        <v>3225</v>
      </c>
      <c r="D39" s="273" t="s">
        <v>41</v>
      </c>
      <c r="E39" s="273" t="s">
        <v>4665</v>
      </c>
      <c r="F39" s="273" t="s">
        <v>138</v>
      </c>
      <c r="G39" s="273">
        <v>45043</v>
      </c>
      <c r="H39" s="273">
        <v>43825</v>
      </c>
      <c r="I39" s="272" t="s">
        <v>34</v>
      </c>
      <c r="J39" s="273" t="s">
        <v>3518</v>
      </c>
      <c r="K39" s="273" t="s">
        <v>43</v>
      </c>
      <c r="L39" s="276">
        <v>600</v>
      </c>
      <c r="M39" s="273">
        <v>44191</v>
      </c>
      <c r="N39" s="273">
        <v>45043</v>
      </c>
      <c r="O39" s="277">
        <v>45057</v>
      </c>
      <c r="P39" s="277" t="s">
        <v>5252</v>
      </c>
      <c r="Q39" s="277"/>
      <c r="R39" s="277">
        <v>45075</v>
      </c>
      <c r="S39" s="277"/>
      <c r="T39" s="277">
        <v>45043.751307870371</v>
      </c>
      <c r="U39" s="277" t="s">
        <v>3</v>
      </c>
      <c r="V39" s="277" t="s">
        <v>5386</v>
      </c>
      <c r="W39" s="278">
        <v>7592</v>
      </c>
      <c r="X39" s="277" t="s">
        <v>5332</v>
      </c>
      <c r="Y39" s="277" t="s">
        <v>1114</v>
      </c>
      <c r="Z39" s="277" t="s">
        <v>39</v>
      </c>
      <c r="AA39" s="279" t="s">
        <v>1776</v>
      </c>
      <c r="AB39" s="124" t="s">
        <v>72</v>
      </c>
      <c r="AC39" s="124" t="s">
        <v>5699</v>
      </c>
      <c r="AD39" s="125"/>
      <c r="AE39" s="124"/>
      <c r="AF39" s="219">
        <v>45093.792734918985</v>
      </c>
      <c r="AG39" s="175" t="s">
        <v>22</v>
      </c>
      <c r="AH39" s="275">
        <v>51</v>
      </c>
      <c r="AI39" s="275">
        <v>29</v>
      </c>
      <c r="AJ39" s="275" t="s">
        <v>5873</v>
      </c>
    </row>
    <row r="40" spans="1:36">
      <c r="A40" s="174">
        <f>COUNTA($J$5:J40)</f>
        <v>36</v>
      </c>
      <c r="B40" s="272" t="s">
        <v>5264</v>
      </c>
      <c r="C40" s="274" t="s">
        <v>3225</v>
      </c>
      <c r="D40" s="273" t="s">
        <v>25</v>
      </c>
      <c r="E40" s="273" t="s">
        <v>4665</v>
      </c>
      <c r="F40" s="273" t="s">
        <v>138</v>
      </c>
      <c r="G40" s="273">
        <v>45043</v>
      </c>
      <c r="H40" s="273">
        <v>44414</v>
      </c>
      <c r="I40" s="272" t="s">
        <v>34</v>
      </c>
      <c r="J40" s="273" t="s">
        <v>3059</v>
      </c>
      <c r="K40" s="273" t="s">
        <v>43</v>
      </c>
      <c r="L40" s="276">
        <v>600</v>
      </c>
      <c r="M40" s="273">
        <v>44785</v>
      </c>
      <c r="N40" s="273">
        <v>45043</v>
      </c>
      <c r="O40" s="277">
        <v>45068</v>
      </c>
      <c r="P40" s="277" t="s">
        <v>5427</v>
      </c>
      <c r="Q40" s="277"/>
      <c r="R40" s="277">
        <v>45100</v>
      </c>
      <c r="S40" s="277"/>
      <c r="T40" s="277">
        <v>45058</v>
      </c>
      <c r="U40" s="277" t="s">
        <v>3</v>
      </c>
      <c r="V40" s="277" t="s">
        <v>5388</v>
      </c>
      <c r="W40" s="278">
        <v>3320</v>
      </c>
      <c r="X40" s="277" t="s">
        <v>5428</v>
      </c>
      <c r="Y40" s="277" t="s">
        <v>1101</v>
      </c>
      <c r="Z40" s="277" t="s">
        <v>39</v>
      </c>
      <c r="AA40" s="279" t="s">
        <v>1774</v>
      </c>
      <c r="AB40" s="124" t="s">
        <v>72</v>
      </c>
      <c r="AC40" s="124" t="s">
        <v>5703</v>
      </c>
      <c r="AD40" s="125"/>
      <c r="AE40" s="124"/>
      <c r="AF40" s="219">
        <v>45089.474347627314</v>
      </c>
      <c r="AG40" s="175" t="s">
        <v>22</v>
      </c>
      <c r="AH40" s="275">
        <v>51</v>
      </c>
      <c r="AI40" s="275">
        <v>10</v>
      </c>
      <c r="AJ40" s="275" t="s">
        <v>5873</v>
      </c>
    </row>
    <row r="41" spans="1:36">
      <c r="A41" s="174">
        <f>COUNTA($J$5:J41)</f>
        <v>37</v>
      </c>
      <c r="B41" s="272" t="s">
        <v>5265</v>
      </c>
      <c r="C41" s="274" t="s">
        <v>3225</v>
      </c>
      <c r="D41" s="273" t="s">
        <v>25</v>
      </c>
      <c r="E41" s="273" t="s">
        <v>4665</v>
      </c>
      <c r="F41" s="273" t="s">
        <v>138</v>
      </c>
      <c r="G41" s="273">
        <v>45043</v>
      </c>
      <c r="H41" s="273">
        <v>44520</v>
      </c>
      <c r="I41" s="272" t="s">
        <v>34</v>
      </c>
      <c r="J41" s="273" t="s">
        <v>2812</v>
      </c>
      <c r="K41" s="273" t="s">
        <v>43</v>
      </c>
      <c r="L41" s="276">
        <v>600</v>
      </c>
      <c r="M41" s="273">
        <v>44885</v>
      </c>
      <c r="N41" s="273">
        <v>45043</v>
      </c>
      <c r="O41" s="277">
        <v>45068</v>
      </c>
      <c r="P41" s="277" t="s">
        <v>5436</v>
      </c>
      <c r="Q41" s="277"/>
      <c r="R41" s="277">
        <v>45082</v>
      </c>
      <c r="S41" s="277"/>
      <c r="T41" s="277">
        <v>45057.706979166665</v>
      </c>
      <c r="U41" s="277" t="s">
        <v>3</v>
      </c>
      <c r="V41" s="277" t="s">
        <v>5389</v>
      </c>
      <c r="W41" s="278">
        <v>4413</v>
      </c>
      <c r="X41" s="277" t="s">
        <v>5429</v>
      </c>
      <c r="Y41" s="277" t="s">
        <v>1114</v>
      </c>
      <c r="Z41" s="277" t="s">
        <v>39</v>
      </c>
      <c r="AA41" s="279" t="s">
        <v>1776</v>
      </c>
      <c r="AB41" s="124" t="s">
        <v>72</v>
      </c>
      <c r="AC41" s="124" t="s">
        <v>5699</v>
      </c>
      <c r="AD41" s="125"/>
      <c r="AE41" s="124"/>
      <c r="AF41" s="219">
        <v>45085.735581701389</v>
      </c>
      <c r="AG41" s="175" t="s">
        <v>58</v>
      </c>
      <c r="AH41" s="275">
        <v>51</v>
      </c>
      <c r="AI41" s="275">
        <v>24</v>
      </c>
      <c r="AJ41" s="275" t="s">
        <v>5873</v>
      </c>
    </row>
    <row r="42" spans="1:36">
      <c r="A42" s="174">
        <f>COUNTA($J$5:J42)</f>
        <v>38</v>
      </c>
      <c r="B42" s="272" t="s">
        <v>5266</v>
      </c>
      <c r="C42" s="274" t="s">
        <v>3225</v>
      </c>
      <c r="D42" s="273" t="s">
        <v>2793</v>
      </c>
      <c r="E42" s="273"/>
      <c r="F42" s="273" t="s">
        <v>138</v>
      </c>
      <c r="G42" s="273">
        <v>45044</v>
      </c>
      <c r="H42" s="273">
        <v>42346</v>
      </c>
      <c r="I42" s="272" t="s">
        <v>62</v>
      </c>
      <c r="J42" s="273" t="s">
        <v>5267</v>
      </c>
      <c r="K42" s="273" t="s">
        <v>1055</v>
      </c>
      <c r="L42" s="276">
        <v>530</v>
      </c>
      <c r="M42" s="273">
        <v>42711</v>
      </c>
      <c r="N42" s="273">
        <v>45044</v>
      </c>
      <c r="O42" s="277"/>
      <c r="P42" s="277" t="s">
        <v>5604</v>
      </c>
      <c r="Q42" s="277"/>
      <c r="R42" s="277">
        <v>45055</v>
      </c>
      <c r="S42" s="277"/>
      <c r="T42" s="277">
        <v>45054.804328703707</v>
      </c>
      <c r="U42" s="277" t="s">
        <v>3</v>
      </c>
      <c r="V42" s="277" t="s">
        <v>5390</v>
      </c>
      <c r="W42" s="278">
        <v>6919</v>
      </c>
      <c r="X42" s="277" t="s">
        <v>5340</v>
      </c>
      <c r="Y42" s="277" t="s">
        <v>37</v>
      </c>
      <c r="Z42" s="277" t="s">
        <v>39</v>
      </c>
      <c r="AA42" s="279" t="s">
        <v>1776</v>
      </c>
      <c r="AB42" s="124" t="s">
        <v>72</v>
      </c>
      <c r="AC42" s="124" t="s">
        <v>5699</v>
      </c>
      <c r="AD42" s="125"/>
      <c r="AE42" s="124"/>
      <c r="AF42" s="219">
        <v>45075.541857141201</v>
      </c>
      <c r="AG42" s="175" t="s">
        <v>22</v>
      </c>
      <c r="AH42" s="275">
        <v>50</v>
      </c>
      <c r="AI42" s="275">
        <v>43</v>
      </c>
      <c r="AJ42" s="275" t="s">
        <v>5873</v>
      </c>
    </row>
    <row r="43" spans="1:36">
      <c r="A43" s="174">
        <f>COUNTA($J$5:J43)</f>
        <v>39</v>
      </c>
      <c r="B43" s="272" t="s">
        <v>5290</v>
      </c>
      <c r="C43" s="274" t="s">
        <v>3224</v>
      </c>
      <c r="D43" s="273" t="s">
        <v>1104</v>
      </c>
      <c r="E43" s="273" t="s">
        <v>4665</v>
      </c>
      <c r="F43" s="273" t="s">
        <v>138</v>
      </c>
      <c r="G43" s="273">
        <v>45054</v>
      </c>
      <c r="H43" s="273">
        <v>43396</v>
      </c>
      <c r="I43" s="272" t="s">
        <v>1135</v>
      </c>
      <c r="J43" s="273" t="s">
        <v>5291</v>
      </c>
      <c r="K43" s="273" t="s">
        <v>43</v>
      </c>
      <c r="L43" s="276">
        <v>760</v>
      </c>
      <c r="M43" s="273">
        <v>43761</v>
      </c>
      <c r="N43" s="273">
        <v>45054</v>
      </c>
      <c r="O43" s="277">
        <v>45070</v>
      </c>
      <c r="P43" s="277" t="s">
        <v>5437</v>
      </c>
      <c r="Q43" s="277"/>
      <c r="R43" s="277">
        <v>45082</v>
      </c>
      <c r="S43" s="277"/>
      <c r="T43" s="277">
        <v>45061.652118055557</v>
      </c>
      <c r="U43" s="277" t="s">
        <v>3</v>
      </c>
      <c r="V43" s="277" t="s">
        <v>5393</v>
      </c>
      <c r="W43" s="278">
        <v>4760</v>
      </c>
      <c r="X43" s="277" t="s">
        <v>5407</v>
      </c>
      <c r="Y43" s="277" t="s">
        <v>1132</v>
      </c>
      <c r="Z43" s="277" t="s">
        <v>39</v>
      </c>
      <c r="AA43" s="279" t="s">
        <v>1776</v>
      </c>
      <c r="AB43" s="124" t="s">
        <v>72</v>
      </c>
      <c r="AC43" s="124" t="s">
        <v>5699</v>
      </c>
      <c r="AD43" s="125"/>
      <c r="AE43" s="124"/>
      <c r="AF43" s="219">
        <v>45085.735695925927</v>
      </c>
      <c r="AG43" s="175" t="s">
        <v>58</v>
      </c>
      <c r="AH43" s="275">
        <v>44</v>
      </c>
      <c r="AI43" s="275">
        <v>24</v>
      </c>
      <c r="AJ43" s="275" t="s">
        <v>5873</v>
      </c>
    </row>
    <row r="44" spans="1:36">
      <c r="A44" s="174">
        <f>COUNTA($J$5:J44)</f>
        <v>40</v>
      </c>
      <c r="B44" s="272" t="s">
        <v>5294</v>
      </c>
      <c r="C44" s="274" t="s">
        <v>3224</v>
      </c>
      <c r="D44" s="273" t="s">
        <v>1104</v>
      </c>
      <c r="E44" s="273" t="s">
        <v>4665</v>
      </c>
      <c r="F44" s="273" t="s">
        <v>138</v>
      </c>
      <c r="G44" s="273">
        <v>45054</v>
      </c>
      <c r="H44" s="273">
        <v>43634</v>
      </c>
      <c r="I44" s="272" t="s">
        <v>53</v>
      </c>
      <c r="J44" s="273" t="s">
        <v>5295</v>
      </c>
      <c r="K44" s="273" t="s">
        <v>43</v>
      </c>
      <c r="L44" s="276">
        <v>760</v>
      </c>
      <c r="M44" s="273">
        <v>44000</v>
      </c>
      <c r="N44" s="273">
        <v>45054</v>
      </c>
      <c r="O44" s="277">
        <v>45070</v>
      </c>
      <c r="P44" s="277" t="s">
        <v>5438</v>
      </c>
      <c r="Q44" s="277"/>
      <c r="R44" s="277">
        <v>45082</v>
      </c>
      <c r="S44" s="277"/>
      <c r="T44" s="277">
        <v>45061.668171296296</v>
      </c>
      <c r="U44" s="277" t="s">
        <v>3</v>
      </c>
      <c r="V44" s="277" t="s">
        <v>5395</v>
      </c>
      <c r="W44" s="278">
        <v>8389</v>
      </c>
      <c r="X44" s="277" t="s">
        <v>5408</v>
      </c>
      <c r="Y44" s="277" t="s">
        <v>1132</v>
      </c>
      <c r="Z44" s="277" t="s">
        <v>39</v>
      </c>
      <c r="AA44" s="279" t="s">
        <v>1776</v>
      </c>
      <c r="AB44" s="124" t="s">
        <v>72</v>
      </c>
      <c r="AC44" s="124" t="s">
        <v>5699</v>
      </c>
      <c r="AD44" s="125"/>
      <c r="AE44" s="124"/>
      <c r="AF44" s="219">
        <v>45085.735822048613</v>
      </c>
      <c r="AG44" s="175" t="s">
        <v>58</v>
      </c>
      <c r="AH44" s="275">
        <v>44</v>
      </c>
      <c r="AI44" s="275">
        <v>24</v>
      </c>
      <c r="AJ44" s="275" t="s">
        <v>5873</v>
      </c>
    </row>
    <row r="45" spans="1:36">
      <c r="A45" s="174">
        <f>COUNTA($J$5:J45)</f>
        <v>41</v>
      </c>
      <c r="B45" s="272" t="s">
        <v>5296</v>
      </c>
      <c r="C45" s="274" t="s">
        <v>3225</v>
      </c>
      <c r="D45" s="273" t="s">
        <v>4152</v>
      </c>
      <c r="E45" s="273" t="s">
        <v>4665</v>
      </c>
      <c r="F45" s="273" t="s">
        <v>26</v>
      </c>
      <c r="G45" s="273">
        <v>45055</v>
      </c>
      <c r="H45" s="273">
        <v>44791</v>
      </c>
      <c r="I45" s="272" t="s">
        <v>20</v>
      </c>
      <c r="J45" s="273" t="s">
        <v>5297</v>
      </c>
      <c r="K45" s="273" t="s">
        <v>43</v>
      </c>
      <c r="L45" s="276">
        <v>530</v>
      </c>
      <c r="M45" s="273">
        <v>45156</v>
      </c>
      <c r="N45" s="273">
        <v>45055.773506944446</v>
      </c>
      <c r="O45" s="277"/>
      <c r="P45" s="277" t="s">
        <v>5333</v>
      </c>
      <c r="Q45" s="277"/>
      <c r="R45" s="277" t="s">
        <v>59</v>
      </c>
      <c r="S45" s="277"/>
      <c r="T45" s="277">
        <v>45055.791631944441</v>
      </c>
      <c r="U45" s="277" t="s">
        <v>3</v>
      </c>
      <c r="V45" s="277" t="s">
        <v>5298</v>
      </c>
      <c r="W45" s="278"/>
      <c r="X45" s="277" t="s">
        <v>5343</v>
      </c>
      <c r="Y45" s="277" t="s">
        <v>4877</v>
      </c>
      <c r="Z45" s="277" t="s">
        <v>32</v>
      </c>
      <c r="AA45" s="277" t="s">
        <v>5680</v>
      </c>
      <c r="AB45" s="124" t="s">
        <v>4940</v>
      </c>
      <c r="AC45" s="124"/>
      <c r="AD45" s="125" t="s">
        <v>1074</v>
      </c>
      <c r="AE45" s="124"/>
      <c r="AF45" s="219">
        <v>45113.607716030092</v>
      </c>
      <c r="AG45" s="175" t="s">
        <v>297</v>
      </c>
      <c r="AH45" s="275">
        <v>43</v>
      </c>
      <c r="AI45" s="275" t="s">
        <v>5873</v>
      </c>
      <c r="AJ45" s="275" t="s">
        <v>5873</v>
      </c>
    </row>
    <row r="46" spans="1:36">
      <c r="A46" s="174">
        <f>COUNTA($J$5:J46)</f>
        <v>42</v>
      </c>
      <c r="B46" s="272" t="s">
        <v>5299</v>
      </c>
      <c r="C46" s="274" t="s">
        <v>3225</v>
      </c>
      <c r="D46" s="273" t="s">
        <v>5300</v>
      </c>
      <c r="E46" s="273"/>
      <c r="F46" s="273" t="s">
        <v>26</v>
      </c>
      <c r="G46" s="273">
        <v>45055</v>
      </c>
      <c r="H46" s="273">
        <v>42222</v>
      </c>
      <c r="I46" s="272" t="s">
        <v>42</v>
      </c>
      <c r="J46" s="273" t="s">
        <v>5301</v>
      </c>
      <c r="K46" s="273" t="s">
        <v>43</v>
      </c>
      <c r="L46" s="276">
        <v>250</v>
      </c>
      <c r="M46" s="273">
        <v>42587</v>
      </c>
      <c r="N46" s="273">
        <v>45055</v>
      </c>
      <c r="O46" s="277"/>
      <c r="P46" s="277" t="s">
        <v>5335</v>
      </c>
      <c r="Q46" s="277"/>
      <c r="R46" s="277">
        <v>45056</v>
      </c>
      <c r="S46" s="277"/>
      <c r="T46" s="277">
        <v>45055.651678240742</v>
      </c>
      <c r="U46" s="277" t="s">
        <v>3</v>
      </c>
      <c r="V46" s="277" t="s">
        <v>5302</v>
      </c>
      <c r="W46" s="278">
        <v>4274</v>
      </c>
      <c r="X46" s="277" t="s">
        <v>5334</v>
      </c>
      <c r="Y46" s="277" t="s">
        <v>24</v>
      </c>
      <c r="Z46" s="277" t="s">
        <v>39</v>
      </c>
      <c r="AA46" s="279" t="s">
        <v>1776</v>
      </c>
      <c r="AB46" s="124" t="s">
        <v>72</v>
      </c>
      <c r="AC46" s="124" t="s">
        <v>5699</v>
      </c>
      <c r="AD46" s="125"/>
      <c r="AE46" s="124"/>
      <c r="AF46" s="219">
        <v>45075.549551909724</v>
      </c>
      <c r="AG46" s="175" t="s">
        <v>22</v>
      </c>
      <c r="AH46" s="275">
        <v>43</v>
      </c>
      <c r="AI46" s="275">
        <v>42</v>
      </c>
      <c r="AJ46" s="275" t="s">
        <v>5873</v>
      </c>
    </row>
    <row r="47" spans="1:36">
      <c r="A47" s="174">
        <f>COUNTA($J$5:J47)</f>
        <v>43</v>
      </c>
      <c r="B47" s="272" t="s">
        <v>5305</v>
      </c>
      <c r="C47" s="274" t="s">
        <v>3224</v>
      </c>
      <c r="D47" s="273" t="s">
        <v>112</v>
      </c>
      <c r="E47" s="273" t="s">
        <v>4706</v>
      </c>
      <c r="F47" s="273" t="s">
        <v>26</v>
      </c>
      <c r="G47" s="273">
        <v>45055</v>
      </c>
      <c r="H47" s="273">
        <v>42921</v>
      </c>
      <c r="I47" s="272" t="s">
        <v>31</v>
      </c>
      <c r="J47" s="273" t="s">
        <v>5306</v>
      </c>
      <c r="K47" s="273" t="s">
        <v>1054</v>
      </c>
      <c r="L47" s="276">
        <v>4450</v>
      </c>
      <c r="M47" s="273">
        <v>43286</v>
      </c>
      <c r="N47" s="273">
        <v>45056</v>
      </c>
      <c r="O47" s="277"/>
      <c r="P47" s="277" t="s">
        <v>5336</v>
      </c>
      <c r="Q47" s="277"/>
      <c r="R47" s="277">
        <v>45056</v>
      </c>
      <c r="S47" s="277"/>
      <c r="T47" s="277">
        <v>45056.555023148147</v>
      </c>
      <c r="U47" s="277" t="s">
        <v>5</v>
      </c>
      <c r="V47" s="277" t="s">
        <v>4901</v>
      </c>
      <c r="W47" s="278">
        <v>10336</v>
      </c>
      <c r="X47" s="277" t="s">
        <v>5337</v>
      </c>
      <c r="Y47" s="277" t="s">
        <v>28</v>
      </c>
      <c r="Z47" s="277" t="s">
        <v>3640</v>
      </c>
      <c r="AA47" s="277"/>
      <c r="AB47" s="124" t="s">
        <v>72</v>
      </c>
      <c r="AC47" s="124" t="s">
        <v>5699</v>
      </c>
      <c r="AD47" s="125"/>
      <c r="AE47" s="124"/>
      <c r="AF47" s="219">
        <v>45075.550352696759</v>
      </c>
      <c r="AG47" s="175" t="s">
        <v>22</v>
      </c>
      <c r="AH47" s="275">
        <v>42</v>
      </c>
      <c r="AI47" s="275">
        <v>42</v>
      </c>
      <c r="AJ47" s="275" t="s">
        <v>5873</v>
      </c>
    </row>
    <row r="48" spans="1:36">
      <c r="A48" s="174">
        <f>COUNTA($J$5:J48)</f>
        <v>44</v>
      </c>
      <c r="B48" s="272" t="s">
        <v>5307</v>
      </c>
      <c r="C48" s="274" t="s">
        <v>3225</v>
      </c>
      <c r="D48" s="273" t="s">
        <v>25</v>
      </c>
      <c r="E48" s="273" t="s">
        <v>4665</v>
      </c>
      <c r="F48" s="273" t="s">
        <v>138</v>
      </c>
      <c r="G48" s="273">
        <v>45055</v>
      </c>
      <c r="H48" s="273">
        <v>43702</v>
      </c>
      <c r="I48" s="272" t="s">
        <v>1181</v>
      </c>
      <c r="J48" s="273" t="s">
        <v>1182</v>
      </c>
      <c r="K48" s="273" t="s">
        <v>1055</v>
      </c>
      <c r="L48" s="276">
        <v>590</v>
      </c>
      <c r="M48" s="273">
        <v>44068</v>
      </c>
      <c r="N48" s="273">
        <v>45055</v>
      </c>
      <c r="O48" s="277"/>
      <c r="P48" s="277" t="s">
        <v>5341</v>
      </c>
      <c r="Q48" s="277"/>
      <c r="R48" s="277">
        <v>45055</v>
      </c>
      <c r="S48" s="277"/>
      <c r="T48" s="277">
        <v>45055</v>
      </c>
      <c r="U48" s="277" t="s">
        <v>3</v>
      </c>
      <c r="V48" s="277" t="s">
        <v>5308</v>
      </c>
      <c r="W48" s="278">
        <v>5351</v>
      </c>
      <c r="X48" s="277" t="s">
        <v>5342</v>
      </c>
      <c r="Y48" s="277" t="s">
        <v>37</v>
      </c>
      <c r="Z48" s="277" t="s">
        <v>39</v>
      </c>
      <c r="AA48" s="279" t="s">
        <v>1774</v>
      </c>
      <c r="AB48" s="124" t="s">
        <v>72</v>
      </c>
      <c r="AC48" s="124" t="s">
        <v>5699</v>
      </c>
      <c r="AD48" s="125"/>
      <c r="AE48" s="124"/>
      <c r="AF48" s="219">
        <v>45075.550773831019</v>
      </c>
      <c r="AG48" s="175" t="s">
        <v>22</v>
      </c>
      <c r="AH48" s="275">
        <v>43</v>
      </c>
      <c r="AI48" s="275">
        <v>43</v>
      </c>
      <c r="AJ48" s="275" t="s">
        <v>5873</v>
      </c>
    </row>
    <row r="49" spans="1:36">
      <c r="A49" s="174">
        <f>COUNTA($J$5:J49)</f>
        <v>45</v>
      </c>
      <c r="B49" s="272" t="s">
        <v>5310</v>
      </c>
      <c r="C49" s="274" t="s">
        <v>3225</v>
      </c>
      <c r="D49" s="273" t="s">
        <v>5311</v>
      </c>
      <c r="E49" s="273"/>
      <c r="F49" s="273" t="s">
        <v>138</v>
      </c>
      <c r="G49" s="273">
        <v>45055</v>
      </c>
      <c r="H49" s="273">
        <v>42503</v>
      </c>
      <c r="I49" s="272" t="s">
        <v>23</v>
      </c>
      <c r="J49" s="273" t="s">
        <v>5312</v>
      </c>
      <c r="K49" s="273" t="s">
        <v>1259</v>
      </c>
      <c r="L49" s="276">
        <v>530</v>
      </c>
      <c r="M49" s="273">
        <v>42868</v>
      </c>
      <c r="N49" s="273">
        <v>45055</v>
      </c>
      <c r="O49" s="277">
        <v>45070</v>
      </c>
      <c r="P49" s="277" t="s">
        <v>5439</v>
      </c>
      <c r="Q49" s="277"/>
      <c r="R49" s="277">
        <v>45082</v>
      </c>
      <c r="S49" s="277"/>
      <c r="T49" s="277">
        <v>45062.742245370369</v>
      </c>
      <c r="U49" s="277" t="s">
        <v>3</v>
      </c>
      <c r="V49" s="277" t="s">
        <v>5396</v>
      </c>
      <c r="W49" s="278">
        <v>1034</v>
      </c>
      <c r="X49" s="277" t="s">
        <v>5409</v>
      </c>
      <c r="Y49" s="277" t="s">
        <v>1132</v>
      </c>
      <c r="Z49" s="277" t="s">
        <v>39</v>
      </c>
      <c r="AA49" s="279" t="s">
        <v>1774</v>
      </c>
      <c r="AB49" s="124" t="s">
        <v>72</v>
      </c>
      <c r="AC49" s="124" t="s">
        <v>5699</v>
      </c>
      <c r="AD49" s="125"/>
      <c r="AE49" s="124"/>
      <c r="AF49" s="219">
        <v>45085.73598863426</v>
      </c>
      <c r="AG49" s="175" t="s">
        <v>58</v>
      </c>
      <c r="AH49" s="275">
        <v>43</v>
      </c>
      <c r="AI49" s="275">
        <v>24</v>
      </c>
      <c r="AJ49" s="275" t="s">
        <v>5873</v>
      </c>
    </row>
    <row r="50" spans="1:36">
      <c r="A50" s="174">
        <f>COUNTA($J$5:J50)</f>
        <v>46</v>
      </c>
      <c r="B50" s="272" t="s">
        <v>5313</v>
      </c>
      <c r="C50" s="274" t="s">
        <v>3224</v>
      </c>
      <c r="D50" s="273" t="s">
        <v>1131</v>
      </c>
      <c r="E50" s="273"/>
      <c r="F50" s="273" t="s">
        <v>138</v>
      </c>
      <c r="G50" s="273">
        <v>45055</v>
      </c>
      <c r="H50" s="273">
        <v>43915</v>
      </c>
      <c r="I50" s="272" t="s">
        <v>42</v>
      </c>
      <c r="J50" s="273" t="s">
        <v>2033</v>
      </c>
      <c r="K50" s="273" t="s">
        <v>43</v>
      </c>
      <c r="L50" s="276">
        <v>250</v>
      </c>
      <c r="M50" s="273">
        <v>44280</v>
      </c>
      <c r="N50" s="273">
        <v>45055</v>
      </c>
      <c r="O50" s="277">
        <v>45070</v>
      </c>
      <c r="P50" s="277" t="s">
        <v>5440</v>
      </c>
      <c r="Q50" s="277"/>
      <c r="R50" s="277">
        <v>45082</v>
      </c>
      <c r="S50" s="277"/>
      <c r="T50" s="277">
        <v>45062.764444444445</v>
      </c>
      <c r="U50" s="277" t="s">
        <v>3</v>
      </c>
      <c r="V50" s="277" t="s">
        <v>21</v>
      </c>
      <c r="W50" s="278">
        <v>4315</v>
      </c>
      <c r="X50" s="277" t="s">
        <v>5410</v>
      </c>
      <c r="Y50" s="277" t="s">
        <v>1132</v>
      </c>
      <c r="Z50" s="277" t="s">
        <v>39</v>
      </c>
      <c r="AA50" s="279" t="s">
        <v>1774</v>
      </c>
      <c r="AB50" s="124" t="s">
        <v>72</v>
      </c>
      <c r="AC50" s="124" t="s">
        <v>5699</v>
      </c>
      <c r="AD50" s="125"/>
      <c r="AE50" s="124"/>
      <c r="AF50" s="219">
        <v>45083.550843865742</v>
      </c>
      <c r="AG50" s="175" t="s">
        <v>5521</v>
      </c>
      <c r="AH50" s="275">
        <v>43</v>
      </c>
      <c r="AI50" s="275">
        <v>24</v>
      </c>
      <c r="AJ50" s="275" t="s">
        <v>5873</v>
      </c>
    </row>
    <row r="51" spans="1:36">
      <c r="A51" s="174">
        <f>COUNTA($J$5:J51)</f>
        <v>47</v>
      </c>
      <c r="B51" s="272" t="s">
        <v>5314</v>
      </c>
      <c r="C51" s="274" t="s">
        <v>3224</v>
      </c>
      <c r="D51" s="273" t="s">
        <v>44</v>
      </c>
      <c r="E51" s="273" t="s">
        <v>4665</v>
      </c>
      <c r="F51" s="273" t="s">
        <v>138</v>
      </c>
      <c r="G51" s="273">
        <v>45056</v>
      </c>
      <c r="H51" s="273">
        <v>42744</v>
      </c>
      <c r="I51" s="272" t="s">
        <v>53</v>
      </c>
      <c r="J51" s="273" t="s">
        <v>5315</v>
      </c>
      <c r="K51" s="273" t="s">
        <v>43</v>
      </c>
      <c r="L51" s="276">
        <v>760</v>
      </c>
      <c r="M51" s="273"/>
      <c r="N51" s="273">
        <v>45056.527662037035</v>
      </c>
      <c r="O51" s="277">
        <v>45070</v>
      </c>
      <c r="P51" s="277" t="s">
        <v>5441</v>
      </c>
      <c r="Q51" s="277"/>
      <c r="R51" s="277">
        <v>45082</v>
      </c>
      <c r="S51" s="277"/>
      <c r="T51" s="277">
        <v>45063.529351851852</v>
      </c>
      <c r="U51" s="277" t="s">
        <v>3</v>
      </c>
      <c r="V51" s="277" t="s">
        <v>5421</v>
      </c>
      <c r="W51" s="278">
        <v>2840</v>
      </c>
      <c r="X51" s="277" t="s">
        <v>5430</v>
      </c>
      <c r="Y51" s="277" t="s">
        <v>1132</v>
      </c>
      <c r="Z51" s="277" t="s">
        <v>1068</v>
      </c>
      <c r="AA51" s="279" t="s">
        <v>5870</v>
      </c>
      <c r="AB51" s="124" t="s">
        <v>72</v>
      </c>
      <c r="AC51" s="124" t="s">
        <v>5520</v>
      </c>
      <c r="AD51" s="125"/>
      <c r="AE51" s="124"/>
      <c r="AF51" s="219">
        <v>45100.781175706019</v>
      </c>
      <c r="AG51" s="175" t="s">
        <v>5521</v>
      </c>
      <c r="AH51" s="275">
        <v>42</v>
      </c>
      <c r="AI51" s="275">
        <v>24</v>
      </c>
      <c r="AJ51" s="275" t="s">
        <v>5873</v>
      </c>
    </row>
    <row r="52" spans="1:36">
      <c r="A52" s="174">
        <f>COUNTA($J$5:J52)</f>
        <v>48</v>
      </c>
      <c r="B52" s="272" t="s">
        <v>5323</v>
      </c>
      <c r="C52" s="274" t="s">
        <v>3224</v>
      </c>
      <c r="D52" s="273" t="s">
        <v>308</v>
      </c>
      <c r="E52" s="273" t="s">
        <v>5324</v>
      </c>
      <c r="F52" s="273" t="s">
        <v>26</v>
      </c>
      <c r="G52" s="273">
        <v>45057</v>
      </c>
      <c r="H52" s="273">
        <v>43325</v>
      </c>
      <c r="I52" s="272" t="s">
        <v>1135</v>
      </c>
      <c r="J52" s="273" t="s">
        <v>5325</v>
      </c>
      <c r="K52" s="273" t="s">
        <v>43</v>
      </c>
      <c r="L52" s="276">
        <v>760</v>
      </c>
      <c r="M52" s="273">
        <v>44421</v>
      </c>
      <c r="N52" s="273">
        <v>45061.429236111115</v>
      </c>
      <c r="O52" s="277"/>
      <c r="P52" s="277"/>
      <c r="Q52" s="277"/>
      <c r="R52" s="277">
        <v>45068</v>
      </c>
      <c r="S52" s="277">
        <v>45093</v>
      </c>
      <c r="T52" s="277">
        <v>45061.80431712963</v>
      </c>
      <c r="U52" s="277" t="s">
        <v>4</v>
      </c>
      <c r="V52" s="277"/>
      <c r="W52" s="278">
        <v>119</v>
      </c>
      <c r="X52" s="277" t="s">
        <v>5406</v>
      </c>
      <c r="Y52" s="277"/>
      <c r="Z52" s="277" t="s">
        <v>71</v>
      </c>
      <c r="AA52" s="279" t="s">
        <v>5949</v>
      </c>
      <c r="AB52" s="124" t="s">
        <v>4940</v>
      </c>
      <c r="AC52" s="124"/>
      <c r="AD52" s="125" t="s">
        <v>1074</v>
      </c>
      <c r="AE52" s="124"/>
      <c r="AF52" s="219">
        <v>45106.428425358798</v>
      </c>
      <c r="AG52" s="175" t="s">
        <v>22</v>
      </c>
      <c r="AH52" s="275">
        <v>39</v>
      </c>
      <c r="AI52" s="275">
        <v>34</v>
      </c>
      <c r="AJ52" s="275">
        <v>15</v>
      </c>
    </row>
    <row r="53" spans="1:36">
      <c r="A53" s="174">
        <f>COUNTA($J$5:J53)</f>
        <v>49</v>
      </c>
      <c r="B53" s="272" t="s">
        <v>5349</v>
      </c>
      <c r="C53" s="274" t="s">
        <v>3224</v>
      </c>
      <c r="D53" s="273" t="s">
        <v>1689</v>
      </c>
      <c r="E53" s="273" t="s">
        <v>3484</v>
      </c>
      <c r="F53" s="273" t="s">
        <v>138</v>
      </c>
      <c r="G53" s="273">
        <v>45058</v>
      </c>
      <c r="H53" s="273">
        <v>43536</v>
      </c>
      <c r="I53" s="272" t="s">
        <v>40</v>
      </c>
      <c r="J53" s="273" t="s">
        <v>1690</v>
      </c>
      <c r="K53" s="273" t="s">
        <v>43</v>
      </c>
      <c r="L53" s="276">
        <v>530</v>
      </c>
      <c r="M53" s="273">
        <v>43902</v>
      </c>
      <c r="N53" s="273">
        <v>45058</v>
      </c>
      <c r="O53" s="277">
        <v>45089</v>
      </c>
      <c r="P53" s="277" t="s">
        <v>5648</v>
      </c>
      <c r="Q53" s="277"/>
      <c r="R53" s="277">
        <v>45086</v>
      </c>
      <c r="S53" s="277"/>
      <c r="T53" s="277">
        <v>45069</v>
      </c>
      <c r="U53" s="277" t="s">
        <v>3</v>
      </c>
      <c r="V53" s="277" t="s">
        <v>5544</v>
      </c>
      <c r="W53" s="278">
        <v>6457</v>
      </c>
      <c r="X53" s="277" t="s">
        <v>5504</v>
      </c>
      <c r="Y53" s="277" t="s">
        <v>1132</v>
      </c>
      <c r="Z53" s="277" t="s">
        <v>39</v>
      </c>
      <c r="AA53" s="279" t="s">
        <v>1774</v>
      </c>
      <c r="AB53" s="124" t="s">
        <v>72</v>
      </c>
      <c r="AC53" s="124" t="s">
        <v>5699</v>
      </c>
      <c r="AD53" s="125"/>
      <c r="AE53" s="124"/>
      <c r="AF53" s="219">
        <v>45100.81461616898</v>
      </c>
      <c r="AG53" s="175" t="s">
        <v>5521</v>
      </c>
      <c r="AH53" s="275">
        <v>40</v>
      </c>
      <c r="AI53" s="275">
        <v>20</v>
      </c>
      <c r="AJ53" s="275" t="s">
        <v>5873</v>
      </c>
    </row>
    <row r="54" spans="1:36">
      <c r="A54" s="174">
        <f>COUNTA($J$5:J54)</f>
        <v>50</v>
      </c>
      <c r="B54" s="272" t="s">
        <v>5398</v>
      </c>
      <c r="C54" s="274" t="s">
        <v>3225</v>
      </c>
      <c r="D54" s="273" t="s">
        <v>2607</v>
      </c>
      <c r="E54" s="273" t="s">
        <v>2985</v>
      </c>
      <c r="F54" s="273" t="s">
        <v>138</v>
      </c>
      <c r="G54" s="273">
        <v>45061</v>
      </c>
      <c r="H54" s="273">
        <v>43523</v>
      </c>
      <c r="I54" s="272" t="s">
        <v>68</v>
      </c>
      <c r="J54" s="273" t="s">
        <v>5399</v>
      </c>
      <c r="K54" s="273" t="s">
        <v>1055</v>
      </c>
      <c r="L54" s="276">
        <v>250</v>
      </c>
      <c r="M54" s="273">
        <v>43888</v>
      </c>
      <c r="N54" s="273">
        <v>45068</v>
      </c>
      <c r="O54" s="277">
        <v>45075</v>
      </c>
      <c r="P54" s="277" t="s">
        <v>5505</v>
      </c>
      <c r="Q54" s="277"/>
      <c r="R54" s="277">
        <v>45082</v>
      </c>
      <c r="S54" s="277"/>
      <c r="T54" s="277">
        <v>45068.567060185182</v>
      </c>
      <c r="U54" s="277" t="s">
        <v>4</v>
      </c>
      <c r="V54" s="277" t="s">
        <v>5545</v>
      </c>
      <c r="W54" s="278">
        <v>235</v>
      </c>
      <c r="X54" s="277" t="s">
        <v>5506</v>
      </c>
      <c r="Y54" s="277" t="s">
        <v>1132</v>
      </c>
      <c r="Z54" s="277" t="s">
        <v>39</v>
      </c>
      <c r="AA54" s="279" t="s">
        <v>1774</v>
      </c>
      <c r="AB54" s="124" t="s">
        <v>72</v>
      </c>
      <c r="AC54" s="124" t="s">
        <v>5699</v>
      </c>
      <c r="AD54" s="125"/>
      <c r="AE54" s="124"/>
      <c r="AF54" s="219">
        <v>45085.736418935187</v>
      </c>
      <c r="AG54" s="175" t="s">
        <v>58</v>
      </c>
      <c r="AH54" s="275">
        <v>34</v>
      </c>
      <c r="AI54" s="275">
        <v>24</v>
      </c>
      <c r="AJ54" s="275" t="s">
        <v>5873</v>
      </c>
    </row>
    <row r="55" spans="1:36">
      <c r="A55" s="174">
        <f>COUNTA($J$5:J55)</f>
        <v>51</v>
      </c>
      <c r="B55" s="272" t="s">
        <v>5400</v>
      </c>
      <c r="C55" s="274" t="s">
        <v>3225</v>
      </c>
      <c r="D55" s="273" t="s">
        <v>2607</v>
      </c>
      <c r="E55" s="273" t="s">
        <v>2985</v>
      </c>
      <c r="F55" s="273" t="s">
        <v>138</v>
      </c>
      <c r="G55" s="273">
        <v>45061</v>
      </c>
      <c r="H55" s="273">
        <v>43494</v>
      </c>
      <c r="I55" s="272" t="s">
        <v>68</v>
      </c>
      <c r="J55" s="273" t="s">
        <v>2608</v>
      </c>
      <c r="K55" s="273" t="s">
        <v>1055</v>
      </c>
      <c r="L55" s="276">
        <v>250</v>
      </c>
      <c r="M55" s="273">
        <v>43859</v>
      </c>
      <c r="N55" s="273">
        <v>45054</v>
      </c>
      <c r="O55" s="277">
        <v>45075</v>
      </c>
      <c r="P55" s="277" t="s">
        <v>5507</v>
      </c>
      <c r="Q55" s="277"/>
      <c r="R55" s="277">
        <v>45082</v>
      </c>
      <c r="S55" s="277"/>
      <c r="T55" s="277">
        <v>45068.660555555558</v>
      </c>
      <c r="U55" s="277" t="s">
        <v>3</v>
      </c>
      <c r="V55" s="277" t="s">
        <v>5546</v>
      </c>
      <c r="W55" s="278">
        <v>2342</v>
      </c>
      <c r="X55" s="277" t="s">
        <v>5508</v>
      </c>
      <c r="Y55" s="277" t="s">
        <v>37</v>
      </c>
      <c r="Z55" s="277" t="s">
        <v>39</v>
      </c>
      <c r="AA55" s="279" t="s">
        <v>1774</v>
      </c>
      <c r="AB55" s="124" t="s">
        <v>72</v>
      </c>
      <c r="AC55" s="124" t="s">
        <v>5699</v>
      </c>
      <c r="AD55" s="125"/>
      <c r="AE55" s="124"/>
      <c r="AF55" s="219">
        <v>45085.736572256945</v>
      </c>
      <c r="AG55" s="175" t="s">
        <v>58</v>
      </c>
      <c r="AH55" s="275">
        <v>44</v>
      </c>
      <c r="AI55" s="275">
        <v>24</v>
      </c>
      <c r="AJ55" s="275" t="s">
        <v>5873</v>
      </c>
    </row>
    <row r="56" spans="1:36">
      <c r="A56" s="174">
        <f>COUNTA($J$5:J56)</f>
        <v>52</v>
      </c>
      <c r="B56" s="272" t="s">
        <v>5403</v>
      </c>
      <c r="C56" s="274" t="s">
        <v>3224</v>
      </c>
      <c r="D56" s="273" t="s">
        <v>1261</v>
      </c>
      <c r="E56" s="273" t="s">
        <v>4706</v>
      </c>
      <c r="F56" s="273" t="s">
        <v>26</v>
      </c>
      <c r="G56" s="273">
        <v>45062</v>
      </c>
      <c r="H56" s="273">
        <v>43263</v>
      </c>
      <c r="I56" s="272" t="s">
        <v>62</v>
      </c>
      <c r="J56" s="273" t="s">
        <v>5404</v>
      </c>
      <c r="K56" s="273" t="s">
        <v>1055</v>
      </c>
      <c r="L56" s="276">
        <v>530</v>
      </c>
      <c r="M56" s="273">
        <v>43628</v>
      </c>
      <c r="N56" s="273">
        <v>45068</v>
      </c>
      <c r="O56" s="277">
        <v>45070</v>
      </c>
      <c r="P56" s="277" t="s">
        <v>5442</v>
      </c>
      <c r="Q56" s="277"/>
      <c r="R56" s="277">
        <v>45069</v>
      </c>
      <c r="S56" s="277"/>
      <c r="T56" s="277">
        <v>45068.732766203706</v>
      </c>
      <c r="U56" s="277" t="s">
        <v>3</v>
      </c>
      <c r="V56" s="277" t="s">
        <v>5547</v>
      </c>
      <c r="W56" s="278">
        <v>3103</v>
      </c>
      <c r="X56" s="277" t="s">
        <v>5443</v>
      </c>
      <c r="Y56" s="277" t="s">
        <v>22</v>
      </c>
      <c r="Z56" s="277" t="s">
        <v>39</v>
      </c>
      <c r="AA56" s="279" t="s">
        <v>1774</v>
      </c>
      <c r="AB56" s="124" t="s">
        <v>72</v>
      </c>
      <c r="AC56" s="124" t="s">
        <v>5699</v>
      </c>
      <c r="AD56" s="125"/>
      <c r="AE56" s="124"/>
      <c r="AF56" s="219">
        <v>45076.50240391204</v>
      </c>
      <c r="AG56" s="175" t="s">
        <v>24</v>
      </c>
      <c r="AH56" s="275">
        <v>34</v>
      </c>
      <c r="AI56" s="275">
        <v>33</v>
      </c>
      <c r="AJ56" s="275" t="s">
        <v>5873</v>
      </c>
    </row>
    <row r="57" spans="1:36">
      <c r="A57" s="174">
        <f>COUNTA($J$5:J57)</f>
        <v>53</v>
      </c>
      <c r="B57" s="272" t="s">
        <v>5444</v>
      </c>
      <c r="C57" s="274" t="s">
        <v>1729</v>
      </c>
      <c r="D57" s="273" t="s">
        <v>45</v>
      </c>
      <c r="E57" s="273"/>
      <c r="F57" s="273" t="s">
        <v>26</v>
      </c>
      <c r="G57" s="273">
        <v>45068</v>
      </c>
      <c r="H57" s="273">
        <v>44868</v>
      </c>
      <c r="I57" s="272" t="s">
        <v>1135</v>
      </c>
      <c r="J57" s="273" t="s">
        <v>5445</v>
      </c>
      <c r="K57" s="273" t="s">
        <v>43</v>
      </c>
      <c r="L57" s="276">
        <v>760</v>
      </c>
      <c r="M57" s="273">
        <v>45233</v>
      </c>
      <c r="N57" s="273">
        <v>45068</v>
      </c>
      <c r="O57" s="277">
        <v>45070</v>
      </c>
      <c r="P57" s="277" t="s">
        <v>5473</v>
      </c>
      <c r="Q57" s="277"/>
      <c r="R57" s="277" t="s">
        <v>70</v>
      </c>
      <c r="S57" s="277">
        <v>45085</v>
      </c>
      <c r="T57" s="277">
        <v>45068.739317129628</v>
      </c>
      <c r="U57" s="277" t="s">
        <v>3</v>
      </c>
      <c r="V57" s="277" t="s">
        <v>5446</v>
      </c>
      <c r="W57" s="278">
        <v>685</v>
      </c>
      <c r="X57" s="277" t="s">
        <v>5474</v>
      </c>
      <c r="Y57" s="277" t="s">
        <v>22</v>
      </c>
      <c r="Z57" s="277" t="s">
        <v>32</v>
      </c>
      <c r="AA57" s="277" t="s">
        <v>5643</v>
      </c>
      <c r="AB57" s="124" t="s">
        <v>72</v>
      </c>
      <c r="AC57" s="124" t="s">
        <v>5700</v>
      </c>
      <c r="AD57" s="125"/>
      <c r="AE57" s="124"/>
      <c r="AF57" s="219">
        <v>45083.473947071761</v>
      </c>
      <c r="AG57" s="175" t="s">
        <v>5521</v>
      </c>
      <c r="AH57" s="275">
        <v>34</v>
      </c>
      <c r="AI57" s="275" t="s">
        <v>5873</v>
      </c>
      <c r="AJ57" s="275">
        <v>21</v>
      </c>
    </row>
    <row r="58" spans="1:36">
      <c r="A58" s="174">
        <f>COUNTA($J$5:J58)</f>
        <v>54</v>
      </c>
      <c r="B58" s="272" t="s">
        <v>5447</v>
      </c>
      <c r="C58" s="274" t="s">
        <v>3224</v>
      </c>
      <c r="D58" s="273" t="s">
        <v>5448</v>
      </c>
      <c r="E58" s="273" t="s">
        <v>4706</v>
      </c>
      <c r="F58" s="273" t="s">
        <v>26</v>
      </c>
      <c r="G58" s="273">
        <v>45069</v>
      </c>
      <c r="H58" s="273">
        <v>43315</v>
      </c>
      <c r="I58" s="272" t="s">
        <v>31</v>
      </c>
      <c r="J58" s="273" t="s">
        <v>5449</v>
      </c>
      <c r="K58" s="273" t="s">
        <v>1054</v>
      </c>
      <c r="L58" s="276">
        <v>4450</v>
      </c>
      <c r="M58" s="273">
        <v>43680</v>
      </c>
      <c r="N58" s="273">
        <v>45056.550752314812</v>
      </c>
      <c r="O58" s="277">
        <v>45075</v>
      </c>
      <c r="P58" s="277" t="s">
        <v>5518</v>
      </c>
      <c r="Q58" s="277"/>
      <c r="R58" s="277">
        <v>45075</v>
      </c>
      <c r="S58" s="277"/>
      <c r="T58" s="277">
        <v>45075.463599537034</v>
      </c>
      <c r="U58" s="277" t="s">
        <v>5</v>
      </c>
      <c r="V58" s="277" t="s">
        <v>1105</v>
      </c>
      <c r="W58" s="278">
        <v>10270</v>
      </c>
      <c r="X58" s="277" t="s">
        <v>5519</v>
      </c>
      <c r="Y58" s="277" t="s">
        <v>22</v>
      </c>
      <c r="Z58" s="277" t="s">
        <v>3640</v>
      </c>
      <c r="AA58" s="279" t="s">
        <v>1774</v>
      </c>
      <c r="AB58" s="124" t="s">
        <v>72</v>
      </c>
      <c r="AC58" s="124" t="s">
        <v>5699</v>
      </c>
      <c r="AD58" s="125"/>
      <c r="AE58" s="124"/>
      <c r="AF58" s="219">
        <v>45075.549991574073</v>
      </c>
      <c r="AG58" s="175" t="s">
        <v>5521</v>
      </c>
      <c r="AH58" s="275">
        <v>42</v>
      </c>
      <c r="AI58" s="275">
        <v>29</v>
      </c>
      <c r="AJ58" s="275" t="s">
        <v>5873</v>
      </c>
    </row>
    <row r="59" spans="1:36">
      <c r="A59" s="174">
        <f>COUNTA($J$5:J59)</f>
        <v>55</v>
      </c>
      <c r="B59" s="272" t="s">
        <v>5453</v>
      </c>
      <c r="C59" s="274" t="s">
        <v>1729</v>
      </c>
      <c r="D59" s="273" t="s">
        <v>45</v>
      </c>
      <c r="E59" s="273"/>
      <c r="F59" s="273" t="s">
        <v>26</v>
      </c>
      <c r="G59" s="273">
        <v>45069</v>
      </c>
      <c r="H59" s="273">
        <v>41459</v>
      </c>
      <c r="I59" s="272" t="s">
        <v>29</v>
      </c>
      <c r="J59" s="273" t="s">
        <v>1214</v>
      </c>
      <c r="K59" s="273" t="s">
        <v>1055</v>
      </c>
      <c r="L59" s="276">
        <v>530</v>
      </c>
      <c r="M59" s="273">
        <v>41824</v>
      </c>
      <c r="N59" s="273">
        <v>45090</v>
      </c>
      <c r="O59" s="277">
        <v>45113</v>
      </c>
      <c r="P59" s="277" t="s">
        <v>5919</v>
      </c>
      <c r="Q59" s="277"/>
      <c r="R59" s="277" t="s">
        <v>70</v>
      </c>
      <c r="S59" s="277"/>
      <c r="T59" s="277">
        <v>45111</v>
      </c>
      <c r="U59" s="277"/>
      <c r="V59" s="277" t="s">
        <v>5446</v>
      </c>
      <c r="W59" s="278"/>
      <c r="X59" s="277" t="s">
        <v>5918</v>
      </c>
      <c r="Y59" s="277" t="s">
        <v>22</v>
      </c>
      <c r="Z59" s="277" t="s">
        <v>64</v>
      </c>
      <c r="AA59" s="277"/>
      <c r="AB59" s="124" t="s">
        <v>72</v>
      </c>
      <c r="AC59" s="124" t="s">
        <v>5874</v>
      </c>
      <c r="AD59" s="125"/>
      <c r="AE59" s="124"/>
      <c r="AF59" s="219">
        <v>45111.711579745373</v>
      </c>
      <c r="AG59" s="175" t="s">
        <v>22</v>
      </c>
      <c r="AH59" s="275">
        <v>18</v>
      </c>
      <c r="AI59" s="275" t="s">
        <v>5873</v>
      </c>
      <c r="AJ59" s="275" t="s">
        <v>5873</v>
      </c>
    </row>
    <row r="60" spans="1:36">
      <c r="A60" s="174">
        <f>COUNTA($J$5:J60)</f>
        <v>56</v>
      </c>
      <c r="B60" s="272" t="s">
        <v>5456</v>
      </c>
      <c r="C60" s="274" t="s">
        <v>3225</v>
      </c>
      <c r="D60" s="273" t="s">
        <v>117</v>
      </c>
      <c r="E60" s="273" t="s">
        <v>2985</v>
      </c>
      <c r="F60" s="273" t="s">
        <v>138</v>
      </c>
      <c r="G60" s="273">
        <v>45069</v>
      </c>
      <c r="H60" s="273">
        <v>42830</v>
      </c>
      <c r="I60" s="272" t="s">
        <v>111</v>
      </c>
      <c r="J60" s="273" t="s">
        <v>5457</v>
      </c>
      <c r="K60" s="273" t="s">
        <v>1259</v>
      </c>
      <c r="L60" s="276">
        <v>530</v>
      </c>
      <c r="M60" s="273">
        <v>43195</v>
      </c>
      <c r="N60" s="273">
        <v>45056</v>
      </c>
      <c r="O60" s="277">
        <v>45075</v>
      </c>
      <c r="P60" s="277" t="s">
        <v>5510</v>
      </c>
      <c r="Q60" s="277"/>
      <c r="R60" s="277">
        <v>45082</v>
      </c>
      <c r="S60" s="277"/>
      <c r="T60" s="277">
        <v>45070.773182870369</v>
      </c>
      <c r="U60" s="277" t="s">
        <v>3</v>
      </c>
      <c r="V60" s="277" t="s">
        <v>5550</v>
      </c>
      <c r="W60" s="278">
        <v>7203</v>
      </c>
      <c r="X60" s="277" t="s">
        <v>5509</v>
      </c>
      <c r="Y60" s="277" t="s">
        <v>1114</v>
      </c>
      <c r="Z60" s="277" t="s">
        <v>39</v>
      </c>
      <c r="AA60" s="279" t="s">
        <v>1774</v>
      </c>
      <c r="AB60" s="124" t="s">
        <v>72</v>
      </c>
      <c r="AC60" s="124" t="s">
        <v>5699</v>
      </c>
      <c r="AD60" s="125"/>
      <c r="AE60" s="124"/>
      <c r="AF60" s="219">
        <v>45083.551294942132</v>
      </c>
      <c r="AG60" s="175" t="s">
        <v>5521</v>
      </c>
      <c r="AH60" s="275">
        <v>42</v>
      </c>
      <c r="AI60" s="275">
        <v>24</v>
      </c>
      <c r="AJ60" s="275" t="s">
        <v>5873</v>
      </c>
    </row>
    <row r="61" spans="1:36">
      <c r="A61" s="174">
        <f>COUNTA($J$5:J61)</f>
        <v>57</v>
      </c>
      <c r="B61" s="272" t="s">
        <v>5458</v>
      </c>
      <c r="C61" s="274" t="s">
        <v>3225</v>
      </c>
      <c r="D61" s="273" t="s">
        <v>117</v>
      </c>
      <c r="E61" s="273" t="s">
        <v>2985</v>
      </c>
      <c r="F61" s="273" t="s">
        <v>138</v>
      </c>
      <c r="G61" s="273">
        <v>45069</v>
      </c>
      <c r="H61" s="273">
        <v>42805</v>
      </c>
      <c r="I61" s="272" t="s">
        <v>111</v>
      </c>
      <c r="J61" s="273" t="s">
        <v>3176</v>
      </c>
      <c r="K61" s="273" t="s">
        <v>1259</v>
      </c>
      <c r="L61" s="276">
        <v>530</v>
      </c>
      <c r="M61" s="273">
        <v>43170</v>
      </c>
      <c r="N61" s="273">
        <v>45057</v>
      </c>
      <c r="O61" s="277">
        <v>45075</v>
      </c>
      <c r="P61" s="277" t="s">
        <v>5511</v>
      </c>
      <c r="Q61" s="277"/>
      <c r="R61" s="277">
        <v>45084</v>
      </c>
      <c r="S61" s="277"/>
      <c r="T61" s="277">
        <v>45071.507256944446</v>
      </c>
      <c r="U61" s="277" t="s">
        <v>3</v>
      </c>
      <c r="V61" s="277" t="s">
        <v>5551</v>
      </c>
      <c r="W61" s="278">
        <v>7203</v>
      </c>
      <c r="X61" s="277" t="s">
        <v>5512</v>
      </c>
      <c r="Y61" s="277" t="s">
        <v>1114</v>
      </c>
      <c r="Z61" s="277" t="s">
        <v>39</v>
      </c>
      <c r="AA61" s="279" t="s">
        <v>1774</v>
      </c>
      <c r="AB61" s="124" t="s">
        <v>72</v>
      </c>
      <c r="AC61" s="124" t="s">
        <v>5699</v>
      </c>
      <c r="AD61" s="125"/>
      <c r="AE61" s="124"/>
      <c r="AF61" s="219">
        <v>45084.456524039349</v>
      </c>
      <c r="AG61" s="175" t="s">
        <v>5521</v>
      </c>
      <c r="AH61" s="275">
        <v>41</v>
      </c>
      <c r="AI61" s="275">
        <v>22</v>
      </c>
      <c r="AJ61" s="275" t="s">
        <v>5873</v>
      </c>
    </row>
    <row r="62" spans="1:36">
      <c r="A62" s="174">
        <f>COUNTA($J$5:J62)</f>
        <v>58</v>
      </c>
      <c r="B62" s="272" t="s">
        <v>5459</v>
      </c>
      <c r="C62" s="274" t="s">
        <v>3225</v>
      </c>
      <c r="D62" s="273" t="s">
        <v>1112</v>
      </c>
      <c r="E62" s="273" t="s">
        <v>2986</v>
      </c>
      <c r="F62" s="273" t="s">
        <v>138</v>
      </c>
      <c r="G62" s="273">
        <v>45069</v>
      </c>
      <c r="H62" s="273">
        <v>42327</v>
      </c>
      <c r="I62" s="272" t="s">
        <v>38</v>
      </c>
      <c r="J62" s="273" t="s">
        <v>5460</v>
      </c>
      <c r="K62" s="273" t="s">
        <v>1055</v>
      </c>
      <c r="L62" s="276">
        <v>600</v>
      </c>
      <c r="M62" s="273">
        <v>42693</v>
      </c>
      <c r="N62" s="273">
        <v>45058</v>
      </c>
      <c r="O62" s="277">
        <v>45075</v>
      </c>
      <c r="P62" s="277" t="s">
        <v>5513</v>
      </c>
      <c r="Q62" s="277"/>
      <c r="R62" s="277">
        <v>45082</v>
      </c>
      <c r="S62" s="277"/>
      <c r="T62" s="277">
        <v>45071.812719907408</v>
      </c>
      <c r="U62" s="277" t="s">
        <v>3</v>
      </c>
      <c r="V62" s="277" t="s">
        <v>5552</v>
      </c>
      <c r="W62" s="278">
        <v>9489</v>
      </c>
      <c r="X62" s="277" t="s">
        <v>5641</v>
      </c>
      <c r="Y62" s="277" t="s">
        <v>37</v>
      </c>
      <c r="Z62" s="277" t="s">
        <v>39</v>
      </c>
      <c r="AA62" s="279" t="s">
        <v>1774</v>
      </c>
      <c r="AB62" s="124" t="s">
        <v>72</v>
      </c>
      <c r="AC62" s="124" t="s">
        <v>5699</v>
      </c>
      <c r="AD62" s="125"/>
      <c r="AE62" s="124"/>
      <c r="AF62" s="219">
        <v>45085.736909675928</v>
      </c>
      <c r="AG62" s="175" t="s">
        <v>58</v>
      </c>
      <c r="AH62" s="275">
        <v>40</v>
      </c>
      <c r="AI62" s="275">
        <v>24</v>
      </c>
      <c r="AJ62" s="275" t="s">
        <v>5873</v>
      </c>
    </row>
    <row r="63" spans="1:36">
      <c r="A63" s="174">
        <f>COUNTA($J$5:J63)</f>
        <v>59</v>
      </c>
      <c r="B63" s="272" t="s">
        <v>5463</v>
      </c>
      <c r="C63" s="274" t="s">
        <v>3225</v>
      </c>
      <c r="D63" s="273" t="s">
        <v>2793</v>
      </c>
      <c r="E63" s="273"/>
      <c r="F63" s="273" t="s">
        <v>138</v>
      </c>
      <c r="G63" s="273">
        <v>45069</v>
      </c>
      <c r="H63" s="273">
        <v>42702</v>
      </c>
      <c r="I63" s="272" t="s">
        <v>62</v>
      </c>
      <c r="J63" s="273" t="s">
        <v>3709</v>
      </c>
      <c r="K63" s="273" t="s">
        <v>1055</v>
      </c>
      <c r="L63" s="276">
        <v>530</v>
      </c>
      <c r="M63" s="273">
        <v>43067</v>
      </c>
      <c r="N63" s="273">
        <v>45058</v>
      </c>
      <c r="O63" s="277">
        <v>45082</v>
      </c>
      <c r="P63" s="277" t="s">
        <v>5580</v>
      </c>
      <c r="Q63" s="277"/>
      <c r="R63" s="277">
        <v>45084</v>
      </c>
      <c r="S63" s="277"/>
      <c r="T63" s="277">
        <v>45072.651956018519</v>
      </c>
      <c r="U63" s="277" t="s">
        <v>3</v>
      </c>
      <c r="V63" s="277" t="s">
        <v>5553</v>
      </c>
      <c r="W63" s="278">
        <v>10257</v>
      </c>
      <c r="X63" s="277" t="s">
        <v>5514</v>
      </c>
      <c r="Y63" s="277" t="s">
        <v>1114</v>
      </c>
      <c r="Z63" s="277" t="s">
        <v>39</v>
      </c>
      <c r="AA63" s="279" t="s">
        <v>1774</v>
      </c>
      <c r="AB63" s="124" t="s">
        <v>72</v>
      </c>
      <c r="AC63" s="124" t="s">
        <v>5699</v>
      </c>
      <c r="AD63" s="125"/>
      <c r="AE63" s="124"/>
      <c r="AF63" s="219">
        <v>45084.465320162039</v>
      </c>
      <c r="AG63" s="175" t="s">
        <v>5521</v>
      </c>
      <c r="AH63" s="275">
        <v>40</v>
      </c>
      <c r="AI63" s="275">
        <v>22</v>
      </c>
      <c r="AJ63" s="275" t="s">
        <v>5873</v>
      </c>
    </row>
    <row r="64" spans="1:36">
      <c r="A64" s="174">
        <f>COUNTA($J$5:J64)</f>
        <v>60</v>
      </c>
      <c r="B64" s="272" t="s">
        <v>5486</v>
      </c>
      <c r="C64" s="274" t="s">
        <v>3225</v>
      </c>
      <c r="D64" s="273" t="s">
        <v>41</v>
      </c>
      <c r="E64" s="273" t="s">
        <v>4665</v>
      </c>
      <c r="F64" s="273" t="s">
        <v>138</v>
      </c>
      <c r="G64" s="273">
        <v>45071</v>
      </c>
      <c r="H64" s="273">
        <v>42870</v>
      </c>
      <c r="I64" s="272" t="s">
        <v>34</v>
      </c>
      <c r="J64" s="273" t="s">
        <v>5487</v>
      </c>
      <c r="K64" s="273" t="s">
        <v>43</v>
      </c>
      <c r="L64" s="276">
        <v>600</v>
      </c>
      <c r="M64" s="273">
        <v>43235</v>
      </c>
      <c r="N64" s="273">
        <v>45075</v>
      </c>
      <c r="O64" s="277">
        <v>45085</v>
      </c>
      <c r="P64" s="277" t="s">
        <v>5632</v>
      </c>
      <c r="Q64" s="277"/>
      <c r="R64" s="277">
        <v>45082</v>
      </c>
      <c r="S64" s="277"/>
      <c r="T64" s="277">
        <v>45076.448738425926</v>
      </c>
      <c r="U64" s="277" t="s">
        <v>3</v>
      </c>
      <c r="V64" s="277" t="s">
        <v>4817</v>
      </c>
      <c r="W64" s="278">
        <v>2163</v>
      </c>
      <c r="X64" s="277" t="s">
        <v>5633</v>
      </c>
      <c r="Y64" s="277" t="s">
        <v>1132</v>
      </c>
      <c r="Z64" s="277" t="s">
        <v>39</v>
      </c>
      <c r="AA64" s="279" t="s">
        <v>1774</v>
      </c>
      <c r="AB64" s="124" t="s">
        <v>72</v>
      </c>
      <c r="AC64" s="124" t="s">
        <v>5699</v>
      </c>
      <c r="AD64" s="125"/>
      <c r="AE64" s="124"/>
      <c r="AF64" s="219">
        <v>45093.794011261576</v>
      </c>
      <c r="AG64" s="175" t="s">
        <v>22</v>
      </c>
      <c r="AH64" s="275">
        <v>29</v>
      </c>
      <c r="AI64" s="275">
        <v>24</v>
      </c>
      <c r="AJ64" s="275" t="s">
        <v>5873</v>
      </c>
    </row>
    <row r="65" spans="1:36">
      <c r="A65" s="174">
        <f>COUNTA($J$5:J65)</f>
        <v>61</v>
      </c>
      <c r="B65" s="272" t="s">
        <v>5489</v>
      </c>
      <c r="C65" s="274" t="s">
        <v>3225</v>
      </c>
      <c r="D65" s="273" t="s">
        <v>41</v>
      </c>
      <c r="E65" s="273" t="s">
        <v>4665</v>
      </c>
      <c r="F65" s="273" t="s">
        <v>138</v>
      </c>
      <c r="G65" s="273">
        <v>45071</v>
      </c>
      <c r="H65" s="273">
        <v>43825</v>
      </c>
      <c r="I65" s="272" t="s">
        <v>38</v>
      </c>
      <c r="J65" s="273" t="s">
        <v>5490</v>
      </c>
      <c r="K65" s="273" t="s">
        <v>1055</v>
      </c>
      <c r="L65" s="276">
        <v>600</v>
      </c>
      <c r="M65" s="273">
        <v>44191</v>
      </c>
      <c r="N65" s="273">
        <v>45071.486157407409</v>
      </c>
      <c r="O65" s="277"/>
      <c r="P65" s="277" t="s">
        <v>5768</v>
      </c>
      <c r="Q65" s="277"/>
      <c r="R65" s="277" t="s">
        <v>70</v>
      </c>
      <c r="S65" s="277"/>
      <c r="T65" s="277">
        <v>45076.41028935185</v>
      </c>
      <c r="U65" s="277" t="s">
        <v>4</v>
      </c>
      <c r="V65" s="277" t="s">
        <v>1681</v>
      </c>
      <c r="W65" s="278"/>
      <c r="X65" s="277" t="s">
        <v>5767</v>
      </c>
      <c r="Y65" s="277"/>
      <c r="Z65" s="277" t="s">
        <v>64</v>
      </c>
      <c r="AA65" s="279"/>
      <c r="AB65" s="124" t="s">
        <v>5701</v>
      </c>
      <c r="AC65" s="124" t="s">
        <v>5703</v>
      </c>
      <c r="AD65" s="125"/>
      <c r="AE65" s="124"/>
      <c r="AF65" s="219">
        <v>45104.455786099534</v>
      </c>
      <c r="AG65" s="175" t="s">
        <v>58</v>
      </c>
      <c r="AH65" s="275">
        <v>31</v>
      </c>
      <c r="AI65" s="275" t="s">
        <v>5873</v>
      </c>
      <c r="AJ65" s="275" t="s">
        <v>5873</v>
      </c>
    </row>
    <row r="66" spans="1:36">
      <c r="A66" s="174">
        <f>COUNTA($J$5:J66)</f>
        <v>62</v>
      </c>
      <c r="B66" s="272" t="s">
        <v>5522</v>
      </c>
      <c r="C66" s="274" t="s">
        <v>3225</v>
      </c>
      <c r="D66" s="273" t="s">
        <v>1112</v>
      </c>
      <c r="E66" s="273" t="s">
        <v>2986</v>
      </c>
      <c r="F66" s="273" t="s">
        <v>138</v>
      </c>
      <c r="G66" s="273">
        <v>45075</v>
      </c>
      <c r="H66" s="273">
        <v>42696</v>
      </c>
      <c r="I66" s="272" t="s">
        <v>34</v>
      </c>
      <c r="J66" s="273" t="s">
        <v>1275</v>
      </c>
      <c r="K66" s="273" t="s">
        <v>43</v>
      </c>
      <c r="L66" s="276">
        <v>600</v>
      </c>
      <c r="M66" s="273">
        <v>43113</v>
      </c>
      <c r="N66" s="273">
        <v>45075</v>
      </c>
      <c r="O66" s="277">
        <v>45082</v>
      </c>
      <c r="P66" s="277" t="s">
        <v>5581</v>
      </c>
      <c r="Q66" s="277"/>
      <c r="R66" s="277">
        <v>45082</v>
      </c>
      <c r="S66" s="277">
        <v>45089</v>
      </c>
      <c r="T66" s="277">
        <v>45079.822893518518</v>
      </c>
      <c r="U66" s="277" t="s">
        <v>3</v>
      </c>
      <c r="V66" s="277" t="s">
        <v>5557</v>
      </c>
      <c r="W66" s="278">
        <v>5653</v>
      </c>
      <c r="X66" s="277" t="s">
        <v>5582</v>
      </c>
      <c r="Y66" s="277" t="s">
        <v>37</v>
      </c>
      <c r="Z66" s="277" t="s">
        <v>39</v>
      </c>
      <c r="AA66" s="279" t="s">
        <v>1774</v>
      </c>
      <c r="AB66" s="124" t="s">
        <v>72</v>
      </c>
      <c r="AC66" s="124" t="s">
        <v>5699</v>
      </c>
      <c r="AD66" s="125"/>
      <c r="AE66" s="124"/>
      <c r="AF66" s="219">
        <v>45085.737038807871</v>
      </c>
      <c r="AG66" s="175" t="s">
        <v>58</v>
      </c>
      <c r="AH66" s="275">
        <v>29</v>
      </c>
      <c r="AI66" s="275">
        <v>24</v>
      </c>
      <c r="AJ66" s="275">
        <v>19</v>
      </c>
    </row>
    <row r="67" spans="1:36">
      <c r="A67" s="174">
        <f>COUNTA($J$5:J67)</f>
        <v>63</v>
      </c>
      <c r="B67" s="272" t="s">
        <v>5523</v>
      </c>
      <c r="C67" s="274" t="s">
        <v>1729</v>
      </c>
      <c r="D67" s="273" t="s">
        <v>45</v>
      </c>
      <c r="E67" s="273"/>
      <c r="F67" s="273" t="s">
        <v>138</v>
      </c>
      <c r="G67" s="273">
        <v>45075</v>
      </c>
      <c r="H67" s="273">
        <v>42193</v>
      </c>
      <c r="I67" s="272" t="s">
        <v>34</v>
      </c>
      <c r="J67" s="273" t="s">
        <v>1736</v>
      </c>
      <c r="K67" s="273" t="s">
        <v>43</v>
      </c>
      <c r="L67" s="276">
        <v>600</v>
      </c>
      <c r="M67" s="273">
        <v>42558</v>
      </c>
      <c r="N67" s="273">
        <v>45075.783148148148</v>
      </c>
      <c r="O67" s="277">
        <v>45089</v>
      </c>
      <c r="P67" s="277" t="s">
        <v>5649</v>
      </c>
      <c r="Q67" s="277"/>
      <c r="R67" s="277" t="s">
        <v>70</v>
      </c>
      <c r="S67" s="277"/>
      <c r="T67" s="277">
        <v>45079.562326388892</v>
      </c>
      <c r="U67" s="277" t="s">
        <v>3</v>
      </c>
      <c r="V67" s="277" t="s">
        <v>5558</v>
      </c>
      <c r="W67" s="278"/>
      <c r="X67" s="277" t="s">
        <v>5583</v>
      </c>
      <c r="Y67" s="277" t="s">
        <v>1132</v>
      </c>
      <c r="Z67" s="277" t="s">
        <v>64</v>
      </c>
      <c r="AA67" s="277"/>
      <c r="AB67" s="124" t="s">
        <v>72</v>
      </c>
      <c r="AC67" s="124" t="s">
        <v>5703</v>
      </c>
      <c r="AD67" s="125"/>
      <c r="AE67" s="124"/>
      <c r="AF67" s="219">
        <v>45103.751593819441</v>
      </c>
      <c r="AG67" s="175" t="s">
        <v>58</v>
      </c>
      <c r="AH67" s="275">
        <v>29</v>
      </c>
      <c r="AI67" s="275" t="s">
        <v>5873</v>
      </c>
      <c r="AJ67" s="275" t="s">
        <v>5873</v>
      </c>
    </row>
    <row r="68" spans="1:36">
      <c r="A68" s="174">
        <f>COUNTA($J$5:J68)</f>
        <v>64</v>
      </c>
      <c r="B68" s="272" t="s">
        <v>5526</v>
      </c>
      <c r="C68" s="274" t="s">
        <v>3225</v>
      </c>
      <c r="D68" s="273" t="s">
        <v>25</v>
      </c>
      <c r="E68" s="273" t="s">
        <v>4665</v>
      </c>
      <c r="F68" s="273" t="s">
        <v>138</v>
      </c>
      <c r="G68" s="273">
        <v>45075</v>
      </c>
      <c r="H68" s="273">
        <v>44250</v>
      </c>
      <c r="I68" s="272" t="s">
        <v>1205</v>
      </c>
      <c r="J68" s="273" t="s">
        <v>1908</v>
      </c>
      <c r="K68" s="273" t="s">
        <v>5146</v>
      </c>
      <c r="L68" s="276">
        <v>580</v>
      </c>
      <c r="M68" s="273">
        <v>44621</v>
      </c>
      <c r="N68" s="273">
        <v>45075</v>
      </c>
      <c r="O68" s="277">
        <v>45085</v>
      </c>
      <c r="P68" s="277" t="s">
        <v>5634</v>
      </c>
      <c r="Q68" s="277"/>
      <c r="R68" s="277">
        <v>45082</v>
      </c>
      <c r="S68" s="277"/>
      <c r="T68" s="277">
        <v>45078.553530092591</v>
      </c>
      <c r="U68" s="277" t="s">
        <v>3</v>
      </c>
      <c r="V68" s="277" t="s">
        <v>1500</v>
      </c>
      <c r="W68" s="278">
        <v>1368</v>
      </c>
      <c r="X68" s="277" t="s">
        <v>5584</v>
      </c>
      <c r="Y68" s="277" t="s">
        <v>1114</v>
      </c>
      <c r="Z68" s="277" t="s">
        <v>39</v>
      </c>
      <c r="AA68" s="279" t="s">
        <v>1774</v>
      </c>
      <c r="AB68" s="124" t="s">
        <v>72</v>
      </c>
      <c r="AC68" s="124" t="s">
        <v>5699</v>
      </c>
      <c r="AD68" s="125"/>
      <c r="AE68" s="124"/>
      <c r="AF68" s="219">
        <v>45085.792990532405</v>
      </c>
      <c r="AG68" s="175" t="s">
        <v>58</v>
      </c>
      <c r="AH68" s="275">
        <v>29</v>
      </c>
      <c r="AI68" s="275">
        <v>24</v>
      </c>
      <c r="AJ68" s="275" t="s">
        <v>5873</v>
      </c>
    </row>
    <row r="69" spans="1:36">
      <c r="A69" s="174">
        <f>COUNTA($J$5:J69)</f>
        <v>65</v>
      </c>
      <c r="B69" s="272" t="s">
        <v>5527</v>
      </c>
      <c r="C69" s="274" t="s">
        <v>3225</v>
      </c>
      <c r="D69" s="273" t="s">
        <v>25</v>
      </c>
      <c r="E69" s="273" t="s">
        <v>4665</v>
      </c>
      <c r="F69" s="273" t="s">
        <v>138</v>
      </c>
      <c r="G69" s="273">
        <v>45075</v>
      </c>
      <c r="H69" s="273">
        <v>44520</v>
      </c>
      <c r="I69" s="272" t="s">
        <v>34</v>
      </c>
      <c r="J69" s="273" t="s">
        <v>5528</v>
      </c>
      <c r="K69" s="273" t="s">
        <v>43</v>
      </c>
      <c r="L69" s="276">
        <v>600</v>
      </c>
      <c r="M69" s="273">
        <v>44885</v>
      </c>
      <c r="N69" s="273">
        <v>45075</v>
      </c>
      <c r="O69" s="277">
        <v>45086</v>
      </c>
      <c r="P69" s="277" t="s">
        <v>5645</v>
      </c>
      <c r="Q69" s="277"/>
      <c r="R69" s="277">
        <v>45086</v>
      </c>
      <c r="S69" s="277"/>
      <c r="T69" s="277">
        <v>45085</v>
      </c>
      <c r="U69" s="277" t="s">
        <v>3</v>
      </c>
      <c r="V69" s="277" t="s">
        <v>5607</v>
      </c>
      <c r="W69" s="278">
        <v>4463</v>
      </c>
      <c r="X69" s="277" t="s">
        <v>5646</v>
      </c>
      <c r="Y69" s="277" t="s">
        <v>1114</v>
      </c>
      <c r="Z69" s="277" t="s">
        <v>39</v>
      </c>
      <c r="AA69" s="279" t="s">
        <v>1774</v>
      </c>
      <c r="AB69" s="124" t="s">
        <v>72</v>
      </c>
      <c r="AC69" s="124" t="s">
        <v>5699</v>
      </c>
      <c r="AD69" s="125"/>
      <c r="AE69" s="124"/>
      <c r="AF69" s="219">
        <v>45100.811820856485</v>
      </c>
      <c r="AG69" s="175" t="s">
        <v>5521</v>
      </c>
      <c r="AH69" s="275">
        <v>29</v>
      </c>
      <c r="AI69" s="275">
        <v>20</v>
      </c>
      <c r="AJ69" s="275" t="s">
        <v>5873</v>
      </c>
    </row>
    <row r="70" spans="1:36">
      <c r="A70" s="174">
        <f>COUNTA($J$5:J70)</f>
        <v>66</v>
      </c>
      <c r="B70" s="272" t="s">
        <v>5529</v>
      </c>
      <c r="C70" s="274" t="s">
        <v>3225</v>
      </c>
      <c r="D70" s="273" t="s">
        <v>117</v>
      </c>
      <c r="E70" s="273" t="s">
        <v>2985</v>
      </c>
      <c r="F70" s="273" t="s">
        <v>138</v>
      </c>
      <c r="G70" s="273">
        <v>45076</v>
      </c>
      <c r="H70" s="273">
        <v>45006</v>
      </c>
      <c r="I70" s="272" t="s">
        <v>20</v>
      </c>
      <c r="J70" s="273" t="s">
        <v>5530</v>
      </c>
      <c r="K70" s="273" t="s">
        <v>43</v>
      </c>
      <c r="L70" s="276">
        <v>530</v>
      </c>
      <c r="M70" s="273">
        <v>45372</v>
      </c>
      <c r="N70" s="273">
        <v>45076</v>
      </c>
      <c r="O70" s="277"/>
      <c r="P70" s="277" t="s">
        <v>5559</v>
      </c>
      <c r="Q70" s="277"/>
      <c r="R70" s="277" t="s">
        <v>59</v>
      </c>
      <c r="S70" s="277"/>
      <c r="T70" s="277">
        <v>45078.787881944445</v>
      </c>
      <c r="U70" s="277" t="s">
        <v>4</v>
      </c>
      <c r="V70" s="277" t="s">
        <v>5560</v>
      </c>
      <c r="W70" s="278"/>
      <c r="X70" s="277" t="s">
        <v>5585</v>
      </c>
      <c r="Y70" s="277" t="s">
        <v>37</v>
      </c>
      <c r="Z70" s="277" t="s">
        <v>32</v>
      </c>
      <c r="AA70" s="277" t="s">
        <v>5680</v>
      </c>
      <c r="AB70" s="124" t="s">
        <v>72</v>
      </c>
      <c r="AC70" s="124" t="s">
        <v>5520</v>
      </c>
      <c r="AD70" s="125"/>
      <c r="AE70" s="124"/>
      <c r="AF70" s="219">
        <v>45092.784287430557</v>
      </c>
      <c r="AG70" s="175" t="s">
        <v>22</v>
      </c>
      <c r="AH70" s="275">
        <v>28</v>
      </c>
      <c r="AI70" s="275" t="s">
        <v>5873</v>
      </c>
      <c r="AJ70" s="275" t="s">
        <v>5873</v>
      </c>
    </row>
    <row r="71" spans="1:36">
      <c r="A71" s="174">
        <f>COUNTA($J$5:J71)</f>
        <v>67</v>
      </c>
      <c r="B71" s="272" t="s">
        <v>5531</v>
      </c>
      <c r="C71" s="274" t="s">
        <v>3225</v>
      </c>
      <c r="D71" s="273" t="s">
        <v>117</v>
      </c>
      <c r="E71" s="273" t="s">
        <v>2985</v>
      </c>
      <c r="F71" s="273" t="s">
        <v>138</v>
      </c>
      <c r="G71" s="273">
        <v>45076</v>
      </c>
      <c r="H71" s="273">
        <v>45006</v>
      </c>
      <c r="I71" s="272" t="s">
        <v>20</v>
      </c>
      <c r="J71" s="273" t="s">
        <v>5200</v>
      </c>
      <c r="K71" s="273" t="s">
        <v>43</v>
      </c>
      <c r="L71" s="276">
        <v>530</v>
      </c>
      <c r="M71" s="273">
        <v>45372</v>
      </c>
      <c r="N71" s="273">
        <v>45076</v>
      </c>
      <c r="O71" s="277"/>
      <c r="P71" s="277" t="s">
        <v>5561</v>
      </c>
      <c r="Q71" s="277"/>
      <c r="R71" s="277" t="s">
        <v>59</v>
      </c>
      <c r="S71" s="277"/>
      <c r="T71" s="277">
        <v>45078.801527777781</v>
      </c>
      <c r="U71" s="277" t="s">
        <v>4</v>
      </c>
      <c r="V71" s="277" t="s">
        <v>5560</v>
      </c>
      <c r="W71" s="278"/>
      <c r="X71" s="277" t="s">
        <v>5587</v>
      </c>
      <c r="Y71" s="277" t="s">
        <v>37</v>
      </c>
      <c r="Z71" s="277" t="s">
        <v>32</v>
      </c>
      <c r="AA71" s="277" t="s">
        <v>5659</v>
      </c>
      <c r="AB71" s="124" t="s">
        <v>72</v>
      </c>
      <c r="AC71" s="124" t="s">
        <v>5520</v>
      </c>
      <c r="AD71" s="125"/>
      <c r="AE71" s="124"/>
      <c r="AF71" s="219">
        <v>45092.78460875</v>
      </c>
      <c r="AG71" s="175" t="s">
        <v>22</v>
      </c>
      <c r="AH71" s="275">
        <v>28</v>
      </c>
      <c r="AI71" s="275" t="s">
        <v>5873</v>
      </c>
      <c r="AJ71" s="275" t="s">
        <v>5873</v>
      </c>
    </row>
    <row r="72" spans="1:36">
      <c r="A72" s="174">
        <f>COUNTA($J$5:J72)</f>
        <v>68</v>
      </c>
      <c r="B72" s="272" t="s">
        <v>5532</v>
      </c>
      <c r="C72" s="274" t="s">
        <v>3225</v>
      </c>
      <c r="D72" s="273" t="s">
        <v>117</v>
      </c>
      <c r="E72" s="273" t="s">
        <v>2985</v>
      </c>
      <c r="F72" s="273" t="s">
        <v>138</v>
      </c>
      <c r="G72" s="273">
        <v>45076</v>
      </c>
      <c r="H72" s="273">
        <v>45006</v>
      </c>
      <c r="I72" s="272" t="s">
        <v>62</v>
      </c>
      <c r="J72" s="273" t="s">
        <v>5533</v>
      </c>
      <c r="K72" s="273" t="s">
        <v>1055</v>
      </c>
      <c r="L72" s="276">
        <v>530</v>
      </c>
      <c r="M72" s="273">
        <v>45372</v>
      </c>
      <c r="N72" s="273">
        <v>45076</v>
      </c>
      <c r="O72" s="277"/>
      <c r="P72" s="277" t="s">
        <v>5588</v>
      </c>
      <c r="Q72" s="277"/>
      <c r="R72" s="277" t="s">
        <v>59</v>
      </c>
      <c r="S72" s="277"/>
      <c r="T72" s="277">
        <v>45078.562326388892</v>
      </c>
      <c r="U72" s="277" t="s">
        <v>3</v>
      </c>
      <c r="V72" s="277" t="s">
        <v>5534</v>
      </c>
      <c r="W72" s="278"/>
      <c r="X72" s="277" t="s">
        <v>5589</v>
      </c>
      <c r="Y72" s="277" t="s">
        <v>4877</v>
      </c>
      <c r="Z72" s="277" t="s">
        <v>32</v>
      </c>
      <c r="AA72" s="277" t="s">
        <v>5586</v>
      </c>
      <c r="AB72" s="124" t="s">
        <v>72</v>
      </c>
      <c r="AC72" s="124" t="s">
        <v>5520</v>
      </c>
      <c r="AD72" s="125"/>
      <c r="AE72" s="124"/>
      <c r="AF72" s="219">
        <v>45092.784841875</v>
      </c>
      <c r="AG72" s="175" t="s">
        <v>22</v>
      </c>
      <c r="AH72" s="275">
        <v>28</v>
      </c>
      <c r="AI72" s="275" t="s">
        <v>5873</v>
      </c>
      <c r="AJ72" s="275" t="s">
        <v>5873</v>
      </c>
    </row>
    <row r="73" spans="1:36">
      <c r="A73" s="174">
        <f>COUNTA($J$5:J73)</f>
        <v>69</v>
      </c>
      <c r="B73" s="272" t="s">
        <v>5537</v>
      </c>
      <c r="C73" s="274" t="s">
        <v>1729</v>
      </c>
      <c r="D73" s="273" t="s">
        <v>5538</v>
      </c>
      <c r="E73" s="273"/>
      <c r="F73" s="273" t="s">
        <v>138</v>
      </c>
      <c r="G73" s="273">
        <v>45077</v>
      </c>
      <c r="H73" s="273">
        <v>41043</v>
      </c>
      <c r="I73" s="272" t="s">
        <v>49</v>
      </c>
      <c r="J73" s="273" t="s">
        <v>5539</v>
      </c>
      <c r="K73" s="273" t="s">
        <v>1054</v>
      </c>
      <c r="L73" s="276">
        <v>4450</v>
      </c>
      <c r="M73" s="273">
        <v>41407</v>
      </c>
      <c r="N73" s="273">
        <v>45077.709270833337</v>
      </c>
      <c r="O73" s="277">
        <v>45085</v>
      </c>
      <c r="P73" s="277" t="s">
        <v>5798</v>
      </c>
      <c r="Q73" s="277"/>
      <c r="R73" s="277"/>
      <c r="S73" s="277"/>
      <c r="T73" s="277">
        <v>45078.452326388891</v>
      </c>
      <c r="U73" s="277" t="s">
        <v>5</v>
      </c>
      <c r="V73" s="277" t="s">
        <v>5540</v>
      </c>
      <c r="W73" s="278"/>
      <c r="X73" s="277" t="s">
        <v>5635</v>
      </c>
      <c r="Y73" s="277" t="s">
        <v>37</v>
      </c>
      <c r="Z73" s="277" t="s">
        <v>1066</v>
      </c>
      <c r="AA73" s="277"/>
      <c r="AB73" s="124" t="s">
        <v>72</v>
      </c>
      <c r="AC73" s="124" t="s">
        <v>5703</v>
      </c>
      <c r="AD73" s="125"/>
      <c r="AE73" s="124"/>
      <c r="AF73" s="219">
        <v>45103.752809513891</v>
      </c>
      <c r="AG73" s="175" t="s">
        <v>58</v>
      </c>
      <c r="AH73" s="275">
        <v>27</v>
      </c>
      <c r="AI73" s="275" t="s">
        <v>5873</v>
      </c>
      <c r="AJ73" s="275" t="s">
        <v>5873</v>
      </c>
    </row>
    <row r="74" spans="1:36">
      <c r="A74" s="174">
        <f>COUNTA($J$5:J74)</f>
        <v>70</v>
      </c>
      <c r="B74" s="272" t="s">
        <v>5541</v>
      </c>
      <c r="C74" s="274" t="s">
        <v>1729</v>
      </c>
      <c r="D74" s="273" t="s">
        <v>45</v>
      </c>
      <c r="E74" s="273"/>
      <c r="F74" s="273" t="s">
        <v>138</v>
      </c>
      <c r="G74" s="273">
        <v>45077</v>
      </c>
      <c r="H74" s="273">
        <v>43620</v>
      </c>
      <c r="I74" s="272" t="s">
        <v>62</v>
      </c>
      <c r="J74" s="273" t="s">
        <v>1185</v>
      </c>
      <c r="K74" s="273" t="s">
        <v>1055</v>
      </c>
      <c r="L74" s="276">
        <v>530</v>
      </c>
      <c r="M74" s="273">
        <v>43986</v>
      </c>
      <c r="N74" s="273">
        <v>45077</v>
      </c>
      <c r="O74" s="277"/>
      <c r="P74" s="277"/>
      <c r="Q74" s="277"/>
      <c r="R74" s="277"/>
      <c r="S74" s="277"/>
      <c r="T74" s="277">
        <v>45079.747129629628</v>
      </c>
      <c r="U74" s="277" t="s">
        <v>4</v>
      </c>
      <c r="V74" s="277" t="s">
        <v>1681</v>
      </c>
      <c r="W74" s="278"/>
      <c r="X74" s="277"/>
      <c r="Y74" s="277" t="s">
        <v>1114</v>
      </c>
      <c r="Z74" s="277" t="s">
        <v>64</v>
      </c>
      <c r="AA74" s="277"/>
      <c r="AB74" s="124" t="s">
        <v>5701</v>
      </c>
      <c r="AC74" s="124"/>
      <c r="AD74" s="125"/>
      <c r="AE74" s="124"/>
      <c r="AF74" s="219">
        <v>45079.751493680553</v>
      </c>
      <c r="AG74" s="175" t="s">
        <v>1114</v>
      </c>
      <c r="AH74" s="275">
        <v>27</v>
      </c>
      <c r="AI74" s="275" t="s">
        <v>5873</v>
      </c>
      <c r="AJ74" s="275" t="s">
        <v>5873</v>
      </c>
    </row>
    <row r="75" spans="1:36">
      <c r="A75" s="174">
        <f>COUNTA($J$5:J75)</f>
        <v>71</v>
      </c>
      <c r="B75" s="272" t="s">
        <v>5563</v>
      </c>
      <c r="C75" s="274" t="s">
        <v>1729</v>
      </c>
      <c r="D75" s="273" t="s">
        <v>45</v>
      </c>
      <c r="E75" s="273"/>
      <c r="F75" s="273" t="s">
        <v>26</v>
      </c>
      <c r="G75" s="273">
        <v>45079</v>
      </c>
      <c r="H75" s="273">
        <v>42977</v>
      </c>
      <c r="I75" s="272" t="s">
        <v>42</v>
      </c>
      <c r="J75" s="273" t="s">
        <v>2834</v>
      </c>
      <c r="K75" s="273" t="s">
        <v>43</v>
      </c>
      <c r="L75" s="276">
        <v>250</v>
      </c>
      <c r="M75" s="273">
        <v>43342</v>
      </c>
      <c r="N75" s="273">
        <v>45079</v>
      </c>
      <c r="O75" s="277">
        <v>45091</v>
      </c>
      <c r="P75" s="277" t="s">
        <v>5672</v>
      </c>
      <c r="Q75" s="277"/>
      <c r="R75" s="277" t="s">
        <v>70</v>
      </c>
      <c r="S75" s="277"/>
      <c r="T75" s="277">
        <v>45090</v>
      </c>
      <c r="U75" s="277" t="s">
        <v>3</v>
      </c>
      <c r="V75" s="277" t="s">
        <v>5682</v>
      </c>
      <c r="W75" s="278"/>
      <c r="X75" s="277" t="s">
        <v>5673</v>
      </c>
      <c r="Y75" s="277" t="s">
        <v>24</v>
      </c>
      <c r="Z75" s="277" t="s">
        <v>30</v>
      </c>
      <c r="AA75" s="277" t="s">
        <v>5706</v>
      </c>
      <c r="AB75" s="124" t="s">
        <v>72</v>
      </c>
      <c r="AC75" s="124" t="s">
        <v>5702</v>
      </c>
      <c r="AD75" s="125"/>
      <c r="AE75" s="124"/>
      <c r="AF75" s="219">
        <v>45092.795814548612</v>
      </c>
      <c r="AG75" s="175" t="s">
        <v>24</v>
      </c>
      <c r="AH75" s="275">
        <v>25</v>
      </c>
      <c r="AI75" s="275" t="s">
        <v>5873</v>
      </c>
      <c r="AJ75" s="275" t="s">
        <v>5873</v>
      </c>
    </row>
    <row r="76" spans="1:36">
      <c r="A76" s="174">
        <f>COUNTA($J$5:J76)</f>
        <v>72</v>
      </c>
      <c r="B76" s="272" t="s">
        <v>5609</v>
      </c>
      <c r="C76" s="274" t="s">
        <v>3225</v>
      </c>
      <c r="D76" s="273" t="s">
        <v>25</v>
      </c>
      <c r="E76" s="273" t="s">
        <v>4665</v>
      </c>
      <c r="F76" s="273" t="s">
        <v>138</v>
      </c>
      <c r="G76" s="273">
        <v>45082</v>
      </c>
      <c r="H76" s="273">
        <v>44189</v>
      </c>
      <c r="I76" s="272" t="s">
        <v>34</v>
      </c>
      <c r="J76" s="273" t="s">
        <v>2591</v>
      </c>
      <c r="K76" s="273" t="s">
        <v>43</v>
      </c>
      <c r="L76" s="276">
        <v>600</v>
      </c>
      <c r="M76" s="273">
        <v>44554</v>
      </c>
      <c r="N76" s="273">
        <v>45082</v>
      </c>
      <c r="O76" s="277">
        <v>45089</v>
      </c>
      <c r="P76" s="277" t="s">
        <v>5650</v>
      </c>
      <c r="Q76" s="277"/>
      <c r="R76" s="277">
        <v>45086</v>
      </c>
      <c r="S76" s="277"/>
      <c r="T76" s="277">
        <v>45082</v>
      </c>
      <c r="U76" s="277" t="s">
        <v>3</v>
      </c>
      <c r="V76" s="277" t="s">
        <v>5610</v>
      </c>
      <c r="W76" s="278">
        <v>8142</v>
      </c>
      <c r="X76" s="277" t="s">
        <v>5636</v>
      </c>
      <c r="Y76" s="277" t="s">
        <v>1114</v>
      </c>
      <c r="Z76" s="277" t="s">
        <v>39</v>
      </c>
      <c r="AA76" s="279" t="s">
        <v>1774</v>
      </c>
      <c r="AB76" s="124" t="s">
        <v>72</v>
      </c>
      <c r="AC76" s="124" t="s">
        <v>5699</v>
      </c>
      <c r="AD76" s="125"/>
      <c r="AE76" s="124"/>
      <c r="AF76" s="219">
        <v>45100.812597048614</v>
      </c>
      <c r="AG76" s="175" t="s">
        <v>5521</v>
      </c>
      <c r="AH76" s="275">
        <v>24</v>
      </c>
      <c r="AI76" s="275">
        <v>20</v>
      </c>
      <c r="AJ76" s="275" t="s">
        <v>5873</v>
      </c>
    </row>
    <row r="77" spans="1:36">
      <c r="A77" s="174">
        <f>COUNTA($J$5:J77)</f>
        <v>73</v>
      </c>
      <c r="B77" s="272" t="s">
        <v>5616</v>
      </c>
      <c r="C77" s="274" t="s">
        <v>3225</v>
      </c>
      <c r="D77" s="273" t="s">
        <v>41</v>
      </c>
      <c r="E77" s="273" t="s">
        <v>4665</v>
      </c>
      <c r="F77" s="273" t="s">
        <v>138</v>
      </c>
      <c r="G77" s="273">
        <v>45083</v>
      </c>
      <c r="H77" s="273">
        <v>42527</v>
      </c>
      <c r="I77" s="272" t="s">
        <v>49</v>
      </c>
      <c r="J77" s="273" t="s">
        <v>1678</v>
      </c>
      <c r="K77" s="273" t="s">
        <v>1054</v>
      </c>
      <c r="L77" s="276">
        <v>4450</v>
      </c>
      <c r="M77" s="273">
        <v>42892</v>
      </c>
      <c r="N77" s="273">
        <v>45083.656527777777</v>
      </c>
      <c r="O77" s="277">
        <v>45089</v>
      </c>
      <c r="P77" s="277" t="s">
        <v>5658</v>
      </c>
      <c r="Q77" s="277"/>
      <c r="R77" s="277">
        <v>45089</v>
      </c>
      <c r="S77" s="277">
        <v>45089</v>
      </c>
      <c r="T77" s="277">
        <v>45083.819652777776</v>
      </c>
      <c r="U77" s="277" t="s">
        <v>5</v>
      </c>
      <c r="V77" s="277" t="s">
        <v>4904</v>
      </c>
      <c r="W77" s="278"/>
      <c r="X77" s="277" t="s">
        <v>5660</v>
      </c>
      <c r="Y77" s="277" t="s">
        <v>1114</v>
      </c>
      <c r="Z77" s="277" t="s">
        <v>1068</v>
      </c>
      <c r="AA77" s="277" t="s">
        <v>5657</v>
      </c>
      <c r="AB77" s="124" t="s">
        <v>72</v>
      </c>
      <c r="AC77" s="124" t="s">
        <v>5699</v>
      </c>
      <c r="AD77" s="125"/>
      <c r="AE77" s="124"/>
      <c r="AF77" s="219">
        <v>45100.813732604169</v>
      </c>
      <c r="AG77" s="175" t="s">
        <v>5521</v>
      </c>
      <c r="AH77" s="275">
        <v>23</v>
      </c>
      <c r="AI77" s="275">
        <v>19</v>
      </c>
      <c r="AJ77" s="275">
        <v>19</v>
      </c>
    </row>
    <row r="78" spans="1:36">
      <c r="A78" s="174">
        <f>COUNTA($J$5:J78)</f>
        <v>74</v>
      </c>
      <c r="B78" s="272" t="s">
        <v>5618</v>
      </c>
      <c r="C78" s="274" t="s">
        <v>1729</v>
      </c>
      <c r="D78" s="273" t="s">
        <v>45</v>
      </c>
      <c r="E78" s="273"/>
      <c r="F78" s="273" t="s">
        <v>26</v>
      </c>
      <c r="G78" s="273">
        <v>45085</v>
      </c>
      <c r="H78" s="273">
        <v>43544</v>
      </c>
      <c r="I78" s="272" t="s">
        <v>20</v>
      </c>
      <c r="J78" s="273" t="s">
        <v>3992</v>
      </c>
      <c r="K78" s="273" t="s">
        <v>43</v>
      </c>
      <c r="L78" s="276">
        <v>530</v>
      </c>
      <c r="M78" s="273">
        <v>43910</v>
      </c>
      <c r="N78" s="273">
        <v>45085</v>
      </c>
      <c r="O78" s="277">
        <v>45089</v>
      </c>
      <c r="P78" s="277" t="s">
        <v>5651</v>
      </c>
      <c r="Q78" s="277"/>
      <c r="R78" s="277" t="s">
        <v>70</v>
      </c>
      <c r="S78" s="277"/>
      <c r="T78" s="277">
        <v>45085.448414351849</v>
      </c>
      <c r="U78" s="277" t="s">
        <v>3</v>
      </c>
      <c r="V78" s="277" t="s">
        <v>5619</v>
      </c>
      <c r="W78" s="278">
        <v>4104</v>
      </c>
      <c r="X78" s="277" t="s">
        <v>5652</v>
      </c>
      <c r="Y78" s="277" t="s">
        <v>24</v>
      </c>
      <c r="Z78" s="277" t="s">
        <v>32</v>
      </c>
      <c r="AA78" s="277" t="s">
        <v>5643</v>
      </c>
      <c r="AB78" s="124" t="s">
        <v>72</v>
      </c>
      <c r="AC78" s="124" t="s">
        <v>5703</v>
      </c>
      <c r="AD78" s="125"/>
      <c r="AE78" s="124"/>
      <c r="AF78" s="219">
        <v>45085.527812650464</v>
      </c>
      <c r="AG78" s="175" t="s">
        <v>24</v>
      </c>
      <c r="AH78" s="275">
        <v>21</v>
      </c>
      <c r="AI78" s="275" t="s">
        <v>5873</v>
      </c>
      <c r="AJ78" s="275" t="s">
        <v>5873</v>
      </c>
    </row>
    <row r="79" spans="1:36">
      <c r="A79" s="174">
        <f>COUNTA($J$5:J79)</f>
        <v>75</v>
      </c>
      <c r="B79" s="272" t="s">
        <v>5623</v>
      </c>
      <c r="C79" s="274" t="s">
        <v>1729</v>
      </c>
      <c r="D79" s="273" t="s">
        <v>45</v>
      </c>
      <c r="E79" s="273"/>
      <c r="F79" s="273" t="s">
        <v>26</v>
      </c>
      <c r="G79" s="273">
        <v>45085</v>
      </c>
      <c r="H79" s="273">
        <v>43210</v>
      </c>
      <c r="I79" s="272" t="s">
        <v>60</v>
      </c>
      <c r="J79" s="273" t="s">
        <v>1253</v>
      </c>
      <c r="K79" s="273" t="s">
        <v>1055</v>
      </c>
      <c r="L79" s="276">
        <v>760</v>
      </c>
      <c r="M79" s="273">
        <v>43575</v>
      </c>
      <c r="N79" s="273">
        <v>45085</v>
      </c>
      <c r="O79" s="277">
        <v>45089</v>
      </c>
      <c r="P79" s="277" t="s">
        <v>5653</v>
      </c>
      <c r="Q79" s="277"/>
      <c r="R79" s="277" t="s">
        <v>70</v>
      </c>
      <c r="S79" s="277"/>
      <c r="T79" s="277">
        <v>45085.510056134262</v>
      </c>
      <c r="U79" s="277" t="s">
        <v>4</v>
      </c>
      <c r="V79" s="277" t="s">
        <v>5624</v>
      </c>
      <c r="W79" s="278">
        <v>654</v>
      </c>
      <c r="X79" s="277" t="s">
        <v>5670</v>
      </c>
      <c r="Y79" s="277" t="s">
        <v>24</v>
      </c>
      <c r="Z79" s="277" t="s">
        <v>32</v>
      </c>
      <c r="AA79" s="277" t="s">
        <v>5643</v>
      </c>
      <c r="AB79" s="124" t="s">
        <v>72</v>
      </c>
      <c r="AC79" s="124"/>
      <c r="AD79" s="125"/>
      <c r="AE79" s="124"/>
      <c r="AF79" s="219">
        <v>45085.512520393517</v>
      </c>
      <c r="AG79" s="175" t="s">
        <v>24</v>
      </c>
      <c r="AH79" s="275">
        <v>21</v>
      </c>
      <c r="AI79" s="275" t="s">
        <v>5873</v>
      </c>
      <c r="AJ79" s="275" t="s">
        <v>5873</v>
      </c>
    </row>
    <row r="80" spans="1:36">
      <c r="A80" s="174">
        <f>COUNTA($J$5:J80)</f>
        <v>76</v>
      </c>
      <c r="B80" s="272" t="s">
        <v>5639</v>
      </c>
      <c r="C80" s="274" t="s">
        <v>3224</v>
      </c>
      <c r="D80" s="273" t="s">
        <v>308</v>
      </c>
      <c r="E80" s="273" t="s">
        <v>5324</v>
      </c>
      <c r="F80" s="273" t="s">
        <v>26</v>
      </c>
      <c r="G80" s="273">
        <v>45086</v>
      </c>
      <c r="H80" s="273">
        <v>43325</v>
      </c>
      <c r="I80" s="272" t="s">
        <v>53</v>
      </c>
      <c r="J80" s="273" t="s">
        <v>5640</v>
      </c>
      <c r="K80" s="273" t="s">
        <v>43</v>
      </c>
      <c r="L80" s="276">
        <v>760</v>
      </c>
      <c r="M80" s="273">
        <v>44421</v>
      </c>
      <c r="N80" s="273">
        <v>45086</v>
      </c>
      <c r="O80" s="277"/>
      <c r="P80" s="277" t="s">
        <v>5656</v>
      </c>
      <c r="Q80" s="277"/>
      <c r="R80" s="277">
        <v>45086</v>
      </c>
      <c r="S80" s="277">
        <v>45093</v>
      </c>
      <c r="T80" s="277">
        <v>45086.677465277775</v>
      </c>
      <c r="U80" s="277" t="s">
        <v>4</v>
      </c>
      <c r="V80" s="277" t="s">
        <v>5624</v>
      </c>
      <c r="W80" s="278">
        <v>1403</v>
      </c>
      <c r="X80" s="277" t="s">
        <v>5655</v>
      </c>
      <c r="Y80" s="277" t="s">
        <v>22</v>
      </c>
      <c r="Z80" s="277" t="s">
        <v>32</v>
      </c>
      <c r="AA80" s="279" t="s">
        <v>5698</v>
      </c>
      <c r="AB80" s="124" t="s">
        <v>72</v>
      </c>
      <c r="AC80" s="124" t="s">
        <v>5702</v>
      </c>
      <c r="AD80" s="125"/>
      <c r="AE80" s="124"/>
      <c r="AF80" s="219">
        <v>45093.795069652777</v>
      </c>
      <c r="AG80" s="175" t="s">
        <v>22</v>
      </c>
      <c r="AH80" s="275">
        <v>20</v>
      </c>
      <c r="AI80" s="275">
        <v>20</v>
      </c>
      <c r="AJ80" s="275">
        <v>15</v>
      </c>
    </row>
    <row r="81" spans="1:36">
      <c r="A81" s="174">
        <f>COUNTA($J$5:J81)</f>
        <v>77</v>
      </c>
      <c r="B81" s="272" t="s">
        <v>5667</v>
      </c>
      <c r="C81" s="274" t="s">
        <v>1729</v>
      </c>
      <c r="D81" s="273" t="s">
        <v>48</v>
      </c>
      <c r="E81" s="273"/>
      <c r="F81" s="273" t="s">
        <v>26</v>
      </c>
      <c r="G81" s="273">
        <v>45090</v>
      </c>
      <c r="H81" s="273">
        <v>43508</v>
      </c>
      <c r="I81" s="272" t="s">
        <v>1141</v>
      </c>
      <c r="J81" s="273" t="s">
        <v>5536</v>
      </c>
      <c r="K81" s="273" t="s">
        <v>5146</v>
      </c>
      <c r="L81" s="276">
        <v>530</v>
      </c>
      <c r="M81" s="273"/>
      <c r="N81" s="273">
        <v>45104</v>
      </c>
      <c r="O81" s="277">
        <v>45106</v>
      </c>
      <c r="P81" s="277" t="s">
        <v>5852</v>
      </c>
      <c r="Q81" s="277"/>
      <c r="R81" s="277" t="s">
        <v>70</v>
      </c>
      <c r="S81" s="277"/>
      <c r="T81" s="277">
        <v>45104</v>
      </c>
      <c r="U81" s="277" t="s">
        <v>3</v>
      </c>
      <c r="V81" s="277" t="s">
        <v>369</v>
      </c>
      <c r="W81" s="278">
        <v>270</v>
      </c>
      <c r="X81" s="277" t="s">
        <v>5848</v>
      </c>
      <c r="Y81" s="277" t="s">
        <v>22</v>
      </c>
      <c r="Z81" s="277" t="s">
        <v>64</v>
      </c>
      <c r="AA81" s="279"/>
      <c r="AB81" s="124" t="s">
        <v>72</v>
      </c>
      <c r="AC81" s="124" t="s">
        <v>5704</v>
      </c>
      <c r="AD81" s="125"/>
      <c r="AE81" s="124"/>
      <c r="AF81" s="219">
        <v>45104.736815636577</v>
      </c>
      <c r="AG81" s="175" t="s">
        <v>22</v>
      </c>
      <c r="AH81" s="275">
        <v>8</v>
      </c>
      <c r="AI81" s="275" t="s">
        <v>5873</v>
      </c>
      <c r="AJ81" s="275" t="s">
        <v>5873</v>
      </c>
    </row>
    <row r="82" spans="1:36">
      <c r="A82" s="174">
        <f>COUNTA($J$5:J82)</f>
        <v>78</v>
      </c>
      <c r="B82" s="272" t="s">
        <v>5730</v>
      </c>
      <c r="C82" s="274" t="s">
        <v>3225</v>
      </c>
      <c r="D82" s="273" t="s">
        <v>25</v>
      </c>
      <c r="E82" s="273" t="s">
        <v>4665</v>
      </c>
      <c r="F82" s="273" t="s">
        <v>138</v>
      </c>
      <c r="G82" s="273">
        <v>45096</v>
      </c>
      <c r="H82" s="273">
        <v>44520</v>
      </c>
      <c r="I82" s="272" t="s">
        <v>34</v>
      </c>
      <c r="J82" s="273" t="s">
        <v>2730</v>
      </c>
      <c r="K82" s="273" t="s">
        <v>43</v>
      </c>
      <c r="L82" s="276">
        <v>600</v>
      </c>
      <c r="M82" s="273">
        <v>44885</v>
      </c>
      <c r="N82" s="273">
        <v>45096</v>
      </c>
      <c r="O82" s="277"/>
      <c r="P82" s="277"/>
      <c r="Q82" s="277"/>
      <c r="R82" s="277">
        <v>45105</v>
      </c>
      <c r="S82" s="277"/>
      <c r="T82" s="277">
        <v>45099</v>
      </c>
      <c r="U82" s="277" t="s">
        <v>3</v>
      </c>
      <c r="V82" s="277" t="s">
        <v>5857</v>
      </c>
      <c r="W82" s="278">
        <v>11795</v>
      </c>
      <c r="X82" s="277" t="s">
        <v>5793</v>
      </c>
      <c r="Y82" s="277" t="s">
        <v>1132</v>
      </c>
      <c r="Z82" s="277" t="s">
        <v>39</v>
      </c>
      <c r="AA82" s="279" t="s">
        <v>1774</v>
      </c>
      <c r="AB82" s="124" t="s">
        <v>72</v>
      </c>
      <c r="AC82" s="124" t="s">
        <v>5699</v>
      </c>
      <c r="AD82" s="125"/>
      <c r="AE82" s="124"/>
      <c r="AF82" s="219">
        <v>45106.510240358795</v>
      </c>
      <c r="AG82" s="175" t="s">
        <v>5758</v>
      </c>
      <c r="AH82" s="275">
        <v>14</v>
      </c>
      <c r="AI82" s="275">
        <v>7</v>
      </c>
      <c r="AJ82" s="275" t="s">
        <v>5873</v>
      </c>
    </row>
    <row r="83" spans="1:36">
      <c r="A83" s="174">
        <f>COUNTA($J$5:J83)</f>
        <v>79</v>
      </c>
      <c r="B83" s="272" t="s">
        <v>5731</v>
      </c>
      <c r="C83" s="274" t="s">
        <v>1729</v>
      </c>
      <c r="D83" s="273" t="s">
        <v>45</v>
      </c>
      <c r="E83" s="273"/>
      <c r="F83" s="273" t="s">
        <v>138</v>
      </c>
      <c r="G83" s="273">
        <v>45096</v>
      </c>
      <c r="H83" s="273">
        <v>41924</v>
      </c>
      <c r="I83" s="272" t="s">
        <v>38</v>
      </c>
      <c r="J83" s="273" t="s">
        <v>2322</v>
      </c>
      <c r="K83" s="273" t="s">
        <v>1055</v>
      </c>
      <c r="L83" s="276">
        <v>600</v>
      </c>
      <c r="M83" s="273">
        <v>42288</v>
      </c>
      <c r="N83" s="273">
        <v>45096</v>
      </c>
      <c r="O83" s="277">
        <v>45100</v>
      </c>
      <c r="P83" s="277" t="s">
        <v>5770</v>
      </c>
      <c r="Q83" s="277"/>
      <c r="R83" s="277" t="s">
        <v>70</v>
      </c>
      <c r="S83" s="277"/>
      <c r="T83" s="277">
        <v>45097</v>
      </c>
      <c r="U83" s="277" t="s">
        <v>3</v>
      </c>
      <c r="V83" s="277" t="s">
        <v>1264</v>
      </c>
      <c r="W83" s="278"/>
      <c r="X83" s="277" t="s">
        <v>5769</v>
      </c>
      <c r="Y83" s="277" t="s">
        <v>37</v>
      </c>
      <c r="Z83" s="277" t="s">
        <v>64</v>
      </c>
      <c r="AA83" s="279"/>
      <c r="AB83" s="124" t="s">
        <v>72</v>
      </c>
      <c r="AC83" s="124"/>
      <c r="AD83" s="125"/>
      <c r="AE83" s="124"/>
      <c r="AF83" s="219">
        <v>45097.723243437496</v>
      </c>
      <c r="AG83" s="175" t="s">
        <v>58</v>
      </c>
      <c r="AH83" s="275">
        <v>14</v>
      </c>
      <c r="AI83" s="275" t="s">
        <v>5873</v>
      </c>
      <c r="AJ83" s="275" t="s">
        <v>5873</v>
      </c>
    </row>
    <row r="84" spans="1:36">
      <c r="A84" s="174">
        <f>COUNTA($J$5:J84)</f>
        <v>80</v>
      </c>
      <c r="B84" s="272" t="s">
        <v>5732</v>
      </c>
      <c r="C84" s="274" t="s">
        <v>3225</v>
      </c>
      <c r="D84" s="273" t="s">
        <v>25</v>
      </c>
      <c r="E84" s="273" t="s">
        <v>4665</v>
      </c>
      <c r="F84" s="273" t="s">
        <v>138</v>
      </c>
      <c r="G84" s="273">
        <v>45096</v>
      </c>
      <c r="H84" s="273">
        <v>44520</v>
      </c>
      <c r="I84" s="272" t="s">
        <v>34</v>
      </c>
      <c r="J84" s="273" t="s">
        <v>5733</v>
      </c>
      <c r="K84" s="273" t="s">
        <v>43</v>
      </c>
      <c r="L84" s="276">
        <v>600</v>
      </c>
      <c r="M84" s="273">
        <v>44885</v>
      </c>
      <c r="N84" s="273">
        <v>45096</v>
      </c>
      <c r="O84" s="277"/>
      <c r="P84" s="277"/>
      <c r="Q84" s="277"/>
      <c r="R84" s="277">
        <v>45105</v>
      </c>
      <c r="S84" s="277"/>
      <c r="T84" s="277">
        <v>45099</v>
      </c>
      <c r="U84" s="277" t="s">
        <v>3</v>
      </c>
      <c r="V84" s="277" t="s">
        <v>5761</v>
      </c>
      <c r="W84" s="278">
        <v>10819</v>
      </c>
      <c r="X84" s="277" t="s">
        <v>5794</v>
      </c>
      <c r="Y84" s="277" t="s">
        <v>1132</v>
      </c>
      <c r="Z84" s="277" t="s">
        <v>39</v>
      </c>
      <c r="AA84" s="279" t="s">
        <v>1774</v>
      </c>
      <c r="AB84" s="124" t="s">
        <v>72</v>
      </c>
      <c r="AC84" s="124" t="s">
        <v>5699</v>
      </c>
      <c r="AD84" s="125"/>
      <c r="AE84" s="124"/>
      <c r="AF84" s="219">
        <v>45106.509664687503</v>
      </c>
      <c r="AG84" s="175" t="s">
        <v>5758</v>
      </c>
      <c r="AH84" s="275">
        <v>14</v>
      </c>
      <c r="AI84" s="275">
        <v>7</v>
      </c>
      <c r="AJ84" s="275" t="s">
        <v>5873</v>
      </c>
    </row>
    <row r="85" spans="1:36">
      <c r="A85" s="174">
        <f>COUNTA($J$5:J85)</f>
        <v>81</v>
      </c>
      <c r="B85" s="272" t="s">
        <v>5734</v>
      </c>
      <c r="C85" s="274" t="s">
        <v>3224</v>
      </c>
      <c r="D85" s="273" t="s">
        <v>44</v>
      </c>
      <c r="E85" s="273" t="s">
        <v>4665</v>
      </c>
      <c r="F85" s="273" t="s">
        <v>138</v>
      </c>
      <c r="G85" s="273">
        <v>45096</v>
      </c>
      <c r="H85" s="273">
        <v>42744</v>
      </c>
      <c r="I85" s="272" t="s">
        <v>55</v>
      </c>
      <c r="J85" s="273" t="s">
        <v>3739</v>
      </c>
      <c r="K85" s="273" t="s">
        <v>1055</v>
      </c>
      <c r="L85" s="276">
        <v>760</v>
      </c>
      <c r="M85" s="273">
        <v>43109</v>
      </c>
      <c r="N85" s="273">
        <v>45096.678506944445</v>
      </c>
      <c r="O85" s="277">
        <v>45100</v>
      </c>
      <c r="P85" s="277" t="s">
        <v>5772</v>
      </c>
      <c r="Q85" s="277"/>
      <c r="R85" s="277"/>
      <c r="S85" s="277"/>
      <c r="T85" s="277">
        <v>45097.505914351852</v>
      </c>
      <c r="U85" s="277" t="s">
        <v>3</v>
      </c>
      <c r="V85" s="277" t="s">
        <v>5534</v>
      </c>
      <c r="W85" s="278"/>
      <c r="X85" s="277" t="s">
        <v>5771</v>
      </c>
      <c r="Y85" s="277" t="s">
        <v>1132</v>
      </c>
      <c r="Z85" s="277" t="s">
        <v>1041</v>
      </c>
      <c r="AA85" s="279" t="s">
        <v>5870</v>
      </c>
      <c r="AB85" s="124" t="s">
        <v>72</v>
      </c>
      <c r="AC85" s="124" t="s">
        <v>5703</v>
      </c>
      <c r="AD85" s="125"/>
      <c r="AE85" s="124"/>
      <c r="AF85" s="219">
        <v>45103.512553506946</v>
      </c>
      <c r="AG85" s="175" t="s">
        <v>22</v>
      </c>
      <c r="AH85" s="275">
        <v>14</v>
      </c>
      <c r="AI85" s="275" t="s">
        <v>5873</v>
      </c>
      <c r="AJ85" s="275" t="s">
        <v>5873</v>
      </c>
    </row>
    <row r="86" spans="1:36">
      <c r="A86" s="174">
        <f>COUNTA($J$5:J86)</f>
        <v>82</v>
      </c>
      <c r="B86" s="272" t="s">
        <v>5735</v>
      </c>
      <c r="C86" s="274" t="s">
        <v>3224</v>
      </c>
      <c r="D86" s="273" t="s">
        <v>44</v>
      </c>
      <c r="E86" s="273" t="s">
        <v>4665</v>
      </c>
      <c r="F86" s="273" t="s">
        <v>138</v>
      </c>
      <c r="G86" s="273">
        <v>45096</v>
      </c>
      <c r="H86" s="273">
        <v>43465</v>
      </c>
      <c r="I86" s="272" t="s">
        <v>53</v>
      </c>
      <c r="J86" s="273" t="s">
        <v>2281</v>
      </c>
      <c r="K86" s="273" t="s">
        <v>43</v>
      </c>
      <c r="L86" s="276">
        <v>760</v>
      </c>
      <c r="M86" s="273">
        <v>43830</v>
      </c>
      <c r="N86" s="273">
        <v>45096.680972222224</v>
      </c>
      <c r="O86" s="277">
        <v>45100</v>
      </c>
      <c r="P86" s="277" t="s">
        <v>5774</v>
      </c>
      <c r="Q86" s="277"/>
      <c r="R86" s="277"/>
      <c r="S86" s="277"/>
      <c r="T86" s="277">
        <v>45097.521516203706</v>
      </c>
      <c r="U86" s="277" t="s">
        <v>3</v>
      </c>
      <c r="V86" s="277" t="s">
        <v>5736</v>
      </c>
      <c r="W86" s="278"/>
      <c r="X86" s="277" t="s">
        <v>5773</v>
      </c>
      <c r="Y86" s="277" t="s">
        <v>1132</v>
      </c>
      <c r="Z86" s="277" t="s">
        <v>1041</v>
      </c>
      <c r="AA86" s="279" t="s">
        <v>5870</v>
      </c>
      <c r="AB86" s="124" t="s">
        <v>72</v>
      </c>
      <c r="AC86" s="124" t="s">
        <v>5703</v>
      </c>
      <c r="AD86" s="125"/>
      <c r="AE86" s="124"/>
      <c r="AF86" s="219">
        <v>45103.512665555558</v>
      </c>
      <c r="AG86" s="175" t="s">
        <v>22</v>
      </c>
      <c r="AH86" s="275">
        <v>14</v>
      </c>
      <c r="AI86" s="275" t="s">
        <v>5873</v>
      </c>
      <c r="AJ86" s="275" t="s">
        <v>5873</v>
      </c>
    </row>
    <row r="87" spans="1:36">
      <c r="A87" s="174">
        <f>COUNTA($J$5:J87)</f>
        <v>83</v>
      </c>
      <c r="B87" s="272" t="s">
        <v>5737</v>
      </c>
      <c r="C87" s="274" t="s">
        <v>3224</v>
      </c>
      <c r="D87" s="273" t="s">
        <v>44</v>
      </c>
      <c r="E87" s="273" t="s">
        <v>4665</v>
      </c>
      <c r="F87" s="273" t="s">
        <v>138</v>
      </c>
      <c r="G87" s="273">
        <v>45096</v>
      </c>
      <c r="H87" s="273">
        <v>42673</v>
      </c>
      <c r="I87" s="272" t="s">
        <v>38</v>
      </c>
      <c r="J87" s="273" t="s">
        <v>2275</v>
      </c>
      <c r="K87" s="273" t="s">
        <v>1055</v>
      </c>
      <c r="L87" s="276">
        <v>600</v>
      </c>
      <c r="M87" s="273">
        <v>43038</v>
      </c>
      <c r="N87" s="273">
        <v>45096.681759259256</v>
      </c>
      <c r="O87" s="277">
        <v>45100</v>
      </c>
      <c r="P87" s="277" t="s">
        <v>5775</v>
      </c>
      <c r="Q87" s="277"/>
      <c r="R87" s="277"/>
      <c r="S87" s="277"/>
      <c r="T87" s="277">
        <v>45097.560868055552</v>
      </c>
      <c r="U87" s="277" t="s">
        <v>3</v>
      </c>
      <c r="V87" s="277" t="s">
        <v>5738</v>
      </c>
      <c r="W87" s="278"/>
      <c r="X87" s="277" t="s">
        <v>5776</v>
      </c>
      <c r="Y87" s="277" t="s">
        <v>1132</v>
      </c>
      <c r="Z87" s="277" t="s">
        <v>1041</v>
      </c>
      <c r="AA87" s="279" t="s">
        <v>5870</v>
      </c>
      <c r="AB87" s="124" t="s">
        <v>72</v>
      </c>
      <c r="AC87" s="124" t="s">
        <v>5703</v>
      </c>
      <c r="AD87" s="125"/>
      <c r="AE87" s="124"/>
      <c r="AF87" s="219">
        <v>45103.513355150462</v>
      </c>
      <c r="AG87" s="175" t="s">
        <v>22</v>
      </c>
      <c r="AH87" s="275">
        <v>14</v>
      </c>
      <c r="AI87" s="275" t="s">
        <v>5873</v>
      </c>
      <c r="AJ87" s="275" t="s">
        <v>5873</v>
      </c>
    </row>
    <row r="88" spans="1:36">
      <c r="A88" s="174">
        <f>COUNTA($J$5:J88)</f>
        <v>84</v>
      </c>
      <c r="B88" s="272" t="s">
        <v>5739</v>
      </c>
      <c r="C88" s="274" t="s">
        <v>3224</v>
      </c>
      <c r="D88" s="273" t="s">
        <v>44</v>
      </c>
      <c r="E88" s="273" t="s">
        <v>4665</v>
      </c>
      <c r="F88" s="273" t="s">
        <v>138</v>
      </c>
      <c r="G88" s="273">
        <v>45096</v>
      </c>
      <c r="H88" s="273">
        <v>42774</v>
      </c>
      <c r="I88" s="272" t="s">
        <v>53</v>
      </c>
      <c r="J88" s="273" t="s">
        <v>2267</v>
      </c>
      <c r="K88" s="273" t="s">
        <v>43</v>
      </c>
      <c r="L88" s="276">
        <v>760</v>
      </c>
      <c r="M88" s="273">
        <v>43139</v>
      </c>
      <c r="N88" s="273">
        <v>45096.682662037034</v>
      </c>
      <c r="O88" s="277">
        <v>45100</v>
      </c>
      <c r="P88" s="277" t="s">
        <v>5777</v>
      </c>
      <c r="Q88" s="277"/>
      <c r="R88" s="277"/>
      <c r="S88" s="277"/>
      <c r="T88" s="277">
        <v>45097.48746527778</v>
      </c>
      <c r="U88" s="277" t="s">
        <v>3</v>
      </c>
      <c r="V88" s="277" t="s">
        <v>5421</v>
      </c>
      <c r="W88" s="278"/>
      <c r="X88" s="277" t="s">
        <v>5778</v>
      </c>
      <c r="Y88" s="277" t="s">
        <v>1132</v>
      </c>
      <c r="Z88" s="277" t="s">
        <v>1041</v>
      </c>
      <c r="AA88" s="279" t="s">
        <v>5870</v>
      </c>
      <c r="AB88" s="124" t="s">
        <v>72</v>
      </c>
      <c r="AC88" s="124" t="s">
        <v>5703</v>
      </c>
      <c r="AD88" s="125"/>
      <c r="AE88" s="124"/>
      <c r="AF88" s="219">
        <v>45103.513479849535</v>
      </c>
      <c r="AG88" s="175" t="s">
        <v>22</v>
      </c>
      <c r="AH88" s="275">
        <v>14</v>
      </c>
      <c r="AI88" s="275" t="s">
        <v>5873</v>
      </c>
      <c r="AJ88" s="275" t="s">
        <v>5873</v>
      </c>
    </row>
    <row r="89" spans="1:36">
      <c r="A89" s="174">
        <f>COUNTA($J$5:J89)</f>
        <v>85</v>
      </c>
      <c r="B89" s="272" t="s">
        <v>5740</v>
      </c>
      <c r="C89" s="274" t="s">
        <v>3224</v>
      </c>
      <c r="D89" s="273" t="s">
        <v>44</v>
      </c>
      <c r="E89" s="273" t="s">
        <v>4665</v>
      </c>
      <c r="F89" s="273" t="s">
        <v>138</v>
      </c>
      <c r="G89" s="273">
        <v>45096</v>
      </c>
      <c r="H89" s="273">
        <v>42193</v>
      </c>
      <c r="I89" s="272" t="s">
        <v>34</v>
      </c>
      <c r="J89" s="273" t="s">
        <v>2269</v>
      </c>
      <c r="K89" s="273" t="s">
        <v>43</v>
      </c>
      <c r="L89" s="276">
        <v>600</v>
      </c>
      <c r="M89" s="273">
        <v>42558</v>
      </c>
      <c r="N89" s="273">
        <v>45096.683263888888</v>
      </c>
      <c r="O89" s="277">
        <v>45100</v>
      </c>
      <c r="P89" s="277" t="s">
        <v>5780</v>
      </c>
      <c r="Q89" s="277"/>
      <c r="R89" s="277"/>
      <c r="S89" s="277"/>
      <c r="T89" s="277">
        <v>45097.521574074075</v>
      </c>
      <c r="U89" s="277" t="s">
        <v>3</v>
      </c>
      <c r="V89" s="277" t="s">
        <v>369</v>
      </c>
      <c r="W89" s="278"/>
      <c r="X89" s="277" t="s">
        <v>5779</v>
      </c>
      <c r="Y89" s="277" t="s">
        <v>1114</v>
      </c>
      <c r="Z89" s="277" t="s">
        <v>1041</v>
      </c>
      <c r="AA89" s="279" t="s">
        <v>5870</v>
      </c>
      <c r="AB89" s="124" t="s">
        <v>72</v>
      </c>
      <c r="AC89" s="124" t="s">
        <v>5703</v>
      </c>
      <c r="AD89" s="125"/>
      <c r="AE89" s="124"/>
      <c r="AF89" s="219">
        <v>45103.513562789354</v>
      </c>
      <c r="AG89" s="175" t="s">
        <v>22</v>
      </c>
      <c r="AH89" s="275">
        <v>14</v>
      </c>
      <c r="AI89" s="275" t="s">
        <v>5873</v>
      </c>
      <c r="AJ89" s="275" t="s">
        <v>5873</v>
      </c>
    </row>
    <row r="90" spans="1:36">
      <c r="A90" s="174">
        <f>COUNTA($J$5:J90)</f>
        <v>86</v>
      </c>
      <c r="B90" s="272" t="s">
        <v>5741</v>
      </c>
      <c r="C90" s="274" t="s">
        <v>3224</v>
      </c>
      <c r="D90" s="273" t="s">
        <v>44</v>
      </c>
      <c r="E90" s="273" t="s">
        <v>4665</v>
      </c>
      <c r="F90" s="273" t="s">
        <v>138</v>
      </c>
      <c r="G90" s="273">
        <v>45096</v>
      </c>
      <c r="H90" s="273">
        <v>42424</v>
      </c>
      <c r="I90" s="272" t="s">
        <v>34</v>
      </c>
      <c r="J90" s="273" t="s">
        <v>2705</v>
      </c>
      <c r="K90" s="273" t="s">
        <v>43</v>
      </c>
      <c r="L90" s="276">
        <v>600</v>
      </c>
      <c r="M90" s="273">
        <v>42790</v>
      </c>
      <c r="N90" s="273">
        <v>45096.683900462966</v>
      </c>
      <c r="O90" s="277">
        <v>45100</v>
      </c>
      <c r="P90" s="277" t="s">
        <v>5781</v>
      </c>
      <c r="Q90" s="277"/>
      <c r="R90" s="277"/>
      <c r="S90" s="277"/>
      <c r="T90" s="277">
        <v>45097.740358796298</v>
      </c>
      <c r="U90" s="277" t="s">
        <v>3</v>
      </c>
      <c r="V90" s="277" t="s">
        <v>369</v>
      </c>
      <c r="W90" s="278"/>
      <c r="X90" s="277" t="s">
        <v>5782</v>
      </c>
      <c r="Y90" s="277" t="s">
        <v>1114</v>
      </c>
      <c r="Z90" s="277" t="s">
        <v>1041</v>
      </c>
      <c r="AA90" s="279" t="s">
        <v>5870</v>
      </c>
      <c r="AB90" s="124" t="s">
        <v>72</v>
      </c>
      <c r="AC90" s="124" t="s">
        <v>5703</v>
      </c>
      <c r="AD90" s="125"/>
      <c r="AE90" s="124"/>
      <c r="AF90" s="219">
        <v>45103.514069756944</v>
      </c>
      <c r="AG90" s="175" t="s">
        <v>22</v>
      </c>
      <c r="AH90" s="275">
        <v>14</v>
      </c>
      <c r="AI90" s="275" t="s">
        <v>5873</v>
      </c>
      <c r="AJ90" s="275" t="s">
        <v>5873</v>
      </c>
    </row>
    <row r="91" spans="1:36">
      <c r="A91" s="174">
        <f>COUNTA($J$5:J91)</f>
        <v>87</v>
      </c>
      <c r="B91" s="272" t="s">
        <v>5742</v>
      </c>
      <c r="C91" s="274" t="s">
        <v>3224</v>
      </c>
      <c r="D91" s="273" t="s">
        <v>44</v>
      </c>
      <c r="E91" s="273" t="s">
        <v>4665</v>
      </c>
      <c r="F91" s="273" t="s">
        <v>138</v>
      </c>
      <c r="G91" s="273">
        <v>45096</v>
      </c>
      <c r="H91" s="273">
        <v>42774</v>
      </c>
      <c r="I91" s="272" t="s">
        <v>1135</v>
      </c>
      <c r="J91" s="273" t="s">
        <v>2878</v>
      </c>
      <c r="K91" s="273" t="s">
        <v>43</v>
      </c>
      <c r="L91" s="276">
        <v>760</v>
      </c>
      <c r="M91" s="273">
        <v>43139</v>
      </c>
      <c r="N91" s="273">
        <v>45096.684606481482</v>
      </c>
      <c r="O91" s="277">
        <v>45100</v>
      </c>
      <c r="P91" s="277" t="s">
        <v>5784</v>
      </c>
      <c r="Q91" s="277"/>
      <c r="R91" s="277"/>
      <c r="S91" s="277"/>
      <c r="T91" s="277">
        <v>45097.541296296295</v>
      </c>
      <c r="U91" s="277" t="s">
        <v>4</v>
      </c>
      <c r="V91" s="277" t="s">
        <v>1105</v>
      </c>
      <c r="W91" s="278"/>
      <c r="X91" s="277" t="s">
        <v>5783</v>
      </c>
      <c r="Y91" s="277" t="s">
        <v>1132</v>
      </c>
      <c r="Z91" s="277" t="s">
        <v>1041</v>
      </c>
      <c r="AA91" s="279" t="s">
        <v>5870</v>
      </c>
      <c r="AB91" s="124" t="s">
        <v>72</v>
      </c>
      <c r="AC91" s="124" t="s">
        <v>5703</v>
      </c>
      <c r="AD91" s="125"/>
      <c r="AE91" s="124"/>
      <c r="AF91" s="219">
        <v>45103.550981747685</v>
      </c>
      <c r="AG91" s="175" t="s">
        <v>58</v>
      </c>
      <c r="AH91" s="275">
        <v>14</v>
      </c>
      <c r="AI91" s="275" t="s">
        <v>5873</v>
      </c>
      <c r="AJ91" s="275" t="s">
        <v>5873</v>
      </c>
    </row>
    <row r="92" spans="1:36">
      <c r="A92" s="174">
        <f>COUNTA($J$5:J92)</f>
        <v>88</v>
      </c>
      <c r="B92" s="272" t="s">
        <v>5743</v>
      </c>
      <c r="C92" s="274" t="s">
        <v>3224</v>
      </c>
      <c r="D92" s="273" t="s">
        <v>44</v>
      </c>
      <c r="E92" s="273" t="s">
        <v>4665</v>
      </c>
      <c r="F92" s="273" t="s">
        <v>138</v>
      </c>
      <c r="G92" s="273">
        <v>45096</v>
      </c>
      <c r="H92" s="273">
        <v>42744</v>
      </c>
      <c r="I92" s="272" t="s">
        <v>55</v>
      </c>
      <c r="J92" s="273" t="s">
        <v>4119</v>
      </c>
      <c r="K92" s="273" t="s">
        <v>1055</v>
      </c>
      <c r="L92" s="276">
        <v>760</v>
      </c>
      <c r="M92" s="273">
        <v>43109</v>
      </c>
      <c r="N92" s="273">
        <v>45096.685243055559</v>
      </c>
      <c r="O92" s="277">
        <v>45100</v>
      </c>
      <c r="P92" s="277" t="s">
        <v>5785</v>
      </c>
      <c r="Q92" s="277"/>
      <c r="R92" s="277"/>
      <c r="S92" s="277"/>
      <c r="T92" s="277">
        <v>45097.448252314818</v>
      </c>
      <c r="U92" s="277" t="s">
        <v>3</v>
      </c>
      <c r="V92" s="277" t="s">
        <v>5744</v>
      </c>
      <c r="W92" s="278"/>
      <c r="X92" s="277" t="s">
        <v>5786</v>
      </c>
      <c r="Y92" s="277" t="s">
        <v>1114</v>
      </c>
      <c r="Z92" s="277" t="s">
        <v>1041</v>
      </c>
      <c r="AA92" s="279" t="s">
        <v>5870</v>
      </c>
      <c r="AB92" s="124" t="s">
        <v>72</v>
      </c>
      <c r="AC92" s="124" t="s">
        <v>5703</v>
      </c>
      <c r="AD92" s="125"/>
      <c r="AE92" s="124"/>
      <c r="AF92" s="219">
        <v>45103.51436390046</v>
      </c>
      <c r="AG92" s="175" t="s">
        <v>22</v>
      </c>
      <c r="AH92" s="275">
        <v>14</v>
      </c>
      <c r="AI92" s="275" t="s">
        <v>5873</v>
      </c>
      <c r="AJ92" s="275" t="s">
        <v>5873</v>
      </c>
    </row>
    <row r="93" spans="1:36">
      <c r="A93" s="174">
        <f>COUNTA($J$5:J93)</f>
        <v>89</v>
      </c>
      <c r="B93" s="272" t="s">
        <v>5750</v>
      </c>
      <c r="C93" s="274" t="s">
        <v>3225</v>
      </c>
      <c r="D93" s="273" t="s">
        <v>41</v>
      </c>
      <c r="E93" s="273" t="s">
        <v>4665</v>
      </c>
      <c r="F93" s="273" t="s">
        <v>138</v>
      </c>
      <c r="G93" s="273">
        <v>45097</v>
      </c>
      <c r="H93" s="273">
        <v>43466</v>
      </c>
      <c r="I93" s="272" t="s">
        <v>34</v>
      </c>
      <c r="J93" s="273" t="s">
        <v>3406</v>
      </c>
      <c r="K93" s="273" t="s">
        <v>43</v>
      </c>
      <c r="L93" s="276">
        <v>600</v>
      </c>
      <c r="M93" s="273">
        <v>43831</v>
      </c>
      <c r="N93" s="273">
        <v>45097</v>
      </c>
      <c r="O93" s="277">
        <v>45106</v>
      </c>
      <c r="P93" s="277" t="s">
        <v>5853</v>
      </c>
      <c r="Q93" s="277"/>
      <c r="R93" s="277">
        <v>45105</v>
      </c>
      <c r="S93" s="277"/>
      <c r="T93" s="277">
        <v>45106</v>
      </c>
      <c r="U93" s="277" t="s">
        <v>3</v>
      </c>
      <c r="V93" s="277" t="s">
        <v>4817</v>
      </c>
      <c r="W93" s="278">
        <v>2137</v>
      </c>
      <c r="X93" s="277" t="s">
        <v>5854</v>
      </c>
      <c r="Y93" s="277" t="s">
        <v>5758</v>
      </c>
      <c r="Z93" s="277" t="s">
        <v>39</v>
      </c>
      <c r="AA93" s="279" t="s">
        <v>1774</v>
      </c>
      <c r="AB93" s="124" t="s">
        <v>72</v>
      </c>
      <c r="AC93" s="124" t="s">
        <v>5699</v>
      </c>
      <c r="AD93" s="125"/>
      <c r="AE93" s="124"/>
      <c r="AF93" s="219">
        <v>45106.508963645836</v>
      </c>
      <c r="AG93" s="175" t="s">
        <v>5758</v>
      </c>
      <c r="AH93" s="275">
        <v>13</v>
      </c>
      <c r="AI93" s="275">
        <v>7</v>
      </c>
      <c r="AJ93" s="275" t="s">
        <v>5873</v>
      </c>
    </row>
    <row r="94" spans="1:36">
      <c r="A94" s="174">
        <f>COUNTA($J$5:J94)</f>
        <v>90</v>
      </c>
      <c r="B94" s="272" t="s">
        <v>5751</v>
      </c>
      <c r="C94" s="274" t="s">
        <v>3225</v>
      </c>
      <c r="D94" s="273" t="s">
        <v>41</v>
      </c>
      <c r="E94" s="273" t="s">
        <v>4665</v>
      </c>
      <c r="F94" s="273" t="s">
        <v>138</v>
      </c>
      <c r="G94" s="273">
        <v>45097</v>
      </c>
      <c r="H94" s="273">
        <v>43994</v>
      </c>
      <c r="I94" s="272" t="s">
        <v>34</v>
      </c>
      <c r="J94" s="273" t="s">
        <v>5752</v>
      </c>
      <c r="K94" s="273" t="s">
        <v>43</v>
      </c>
      <c r="L94" s="276">
        <v>600</v>
      </c>
      <c r="M94" s="273">
        <v>44360</v>
      </c>
      <c r="N94" s="273">
        <v>45097</v>
      </c>
      <c r="O94" s="277"/>
      <c r="P94" s="277" t="s">
        <v>5855</v>
      </c>
      <c r="Q94" s="277"/>
      <c r="R94" s="277">
        <v>45105</v>
      </c>
      <c r="S94" s="277"/>
      <c r="T94" s="277">
        <v>45100</v>
      </c>
      <c r="U94" s="277"/>
      <c r="V94" s="277" t="s">
        <v>4817</v>
      </c>
      <c r="W94" s="278">
        <v>2038</v>
      </c>
      <c r="X94" s="277" t="s">
        <v>5856</v>
      </c>
      <c r="Y94" s="277" t="s">
        <v>1114</v>
      </c>
      <c r="Z94" s="277" t="s">
        <v>39</v>
      </c>
      <c r="AA94" s="279" t="s">
        <v>1774</v>
      </c>
      <c r="AB94" s="124" t="s">
        <v>72</v>
      </c>
      <c r="AC94" s="124" t="s">
        <v>5699</v>
      </c>
      <c r="AD94" s="125"/>
      <c r="AE94" s="124"/>
      <c r="AF94" s="219">
        <v>45106.508359560183</v>
      </c>
      <c r="AG94" s="175" t="s">
        <v>5758</v>
      </c>
      <c r="AH94" s="275">
        <v>13</v>
      </c>
      <c r="AI94" s="275">
        <v>7</v>
      </c>
      <c r="AJ94" s="275" t="s">
        <v>5873</v>
      </c>
    </row>
    <row r="95" spans="1:36">
      <c r="A95" s="174">
        <f>COUNTA($J$5:J95)</f>
        <v>91</v>
      </c>
      <c r="B95" s="272" t="s">
        <v>5764</v>
      </c>
      <c r="C95" s="274" t="s">
        <v>3224</v>
      </c>
      <c r="D95" s="273" t="s">
        <v>44</v>
      </c>
      <c r="E95" s="273" t="s">
        <v>4665</v>
      </c>
      <c r="F95" s="273" t="s">
        <v>138</v>
      </c>
      <c r="G95" s="273">
        <v>45099</v>
      </c>
      <c r="H95" s="273">
        <v>42774</v>
      </c>
      <c r="I95" s="272" t="s">
        <v>1138</v>
      </c>
      <c r="J95" s="273" t="s">
        <v>3086</v>
      </c>
      <c r="K95" s="273" t="s">
        <v>5688</v>
      </c>
      <c r="L95" s="276">
        <v>7000</v>
      </c>
      <c r="M95" s="273">
        <v>43139</v>
      </c>
      <c r="N95" s="273">
        <v>45099.551192129627</v>
      </c>
      <c r="O95" s="277">
        <v>45103</v>
      </c>
      <c r="P95" s="277" t="s">
        <v>5796</v>
      </c>
      <c r="Q95" s="277"/>
      <c r="R95" s="277"/>
      <c r="S95" s="277"/>
      <c r="T95" s="277">
        <v>45099.763240740744</v>
      </c>
      <c r="U95" s="277" t="s">
        <v>5</v>
      </c>
      <c r="V95" s="277" t="s">
        <v>5378</v>
      </c>
      <c r="W95" s="278"/>
      <c r="X95" s="277" t="s">
        <v>5797</v>
      </c>
      <c r="Y95" s="277" t="s">
        <v>5521</v>
      </c>
      <c r="Z95" s="277" t="s">
        <v>1068</v>
      </c>
      <c r="AA95" s="279" t="s">
        <v>5870</v>
      </c>
      <c r="AB95" s="124" t="s">
        <v>72</v>
      </c>
      <c r="AC95" s="124" t="s">
        <v>5703</v>
      </c>
      <c r="AD95" s="125"/>
      <c r="AE95" s="124"/>
      <c r="AF95" s="219">
        <v>45103.515749317128</v>
      </c>
      <c r="AG95" s="175" t="s">
        <v>22</v>
      </c>
      <c r="AH95" s="275">
        <v>11</v>
      </c>
      <c r="AI95" s="275" t="s">
        <v>5873</v>
      </c>
      <c r="AJ95" s="275" t="s">
        <v>5873</v>
      </c>
    </row>
    <row r="96" spans="1:36">
      <c r="A96" s="174">
        <f>COUNTA($J$5:J96)</f>
        <v>92</v>
      </c>
      <c r="B96" s="272" t="s">
        <v>5765</v>
      </c>
      <c r="C96" s="274" t="s">
        <v>5089</v>
      </c>
      <c r="D96" s="273" t="s">
        <v>1104</v>
      </c>
      <c r="E96" s="273" t="s">
        <v>4665</v>
      </c>
      <c r="F96" s="273" t="s">
        <v>26</v>
      </c>
      <c r="G96" s="273">
        <v>45100</v>
      </c>
      <c r="H96" s="273">
        <v>43634</v>
      </c>
      <c r="I96" s="272" t="s">
        <v>1157</v>
      </c>
      <c r="J96" s="273" t="s">
        <v>4694</v>
      </c>
      <c r="K96" s="273" t="s">
        <v>1055</v>
      </c>
      <c r="L96" s="276">
        <v>760</v>
      </c>
      <c r="M96" s="273">
        <v>44000</v>
      </c>
      <c r="N96" s="273">
        <v>45107</v>
      </c>
      <c r="O96" s="277">
        <v>45113</v>
      </c>
      <c r="P96" s="277" t="s">
        <v>5899</v>
      </c>
      <c r="Q96" s="277"/>
      <c r="R96" s="277">
        <v>45112</v>
      </c>
      <c r="S96" s="277"/>
      <c r="T96" s="277">
        <v>45107</v>
      </c>
      <c r="U96" s="277"/>
      <c r="V96" s="277" t="s">
        <v>5858</v>
      </c>
      <c r="W96" s="278">
        <v>1581</v>
      </c>
      <c r="X96" s="277" t="s">
        <v>5900</v>
      </c>
      <c r="Y96" s="277" t="s">
        <v>22</v>
      </c>
      <c r="Z96" s="277" t="s">
        <v>39</v>
      </c>
      <c r="AA96" s="279"/>
      <c r="AB96" s="124" t="s">
        <v>72</v>
      </c>
      <c r="AC96" s="124" t="s">
        <v>5703</v>
      </c>
      <c r="AD96" s="125"/>
      <c r="AE96" s="124"/>
      <c r="AF96" s="219">
        <v>45111.535367025463</v>
      </c>
      <c r="AG96" s="175" t="s">
        <v>22</v>
      </c>
      <c r="AH96" s="275">
        <v>5</v>
      </c>
      <c r="AI96" s="275" t="s">
        <v>5873</v>
      </c>
      <c r="AJ96" s="275" t="s">
        <v>5873</v>
      </c>
    </row>
    <row r="97" spans="1:36">
      <c r="A97" s="174">
        <f>COUNTA($J$5:J97)</f>
        <v>93</v>
      </c>
      <c r="B97" s="272" t="s">
        <v>5835</v>
      </c>
      <c r="C97" s="274" t="s">
        <v>1729</v>
      </c>
      <c r="D97" s="273" t="s">
        <v>45</v>
      </c>
      <c r="E97" s="273"/>
      <c r="F97" s="273" t="s">
        <v>138</v>
      </c>
      <c r="G97" s="273">
        <v>45103</v>
      </c>
      <c r="H97" s="273">
        <v>43609</v>
      </c>
      <c r="I97" s="272" t="s">
        <v>2155</v>
      </c>
      <c r="J97" s="273" t="s">
        <v>5836</v>
      </c>
      <c r="K97" s="273" t="s">
        <v>1055</v>
      </c>
      <c r="L97" s="276">
        <v>600</v>
      </c>
      <c r="M97" s="273">
        <v>43975</v>
      </c>
      <c r="N97" s="273">
        <v>45103</v>
      </c>
      <c r="O97" s="277">
        <v>45106</v>
      </c>
      <c r="P97" s="277" t="s">
        <v>5872</v>
      </c>
      <c r="Q97" s="277"/>
      <c r="R97" s="277" t="s">
        <v>70</v>
      </c>
      <c r="S97" s="277"/>
      <c r="T97" s="277">
        <v>45103</v>
      </c>
      <c r="U97" s="277" t="s">
        <v>3</v>
      </c>
      <c r="V97" s="277" t="s">
        <v>5837</v>
      </c>
      <c r="W97" s="278"/>
      <c r="X97" s="277"/>
      <c r="Y97" s="277" t="s">
        <v>37</v>
      </c>
      <c r="Z97" s="277" t="s">
        <v>64</v>
      </c>
      <c r="AA97" s="279"/>
      <c r="AB97" s="124" t="s">
        <v>72</v>
      </c>
      <c r="AC97" s="124" t="s">
        <v>5699</v>
      </c>
      <c r="AD97" s="125"/>
      <c r="AE97" s="124"/>
      <c r="AF97" s="219">
        <v>45103.742298900463</v>
      </c>
      <c r="AG97" s="175" t="s">
        <v>58</v>
      </c>
      <c r="AH97" s="275">
        <v>9</v>
      </c>
      <c r="AI97" s="275" t="s">
        <v>5873</v>
      </c>
      <c r="AJ97" s="275" t="s">
        <v>5873</v>
      </c>
    </row>
    <row r="98" spans="1:36">
      <c r="A98" s="174">
        <f>COUNTA($J$5:J98)</f>
        <v>94</v>
      </c>
      <c r="B98" s="272" t="s">
        <v>5838</v>
      </c>
      <c r="C98" s="274" t="s">
        <v>3225</v>
      </c>
      <c r="D98" s="273" t="s">
        <v>1112</v>
      </c>
      <c r="E98" s="273" t="s">
        <v>2986</v>
      </c>
      <c r="F98" s="273" t="s">
        <v>138</v>
      </c>
      <c r="G98" s="273">
        <v>45103</v>
      </c>
      <c r="H98" s="273">
        <v>42843</v>
      </c>
      <c r="I98" s="272" t="s">
        <v>31</v>
      </c>
      <c r="J98" s="273" t="s">
        <v>5839</v>
      </c>
      <c r="K98" s="273" t="s">
        <v>1054</v>
      </c>
      <c r="L98" s="276">
        <v>4450</v>
      </c>
      <c r="M98" s="273">
        <v>43208</v>
      </c>
      <c r="N98" s="273">
        <v>45103</v>
      </c>
      <c r="O98" s="277"/>
      <c r="P98" s="277" t="s">
        <v>5901</v>
      </c>
      <c r="Q98" s="277"/>
      <c r="R98" s="277">
        <v>45112</v>
      </c>
      <c r="S98" s="277"/>
      <c r="T98" s="277">
        <v>45106</v>
      </c>
      <c r="U98" s="277" t="s">
        <v>5</v>
      </c>
      <c r="V98" s="277" t="s">
        <v>1105</v>
      </c>
      <c r="W98" s="278">
        <v>10698</v>
      </c>
      <c r="X98" s="277" t="s">
        <v>5902</v>
      </c>
      <c r="Y98" s="277" t="s">
        <v>1114</v>
      </c>
      <c r="Z98" s="277" t="s">
        <v>3640</v>
      </c>
      <c r="AA98" s="279"/>
      <c r="AB98" s="124" t="s">
        <v>72</v>
      </c>
      <c r="AC98" s="124" t="s">
        <v>5703</v>
      </c>
      <c r="AD98" s="125"/>
      <c r="AE98" s="124"/>
      <c r="AF98" s="219">
        <v>45111.752105208332</v>
      </c>
      <c r="AG98" s="175" t="s">
        <v>58</v>
      </c>
      <c r="AH98" s="275">
        <v>9</v>
      </c>
      <c r="AI98" s="275" t="s">
        <v>5873</v>
      </c>
      <c r="AJ98" s="275" t="s">
        <v>5873</v>
      </c>
    </row>
    <row r="99" spans="1:36">
      <c r="A99" s="174">
        <f>COUNTA($J$5:J99)</f>
        <v>95</v>
      </c>
      <c r="B99" s="272" t="s">
        <v>5840</v>
      </c>
      <c r="C99" s="274" t="s">
        <v>1729</v>
      </c>
      <c r="D99" s="273" t="s">
        <v>45</v>
      </c>
      <c r="E99" s="273"/>
      <c r="F99" s="273" t="s">
        <v>138</v>
      </c>
      <c r="G99" s="273">
        <v>45104</v>
      </c>
      <c r="H99" s="273">
        <v>43210</v>
      </c>
      <c r="I99" s="272" t="s">
        <v>53</v>
      </c>
      <c r="J99" s="273" t="s">
        <v>2745</v>
      </c>
      <c r="K99" s="273" t="s">
        <v>43</v>
      </c>
      <c r="L99" s="276">
        <v>760</v>
      </c>
      <c r="M99" s="273">
        <v>43575</v>
      </c>
      <c r="N99" s="273">
        <v>45104.643284317128</v>
      </c>
      <c r="O99" s="277"/>
      <c r="P99" s="277"/>
      <c r="Q99" s="277"/>
      <c r="R99" s="277"/>
      <c r="S99" s="277"/>
      <c r="T99" s="277"/>
      <c r="U99" s="277"/>
      <c r="V99" s="277"/>
      <c r="W99" s="278"/>
      <c r="X99" s="277"/>
      <c r="Y99" s="277" t="s">
        <v>22</v>
      </c>
      <c r="Z99" s="277" t="s">
        <v>1065</v>
      </c>
      <c r="AA99" s="279"/>
      <c r="AB99" s="124" t="s">
        <v>1053</v>
      </c>
      <c r="AC99" s="124" t="s">
        <v>5841</v>
      </c>
      <c r="AD99" s="125"/>
      <c r="AE99" s="124"/>
      <c r="AF99" s="219">
        <v>45104.643284317128</v>
      </c>
      <c r="AG99" s="175" t="s">
        <v>22</v>
      </c>
      <c r="AH99" s="275">
        <v>8</v>
      </c>
      <c r="AI99" s="275" t="s">
        <v>5873</v>
      </c>
      <c r="AJ99" s="275" t="s">
        <v>5873</v>
      </c>
    </row>
    <row r="100" spans="1:36">
      <c r="A100" s="174">
        <f>COUNTA($J$5:J100)</f>
        <v>96</v>
      </c>
      <c r="B100" s="272" t="s">
        <v>5842</v>
      </c>
      <c r="C100" s="274" t="s">
        <v>3225</v>
      </c>
      <c r="D100" s="273" t="s">
        <v>5843</v>
      </c>
      <c r="E100" s="273"/>
      <c r="F100" s="273" t="s">
        <v>138</v>
      </c>
      <c r="G100" s="273">
        <v>45105</v>
      </c>
      <c r="H100" s="273">
        <v>44998</v>
      </c>
      <c r="I100" s="272" t="s">
        <v>62</v>
      </c>
      <c r="J100" s="273" t="s">
        <v>5844</v>
      </c>
      <c r="K100" s="273" t="s">
        <v>1055</v>
      </c>
      <c r="L100" s="276">
        <v>530</v>
      </c>
      <c r="M100" s="273">
        <v>45364</v>
      </c>
      <c r="N100" s="273">
        <v>45105</v>
      </c>
      <c r="O100" s="277"/>
      <c r="P100" s="277"/>
      <c r="Q100" s="277"/>
      <c r="R100" s="277"/>
      <c r="S100" s="277"/>
      <c r="T100" s="277">
        <v>45110</v>
      </c>
      <c r="U100" s="277" t="s">
        <v>4</v>
      </c>
      <c r="V100" s="277" t="s">
        <v>5875</v>
      </c>
      <c r="W100" s="278"/>
      <c r="X100" s="277"/>
      <c r="Y100" s="277" t="s">
        <v>1132</v>
      </c>
      <c r="Z100" s="277" t="s">
        <v>312</v>
      </c>
      <c r="AA100" s="279" t="s">
        <v>5903</v>
      </c>
      <c r="AB100" s="124" t="s">
        <v>4940</v>
      </c>
      <c r="AC100" s="124"/>
      <c r="AD100" s="125" t="s">
        <v>1074</v>
      </c>
      <c r="AE100" s="124"/>
      <c r="AF100" s="219">
        <v>45113.695595775462</v>
      </c>
      <c r="AG100" s="175" t="s">
        <v>1132</v>
      </c>
      <c r="AH100" s="275">
        <v>7</v>
      </c>
      <c r="AI100" s="275" t="s">
        <v>5873</v>
      </c>
      <c r="AJ100" s="275" t="s">
        <v>5873</v>
      </c>
    </row>
    <row r="101" spans="1:36">
      <c r="A101" s="174">
        <f>COUNTA($J$5:J101)</f>
        <v>97</v>
      </c>
      <c r="B101" s="272" t="s">
        <v>5859</v>
      </c>
      <c r="C101" s="274" t="s">
        <v>1729</v>
      </c>
      <c r="D101" s="273" t="s">
        <v>45</v>
      </c>
      <c r="E101" s="273"/>
      <c r="F101" s="273" t="s">
        <v>26</v>
      </c>
      <c r="G101" s="273">
        <v>45106</v>
      </c>
      <c r="H101" s="273">
        <v>43719</v>
      </c>
      <c r="I101" s="272" t="s">
        <v>20</v>
      </c>
      <c r="J101" s="273" t="s">
        <v>3476</v>
      </c>
      <c r="K101" s="273" t="s">
        <v>43</v>
      </c>
      <c r="L101" s="276">
        <v>530</v>
      </c>
      <c r="M101" s="273">
        <v>44085</v>
      </c>
      <c r="N101" s="273">
        <v>45106</v>
      </c>
      <c r="O101" s="277">
        <v>45113</v>
      </c>
      <c r="P101" s="277" t="s">
        <v>5905</v>
      </c>
      <c r="Q101" s="277"/>
      <c r="R101" s="277" t="s">
        <v>70</v>
      </c>
      <c r="S101" s="277"/>
      <c r="T101" s="277">
        <v>45107</v>
      </c>
      <c r="U101" s="277" t="s">
        <v>3</v>
      </c>
      <c r="V101" s="277" t="s">
        <v>5759</v>
      </c>
      <c r="W101" s="278"/>
      <c r="X101" s="277" t="s">
        <v>5906</v>
      </c>
      <c r="Y101" s="277" t="s">
        <v>24</v>
      </c>
      <c r="Z101" s="277" t="s">
        <v>64</v>
      </c>
      <c r="AA101" s="279"/>
      <c r="AB101" s="124" t="s">
        <v>72</v>
      </c>
      <c r="AC101" s="124" t="s">
        <v>5703</v>
      </c>
      <c r="AD101" s="125"/>
      <c r="AE101" s="124"/>
      <c r="AF101" s="219">
        <v>45107.480897789355</v>
      </c>
      <c r="AG101" s="175" t="s">
        <v>24</v>
      </c>
      <c r="AH101" s="275">
        <v>6</v>
      </c>
      <c r="AI101" s="275" t="s">
        <v>5873</v>
      </c>
      <c r="AJ101" s="275" t="s">
        <v>5873</v>
      </c>
    </row>
    <row r="102" spans="1:36">
      <c r="A102" s="174">
        <f>COUNTA($J$5:J102)</f>
        <v>98</v>
      </c>
      <c r="B102" s="272" t="s">
        <v>5860</v>
      </c>
      <c r="C102" s="274" t="s">
        <v>3224</v>
      </c>
      <c r="D102" s="273" t="s">
        <v>2752</v>
      </c>
      <c r="E102" s="273"/>
      <c r="F102" s="273" t="s">
        <v>26</v>
      </c>
      <c r="G102" s="273">
        <v>45106</v>
      </c>
      <c r="H102" s="273">
        <v>43445</v>
      </c>
      <c r="I102" s="272" t="s">
        <v>35</v>
      </c>
      <c r="J102" s="273" t="s">
        <v>4068</v>
      </c>
      <c r="K102" s="273" t="s">
        <v>43</v>
      </c>
      <c r="L102" s="276">
        <v>530</v>
      </c>
      <c r="M102" s="273">
        <v>43810</v>
      </c>
      <c r="N102" s="273">
        <v>45106</v>
      </c>
      <c r="O102" s="277">
        <v>45113</v>
      </c>
      <c r="P102" s="277" t="s">
        <v>5907</v>
      </c>
      <c r="Q102" s="277"/>
      <c r="R102" s="277">
        <v>45112</v>
      </c>
      <c r="S102" s="277"/>
      <c r="T102" s="277">
        <v>45107</v>
      </c>
      <c r="U102" s="277" t="s">
        <v>3</v>
      </c>
      <c r="V102" s="277" t="s">
        <v>3279</v>
      </c>
      <c r="W102" s="278">
        <v>8672</v>
      </c>
      <c r="X102" s="277" t="s">
        <v>5908</v>
      </c>
      <c r="Y102" s="277" t="s">
        <v>24</v>
      </c>
      <c r="Z102" s="277" t="s">
        <v>39</v>
      </c>
      <c r="AA102" s="279"/>
      <c r="AB102" s="124" t="s">
        <v>72</v>
      </c>
      <c r="AC102" s="124" t="s">
        <v>5703</v>
      </c>
      <c r="AD102" s="125"/>
      <c r="AE102" s="124"/>
      <c r="AF102" s="219">
        <v>45107.475641030091</v>
      </c>
      <c r="AG102" s="175" t="s">
        <v>24</v>
      </c>
      <c r="AH102" s="275">
        <v>6</v>
      </c>
      <c r="AI102" s="275" t="s">
        <v>5873</v>
      </c>
      <c r="AJ102" s="275" t="s">
        <v>5873</v>
      </c>
    </row>
    <row r="103" spans="1:36">
      <c r="A103" s="174">
        <f>COUNTA($J$5:J103)</f>
        <v>99</v>
      </c>
      <c r="B103" s="178" t="s">
        <v>5877</v>
      </c>
      <c r="C103" s="179" t="s">
        <v>3225</v>
      </c>
      <c r="D103" s="180" t="s">
        <v>41</v>
      </c>
      <c r="E103" s="180" t="s">
        <v>4665</v>
      </c>
      <c r="F103" s="180" t="s">
        <v>138</v>
      </c>
      <c r="G103" s="177">
        <v>45111</v>
      </c>
      <c r="H103" s="171">
        <v>42865</v>
      </c>
      <c r="I103" s="174" t="s">
        <v>34</v>
      </c>
      <c r="J103" s="171" t="s">
        <v>3020</v>
      </c>
      <c r="K103" s="171" t="s">
        <v>43</v>
      </c>
      <c r="L103" s="221">
        <v>600</v>
      </c>
      <c r="M103" s="171">
        <v>43230</v>
      </c>
      <c r="N103" s="171">
        <v>45111</v>
      </c>
      <c r="O103" s="226"/>
      <c r="P103" s="226"/>
      <c r="Q103" s="226"/>
      <c r="R103" s="226"/>
      <c r="S103" s="226"/>
      <c r="T103" s="226">
        <v>45113</v>
      </c>
      <c r="U103" s="226" t="s">
        <v>3</v>
      </c>
      <c r="V103" s="226" t="s">
        <v>5878</v>
      </c>
      <c r="W103" s="227"/>
      <c r="X103" s="226" t="s">
        <v>5909</v>
      </c>
      <c r="Y103" s="226" t="s">
        <v>1132</v>
      </c>
      <c r="Z103" s="226" t="s">
        <v>66</v>
      </c>
      <c r="AA103" s="228"/>
      <c r="AB103" s="124" t="s">
        <v>72</v>
      </c>
      <c r="AC103" s="124" t="s">
        <v>5704</v>
      </c>
      <c r="AD103" s="125"/>
      <c r="AE103" s="124"/>
      <c r="AF103" s="219">
        <v>45113.48630621528</v>
      </c>
      <c r="AG103" s="175" t="s">
        <v>1132</v>
      </c>
      <c r="AH103" s="275">
        <v>7</v>
      </c>
      <c r="AI103" s="275" t="s">
        <v>5873</v>
      </c>
      <c r="AJ103" s="275" t="s">
        <v>5873</v>
      </c>
    </row>
    <row r="104" spans="1:36">
      <c r="A104" s="174">
        <f>COUNTA($J$5:J104)</f>
        <v>100</v>
      </c>
      <c r="B104" s="178" t="s">
        <v>5880</v>
      </c>
      <c r="C104" s="179" t="s">
        <v>3225</v>
      </c>
      <c r="D104" s="180" t="s">
        <v>41</v>
      </c>
      <c r="E104" s="180" t="s">
        <v>4665</v>
      </c>
      <c r="F104" s="180" t="s">
        <v>138</v>
      </c>
      <c r="G104" s="177">
        <v>45111</v>
      </c>
      <c r="H104" s="171">
        <v>43466</v>
      </c>
      <c r="I104" s="174" t="s">
        <v>34</v>
      </c>
      <c r="J104" s="171" t="s">
        <v>4914</v>
      </c>
      <c r="K104" s="171" t="s">
        <v>43</v>
      </c>
      <c r="L104" s="221">
        <v>600</v>
      </c>
      <c r="M104" s="171">
        <v>43831</v>
      </c>
      <c r="N104" s="171">
        <v>45111</v>
      </c>
      <c r="O104" s="226"/>
      <c r="P104" s="226"/>
      <c r="Q104" s="226"/>
      <c r="R104" s="226"/>
      <c r="S104" s="226"/>
      <c r="T104" s="226">
        <v>45113</v>
      </c>
      <c r="U104" s="226" t="s">
        <v>3</v>
      </c>
      <c r="V104" s="226" t="s">
        <v>5881</v>
      </c>
      <c r="W104" s="227"/>
      <c r="X104" s="226" t="s">
        <v>5910</v>
      </c>
      <c r="Y104" s="226" t="s">
        <v>1114</v>
      </c>
      <c r="Z104" s="226" t="s">
        <v>66</v>
      </c>
      <c r="AA104" s="228"/>
      <c r="AB104" s="124" t="s">
        <v>72</v>
      </c>
      <c r="AC104" s="124"/>
      <c r="AD104" s="125"/>
      <c r="AE104" s="124"/>
      <c r="AF104" s="219">
        <v>45113.704851643517</v>
      </c>
      <c r="AG104" s="175" t="s">
        <v>1114</v>
      </c>
      <c r="AH104" s="275">
        <v>8</v>
      </c>
      <c r="AI104" s="275" t="s">
        <v>5873</v>
      </c>
      <c r="AJ104" s="275" t="s">
        <v>5873</v>
      </c>
    </row>
    <row r="105" spans="1:36">
      <c r="A105" s="174">
        <f>COUNTA($J$5:J105)</f>
        <v>101</v>
      </c>
      <c r="B105" s="178" t="s">
        <v>5882</v>
      </c>
      <c r="C105" s="179" t="s">
        <v>3225</v>
      </c>
      <c r="D105" s="180" t="s">
        <v>41</v>
      </c>
      <c r="E105" s="180" t="s">
        <v>4665</v>
      </c>
      <c r="F105" s="180" t="s">
        <v>138</v>
      </c>
      <c r="G105" s="177">
        <v>45111</v>
      </c>
      <c r="H105" s="171">
        <v>43466</v>
      </c>
      <c r="I105" s="174" t="s">
        <v>34</v>
      </c>
      <c r="J105" s="171" t="s">
        <v>5484</v>
      </c>
      <c r="K105" s="171" t="s">
        <v>43</v>
      </c>
      <c r="L105" s="221">
        <v>600</v>
      </c>
      <c r="M105" s="171">
        <v>44013</v>
      </c>
      <c r="N105" s="171">
        <v>45111</v>
      </c>
      <c r="O105" s="226"/>
      <c r="P105" s="226"/>
      <c r="Q105" s="226"/>
      <c r="R105" s="226"/>
      <c r="S105" s="226"/>
      <c r="T105" s="226">
        <v>45113</v>
      </c>
      <c r="U105" s="226" t="s">
        <v>3</v>
      </c>
      <c r="V105" s="226" t="s">
        <v>5883</v>
      </c>
      <c r="W105" s="227"/>
      <c r="X105" s="226" t="s">
        <v>5911</v>
      </c>
      <c r="Y105" s="226" t="s">
        <v>1132</v>
      </c>
      <c r="Z105" s="226" t="s">
        <v>66</v>
      </c>
      <c r="AA105" s="228"/>
      <c r="AB105" s="124" t="s">
        <v>72</v>
      </c>
      <c r="AC105" s="124"/>
      <c r="AD105" s="125"/>
      <c r="AE105" s="124"/>
      <c r="AF105" s="219">
        <v>45113.709156759258</v>
      </c>
      <c r="AG105" s="175" t="s">
        <v>1132</v>
      </c>
      <c r="AH105" s="275">
        <v>9</v>
      </c>
      <c r="AI105" s="275" t="s">
        <v>5873</v>
      </c>
      <c r="AJ105" s="275" t="s">
        <v>5873</v>
      </c>
    </row>
    <row r="106" spans="1:36">
      <c r="A106" s="174">
        <f>COUNTA($J$5:J106)</f>
        <v>102</v>
      </c>
      <c r="B106" s="178" t="s">
        <v>5884</v>
      </c>
      <c r="C106" s="179" t="s">
        <v>3225</v>
      </c>
      <c r="D106" s="180" t="s">
        <v>41</v>
      </c>
      <c r="E106" s="180" t="s">
        <v>4665</v>
      </c>
      <c r="F106" s="180" t="s">
        <v>138</v>
      </c>
      <c r="G106" s="177">
        <v>45111</v>
      </c>
      <c r="H106" s="171">
        <v>42508</v>
      </c>
      <c r="I106" s="174" t="s">
        <v>34</v>
      </c>
      <c r="J106" s="171" t="s">
        <v>5885</v>
      </c>
      <c r="K106" s="171" t="s">
        <v>43</v>
      </c>
      <c r="L106" s="221">
        <v>600</v>
      </c>
      <c r="M106" s="171"/>
      <c r="N106" s="171">
        <v>45111</v>
      </c>
      <c r="O106" s="226">
        <v>45113</v>
      </c>
      <c r="P106" s="226" t="s">
        <v>5912</v>
      </c>
      <c r="Q106" s="226"/>
      <c r="R106" s="226"/>
      <c r="S106" s="226"/>
      <c r="T106" s="226">
        <v>45113</v>
      </c>
      <c r="U106" s="226" t="s">
        <v>3</v>
      </c>
      <c r="V106" s="226" t="s">
        <v>5886</v>
      </c>
      <c r="W106" s="227"/>
      <c r="X106" s="226" t="s">
        <v>5913</v>
      </c>
      <c r="Y106" s="226" t="s">
        <v>37</v>
      </c>
      <c r="Z106" s="226" t="s">
        <v>1041</v>
      </c>
      <c r="AA106" s="228"/>
      <c r="AB106" s="124" t="s">
        <v>72</v>
      </c>
      <c r="AC106" s="124" t="s">
        <v>5703</v>
      </c>
      <c r="AD106" s="125"/>
      <c r="AE106" s="124"/>
      <c r="AF106" s="219">
        <v>45113.731648946756</v>
      </c>
      <c r="AG106" s="175" t="s">
        <v>58</v>
      </c>
      <c r="AH106" s="275">
        <v>10</v>
      </c>
      <c r="AI106" s="275" t="s">
        <v>5873</v>
      </c>
      <c r="AJ106" s="275" t="s">
        <v>5873</v>
      </c>
    </row>
    <row r="107" spans="1:36">
      <c r="A107" s="174">
        <f>COUNTA($J$5:J107)</f>
        <v>103</v>
      </c>
      <c r="B107" s="178" t="s">
        <v>5889</v>
      </c>
      <c r="C107" s="179" t="s">
        <v>3225</v>
      </c>
      <c r="D107" s="180" t="s">
        <v>41</v>
      </c>
      <c r="E107" s="180" t="s">
        <v>4665</v>
      </c>
      <c r="F107" s="180" t="s">
        <v>138</v>
      </c>
      <c r="G107" s="177">
        <v>45111</v>
      </c>
      <c r="H107" s="171">
        <v>42870</v>
      </c>
      <c r="I107" s="174" t="s">
        <v>38</v>
      </c>
      <c r="J107" s="171" t="s">
        <v>2757</v>
      </c>
      <c r="K107" s="171" t="s">
        <v>1055</v>
      </c>
      <c r="L107" s="221">
        <v>600</v>
      </c>
      <c r="M107" s="171">
        <v>43235</v>
      </c>
      <c r="N107" s="171">
        <v>45111</v>
      </c>
      <c r="O107" s="226">
        <v>45113</v>
      </c>
      <c r="P107" s="226" t="s">
        <v>5915</v>
      </c>
      <c r="Q107" s="226"/>
      <c r="R107" s="226">
        <v>45112</v>
      </c>
      <c r="S107" s="226"/>
      <c r="T107" s="226">
        <v>45111</v>
      </c>
      <c r="U107" s="226" t="s">
        <v>3</v>
      </c>
      <c r="V107" s="226" t="s">
        <v>5890</v>
      </c>
      <c r="W107" s="227">
        <v>5789</v>
      </c>
      <c r="X107" s="226" t="s">
        <v>5914</v>
      </c>
      <c r="Y107" s="226" t="s">
        <v>37</v>
      </c>
      <c r="Z107" s="226" t="s">
        <v>39</v>
      </c>
      <c r="AA107" s="228"/>
      <c r="AB107" s="124" t="s">
        <v>72</v>
      </c>
      <c r="AC107" s="124" t="s">
        <v>5703</v>
      </c>
      <c r="AD107" s="125"/>
      <c r="AE107" s="124"/>
      <c r="AF107" s="219">
        <v>45111.737029548611</v>
      </c>
      <c r="AG107" s="175" t="s">
        <v>58</v>
      </c>
      <c r="AH107" s="275">
        <v>11</v>
      </c>
      <c r="AI107" s="275" t="s">
        <v>5873</v>
      </c>
      <c r="AJ107" s="275" t="s">
        <v>5873</v>
      </c>
    </row>
    <row r="108" spans="1:36">
      <c r="A108" s="174">
        <f>COUNTA($J$5:J108)</f>
        <v>104</v>
      </c>
      <c r="B108" s="178" t="s">
        <v>5891</v>
      </c>
      <c r="C108" s="179" t="s">
        <v>3224</v>
      </c>
      <c r="D108" s="180" t="s">
        <v>4195</v>
      </c>
      <c r="E108" s="180" t="s">
        <v>4706</v>
      </c>
      <c r="F108" s="180" t="s">
        <v>26</v>
      </c>
      <c r="G108" s="177">
        <v>45111</v>
      </c>
      <c r="H108" s="171">
        <v>42141</v>
      </c>
      <c r="I108" s="174" t="s">
        <v>51</v>
      </c>
      <c r="J108" s="171" t="s">
        <v>5892</v>
      </c>
      <c r="K108" s="171" t="s">
        <v>5146</v>
      </c>
      <c r="L108" s="221">
        <v>530</v>
      </c>
      <c r="M108" s="171">
        <v>42506</v>
      </c>
      <c r="N108" s="171">
        <v>45111</v>
      </c>
      <c r="O108" s="226">
        <v>45113</v>
      </c>
      <c r="P108" s="226" t="s">
        <v>5916</v>
      </c>
      <c r="Q108" s="226"/>
      <c r="R108" s="226">
        <v>45112</v>
      </c>
      <c r="S108" s="226"/>
      <c r="T108" s="226">
        <v>45112</v>
      </c>
      <c r="U108" s="226" t="s">
        <v>3</v>
      </c>
      <c r="V108" s="226" t="s">
        <v>5893</v>
      </c>
      <c r="W108" s="227">
        <v>12431</v>
      </c>
      <c r="X108" s="226" t="s">
        <v>5917</v>
      </c>
      <c r="Y108" s="226" t="s">
        <v>22</v>
      </c>
      <c r="Z108" s="226" t="s">
        <v>39</v>
      </c>
      <c r="AA108" s="228"/>
      <c r="AB108" s="124" t="s">
        <v>72</v>
      </c>
      <c r="AC108" s="124" t="s">
        <v>5704</v>
      </c>
      <c r="AD108" s="125"/>
      <c r="AE108" s="124"/>
      <c r="AF108" s="219">
        <v>45112.667872662038</v>
      </c>
      <c r="AG108" s="175" t="s">
        <v>22</v>
      </c>
      <c r="AH108" s="275">
        <v>12</v>
      </c>
      <c r="AI108" s="275" t="s">
        <v>5873</v>
      </c>
      <c r="AJ108" s="275" t="s">
        <v>5873</v>
      </c>
    </row>
    <row r="109" spans="1:36">
      <c r="A109" s="174">
        <f>COUNTA($J$5:J109)</f>
        <v>105</v>
      </c>
      <c r="B109" s="178" t="s">
        <v>5894</v>
      </c>
      <c r="C109" s="179" t="s">
        <v>3225</v>
      </c>
      <c r="D109" s="180" t="s">
        <v>41</v>
      </c>
      <c r="E109" s="180" t="s">
        <v>4665</v>
      </c>
      <c r="F109" s="180" t="s">
        <v>138</v>
      </c>
      <c r="G109" s="177">
        <v>45112</v>
      </c>
      <c r="H109" s="171">
        <v>44533</v>
      </c>
      <c r="I109" s="174" t="s">
        <v>34</v>
      </c>
      <c r="J109" s="171" t="s">
        <v>5895</v>
      </c>
      <c r="K109" s="171" t="s">
        <v>43</v>
      </c>
      <c r="L109" s="221">
        <v>600</v>
      </c>
      <c r="M109" s="171">
        <v>44898</v>
      </c>
      <c r="N109" s="171">
        <v>45112</v>
      </c>
      <c r="O109" s="226"/>
      <c r="P109" s="226"/>
      <c r="Q109" s="226"/>
      <c r="R109" s="226"/>
      <c r="S109" s="226"/>
      <c r="T109" s="226"/>
      <c r="U109" s="226"/>
      <c r="V109" s="226"/>
      <c r="W109" s="227"/>
      <c r="X109" s="226"/>
      <c r="Y109" s="226" t="s">
        <v>37</v>
      </c>
      <c r="Z109" s="226" t="s">
        <v>1065</v>
      </c>
      <c r="AA109" s="228"/>
      <c r="AB109" s="124" t="s">
        <v>74</v>
      </c>
      <c r="AC109" s="124"/>
      <c r="AD109" s="125"/>
      <c r="AE109" s="124"/>
      <c r="AF109" s="219">
        <v>45112.548079629632</v>
      </c>
      <c r="AG109" s="175" t="s">
        <v>58</v>
      </c>
      <c r="AH109" s="275">
        <v>13</v>
      </c>
      <c r="AI109" s="275" t="s">
        <v>5873</v>
      </c>
      <c r="AJ109" s="275" t="s">
        <v>5873</v>
      </c>
    </row>
    <row r="110" spans="1:36">
      <c r="A110" s="174">
        <f>COUNTA($J$5:J110)</f>
        <v>106</v>
      </c>
      <c r="B110" s="178" t="s">
        <v>5896</v>
      </c>
      <c r="C110" s="179" t="s">
        <v>3224</v>
      </c>
      <c r="D110" s="180" t="s">
        <v>2353</v>
      </c>
      <c r="E110" s="180"/>
      <c r="F110" s="180" t="s">
        <v>138</v>
      </c>
      <c r="G110" s="177">
        <v>45112</v>
      </c>
      <c r="H110" s="171">
        <v>44477</v>
      </c>
      <c r="I110" s="174" t="s">
        <v>60</v>
      </c>
      <c r="J110" s="171" t="s">
        <v>2354</v>
      </c>
      <c r="K110" s="171" t="s">
        <v>1055</v>
      </c>
      <c r="L110" s="221">
        <v>760</v>
      </c>
      <c r="M110" s="171">
        <v>44842</v>
      </c>
      <c r="N110" s="171">
        <v>45112.683210937503</v>
      </c>
      <c r="O110" s="226"/>
      <c r="P110" s="226"/>
      <c r="Q110" s="226"/>
      <c r="R110" s="226"/>
      <c r="S110" s="226"/>
      <c r="T110" s="226"/>
      <c r="U110" s="226"/>
      <c r="V110" s="226"/>
      <c r="W110" s="227"/>
      <c r="X110" s="226"/>
      <c r="Y110" s="226" t="s">
        <v>57</v>
      </c>
      <c r="Z110" s="226" t="s">
        <v>1065</v>
      </c>
      <c r="AA110" s="228"/>
      <c r="AB110" s="124" t="s">
        <v>74</v>
      </c>
      <c r="AC110" s="124"/>
      <c r="AD110" s="125"/>
      <c r="AE110" s="124"/>
      <c r="AF110" s="219">
        <v>45112.683210937503</v>
      </c>
      <c r="AG110" s="175" t="s">
        <v>57</v>
      </c>
      <c r="AH110" s="275">
        <v>14</v>
      </c>
      <c r="AI110" s="275" t="s">
        <v>5873</v>
      </c>
      <c r="AJ110" s="275" t="s">
        <v>5873</v>
      </c>
    </row>
    <row r="111" spans="1:36">
      <c r="A111" s="174">
        <f>COUNTA($J$5:J111)</f>
        <v>107</v>
      </c>
      <c r="B111" s="178" t="s">
        <v>5897</v>
      </c>
      <c r="C111" s="179" t="s">
        <v>3225</v>
      </c>
      <c r="D111" s="180" t="s">
        <v>41</v>
      </c>
      <c r="E111" s="180" t="s">
        <v>4665</v>
      </c>
      <c r="F111" s="180" t="s">
        <v>138</v>
      </c>
      <c r="G111" s="177">
        <v>45113</v>
      </c>
      <c r="H111" s="171">
        <v>42508</v>
      </c>
      <c r="I111" s="174" t="s">
        <v>34</v>
      </c>
      <c r="J111" s="171" t="s">
        <v>4822</v>
      </c>
      <c r="K111" s="171" t="s">
        <v>43</v>
      </c>
      <c r="L111" s="221">
        <v>600</v>
      </c>
      <c r="M111" s="171">
        <v>42873</v>
      </c>
      <c r="N111" s="171">
        <v>45113.795479004628</v>
      </c>
      <c r="O111" s="226"/>
      <c r="P111" s="226"/>
      <c r="Q111" s="226"/>
      <c r="R111" s="226"/>
      <c r="S111" s="226"/>
      <c r="T111" s="226"/>
      <c r="U111" s="226" t="s">
        <v>3</v>
      </c>
      <c r="V111" s="226" t="s">
        <v>5898</v>
      </c>
      <c r="W111" s="227"/>
      <c r="X111" s="226"/>
      <c r="Y111" s="226" t="s">
        <v>58</v>
      </c>
      <c r="Z111" s="226" t="s">
        <v>1065</v>
      </c>
      <c r="AA111" s="228"/>
      <c r="AB111" s="124" t="s">
        <v>74</v>
      </c>
      <c r="AC111" s="124"/>
      <c r="AD111" s="125"/>
      <c r="AE111" s="124"/>
      <c r="AF111" s="219">
        <v>45113.795479004628</v>
      </c>
      <c r="AG111" s="175" t="s">
        <v>58</v>
      </c>
      <c r="AH111" s="275">
        <v>15</v>
      </c>
      <c r="AI111" s="275" t="s">
        <v>5873</v>
      </c>
      <c r="AJ111" s="275" t="s">
        <v>5873</v>
      </c>
    </row>
  </sheetData>
  <autoFilter ref="A4:AJ111" xr:uid="{00000000-0001-0000-0100-000000000000}"/>
  <dataConsolidate/>
  <mergeCells count="1">
    <mergeCell ref="AH3:AJ3"/>
  </mergeCells>
  <phoneticPr fontId="24"/>
  <conditionalFormatting sqref="J2">
    <cfRule type="duplicateValues" dxfId="106" priority="3786"/>
  </conditionalFormatting>
  <conditionalFormatting sqref="A2:AA2 O33:Z34 AA33:AA37 B16:AA16 A5:AA15 O17:AA32 B17:N37 B38:AA111 A16:A111">
    <cfRule type="expression" dxfId="105" priority="7376">
      <formula>IF(SEARCH("Received",$Z2),1,0)</formula>
    </cfRule>
    <cfRule type="expression" dxfId="104" priority="7377">
      <formula>IF(SEARCH("under inspection",$Z2),1,0)</formula>
    </cfRule>
    <cfRule type="expression" dxfId="103" priority="7378">
      <formula>IF(SEARCH("prepairing quotation",$Z2),1,0)</formula>
    </cfRule>
    <cfRule type="expression" dxfId="102" priority="7379">
      <formula>IF(SEARCH("waiting confirm",$Z2),1,0)</formula>
    </cfRule>
    <cfRule type="expression" dxfId="101" priority="7380">
      <formula>IF(SEARCH("waiting approved",$Z2),1,0)</formula>
    </cfRule>
    <cfRule type="expression" dxfId="100" priority="7381">
      <formula>IF(SEARCH("waiting for part",$Z2),1,0)</formula>
    </cfRule>
    <cfRule type="expression" dxfId="99" priority="7382">
      <formula>IF(SEARCH("under repair",$Z2),1,0)</formula>
    </cfRule>
    <cfRule type="expression" dxfId="98" priority="7383">
      <formula>IF(SEARCH("waiting for repair",$Z2),1,0)</formula>
    </cfRule>
    <cfRule type="expression" dxfId="97" priority="7384">
      <formula>IF(SEARCH("Completed repair",$Z2),1,0)</formula>
    </cfRule>
    <cfRule type="expression" dxfId="96" priority="7385">
      <formula>IF(SEARCH("Transfer to sale team",$Z2),1,0)</formula>
    </cfRule>
    <cfRule type="expression" dxfId="95" priority="7386">
      <formula>MOD($A2,2)</formula>
    </cfRule>
  </conditionalFormatting>
  <conditionalFormatting sqref="L1:L2">
    <cfRule type="expression" dxfId="94" priority="421">
      <formula>IF(SEARCH("Received",$Z1),1,0)</formula>
    </cfRule>
    <cfRule type="expression" dxfId="93" priority="422">
      <formula>IF(SEARCH("under inspection",$Z1),1,0)</formula>
    </cfRule>
    <cfRule type="expression" dxfId="92" priority="423">
      <formula>IF(SEARCH("prepairing quotation",$Z1),1,0)</formula>
    </cfRule>
    <cfRule type="expression" dxfId="91" priority="424">
      <formula>IF(SEARCH("waiting confirm",$Z1),1,0)</formula>
    </cfRule>
    <cfRule type="expression" dxfId="90" priority="425">
      <formula>IF(SEARCH("waiting approved",$Z1),1,0)</formula>
    </cfRule>
    <cfRule type="expression" dxfId="89" priority="426">
      <formula>IF(SEARCH("waiting for part",$Z1),1,0)</formula>
    </cfRule>
    <cfRule type="expression" dxfId="88" priority="427">
      <formula>IF(SEARCH("under repair",$Z1),1,0)</formula>
    </cfRule>
    <cfRule type="expression" dxfId="87" priority="428">
      <formula>IF(SEARCH("waiting for repair",$Z1),1,0)</formula>
    </cfRule>
    <cfRule type="expression" dxfId="86" priority="429">
      <formula>IF(SEARCH("Completed repair",$Z1),1,0)</formula>
    </cfRule>
    <cfRule type="expression" dxfId="85" priority="430">
      <formula>IF(SEARCH("Transfer to sale team",$Z1),1,0)</formula>
    </cfRule>
    <cfRule type="expression" dxfId="84" priority="431">
      <formula>MOD($A1,2)</formula>
    </cfRule>
  </conditionalFormatting>
  <conditionalFormatting sqref="J1:J1048576">
    <cfRule type="duplicateValues" dxfId="83" priority="129"/>
  </conditionalFormatting>
  <conditionalFormatting sqref="O35:Z35">
    <cfRule type="expression" dxfId="82" priority="95">
      <formula>IF(SEARCH("Received",$Z35),1,0)</formula>
    </cfRule>
    <cfRule type="expression" dxfId="81" priority="96">
      <formula>IF(SEARCH("under inspection",$Z35),1,0)</formula>
    </cfRule>
    <cfRule type="expression" dxfId="80" priority="97">
      <formula>IF(SEARCH("prepairing quotation",$Z35),1,0)</formula>
    </cfRule>
    <cfRule type="expression" dxfId="79" priority="98">
      <formula>IF(SEARCH("waiting confirm",$Z35),1,0)</formula>
    </cfRule>
    <cfRule type="expression" dxfId="78" priority="99">
      <formula>IF(SEARCH("waiting approved",$Z35),1,0)</formula>
    </cfRule>
    <cfRule type="expression" dxfId="77" priority="100">
      <formula>IF(SEARCH("waiting for part",$Z35),1,0)</formula>
    </cfRule>
    <cfRule type="expression" dxfId="76" priority="101">
      <formula>IF(SEARCH("under repair",$Z35),1,0)</formula>
    </cfRule>
    <cfRule type="expression" dxfId="75" priority="102">
      <formula>IF(SEARCH("waiting for repair",$Z35),1,0)</formula>
    </cfRule>
    <cfRule type="expression" dxfId="74" priority="103">
      <formula>IF(SEARCH("Completed repair",$Z35),1,0)</formula>
    </cfRule>
    <cfRule type="expression" dxfId="73" priority="104">
      <formula>IF(SEARCH("Transfer to sale team",$Z35),1,0)</formula>
    </cfRule>
    <cfRule type="expression" dxfId="72" priority="105">
      <formula>MOD($A35,2)</formula>
    </cfRule>
  </conditionalFormatting>
  <conditionalFormatting sqref="O36:Z37">
    <cfRule type="expression" dxfId="71" priority="73">
      <formula>IF(SEARCH("Received",$Z36),1,0)</formula>
    </cfRule>
    <cfRule type="expression" dxfId="70" priority="74">
      <formula>IF(SEARCH("under inspection",$Z36),1,0)</formula>
    </cfRule>
    <cfRule type="expression" dxfId="69" priority="75">
      <formula>IF(SEARCH("prepairing quotation",$Z36),1,0)</formula>
    </cfRule>
    <cfRule type="expression" dxfId="68" priority="76">
      <formula>IF(SEARCH("waiting confirm",$Z36),1,0)</formula>
    </cfRule>
    <cfRule type="expression" dxfId="67" priority="77">
      <formula>IF(SEARCH("waiting approved",$Z36),1,0)</formula>
    </cfRule>
    <cfRule type="expression" dxfId="66" priority="78">
      <formula>IF(SEARCH("waiting for part",$Z36),1,0)</formula>
    </cfRule>
    <cfRule type="expression" dxfId="65" priority="79">
      <formula>IF(SEARCH("under repair",$Z36),1,0)</formula>
    </cfRule>
    <cfRule type="expression" dxfId="64" priority="80">
      <formula>IF(SEARCH("waiting for repair",$Z36),1,0)</formula>
    </cfRule>
    <cfRule type="expression" dxfId="63" priority="81">
      <formula>IF(SEARCH("Completed repair",$Z36),1,0)</formula>
    </cfRule>
    <cfRule type="expression" dxfId="62" priority="82">
      <formula>IF(SEARCH("Transfer to sale team",$Z36),1,0)</formula>
    </cfRule>
    <cfRule type="expression" dxfId="61" priority="83">
      <formula>MOD($A36,2)</formula>
    </cfRule>
  </conditionalFormatting>
  <conditionalFormatting sqref="B1:B1048576">
    <cfRule type="duplicateValues" dxfId="60" priority="1"/>
  </conditionalFormatting>
  <conditionalFormatting sqref="J5:J111">
    <cfRule type="duplicateValues" dxfId="2" priority="21027"/>
  </conditionalFormatting>
  <conditionalFormatting sqref="J1:J111">
    <cfRule type="duplicateValues" dxfId="1" priority="21029"/>
  </conditionalFormatting>
  <conditionalFormatting sqref="B5:B111">
    <cfRule type="duplicateValues" dxfId="0" priority="21031"/>
  </conditionalFormatting>
  <hyperlinks>
    <hyperlink ref="X3" r:id="rId1" display="\\Ffvn-bdc-001\ffvn\Modality\Medical Service\Shared\Endo\Technical Report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scale="18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7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99" bestFit="1" customWidth="1"/>
    <col min="2" max="2" width="30.7109375" style="100" customWidth="1"/>
    <col min="3" max="3" width="22.28515625" style="100" bestFit="1" customWidth="1"/>
    <col min="4" max="4" width="10.28515625" style="99" customWidth="1"/>
    <col min="5" max="5" width="17.7109375" style="99" customWidth="1"/>
    <col min="6" max="6" width="23.28515625" style="101" customWidth="1"/>
    <col min="7" max="7" width="6" customWidth="1"/>
    <col min="8" max="8" width="5.42578125" customWidth="1"/>
    <col min="9" max="9" width="5.7109375" customWidth="1"/>
    <col min="10" max="10" width="4.28515625" style="27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98" t="s">
        <v>1050</v>
      </c>
      <c r="B1" s="100" t="s">
        <v>1312</v>
      </c>
      <c r="F1" s="101" t="s">
        <v>381</v>
      </c>
      <c r="K1" s="87" t="s">
        <v>1042</v>
      </c>
      <c r="R1" s="88">
        <f>COUNTIF(R12:R123,0)</f>
        <v>0</v>
      </c>
      <c r="S1" s="88" t="s">
        <v>1048</v>
      </c>
      <c r="T1" s="88"/>
    </row>
    <row r="2" spans="1:21">
      <c r="A2" s="99" t="s">
        <v>17</v>
      </c>
      <c r="B2" s="100" t="s">
        <v>7</v>
      </c>
      <c r="C2" s="100" t="s">
        <v>8</v>
      </c>
      <c r="D2" s="99" t="s">
        <v>80</v>
      </c>
      <c r="E2" s="99" t="s">
        <v>12</v>
      </c>
      <c r="F2" s="101" t="s">
        <v>119</v>
      </c>
      <c r="G2" t="s">
        <v>1</v>
      </c>
      <c r="J2" s="89" t="s">
        <v>1049</v>
      </c>
      <c r="K2" t="s">
        <v>1046</v>
      </c>
      <c r="L2" t="s">
        <v>1043</v>
      </c>
      <c r="M2" t="s">
        <v>1044</v>
      </c>
      <c r="N2" t="s">
        <v>315</v>
      </c>
      <c r="O2" t="s">
        <v>1</v>
      </c>
      <c r="P2" t="s">
        <v>379</v>
      </c>
      <c r="Q2" t="s">
        <v>380</v>
      </c>
      <c r="R2" t="s">
        <v>1045</v>
      </c>
      <c r="S2" t="s">
        <v>1047</v>
      </c>
      <c r="T2" t="s">
        <v>1051</v>
      </c>
      <c r="U2" t="s">
        <v>1062</v>
      </c>
    </row>
    <row r="3" spans="1:21">
      <c r="A3" s="112" t="s">
        <v>3224</v>
      </c>
      <c r="B3" s="100" t="e">
        <f>INDEX(mlist,MATCH($A3,mNo,0),MATCH(CheckPart!B$2,mTitle,0))</f>
        <v>#N/A</v>
      </c>
      <c r="C3" s="100" t="e">
        <f>INDEX(mlist,MATCH($A3,mNo,0),MATCH(CheckPart!C$2,mTitle,0))</f>
        <v>#N/A</v>
      </c>
      <c r="D3" s="100" t="e">
        <f>INDEX(mlist,MATCH($A3,mNo,0),MATCH(CheckPart!D$2,mTitle,0))</f>
        <v>#N/A</v>
      </c>
      <c r="E3" s="100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100"/>
      <c r="E4" s="100"/>
    </row>
    <row r="5" spans="1:21">
      <c r="D5" s="100"/>
      <c r="E5" s="100"/>
      <c r="F5" s="26"/>
    </row>
    <row r="6" spans="1:21">
      <c r="D6" s="26"/>
      <c r="E6" s="26"/>
      <c r="F6" s="26"/>
    </row>
    <row r="7" spans="1:21">
      <c r="D7" s="26"/>
      <c r="E7" s="26"/>
      <c r="F7" s="26"/>
    </row>
    <row r="8" spans="1:21">
      <c r="D8" s="100"/>
      <c r="E8" s="100"/>
    </row>
    <row r="9" spans="1:21">
      <c r="D9" s="100"/>
      <c r="E9" s="100"/>
    </row>
    <row r="10" spans="1:21">
      <c r="D10" s="100"/>
      <c r="E10" s="100"/>
    </row>
    <row r="11" spans="1:21">
      <c r="D11" s="100"/>
      <c r="E11" s="100"/>
    </row>
    <row r="12" spans="1:21">
      <c r="D12" s="100"/>
      <c r="E12" s="100"/>
      <c r="G12" s="99"/>
    </row>
    <row r="13" spans="1:21">
      <c r="D13" s="100"/>
      <c r="E13" s="100"/>
    </row>
    <row r="14" spans="1:21">
      <c r="D14" s="100"/>
      <c r="E14" s="100"/>
    </row>
    <row r="15" spans="1:21">
      <c r="A15" s="27"/>
      <c r="D15" s="100"/>
      <c r="E15" s="100"/>
    </row>
    <row r="16" spans="1:21">
      <c r="A16" s="27"/>
      <c r="D16" s="100"/>
      <c r="E16" s="100"/>
    </row>
    <row r="17" spans="1:5">
      <c r="A17" s="27"/>
      <c r="D17" s="100"/>
      <c r="E17" s="100"/>
    </row>
    <row r="18" spans="1:5">
      <c r="A18" s="27"/>
      <c r="D18" s="100"/>
      <c r="E18" s="100"/>
    </row>
    <row r="19" spans="1:5">
      <c r="A19" s="27"/>
      <c r="D19" s="100"/>
      <c r="E19" s="100"/>
    </row>
    <row r="20" spans="1:5">
      <c r="A20" s="27"/>
      <c r="D20" s="100"/>
      <c r="E20" s="100"/>
    </row>
    <row r="21" spans="1:5">
      <c r="A21" s="27"/>
      <c r="D21" s="100"/>
      <c r="E21" s="100"/>
    </row>
    <row r="22" spans="1:5">
      <c r="A22" s="27"/>
      <c r="D22" s="100"/>
      <c r="E22" s="100"/>
    </row>
    <row r="23" spans="1:5">
      <c r="D23" s="100"/>
      <c r="E23" s="100"/>
    </row>
    <row r="24" spans="1:5">
      <c r="D24" s="100"/>
      <c r="E24" s="100"/>
    </row>
    <row r="25" spans="1:5">
      <c r="D25" s="100"/>
      <c r="E25" s="100"/>
    </row>
    <row r="26" spans="1:5">
      <c r="D26" s="100"/>
      <c r="E26" s="100"/>
    </row>
    <row r="27" spans="1:5">
      <c r="D27" s="100"/>
      <c r="E27" s="100"/>
    </row>
    <row r="28" spans="1:5">
      <c r="D28" s="100"/>
      <c r="E28" s="100"/>
    </row>
    <row r="29" spans="1:5">
      <c r="D29" s="100"/>
      <c r="E29" s="100"/>
    </row>
    <row r="30" spans="1:5">
      <c r="D30" s="100"/>
      <c r="E30" s="100"/>
    </row>
    <row r="31" spans="1:5">
      <c r="A31" s="27"/>
      <c r="D31" s="100"/>
      <c r="E31" s="100"/>
    </row>
    <row r="32" spans="1:5">
      <c r="D32" s="100"/>
      <c r="E32" s="100"/>
    </row>
    <row r="33" spans="1:6">
      <c r="D33" s="100"/>
      <c r="E33" s="100"/>
    </row>
    <row r="34" spans="1:6">
      <c r="A34" s="27"/>
      <c r="D34" s="100"/>
      <c r="E34" s="100"/>
    </row>
    <row r="35" spans="1:6">
      <c r="A35" s="27"/>
      <c r="D35" s="100"/>
      <c r="E35" s="100"/>
    </row>
    <row r="36" spans="1:6">
      <c r="A36" s="27"/>
      <c r="D36" s="100"/>
      <c r="E36" s="100"/>
    </row>
    <row r="37" spans="1:6">
      <c r="A37" s="27"/>
      <c r="D37" s="100"/>
      <c r="E37" s="100"/>
    </row>
    <row r="38" spans="1:6">
      <c r="A38" s="27"/>
      <c r="D38" s="100"/>
      <c r="E38" s="100"/>
    </row>
    <row r="39" spans="1:6">
      <c r="A39" s="27"/>
      <c r="D39" s="100"/>
      <c r="E39" s="100"/>
    </row>
    <row r="40" spans="1:6">
      <c r="A40" s="27"/>
      <c r="D40" s="100"/>
      <c r="E40" s="100"/>
    </row>
    <row r="41" spans="1:6">
      <c r="A41" s="27"/>
      <c r="D41" s="100"/>
      <c r="E41" s="100"/>
    </row>
    <row r="42" spans="1:6">
      <c r="A42" s="27"/>
      <c r="B42"/>
      <c r="C42"/>
      <c r="D42" s="26"/>
      <c r="E42" s="26"/>
      <c r="F42" s="26"/>
    </row>
    <row r="43" spans="1:6">
      <c r="A43" s="27"/>
      <c r="B43"/>
      <c r="C43"/>
      <c r="D43" s="26"/>
      <c r="E43" s="26"/>
      <c r="F43" s="26"/>
    </row>
    <row r="44" spans="1:6">
      <c r="A44" s="27"/>
      <c r="B44"/>
      <c r="C44"/>
      <c r="D44" s="26"/>
      <c r="E44" s="26"/>
      <c r="F44" s="26"/>
    </row>
    <row r="45" spans="1:6">
      <c r="A45" s="27"/>
      <c r="B45"/>
      <c r="C45"/>
      <c r="D45" s="26"/>
      <c r="E45" s="26"/>
      <c r="F45" s="26"/>
    </row>
    <row r="46" spans="1:6">
      <c r="A46" s="27"/>
      <c r="B46"/>
      <c r="C46"/>
      <c r="D46" s="26"/>
      <c r="E46" s="26"/>
      <c r="F46" s="26"/>
    </row>
    <row r="47" spans="1:6">
      <c r="A47"/>
      <c r="B47"/>
      <c r="C47"/>
      <c r="D47"/>
      <c r="E47"/>
    </row>
    <row r="48" spans="1:6">
      <c r="D48" s="100"/>
      <c r="E48" s="100"/>
    </row>
    <row r="49" spans="1:6">
      <c r="D49" s="100"/>
      <c r="E49" s="100"/>
    </row>
    <row r="50" spans="1:6">
      <c r="D50" s="100"/>
      <c r="E50" s="100"/>
    </row>
    <row r="51" spans="1:6">
      <c r="D51" s="100"/>
      <c r="E51" s="100"/>
    </row>
    <row r="52" spans="1:6">
      <c r="D52" s="100"/>
      <c r="E52" s="100"/>
    </row>
    <row r="53" spans="1:6">
      <c r="A53" s="27"/>
      <c r="D53" s="100"/>
      <c r="E53" s="100"/>
    </row>
    <row r="54" spans="1:6">
      <c r="A54" s="27"/>
      <c r="D54" s="100"/>
      <c r="E54" s="100"/>
    </row>
    <row r="55" spans="1:6">
      <c r="A55" s="27"/>
      <c r="D55" s="100"/>
      <c r="E55" s="100"/>
    </row>
    <row r="56" spans="1:6">
      <c r="A56" s="27"/>
      <c r="D56" s="100"/>
      <c r="E56" s="100"/>
    </row>
    <row r="57" spans="1:6">
      <c r="A57" s="27"/>
      <c r="D57" s="100"/>
      <c r="E57" s="100"/>
    </row>
    <row r="58" spans="1:6">
      <c r="A58" s="27"/>
      <c r="D58" s="100"/>
      <c r="E58" s="100"/>
    </row>
    <row r="59" spans="1:6">
      <c r="A59" s="27"/>
      <c r="B59"/>
      <c r="C59"/>
      <c r="D59" s="26"/>
      <c r="E59" s="26"/>
      <c r="F59" s="26"/>
    </row>
    <row r="60" spans="1:6">
      <c r="A60" s="27"/>
      <c r="B60"/>
      <c r="C60"/>
      <c r="D60" s="26"/>
      <c r="E60" s="26"/>
      <c r="F60" s="26"/>
    </row>
    <row r="61" spans="1:6">
      <c r="A61" s="27"/>
      <c r="B61"/>
      <c r="C61"/>
      <c r="D61" s="26"/>
      <c r="E61" s="26"/>
      <c r="F61" s="26"/>
    </row>
    <row r="62" spans="1:6">
      <c r="A62" s="27"/>
      <c r="B62"/>
      <c r="C62"/>
      <c r="D62" s="26"/>
      <c r="E62" s="26"/>
      <c r="F62" s="26"/>
    </row>
    <row r="63" spans="1:6">
      <c r="A63" s="27"/>
      <c r="B63"/>
      <c r="C63"/>
      <c r="D63" s="26"/>
      <c r="E63" s="26"/>
      <c r="F63" s="26"/>
    </row>
    <row r="64" spans="1:6">
      <c r="A64" s="27"/>
      <c r="B64"/>
      <c r="C64"/>
      <c r="D64" s="26"/>
      <c r="E64" s="26"/>
      <c r="F64" s="26"/>
    </row>
    <row r="65" spans="1:6">
      <c r="A65" s="27"/>
      <c r="B65"/>
      <c r="C65"/>
      <c r="D65" s="26"/>
      <c r="E65" s="26"/>
      <c r="F65" s="26"/>
    </row>
    <row r="66" spans="1:6">
      <c r="A66" s="27"/>
      <c r="B66"/>
      <c r="C66"/>
      <c r="D66" s="26"/>
      <c r="E66" s="26"/>
      <c r="F66" s="26"/>
    </row>
    <row r="67" spans="1:6">
      <c r="A67" s="27"/>
      <c r="B67"/>
      <c r="C67"/>
      <c r="D67" s="26"/>
      <c r="E67" s="26"/>
      <c r="F67" s="26"/>
    </row>
    <row r="68" spans="1:6">
      <c r="A68" s="27"/>
      <c r="B68"/>
      <c r="C68"/>
      <c r="D68" s="26"/>
      <c r="E68" s="26"/>
      <c r="F68" s="26"/>
    </row>
    <row r="69" spans="1:6">
      <c r="A69" s="27"/>
      <c r="B69"/>
      <c r="C69"/>
      <c r="D69" s="26"/>
      <c r="E69" s="26"/>
      <c r="F69" s="26"/>
    </row>
    <row r="70" spans="1:6">
      <c r="A70" s="27"/>
      <c r="B70"/>
      <c r="C70"/>
      <c r="D70" s="26"/>
      <c r="E70" s="26"/>
      <c r="F70" s="26"/>
    </row>
    <row r="71" spans="1:6">
      <c r="A71" s="27"/>
      <c r="B71"/>
      <c r="C71"/>
      <c r="D71" s="26"/>
      <c r="E71" s="26"/>
      <c r="F71" s="26"/>
    </row>
    <row r="72" spans="1:6">
      <c r="A72" s="27"/>
      <c r="B72"/>
      <c r="C72"/>
      <c r="D72" s="26"/>
      <c r="E72" s="26"/>
      <c r="F72" s="26"/>
    </row>
    <row r="73" spans="1:6">
      <c r="A73" s="27"/>
      <c r="B73"/>
      <c r="C73"/>
      <c r="D73" s="26"/>
      <c r="E73" s="26"/>
      <c r="F73" s="26"/>
    </row>
    <row r="74" spans="1:6">
      <c r="A74" s="27"/>
      <c r="B74"/>
      <c r="C74"/>
      <c r="D74" s="26"/>
      <c r="E74" s="26"/>
      <c r="F74" s="26"/>
    </row>
    <row r="75" spans="1:6">
      <c r="A75" s="27"/>
      <c r="B75"/>
      <c r="C75"/>
      <c r="D75" s="26"/>
      <c r="E75" s="26"/>
      <c r="F75" s="26"/>
    </row>
    <row r="76" spans="1:6">
      <c r="A76" s="27"/>
      <c r="B76"/>
      <c r="C76"/>
      <c r="D76" s="26"/>
      <c r="E76" s="26"/>
      <c r="F76" s="26"/>
    </row>
    <row r="77" spans="1:6">
      <c r="A77" s="27"/>
      <c r="B77"/>
      <c r="C77"/>
      <c r="D77" s="26"/>
      <c r="E77" s="26"/>
      <c r="F77" s="26"/>
    </row>
    <row r="78" spans="1:6">
      <c r="A78" s="27"/>
      <c r="B78"/>
      <c r="C78"/>
      <c r="D78" s="26"/>
      <c r="E78" s="26"/>
      <c r="F78" s="26"/>
    </row>
    <row r="79" spans="1:6">
      <c r="A79" s="27"/>
      <c r="B79"/>
      <c r="C79"/>
      <c r="D79" s="26"/>
      <c r="E79" s="26"/>
      <c r="F79" s="26"/>
    </row>
    <row r="80" spans="1:6">
      <c r="A80" s="27"/>
      <c r="B80"/>
      <c r="C80"/>
      <c r="D80" s="26"/>
      <c r="E80" s="26"/>
      <c r="F80" s="26"/>
    </row>
    <row r="81" spans="1:6">
      <c r="A81" s="27"/>
      <c r="B81"/>
      <c r="C81"/>
      <c r="D81" s="26"/>
      <c r="E81" s="26"/>
      <c r="F81" s="26"/>
    </row>
    <row r="82" spans="1:6">
      <c r="A82" s="27"/>
      <c r="B82"/>
      <c r="C82"/>
      <c r="D82" s="26"/>
      <c r="E82" s="26"/>
      <c r="F82" s="26"/>
    </row>
    <row r="83" spans="1:6">
      <c r="A83" s="27"/>
      <c r="B83"/>
      <c r="C83"/>
      <c r="D83" s="26"/>
      <c r="E83" s="26"/>
      <c r="F83" s="26"/>
    </row>
    <row r="84" spans="1:6">
      <c r="A84" s="27"/>
      <c r="B84"/>
      <c r="C84"/>
      <c r="D84" s="26"/>
      <c r="E84" s="26"/>
      <c r="F84" s="26"/>
    </row>
    <row r="85" spans="1:6">
      <c r="A85" s="27"/>
      <c r="B85"/>
      <c r="C85"/>
      <c r="D85" s="26"/>
      <c r="E85" s="26"/>
      <c r="F85" s="26"/>
    </row>
    <row r="86" spans="1:6">
      <c r="A86" s="27"/>
      <c r="B86"/>
      <c r="C86"/>
      <c r="D86" s="26"/>
      <c r="E86" s="26"/>
      <c r="F86" s="26"/>
    </row>
    <row r="87" spans="1:6">
      <c r="A87" s="27"/>
      <c r="B87"/>
      <c r="C87"/>
      <c r="D87" s="26"/>
      <c r="E87" s="26"/>
      <c r="F87" s="26"/>
    </row>
    <row r="88" spans="1:6">
      <c r="A88" s="27"/>
      <c r="B88"/>
      <c r="C88"/>
      <c r="D88" s="26"/>
      <c r="E88" s="26"/>
      <c r="F88" s="26"/>
    </row>
    <row r="89" spans="1:6">
      <c r="A89" s="27"/>
      <c r="B89"/>
      <c r="C89"/>
      <c r="D89" s="26"/>
      <c r="E89" s="26"/>
      <c r="F89" s="26"/>
    </row>
    <row r="90" spans="1:6">
      <c r="A90" s="27"/>
      <c r="B90"/>
      <c r="C90"/>
      <c r="D90" s="26"/>
      <c r="E90" s="26"/>
      <c r="F90" s="26"/>
    </row>
    <row r="91" spans="1:6">
      <c r="A91" s="27"/>
      <c r="B91"/>
      <c r="C91"/>
      <c r="D91" s="26"/>
      <c r="E91" s="26"/>
      <c r="F91" s="26"/>
    </row>
    <row r="92" spans="1:6">
      <c r="A92" s="27"/>
      <c r="B92"/>
      <c r="C92"/>
      <c r="D92" s="26"/>
      <c r="E92" s="26"/>
      <c r="F92" s="26"/>
    </row>
    <row r="93" spans="1:6">
      <c r="A93" s="27"/>
      <c r="B93"/>
      <c r="C93"/>
      <c r="D93" s="26"/>
      <c r="E93" s="26"/>
      <c r="F93" s="26"/>
    </row>
    <row r="94" spans="1:6">
      <c r="A94" s="27"/>
      <c r="B94"/>
      <c r="C94"/>
      <c r="D94" s="26"/>
      <c r="E94" s="26"/>
      <c r="F94" s="26"/>
    </row>
    <row r="95" spans="1:6">
      <c r="A95" s="27"/>
      <c r="B95"/>
      <c r="C95"/>
      <c r="D95" s="26"/>
      <c r="E95" s="26"/>
      <c r="F95" s="26"/>
    </row>
    <row r="96" spans="1:6">
      <c r="A96" s="27"/>
      <c r="B96"/>
      <c r="C96"/>
      <c r="D96" s="26"/>
      <c r="E96" s="26"/>
      <c r="F96" s="26"/>
    </row>
    <row r="97" spans="1:6">
      <c r="A97" s="27"/>
      <c r="B97"/>
      <c r="C97"/>
      <c r="D97" s="26"/>
      <c r="E97" s="26"/>
      <c r="F97" s="26"/>
    </row>
    <row r="98" spans="1:6">
      <c r="A98" s="27"/>
      <c r="B98"/>
      <c r="C98"/>
      <c r="D98" s="26"/>
      <c r="E98" s="26"/>
      <c r="F98" s="26"/>
    </row>
    <row r="99" spans="1:6">
      <c r="A99" s="27"/>
      <c r="B99"/>
      <c r="C99"/>
      <c r="D99" s="26"/>
      <c r="E99" s="26"/>
      <c r="F99" s="26"/>
    </row>
    <row r="100" spans="1:6">
      <c r="A100" s="27"/>
      <c r="B100"/>
      <c r="C100"/>
      <c r="D100" s="26"/>
      <c r="E100" s="26"/>
      <c r="F100" s="26"/>
    </row>
    <row r="101" spans="1:6">
      <c r="A101" s="27"/>
      <c r="B101"/>
      <c r="C101"/>
      <c r="D101" s="26"/>
      <c r="E101" s="26"/>
      <c r="F101" s="26"/>
    </row>
    <row r="102" spans="1:6">
      <c r="A102" s="27"/>
      <c r="B102"/>
      <c r="C102"/>
      <c r="D102" s="26"/>
      <c r="E102" s="26"/>
      <c r="F102" s="26"/>
    </row>
    <row r="103" spans="1:6">
      <c r="A103" s="27"/>
      <c r="B103"/>
      <c r="C103"/>
      <c r="D103" s="26"/>
      <c r="E103" s="26"/>
      <c r="F103" s="26"/>
    </row>
    <row r="104" spans="1:6">
      <c r="A104" s="27"/>
      <c r="B104"/>
      <c r="C104"/>
      <c r="D104" s="26"/>
      <c r="E104" s="26"/>
      <c r="F104" s="26"/>
    </row>
    <row r="105" spans="1:6">
      <c r="A105" s="27"/>
      <c r="B105"/>
      <c r="C105"/>
      <c r="D105" s="26"/>
      <c r="E105" s="26"/>
      <c r="F105" s="26"/>
    </row>
    <row r="106" spans="1:6">
      <c r="A106" s="27"/>
      <c r="B106"/>
      <c r="C106"/>
      <c r="D106" s="26"/>
      <c r="E106" s="26"/>
      <c r="F106" s="26"/>
    </row>
    <row r="107" spans="1:6">
      <c r="A107" s="27"/>
      <c r="B107"/>
      <c r="C107"/>
      <c r="D107" s="26"/>
      <c r="E107" s="26"/>
      <c r="F107" s="26"/>
    </row>
    <row r="108" spans="1:6">
      <c r="A108" s="27"/>
      <c r="B108"/>
      <c r="C108"/>
      <c r="D108" s="26"/>
      <c r="E108" s="26"/>
      <c r="F108" s="26"/>
    </row>
    <row r="109" spans="1:6">
      <c r="A109" s="27"/>
      <c r="B109"/>
      <c r="C109"/>
      <c r="D109" s="26"/>
      <c r="E109" s="26"/>
      <c r="F109" s="26"/>
    </row>
    <row r="110" spans="1:6">
      <c r="A110" s="27"/>
      <c r="B110"/>
      <c r="C110"/>
      <c r="D110" s="26"/>
      <c r="E110" s="26"/>
      <c r="F110" s="26"/>
    </row>
    <row r="111" spans="1:6">
      <c r="A111" s="27"/>
      <c r="B111"/>
      <c r="C111"/>
      <c r="D111" s="26"/>
      <c r="E111" s="26"/>
      <c r="F111" s="26"/>
    </row>
    <row r="112" spans="1:6">
      <c r="A112" s="27"/>
      <c r="B112"/>
      <c r="C112"/>
      <c r="D112" s="26"/>
      <c r="E112" s="26"/>
      <c r="F112" s="26"/>
    </row>
    <row r="113" spans="1:6">
      <c r="A113" s="27"/>
      <c r="B113"/>
      <c r="C113"/>
      <c r="D113" s="26"/>
      <c r="E113" s="26"/>
      <c r="F113" s="26"/>
    </row>
    <row r="114" spans="1:6">
      <c r="A114" s="27"/>
      <c r="B114"/>
      <c r="C114"/>
      <c r="D114" s="26"/>
      <c r="E114" s="26"/>
      <c r="F114" s="26"/>
    </row>
    <row r="115" spans="1:6">
      <c r="A115" s="27"/>
      <c r="B115"/>
      <c r="C115"/>
      <c r="D115" s="26"/>
      <c r="E115" s="26"/>
      <c r="F115" s="26"/>
    </row>
    <row r="116" spans="1:6">
      <c r="A116" s="27"/>
      <c r="B116"/>
      <c r="C116"/>
      <c r="D116" s="26"/>
      <c r="E116" s="26"/>
      <c r="F116" s="26"/>
    </row>
    <row r="117" spans="1:6">
      <c r="A117" s="27"/>
      <c r="B117"/>
      <c r="C117"/>
      <c r="D117" s="26"/>
      <c r="E117" s="26"/>
      <c r="F117" s="26"/>
    </row>
    <row r="118" spans="1:6">
      <c r="A118" s="27"/>
      <c r="B118"/>
      <c r="C118"/>
      <c r="D118" s="26"/>
      <c r="E118" s="26"/>
      <c r="F118" s="26"/>
    </row>
    <row r="119" spans="1:6">
      <c r="A119" s="27"/>
      <c r="B119"/>
      <c r="C119"/>
      <c r="D119" s="26"/>
      <c r="E119" s="26"/>
      <c r="F119" s="26"/>
    </row>
    <row r="120" spans="1:6">
      <c r="A120"/>
      <c r="B120"/>
      <c r="C120"/>
      <c r="D120"/>
      <c r="E120"/>
      <c r="F120" s="26"/>
    </row>
    <row r="121" spans="1:6">
      <c r="D121" s="100"/>
      <c r="E121" s="100"/>
      <c r="F121" s="26"/>
    </row>
    <row r="122" spans="1:6">
      <c r="D122" s="100"/>
      <c r="E122" s="100"/>
      <c r="F122" s="26"/>
    </row>
    <row r="123" spans="1:6">
      <c r="D123" s="100"/>
      <c r="E123" s="100"/>
      <c r="F123" s="26"/>
    </row>
    <row r="124" spans="1:6">
      <c r="D124" s="100"/>
      <c r="E124" s="100"/>
      <c r="F124" s="26"/>
    </row>
    <row r="125" spans="1:6">
      <c r="D125" s="100"/>
      <c r="E125" s="100"/>
      <c r="F125" s="26"/>
    </row>
    <row r="126" spans="1:6">
      <c r="D126" s="100"/>
      <c r="E126" s="100"/>
      <c r="F126" s="26"/>
    </row>
    <row r="127" spans="1:6">
      <c r="D127" s="100"/>
      <c r="E127" s="100"/>
      <c r="F127" s="26"/>
    </row>
    <row r="128" spans="1:6">
      <c r="D128" s="100"/>
      <c r="E128" s="100"/>
      <c r="F128" s="26"/>
    </row>
    <row r="129" spans="1:6">
      <c r="D129" s="100"/>
      <c r="E129" s="100"/>
      <c r="F129" s="26"/>
    </row>
    <row r="130" spans="1:6">
      <c r="D130" s="100"/>
      <c r="E130" s="100"/>
      <c r="F130" s="26"/>
    </row>
    <row r="131" spans="1:6">
      <c r="D131" s="100"/>
      <c r="E131" s="100"/>
      <c r="F131" s="26"/>
    </row>
    <row r="132" spans="1:6">
      <c r="D132" s="100"/>
      <c r="E132" s="100"/>
      <c r="F132" s="26"/>
    </row>
    <row r="133" spans="1:6">
      <c r="D133" s="26"/>
      <c r="E133" s="26"/>
      <c r="F133" s="26"/>
    </row>
    <row r="134" spans="1:6">
      <c r="A134" s="27"/>
      <c r="B134"/>
      <c r="C134"/>
      <c r="D134" s="26"/>
      <c r="E134" s="26"/>
      <c r="F134" s="26"/>
    </row>
    <row r="135" spans="1:6">
      <c r="A135" s="27"/>
      <c r="B135"/>
      <c r="C135"/>
      <c r="D135" s="26"/>
      <c r="E135" s="26"/>
      <c r="F135" s="26"/>
    </row>
    <row r="136" spans="1:6">
      <c r="A136" s="27"/>
      <c r="B136"/>
      <c r="C136"/>
      <c r="D136" s="26"/>
      <c r="E136" s="26"/>
      <c r="F136" s="26"/>
    </row>
    <row r="137" spans="1:6">
      <c r="A137" s="27"/>
      <c r="B137"/>
      <c r="C137"/>
      <c r="D137" s="26"/>
      <c r="E137" s="26"/>
      <c r="F137" s="26"/>
    </row>
    <row r="138" spans="1:6">
      <c r="A138" s="27"/>
      <c r="B138"/>
      <c r="C138"/>
      <c r="D138" s="26"/>
      <c r="E138" s="26"/>
      <c r="F138" s="26"/>
    </row>
    <row r="139" spans="1:6">
      <c r="A139" s="27"/>
      <c r="B139"/>
      <c r="C139"/>
      <c r="D139" s="26"/>
      <c r="E139" s="26"/>
      <c r="F139" s="26"/>
    </row>
    <row r="140" spans="1:6">
      <c r="A140" s="27"/>
      <c r="B140"/>
      <c r="C140"/>
      <c r="D140" s="26"/>
      <c r="E140" s="26"/>
      <c r="F140" s="26"/>
    </row>
    <row r="141" spans="1:6">
      <c r="A141" s="27"/>
      <c r="B141"/>
      <c r="C141"/>
      <c r="D141" s="26"/>
      <c r="E141" s="26"/>
      <c r="F141" s="26"/>
    </row>
    <row r="142" spans="1:6">
      <c r="A142" s="27"/>
      <c r="B142"/>
      <c r="C142"/>
      <c r="D142" s="26"/>
      <c r="E142" s="26"/>
      <c r="F142" s="26"/>
    </row>
    <row r="143" spans="1:6">
      <c r="A143" s="27"/>
      <c r="B143"/>
      <c r="C143"/>
      <c r="D143" s="26"/>
      <c r="E143" s="26"/>
      <c r="F143" s="26"/>
    </row>
    <row r="144" spans="1:6">
      <c r="A144" s="27"/>
      <c r="B144"/>
      <c r="C144"/>
      <c r="D144" s="26"/>
      <c r="E144" s="26"/>
      <c r="F144" s="26"/>
    </row>
    <row r="145" spans="1:6">
      <c r="A145" s="27"/>
      <c r="B145"/>
      <c r="C145"/>
      <c r="D145" s="26"/>
      <c r="E145" s="26"/>
      <c r="F145" s="26"/>
    </row>
    <row r="146" spans="1:6">
      <c r="A146" s="27"/>
      <c r="B146"/>
      <c r="C146"/>
      <c r="D146" s="26"/>
      <c r="E146" s="26"/>
      <c r="F146" s="26"/>
    </row>
    <row r="147" spans="1:6">
      <c r="A147" s="27"/>
      <c r="B147"/>
      <c r="C147"/>
      <c r="D147" s="26"/>
      <c r="E147" s="26"/>
      <c r="F147" s="26"/>
    </row>
    <row r="148" spans="1:6">
      <c r="A148" s="27"/>
      <c r="B148"/>
      <c r="C148"/>
      <c r="D148" s="26"/>
      <c r="E148" s="26"/>
      <c r="F148" s="26"/>
    </row>
    <row r="149" spans="1:6">
      <c r="A149" s="27"/>
      <c r="B149"/>
      <c r="C149"/>
      <c r="D149" s="26"/>
      <c r="E149" s="26"/>
      <c r="F149" s="26"/>
    </row>
    <row r="150" spans="1:6">
      <c r="A150" s="27"/>
      <c r="B150"/>
      <c r="C150"/>
      <c r="D150" s="26"/>
      <c r="E150" s="26"/>
      <c r="F150" s="26"/>
    </row>
    <row r="151" spans="1:6">
      <c r="A151" s="27"/>
      <c r="B151"/>
      <c r="C151"/>
      <c r="D151" s="26"/>
      <c r="E151" s="26"/>
      <c r="F151" s="26"/>
    </row>
    <row r="152" spans="1:6">
      <c r="A152" s="27"/>
      <c r="B152"/>
      <c r="C152"/>
      <c r="D152" s="26"/>
      <c r="E152" s="26"/>
      <c r="F152" s="26"/>
    </row>
    <row r="153" spans="1:6">
      <c r="A153" s="27"/>
      <c r="B153"/>
      <c r="C153"/>
      <c r="D153" s="26"/>
      <c r="E153" s="26"/>
      <c r="F153" s="26"/>
    </row>
    <row r="154" spans="1:6">
      <c r="A154" s="27"/>
      <c r="B154"/>
      <c r="C154"/>
      <c r="D154" s="26"/>
      <c r="E154" s="26"/>
      <c r="F154" s="26"/>
    </row>
    <row r="155" spans="1:6">
      <c r="A155" s="27"/>
      <c r="B155"/>
      <c r="C155"/>
      <c r="D155" s="26"/>
      <c r="E155" s="26"/>
      <c r="F155" s="26"/>
    </row>
    <row r="156" spans="1:6">
      <c r="A156" s="27"/>
      <c r="B156"/>
      <c r="C156"/>
      <c r="D156" s="26"/>
      <c r="E156" s="26"/>
      <c r="F156" s="26"/>
    </row>
    <row r="157" spans="1:6">
      <c r="A157" s="27"/>
      <c r="B157"/>
      <c r="C157"/>
      <c r="D157" s="26"/>
      <c r="E157" s="26"/>
      <c r="F157" s="26"/>
    </row>
    <row r="158" spans="1:6">
      <c r="A158" s="27"/>
      <c r="B158"/>
      <c r="C158"/>
      <c r="D158" s="26"/>
      <c r="E158" s="26"/>
      <c r="F158" s="26"/>
    </row>
    <row r="159" spans="1:6">
      <c r="A159" s="27"/>
      <c r="B159"/>
      <c r="C159"/>
      <c r="D159" s="26"/>
      <c r="E159" s="26"/>
      <c r="F159" s="26"/>
    </row>
    <row r="160" spans="1:6">
      <c r="A160" s="27"/>
      <c r="B160"/>
      <c r="C160"/>
      <c r="D160" s="26"/>
      <c r="E160" s="26"/>
      <c r="F160" s="26"/>
    </row>
    <row r="161" spans="1:6">
      <c r="A161" s="27"/>
      <c r="B161"/>
      <c r="C161"/>
      <c r="D161" s="26"/>
      <c r="E161" s="26"/>
      <c r="F161" s="26"/>
    </row>
    <row r="162" spans="1:6">
      <c r="A162" s="27"/>
      <c r="B162"/>
      <c r="C162"/>
      <c r="D162" s="26"/>
      <c r="E162" s="26"/>
      <c r="F162" s="26"/>
    </row>
    <row r="163" spans="1:6">
      <c r="A163" s="27"/>
      <c r="B163"/>
      <c r="C163"/>
      <c r="D163" s="26"/>
      <c r="E163" s="26"/>
      <c r="F163" s="26"/>
    </row>
    <row r="164" spans="1:6">
      <c r="A164" s="27"/>
      <c r="B164"/>
      <c r="C164"/>
      <c r="D164" s="26"/>
      <c r="E164" s="26"/>
      <c r="F164" s="26"/>
    </row>
    <row r="165" spans="1:6">
      <c r="A165" s="27"/>
      <c r="B165"/>
      <c r="C165"/>
      <c r="D165" s="26"/>
      <c r="E165" s="26"/>
      <c r="F165" s="26"/>
    </row>
    <row r="166" spans="1:6">
      <c r="A166" s="27"/>
      <c r="B166"/>
      <c r="C166"/>
      <c r="D166" s="26"/>
      <c r="E166" s="26"/>
      <c r="F166" s="26"/>
    </row>
    <row r="167" spans="1:6">
      <c r="A167" s="27"/>
      <c r="B167"/>
      <c r="C167"/>
      <c r="D167" s="26"/>
      <c r="E167" s="26"/>
      <c r="F167" s="26"/>
    </row>
    <row r="168" spans="1:6">
      <c r="A168" s="27"/>
      <c r="B168"/>
      <c r="C168"/>
      <c r="D168" s="26"/>
      <c r="E168" s="26"/>
      <c r="F168" s="26"/>
    </row>
    <row r="169" spans="1:6">
      <c r="A169" s="27"/>
      <c r="B169"/>
      <c r="C169"/>
      <c r="D169" s="26"/>
      <c r="E169" s="26"/>
      <c r="F169" s="26"/>
    </row>
    <row r="170" spans="1:6">
      <c r="A170" s="27"/>
      <c r="B170"/>
      <c r="C170"/>
      <c r="D170" s="26"/>
      <c r="E170" s="26"/>
      <c r="F170" s="26"/>
    </row>
    <row r="171" spans="1:6">
      <c r="A171" s="27"/>
      <c r="B171"/>
      <c r="C171"/>
      <c r="D171" s="26"/>
      <c r="E171" s="26"/>
      <c r="F171" s="26"/>
    </row>
    <row r="172" spans="1:6">
      <c r="A172" s="27"/>
      <c r="B172"/>
      <c r="C172"/>
      <c r="D172" s="26"/>
      <c r="E172" s="26"/>
      <c r="F172" s="26"/>
    </row>
    <row r="173" spans="1:6">
      <c r="A173" s="27"/>
      <c r="B173"/>
      <c r="C173"/>
      <c r="D173" s="26"/>
      <c r="E173" s="26"/>
      <c r="F173" s="26"/>
    </row>
    <row r="174" spans="1:6">
      <c r="A174" s="27"/>
      <c r="B174"/>
      <c r="C174"/>
      <c r="D174" s="26"/>
      <c r="E174" s="26"/>
      <c r="F174" s="26"/>
    </row>
    <row r="175" spans="1:6">
      <c r="A175" s="27"/>
      <c r="B175"/>
      <c r="C175"/>
      <c r="D175" s="26"/>
      <c r="E175" s="26"/>
      <c r="F175" s="26"/>
    </row>
    <row r="176" spans="1:6">
      <c r="A176" s="27"/>
      <c r="B176"/>
      <c r="C176"/>
      <c r="D176" s="26"/>
      <c r="E176" s="26"/>
      <c r="F176" s="26"/>
    </row>
    <row r="177" spans="1:6">
      <c r="A177" s="27"/>
      <c r="B177"/>
      <c r="C177"/>
      <c r="D177" s="26"/>
      <c r="E177" s="26"/>
      <c r="F177" s="26"/>
    </row>
    <row r="178" spans="1:6">
      <c r="A178" s="27"/>
      <c r="B178"/>
      <c r="C178"/>
      <c r="D178" s="26"/>
      <c r="E178" s="26"/>
      <c r="F178" s="26"/>
    </row>
    <row r="179" spans="1:6">
      <c r="A179" s="27"/>
      <c r="B179"/>
      <c r="C179"/>
      <c r="D179" s="26"/>
      <c r="E179" s="26"/>
      <c r="F179" s="26"/>
    </row>
    <row r="180" spans="1:6">
      <c r="A180" s="27"/>
      <c r="B180"/>
      <c r="C180"/>
      <c r="D180" s="26"/>
      <c r="E180" s="26"/>
      <c r="F180" s="26"/>
    </row>
    <row r="181" spans="1:6">
      <c r="A181" s="27"/>
      <c r="B181"/>
      <c r="C181"/>
      <c r="D181" s="26"/>
      <c r="E181" s="26"/>
      <c r="F181" s="26"/>
    </row>
    <row r="182" spans="1:6">
      <c r="A182" s="27"/>
      <c r="B182"/>
      <c r="C182"/>
      <c r="D182" s="26"/>
      <c r="E182" s="26"/>
      <c r="F182" s="26"/>
    </row>
    <row r="183" spans="1:6">
      <c r="A183" s="27"/>
      <c r="B183"/>
      <c r="C183"/>
      <c r="D183" s="26"/>
      <c r="E183" s="26"/>
      <c r="F183" s="26"/>
    </row>
    <row r="184" spans="1:6">
      <c r="A184" s="27"/>
      <c r="B184"/>
      <c r="C184"/>
      <c r="D184" s="26"/>
      <c r="E184" s="26"/>
      <c r="F184" s="26"/>
    </row>
    <row r="185" spans="1:6">
      <c r="A185" s="27"/>
      <c r="B185"/>
      <c r="C185"/>
      <c r="D185" s="26"/>
      <c r="E185" s="26"/>
      <c r="F185" s="26"/>
    </row>
    <row r="186" spans="1:6">
      <c r="A186" s="27"/>
      <c r="B186"/>
      <c r="C186"/>
      <c r="D186" s="26"/>
      <c r="E186" s="26"/>
      <c r="F186" s="26"/>
    </row>
    <row r="187" spans="1:6">
      <c r="A187" s="27"/>
      <c r="B187"/>
      <c r="C187"/>
      <c r="D187" s="26"/>
      <c r="E187" s="26"/>
      <c r="F187" s="26"/>
    </row>
    <row r="188" spans="1:6">
      <c r="A188" s="27"/>
      <c r="B188"/>
      <c r="C188"/>
      <c r="D188" s="26"/>
      <c r="E188" s="26"/>
      <c r="F188" s="26"/>
    </row>
    <row r="189" spans="1:6">
      <c r="A189" s="27"/>
      <c r="B189"/>
      <c r="C189"/>
      <c r="D189" s="26"/>
      <c r="E189" s="26"/>
      <c r="F189" s="26"/>
    </row>
    <row r="190" spans="1:6">
      <c r="A190" s="27"/>
      <c r="B190"/>
      <c r="C190"/>
      <c r="D190" s="26"/>
      <c r="E190" s="26"/>
      <c r="F190" s="26"/>
    </row>
    <row r="191" spans="1:6">
      <c r="A191" s="27"/>
      <c r="B191"/>
      <c r="C191"/>
      <c r="D191" s="26"/>
      <c r="E191" s="26"/>
      <c r="F191" s="26"/>
    </row>
    <row r="192" spans="1:6">
      <c r="A192" s="27"/>
      <c r="B192"/>
      <c r="C192"/>
      <c r="D192" s="26"/>
      <c r="E192" s="26"/>
      <c r="F192" s="26"/>
    </row>
    <row r="193" spans="1:6">
      <c r="A193" s="27"/>
      <c r="B193"/>
      <c r="C193"/>
      <c r="D193" s="26"/>
      <c r="E193" s="26"/>
      <c r="F193" s="26"/>
    </row>
    <row r="194" spans="1:6">
      <c r="A194" s="27"/>
      <c r="B194"/>
      <c r="C194"/>
      <c r="D194" s="26"/>
      <c r="E194" s="26"/>
      <c r="F194" s="26"/>
    </row>
    <row r="195" spans="1:6">
      <c r="A195" s="27"/>
      <c r="B195"/>
      <c r="C195"/>
      <c r="D195" s="26"/>
      <c r="E195" s="26"/>
      <c r="F195" s="26"/>
    </row>
    <row r="196" spans="1:6">
      <c r="A196" s="27"/>
      <c r="B196"/>
      <c r="C196"/>
      <c r="D196" s="26"/>
      <c r="E196" s="26"/>
      <c r="F196" s="26"/>
    </row>
    <row r="197" spans="1:6">
      <c r="A197" s="27"/>
      <c r="B197"/>
      <c r="C197"/>
      <c r="D197" s="26"/>
      <c r="E197" s="26"/>
      <c r="F197" s="26"/>
    </row>
    <row r="198" spans="1:6">
      <c r="A198" s="27"/>
      <c r="B198"/>
      <c r="C198"/>
      <c r="D198" s="26"/>
      <c r="E198" s="26"/>
      <c r="F198" s="26"/>
    </row>
    <row r="199" spans="1:6">
      <c r="A199" s="27"/>
      <c r="B199"/>
      <c r="C199"/>
      <c r="D199" s="26"/>
      <c r="E199" s="26"/>
      <c r="F199" s="26"/>
    </row>
    <row r="200" spans="1:6">
      <c r="A200" s="27"/>
      <c r="B200"/>
      <c r="C200"/>
      <c r="D200" s="26"/>
      <c r="E200" s="26"/>
      <c r="F200" s="26"/>
    </row>
    <row r="201" spans="1:6">
      <c r="A201" s="27"/>
      <c r="B201"/>
      <c r="C201"/>
      <c r="D201" s="26"/>
      <c r="E201" s="26"/>
      <c r="F201" s="26"/>
    </row>
    <row r="202" spans="1:6">
      <c r="A202" s="27"/>
      <c r="B202"/>
      <c r="C202"/>
      <c r="D202" s="26"/>
      <c r="E202" s="26"/>
      <c r="F202" s="26"/>
    </row>
    <row r="203" spans="1:6">
      <c r="A203" s="27"/>
      <c r="B203"/>
      <c r="C203"/>
      <c r="D203" s="26"/>
      <c r="E203" s="26"/>
      <c r="F203" s="26"/>
    </row>
    <row r="204" spans="1:6">
      <c r="A204" s="27"/>
      <c r="B204"/>
      <c r="C204"/>
      <c r="D204" s="26"/>
      <c r="E204" s="26"/>
      <c r="F204" s="26"/>
    </row>
    <row r="205" spans="1:6">
      <c r="A205" s="27"/>
      <c r="B205"/>
      <c r="C205"/>
      <c r="D205" s="26"/>
      <c r="E205" s="26"/>
      <c r="F205" s="26"/>
    </row>
    <row r="206" spans="1:6">
      <c r="A206" s="27"/>
      <c r="B206"/>
      <c r="C206"/>
      <c r="D206" s="26"/>
      <c r="E206" s="26"/>
      <c r="F206" s="26"/>
    </row>
    <row r="207" spans="1:6">
      <c r="A207" s="27"/>
      <c r="B207"/>
      <c r="C207"/>
      <c r="D207" s="26"/>
      <c r="E207" s="26"/>
      <c r="F207" s="26"/>
    </row>
    <row r="208" spans="1:6">
      <c r="A208" s="27"/>
      <c r="B208"/>
      <c r="C208"/>
      <c r="D208" s="26"/>
      <c r="E208" s="26"/>
      <c r="F208" s="26"/>
    </row>
    <row r="209" spans="1:6">
      <c r="A209" s="27"/>
      <c r="B209"/>
      <c r="C209"/>
      <c r="D209" s="26"/>
      <c r="E209" s="26"/>
      <c r="F209" s="26"/>
    </row>
    <row r="210" spans="1:6">
      <c r="A210" s="27"/>
      <c r="B210"/>
      <c r="C210"/>
      <c r="D210" s="26"/>
      <c r="E210" s="26"/>
      <c r="F210" s="26"/>
    </row>
    <row r="211" spans="1:6">
      <c r="A211" s="27"/>
      <c r="B211"/>
      <c r="C211"/>
      <c r="D211" s="26"/>
      <c r="E211" s="26"/>
      <c r="F211" s="26"/>
    </row>
    <row r="212" spans="1:6">
      <c r="A212" s="27"/>
      <c r="B212"/>
      <c r="C212"/>
      <c r="D212" s="26"/>
      <c r="E212" s="26"/>
      <c r="F212" s="26"/>
    </row>
    <row r="213" spans="1:6">
      <c r="A213" s="27"/>
      <c r="B213"/>
      <c r="C213"/>
      <c r="D213" s="26"/>
      <c r="E213" s="26"/>
      <c r="F213" s="26"/>
    </row>
    <row r="214" spans="1:6">
      <c r="A214" s="27"/>
      <c r="B214"/>
      <c r="C214"/>
      <c r="D214" s="26"/>
      <c r="E214" s="26"/>
      <c r="F214" s="26"/>
    </row>
    <row r="215" spans="1:6">
      <c r="A215" s="27"/>
      <c r="B215"/>
      <c r="C215"/>
      <c r="D215" s="26"/>
      <c r="E215" s="26"/>
      <c r="F215" s="26"/>
    </row>
    <row r="216" spans="1:6">
      <c r="A216" s="27"/>
      <c r="B216"/>
      <c r="C216"/>
      <c r="D216" s="26"/>
      <c r="E216" s="26"/>
      <c r="F216" s="26"/>
    </row>
    <row r="217" spans="1:6">
      <c r="A217" s="27"/>
      <c r="B217"/>
      <c r="C217"/>
      <c r="D217" s="26"/>
      <c r="E217" s="26"/>
      <c r="F217" s="26"/>
    </row>
    <row r="218" spans="1:6">
      <c r="A218" s="27"/>
      <c r="B218"/>
      <c r="C218"/>
      <c r="D218" s="26"/>
      <c r="E218" s="26"/>
      <c r="F218" s="26"/>
    </row>
    <row r="219" spans="1:6">
      <c r="A219" s="27"/>
      <c r="B219"/>
      <c r="C219"/>
      <c r="D219" s="26"/>
      <c r="E219" s="26"/>
      <c r="F219" s="26"/>
    </row>
    <row r="220" spans="1:6">
      <c r="A220" s="27"/>
      <c r="B220"/>
      <c r="C220"/>
      <c r="D220" s="26"/>
      <c r="E220" s="26"/>
      <c r="F220" s="26"/>
    </row>
    <row r="221" spans="1:6">
      <c r="A221" s="27"/>
      <c r="B221"/>
      <c r="C221"/>
      <c r="D221" s="26"/>
      <c r="E221" s="26"/>
      <c r="F221" s="26"/>
    </row>
    <row r="222" spans="1:6">
      <c r="A222" s="27"/>
      <c r="B222"/>
      <c r="C222"/>
      <c r="D222" s="26"/>
      <c r="E222" s="26"/>
      <c r="F222" s="26"/>
    </row>
    <row r="223" spans="1:6">
      <c r="A223" s="27"/>
      <c r="B223"/>
      <c r="C223"/>
      <c r="D223" s="26"/>
      <c r="E223" s="26"/>
      <c r="F223" s="26"/>
    </row>
    <row r="224" spans="1:6">
      <c r="A224" s="27"/>
      <c r="B224"/>
      <c r="C224"/>
      <c r="D224" s="26"/>
      <c r="E224" s="26"/>
      <c r="F224" s="26"/>
    </row>
    <row r="225" spans="1:6">
      <c r="A225" s="27"/>
      <c r="B225"/>
      <c r="C225"/>
      <c r="D225" s="26"/>
      <c r="E225" s="26"/>
      <c r="F225" s="26"/>
    </row>
    <row r="226" spans="1:6">
      <c r="A226" s="27"/>
      <c r="B226"/>
      <c r="C226"/>
      <c r="D226" s="26"/>
      <c r="E226" s="26"/>
      <c r="F226" s="26"/>
    </row>
    <row r="227" spans="1:6">
      <c r="A227" s="27"/>
      <c r="B227"/>
      <c r="C227"/>
      <c r="D227" s="26"/>
      <c r="E227" s="26"/>
      <c r="F227" s="26"/>
    </row>
    <row r="228" spans="1:6">
      <c r="A228" s="27"/>
      <c r="B228"/>
      <c r="C228"/>
      <c r="D228" s="26"/>
      <c r="E228" s="26"/>
      <c r="F228" s="26"/>
    </row>
    <row r="229" spans="1:6">
      <c r="A229" s="27"/>
      <c r="B229"/>
      <c r="C229"/>
      <c r="D229" s="26"/>
      <c r="E229" s="26"/>
      <c r="F229" s="26"/>
    </row>
    <row r="230" spans="1:6">
      <c r="A230" s="27"/>
      <c r="B230"/>
      <c r="C230"/>
      <c r="D230" s="26"/>
      <c r="E230" s="26"/>
      <c r="F230" s="26"/>
    </row>
    <row r="231" spans="1:6">
      <c r="A231" s="27"/>
      <c r="B231"/>
      <c r="C231"/>
      <c r="D231" s="26"/>
      <c r="E231" s="26"/>
      <c r="F231" s="26"/>
    </row>
    <row r="232" spans="1:6">
      <c r="A232" s="27"/>
      <c r="B232"/>
      <c r="C232"/>
      <c r="D232" s="26"/>
      <c r="E232" s="26"/>
      <c r="F232" s="26"/>
    </row>
    <row r="233" spans="1:6">
      <c r="A233" s="27"/>
      <c r="B233"/>
      <c r="C233"/>
      <c r="D233" s="26"/>
      <c r="E233" s="26"/>
      <c r="F233" s="26"/>
    </row>
    <row r="234" spans="1:6">
      <c r="A234" s="27"/>
      <c r="B234"/>
      <c r="C234"/>
      <c r="D234" s="26"/>
      <c r="E234" s="26"/>
      <c r="F234" s="26"/>
    </row>
    <row r="235" spans="1:6">
      <c r="A235" s="27"/>
      <c r="B235"/>
      <c r="C235"/>
      <c r="D235" s="26"/>
      <c r="E235" s="26"/>
      <c r="F235" s="26"/>
    </row>
    <row r="236" spans="1:6">
      <c r="A236" s="27"/>
      <c r="B236"/>
      <c r="C236"/>
      <c r="D236" s="26"/>
      <c r="E236" s="26"/>
      <c r="F236" s="26"/>
    </row>
    <row r="237" spans="1:6">
      <c r="A237" s="27"/>
      <c r="B237"/>
      <c r="C237"/>
      <c r="D237" s="26"/>
      <c r="E237" s="26"/>
      <c r="F237" s="26"/>
    </row>
    <row r="238" spans="1:6">
      <c r="A238" s="27"/>
      <c r="B238"/>
      <c r="C238"/>
      <c r="D238" s="26"/>
      <c r="E238" s="26"/>
      <c r="F238" s="26"/>
    </row>
    <row r="239" spans="1:6">
      <c r="A239" s="27"/>
      <c r="B239"/>
      <c r="C239"/>
      <c r="D239" s="26"/>
      <c r="E239" s="26"/>
      <c r="F239" s="26"/>
    </row>
    <row r="240" spans="1:6">
      <c r="A240" s="27"/>
      <c r="B240"/>
      <c r="C240"/>
      <c r="D240" s="26"/>
      <c r="E240" s="26"/>
      <c r="F240" s="26"/>
    </row>
    <row r="241" spans="1:6">
      <c r="A241" s="27"/>
      <c r="B241"/>
      <c r="C241"/>
      <c r="D241" s="26"/>
      <c r="E241" s="26"/>
      <c r="F241" s="26"/>
    </row>
    <row r="242" spans="1:6">
      <c r="A242" s="27"/>
      <c r="B242"/>
      <c r="C242"/>
      <c r="D242" s="26"/>
      <c r="E242" s="26"/>
      <c r="F242" s="26"/>
    </row>
    <row r="243" spans="1:6">
      <c r="A243" s="27"/>
      <c r="B243"/>
      <c r="C243"/>
      <c r="D243" s="26"/>
      <c r="E243" s="26"/>
      <c r="F243" s="26"/>
    </row>
    <row r="244" spans="1:6">
      <c r="A244" s="27"/>
      <c r="B244"/>
      <c r="C244"/>
      <c r="D244" s="26"/>
      <c r="E244" s="26"/>
      <c r="F244" s="26"/>
    </row>
    <row r="245" spans="1:6">
      <c r="A245" s="27"/>
      <c r="B245"/>
      <c r="C245"/>
      <c r="D245" s="26"/>
      <c r="E245" s="26"/>
      <c r="F245" s="26"/>
    </row>
    <row r="246" spans="1:6">
      <c r="A246" s="27"/>
      <c r="B246"/>
      <c r="C246"/>
      <c r="D246" s="26"/>
      <c r="E246" s="26"/>
      <c r="F246" s="26"/>
    </row>
    <row r="247" spans="1:6">
      <c r="A247" s="27"/>
      <c r="B247"/>
      <c r="C247"/>
      <c r="D247" s="26"/>
      <c r="E247" s="26"/>
      <c r="F247" s="26"/>
    </row>
    <row r="248" spans="1:6">
      <c r="A248" s="27"/>
      <c r="B248"/>
      <c r="C248"/>
      <c r="D248" s="26"/>
      <c r="E248" s="26"/>
      <c r="F248" s="26"/>
    </row>
    <row r="249" spans="1:6">
      <c r="A249" s="27"/>
      <c r="B249"/>
      <c r="C249"/>
      <c r="D249" s="26"/>
      <c r="E249" s="26"/>
      <c r="F249" s="26"/>
    </row>
    <row r="250" spans="1:6">
      <c r="A250" s="27"/>
      <c r="B250"/>
      <c r="C250"/>
      <c r="D250" s="26"/>
      <c r="E250" s="26"/>
      <c r="F250" s="26"/>
    </row>
    <row r="251" spans="1:6">
      <c r="A251" s="27"/>
      <c r="B251"/>
      <c r="C251"/>
      <c r="D251" s="26"/>
      <c r="E251" s="26"/>
      <c r="F251" s="26"/>
    </row>
    <row r="252" spans="1:6">
      <c r="A252" s="27"/>
      <c r="B252"/>
      <c r="C252"/>
      <c r="D252" s="26"/>
      <c r="E252" s="26"/>
      <c r="F252" s="26"/>
    </row>
    <row r="253" spans="1:6">
      <c r="A253" s="27"/>
      <c r="B253"/>
      <c r="C253"/>
      <c r="D253" s="26"/>
      <c r="E253" s="26"/>
      <c r="F253" s="26"/>
    </row>
    <row r="254" spans="1:6">
      <c r="A254" s="27"/>
      <c r="B254"/>
      <c r="C254"/>
      <c r="D254" s="26"/>
      <c r="E254" s="26"/>
      <c r="F254" s="26"/>
    </row>
    <row r="255" spans="1:6">
      <c r="A255" s="27"/>
      <c r="B255"/>
      <c r="C255"/>
      <c r="D255" s="26"/>
      <c r="E255" s="26"/>
      <c r="F255" s="26"/>
    </row>
    <row r="256" spans="1:6">
      <c r="A256" s="27"/>
      <c r="B256"/>
      <c r="C256"/>
      <c r="D256" s="26"/>
      <c r="E256" s="26"/>
      <c r="F256" s="26"/>
    </row>
    <row r="257" spans="1:6">
      <c r="A257" s="27"/>
      <c r="B257"/>
      <c r="C257"/>
      <c r="D257" s="26"/>
      <c r="E257" s="26"/>
      <c r="F257" s="26"/>
    </row>
    <row r="258" spans="1:6">
      <c r="A258" s="27"/>
      <c r="B258"/>
      <c r="C258"/>
      <c r="D258" s="26"/>
      <c r="E258" s="26"/>
      <c r="F258" s="26"/>
    </row>
    <row r="259" spans="1:6">
      <c r="A259" s="27"/>
      <c r="B259"/>
      <c r="C259"/>
      <c r="D259" s="26"/>
      <c r="E259" s="26"/>
      <c r="F259" s="26"/>
    </row>
    <row r="260" spans="1:6">
      <c r="A260" s="27"/>
      <c r="B260"/>
      <c r="C260"/>
      <c r="D260" s="26"/>
      <c r="E260" s="26"/>
      <c r="F260" s="26"/>
    </row>
    <row r="261" spans="1:6">
      <c r="A261" s="27"/>
      <c r="B261"/>
      <c r="C261"/>
      <c r="D261" s="26"/>
      <c r="E261" s="26"/>
      <c r="F261" s="26"/>
    </row>
    <row r="262" spans="1:6">
      <c r="A262" s="27"/>
      <c r="B262"/>
      <c r="C262"/>
      <c r="D262" s="26"/>
      <c r="E262" s="26"/>
      <c r="F262" s="26"/>
    </row>
    <row r="263" spans="1:6">
      <c r="A263" s="27"/>
      <c r="B263"/>
      <c r="C263"/>
      <c r="D263" s="26"/>
      <c r="E263" s="26"/>
      <c r="F263" s="26"/>
    </row>
    <row r="264" spans="1:6">
      <c r="A264" s="27"/>
      <c r="B264"/>
      <c r="C264"/>
      <c r="D264" s="26"/>
      <c r="E264" s="26"/>
      <c r="F264" s="26"/>
    </row>
    <row r="265" spans="1:6">
      <c r="A265" s="27"/>
      <c r="B265"/>
      <c r="C265"/>
      <c r="D265" s="26"/>
      <c r="E265" s="26"/>
      <c r="F265" s="26"/>
    </row>
    <row r="266" spans="1:6">
      <c r="A266" s="27"/>
      <c r="B266"/>
      <c r="C266"/>
      <c r="D266" s="26"/>
      <c r="E266" s="26"/>
      <c r="F266" s="26"/>
    </row>
    <row r="267" spans="1:6">
      <c r="A267" s="27"/>
      <c r="B267"/>
      <c r="C267"/>
      <c r="D267" s="26"/>
      <c r="E267" s="26"/>
      <c r="F267" s="26"/>
    </row>
    <row r="268" spans="1:6">
      <c r="A268" s="27"/>
      <c r="B268"/>
      <c r="C268"/>
      <c r="D268" s="26"/>
      <c r="E268" s="26"/>
      <c r="F268" s="26"/>
    </row>
    <row r="269" spans="1:6">
      <c r="A269" s="27"/>
      <c r="B269"/>
      <c r="C269"/>
      <c r="D269" s="26"/>
      <c r="E269" s="26"/>
      <c r="F269" s="26"/>
    </row>
    <row r="270" spans="1:6">
      <c r="A270" s="27"/>
      <c r="B270"/>
      <c r="C270"/>
      <c r="D270" s="26"/>
      <c r="E270" s="26"/>
      <c r="F270" s="26"/>
    </row>
    <row r="271" spans="1:6">
      <c r="A271" s="27"/>
      <c r="B271"/>
      <c r="C271"/>
      <c r="D271" s="26"/>
      <c r="E271" s="26"/>
      <c r="F271" s="26"/>
    </row>
    <row r="272" spans="1:6">
      <c r="A272" s="27"/>
      <c r="B272"/>
      <c r="C272"/>
      <c r="D272" s="26"/>
      <c r="E272" s="26"/>
      <c r="F272" s="26"/>
    </row>
    <row r="273" spans="1:6">
      <c r="A273" s="27"/>
      <c r="B273"/>
      <c r="C273"/>
      <c r="D273" s="26"/>
      <c r="E273" s="26"/>
      <c r="F273" s="26"/>
    </row>
    <row r="274" spans="1:6">
      <c r="A274" s="27"/>
      <c r="B274"/>
      <c r="C274"/>
      <c r="D274" s="26"/>
      <c r="E274" s="26"/>
      <c r="F274" s="26"/>
    </row>
    <row r="275" spans="1:6">
      <c r="A275" s="27"/>
      <c r="B275"/>
      <c r="C275"/>
      <c r="D275" s="26"/>
      <c r="E275" s="26"/>
      <c r="F275" s="26"/>
    </row>
    <row r="276" spans="1:6">
      <c r="A276" s="27"/>
      <c r="B276"/>
      <c r="C276"/>
      <c r="D276" s="26"/>
      <c r="E276" s="26"/>
      <c r="F276" s="26"/>
    </row>
    <row r="277" spans="1:6">
      <c r="A277" s="27"/>
      <c r="B277"/>
      <c r="C277"/>
      <c r="D277" s="26"/>
      <c r="E277" s="26"/>
      <c r="F277" s="26"/>
    </row>
    <row r="278" spans="1:6">
      <c r="A278" s="27"/>
      <c r="B278"/>
      <c r="C278"/>
      <c r="D278" s="26"/>
      <c r="E278" s="26"/>
      <c r="F278" s="26"/>
    </row>
    <row r="279" spans="1:6">
      <c r="A279" s="27"/>
      <c r="B279"/>
      <c r="C279"/>
      <c r="D279" s="26"/>
      <c r="E279" s="26"/>
      <c r="F279" s="26"/>
    </row>
    <row r="280" spans="1:6">
      <c r="A280" s="27"/>
      <c r="B280"/>
      <c r="C280"/>
      <c r="D280" s="26"/>
      <c r="E280" s="26"/>
      <c r="F280" s="26"/>
    </row>
    <row r="281" spans="1:6">
      <c r="A281" s="27"/>
      <c r="B281"/>
      <c r="C281"/>
      <c r="D281" s="26"/>
      <c r="E281" s="26"/>
      <c r="F281" s="26"/>
    </row>
    <row r="282" spans="1:6">
      <c r="A282" s="27"/>
      <c r="B282"/>
      <c r="C282"/>
      <c r="D282" s="26"/>
      <c r="E282" s="26"/>
      <c r="F282" s="26"/>
    </row>
    <row r="283" spans="1:6">
      <c r="A283" s="27"/>
      <c r="B283"/>
      <c r="C283"/>
      <c r="D283" s="26"/>
      <c r="E283" s="26"/>
      <c r="F283" s="26"/>
    </row>
    <row r="284" spans="1:6">
      <c r="A284" s="27"/>
      <c r="B284"/>
      <c r="C284"/>
      <c r="D284" s="26"/>
      <c r="E284" s="26"/>
      <c r="F284" s="26"/>
    </row>
    <row r="285" spans="1:6">
      <c r="A285" s="27"/>
      <c r="B285"/>
      <c r="C285"/>
      <c r="D285" s="26"/>
      <c r="E285" s="26"/>
      <c r="F285" s="26"/>
    </row>
    <row r="286" spans="1:6">
      <c r="A286" s="27"/>
      <c r="B286"/>
      <c r="C286"/>
      <c r="D286" s="26"/>
      <c r="E286" s="26"/>
      <c r="F286" s="26"/>
    </row>
    <row r="287" spans="1:6">
      <c r="A287" s="27"/>
      <c r="B287"/>
      <c r="C287"/>
      <c r="D287" s="26"/>
      <c r="E287" s="26"/>
      <c r="F287" s="26"/>
    </row>
    <row r="288" spans="1:6">
      <c r="A288" s="27"/>
      <c r="B288"/>
      <c r="C288"/>
      <c r="D288" s="26"/>
      <c r="E288" s="26"/>
      <c r="F288" s="26"/>
    </row>
    <row r="289" spans="1:6">
      <c r="A289" s="27"/>
      <c r="B289"/>
      <c r="C289"/>
      <c r="D289" s="26"/>
      <c r="E289" s="26"/>
      <c r="F289" s="26"/>
    </row>
    <row r="290" spans="1:6">
      <c r="A290" s="27"/>
      <c r="B290"/>
      <c r="C290"/>
      <c r="D290" s="26"/>
      <c r="E290" s="26"/>
      <c r="F290" s="26"/>
    </row>
    <row r="291" spans="1:6">
      <c r="A291" s="27"/>
      <c r="B291"/>
      <c r="C291"/>
      <c r="D291" s="26"/>
      <c r="E291" s="26"/>
      <c r="F291" s="26"/>
    </row>
    <row r="292" spans="1:6">
      <c r="A292" s="27"/>
      <c r="B292"/>
      <c r="C292"/>
      <c r="D292" s="26"/>
      <c r="E292" s="26"/>
      <c r="F292" s="26"/>
    </row>
    <row r="293" spans="1:6">
      <c r="A293" s="27"/>
      <c r="B293"/>
      <c r="C293"/>
      <c r="D293" s="26"/>
      <c r="E293" s="26"/>
      <c r="F293" s="26"/>
    </row>
    <row r="294" spans="1:6">
      <c r="A294" s="27"/>
      <c r="B294"/>
      <c r="C294"/>
      <c r="D294" s="26"/>
      <c r="E294" s="26"/>
      <c r="F294" s="26"/>
    </row>
    <row r="295" spans="1:6">
      <c r="A295" s="27"/>
      <c r="B295"/>
      <c r="C295"/>
      <c r="D295" s="26"/>
      <c r="E295" s="26"/>
      <c r="F295" s="26"/>
    </row>
    <row r="296" spans="1:6">
      <c r="A296" s="27"/>
      <c r="B296"/>
      <c r="C296"/>
      <c r="D296" s="26"/>
      <c r="E296" s="26"/>
      <c r="F296" s="26"/>
    </row>
    <row r="297" spans="1:6">
      <c r="A297" s="27"/>
      <c r="B297"/>
      <c r="C297"/>
      <c r="D297" s="26"/>
      <c r="E297" s="26"/>
      <c r="F297" s="26"/>
    </row>
    <row r="298" spans="1:6">
      <c r="A298" s="27"/>
      <c r="B298"/>
      <c r="C298"/>
      <c r="D298" s="26"/>
      <c r="E298" s="26"/>
      <c r="F298" s="26"/>
    </row>
    <row r="299" spans="1:6">
      <c r="A299" s="27"/>
      <c r="B299"/>
      <c r="C299"/>
      <c r="D299" s="26"/>
      <c r="E299" s="26"/>
      <c r="F299" s="26"/>
    </row>
    <row r="300" spans="1:6">
      <c r="A300" s="27"/>
      <c r="B300"/>
      <c r="C300"/>
      <c r="D300" s="26"/>
      <c r="E300" s="26"/>
      <c r="F300" s="26"/>
    </row>
    <row r="301" spans="1:6">
      <c r="A301" s="27"/>
      <c r="B301"/>
      <c r="C301"/>
      <c r="D301" s="26"/>
      <c r="E301" s="26"/>
      <c r="F301" s="26"/>
    </row>
    <row r="302" spans="1:6">
      <c r="A302" s="27"/>
      <c r="B302"/>
      <c r="C302"/>
      <c r="D302" s="26"/>
      <c r="E302" s="26"/>
      <c r="F302" s="26"/>
    </row>
    <row r="303" spans="1:6">
      <c r="A303" s="27"/>
      <c r="B303"/>
      <c r="C303"/>
      <c r="D303" s="26"/>
      <c r="E303" s="26"/>
      <c r="F303" s="26"/>
    </row>
    <row r="304" spans="1:6">
      <c r="A304" s="27"/>
      <c r="B304"/>
      <c r="C304"/>
      <c r="D304" s="26"/>
      <c r="E304" s="26"/>
      <c r="F304" s="26"/>
    </row>
    <row r="305" spans="1:6">
      <c r="A305" s="27"/>
      <c r="B305"/>
      <c r="C305"/>
      <c r="D305" s="26"/>
      <c r="E305" s="26"/>
      <c r="F305" s="26"/>
    </row>
    <row r="306" spans="1:6">
      <c r="A306" s="27"/>
      <c r="B306"/>
      <c r="C306"/>
      <c r="D306" s="26"/>
      <c r="E306" s="26"/>
      <c r="F306" s="26"/>
    </row>
    <row r="307" spans="1:6">
      <c r="A307" s="27"/>
      <c r="B307"/>
      <c r="C307"/>
      <c r="D307" s="26"/>
      <c r="E307" s="26"/>
      <c r="F307" s="26"/>
    </row>
    <row r="308" spans="1:6">
      <c r="A308" s="27"/>
      <c r="B308"/>
      <c r="C308"/>
      <c r="D308" s="26"/>
      <c r="E308" s="26"/>
      <c r="F308" s="26"/>
    </row>
    <row r="309" spans="1:6">
      <c r="A309" s="27"/>
      <c r="B309"/>
      <c r="C309"/>
      <c r="D309" s="26"/>
      <c r="E309" s="26"/>
      <c r="F309" s="26"/>
    </row>
    <row r="310" spans="1:6">
      <c r="A310" s="27"/>
      <c r="B310"/>
      <c r="C310"/>
      <c r="D310" s="26"/>
      <c r="E310" s="26"/>
      <c r="F310" s="26"/>
    </row>
    <row r="311" spans="1:6">
      <c r="A311" s="27"/>
      <c r="B311"/>
      <c r="C311"/>
      <c r="D311" s="26"/>
      <c r="E311" s="26"/>
      <c r="F311" s="26"/>
    </row>
    <row r="312" spans="1:6">
      <c r="A312" s="27"/>
      <c r="B312"/>
      <c r="C312"/>
      <c r="D312" s="26"/>
      <c r="E312" s="26"/>
      <c r="F312" s="26"/>
    </row>
    <row r="313" spans="1:6">
      <c r="A313" s="27"/>
      <c r="B313"/>
      <c r="C313"/>
      <c r="D313" s="26"/>
      <c r="E313" s="26"/>
      <c r="F313" s="26"/>
    </row>
    <row r="314" spans="1:6">
      <c r="A314" s="27"/>
      <c r="B314"/>
      <c r="C314"/>
      <c r="D314" s="26"/>
      <c r="E314" s="26"/>
      <c r="F314" s="26"/>
    </row>
    <row r="315" spans="1:6">
      <c r="A315" s="27"/>
      <c r="B315"/>
      <c r="C315"/>
      <c r="D315" s="26"/>
      <c r="E315" s="26"/>
      <c r="F315" s="26"/>
    </row>
    <row r="316" spans="1:6">
      <c r="A316" s="27"/>
      <c r="B316"/>
      <c r="C316"/>
      <c r="D316" s="26"/>
      <c r="E316" s="26"/>
      <c r="F316" s="26"/>
    </row>
    <row r="317" spans="1:6">
      <c r="A317" s="27"/>
      <c r="B317"/>
      <c r="C317"/>
      <c r="D317" s="26"/>
      <c r="E317" s="26"/>
      <c r="F317" s="26"/>
    </row>
    <row r="318" spans="1:6">
      <c r="A318" s="27"/>
      <c r="B318"/>
      <c r="C318"/>
      <c r="D318" s="26"/>
      <c r="E318" s="26"/>
      <c r="F318" s="26"/>
    </row>
    <row r="319" spans="1:6">
      <c r="A319" s="27"/>
      <c r="B319"/>
      <c r="C319"/>
      <c r="D319" s="26"/>
      <c r="E319" s="26"/>
      <c r="F319" s="26"/>
    </row>
    <row r="320" spans="1:6">
      <c r="A320" s="27"/>
      <c r="B320"/>
      <c r="C320"/>
      <c r="D320" s="26"/>
      <c r="E320" s="26"/>
      <c r="F320" s="26"/>
    </row>
    <row r="321" spans="1:6">
      <c r="A321" s="27"/>
      <c r="B321"/>
      <c r="C321"/>
      <c r="D321" s="26"/>
      <c r="E321" s="26"/>
      <c r="F321" s="26"/>
    </row>
    <row r="322" spans="1:6">
      <c r="A322" s="27"/>
      <c r="B322"/>
      <c r="C322"/>
      <c r="D322" s="26"/>
      <c r="E322" s="26"/>
      <c r="F322" s="26"/>
    </row>
    <row r="323" spans="1:6">
      <c r="A323" s="27"/>
      <c r="B323"/>
      <c r="C323"/>
      <c r="D323" s="26"/>
      <c r="E323" s="26"/>
      <c r="F323" s="26"/>
    </row>
    <row r="324" spans="1:6">
      <c r="A324" s="27"/>
      <c r="B324"/>
      <c r="C324"/>
      <c r="D324" s="26"/>
      <c r="E324" s="26"/>
      <c r="F324" s="26"/>
    </row>
    <row r="325" spans="1:6">
      <c r="A325" s="27"/>
      <c r="B325"/>
      <c r="C325"/>
      <c r="D325" s="26"/>
      <c r="E325" s="26"/>
      <c r="F325" s="26"/>
    </row>
    <row r="326" spans="1:6">
      <c r="A326" s="27"/>
      <c r="B326"/>
      <c r="C326"/>
      <c r="D326" s="26"/>
      <c r="E326" s="26"/>
      <c r="F326" s="26"/>
    </row>
    <row r="327" spans="1:6">
      <c r="A327" s="27"/>
      <c r="B327"/>
      <c r="C327"/>
      <c r="D327" s="26"/>
      <c r="E327" s="26"/>
      <c r="F327" s="26"/>
    </row>
    <row r="328" spans="1:6">
      <c r="A328" s="27"/>
      <c r="B328"/>
      <c r="C328"/>
      <c r="D328" s="26"/>
      <c r="E328" s="26"/>
      <c r="F328" s="26"/>
    </row>
    <row r="329" spans="1:6">
      <c r="A329" s="27"/>
      <c r="B329"/>
      <c r="C329"/>
      <c r="D329" s="26"/>
      <c r="E329" s="26"/>
      <c r="F329" s="26"/>
    </row>
    <row r="330" spans="1:6">
      <c r="A330" s="27"/>
      <c r="B330"/>
      <c r="C330"/>
      <c r="D330" s="26"/>
      <c r="E330" s="26"/>
      <c r="F330" s="26"/>
    </row>
    <row r="331" spans="1:6">
      <c r="A331" s="27"/>
      <c r="B331"/>
      <c r="C331"/>
      <c r="D331" s="26"/>
      <c r="E331" s="26"/>
      <c r="F331" s="26"/>
    </row>
    <row r="332" spans="1:6">
      <c r="A332" s="27"/>
      <c r="B332"/>
      <c r="C332"/>
      <c r="D332" s="26"/>
      <c r="E332" s="26"/>
      <c r="F332" s="26"/>
    </row>
    <row r="333" spans="1:6">
      <c r="A333" s="27"/>
      <c r="B333"/>
      <c r="C333"/>
      <c r="D333" s="26"/>
      <c r="E333" s="26"/>
      <c r="F333" s="26"/>
    </row>
    <row r="334" spans="1:6">
      <c r="A334" s="27"/>
      <c r="B334"/>
      <c r="C334"/>
      <c r="D334" s="26"/>
      <c r="E334" s="26"/>
      <c r="F334" s="26"/>
    </row>
    <row r="335" spans="1:6">
      <c r="A335" s="27"/>
      <c r="B335"/>
      <c r="C335"/>
      <c r="D335" s="26"/>
      <c r="E335" s="26"/>
      <c r="F335" s="26"/>
    </row>
    <row r="336" spans="1:6">
      <c r="A336" s="27"/>
      <c r="B336"/>
      <c r="C336"/>
      <c r="D336" s="26"/>
      <c r="E336" s="26"/>
      <c r="F336" s="26"/>
    </row>
    <row r="337" spans="1:6">
      <c r="A337" s="27"/>
      <c r="B337"/>
      <c r="C337"/>
      <c r="D337" s="26"/>
      <c r="E337" s="26"/>
      <c r="F337" s="26"/>
    </row>
    <row r="338" spans="1:6">
      <c r="A338" s="27"/>
      <c r="B338"/>
      <c r="C338"/>
      <c r="D338" s="26"/>
      <c r="E338" s="26"/>
      <c r="F338" s="26"/>
    </row>
    <row r="339" spans="1:6">
      <c r="A339" s="27"/>
      <c r="B339"/>
      <c r="C339"/>
      <c r="D339" s="26"/>
      <c r="E339" s="26"/>
      <c r="F339" s="26"/>
    </row>
    <row r="340" spans="1:6">
      <c r="A340" s="27"/>
      <c r="B340"/>
      <c r="C340"/>
      <c r="D340" s="26"/>
      <c r="E340" s="26"/>
      <c r="F340" s="26"/>
    </row>
    <row r="341" spans="1:6">
      <c r="A341" s="27"/>
      <c r="B341"/>
      <c r="C341"/>
      <c r="D341" s="26"/>
      <c r="E341" s="26"/>
      <c r="F341" s="26"/>
    </row>
    <row r="342" spans="1:6">
      <c r="A342" s="27"/>
      <c r="B342"/>
      <c r="C342"/>
      <c r="D342" s="26"/>
      <c r="E342" s="26"/>
      <c r="F342" s="26"/>
    </row>
    <row r="343" spans="1:6">
      <c r="A343" s="27"/>
      <c r="B343"/>
      <c r="C343"/>
      <c r="D343" s="26"/>
      <c r="E343" s="26"/>
      <c r="F343" s="26"/>
    </row>
    <row r="344" spans="1:6">
      <c r="A344" s="27"/>
      <c r="B344"/>
      <c r="C344"/>
      <c r="D344" s="26"/>
      <c r="E344" s="26"/>
      <c r="F344" s="26"/>
    </row>
    <row r="345" spans="1:6">
      <c r="A345" s="27"/>
      <c r="B345"/>
      <c r="C345"/>
      <c r="D345" s="26"/>
      <c r="E345" s="26"/>
      <c r="F345" s="26"/>
    </row>
    <row r="346" spans="1:6">
      <c r="A346" s="27"/>
      <c r="B346"/>
      <c r="C346"/>
      <c r="D346" s="26"/>
      <c r="E346" s="26"/>
      <c r="F346" s="26"/>
    </row>
    <row r="347" spans="1:6">
      <c r="A347" s="27"/>
      <c r="B347"/>
      <c r="C347"/>
      <c r="D347" s="26"/>
      <c r="E347" s="26"/>
      <c r="F347" s="26"/>
    </row>
    <row r="348" spans="1:6">
      <c r="A348" s="27"/>
      <c r="B348"/>
      <c r="C348"/>
      <c r="D348" s="26"/>
      <c r="E348" s="26"/>
      <c r="F348" s="26"/>
    </row>
    <row r="349" spans="1:6">
      <c r="A349" s="27"/>
      <c r="B349"/>
      <c r="C349"/>
      <c r="D349" s="26"/>
      <c r="E349" s="26"/>
      <c r="F349" s="26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7" type="noConversion"/>
  <conditionalFormatting sqref="N3:O3 N4:N83 O4:O493">
    <cfRule type="expression" dxfId="59" priority="25">
      <formula>IF(N3&gt;$Q3,1,0)</formula>
    </cfRule>
  </conditionalFormatting>
  <conditionalFormatting sqref="J3:T500">
    <cfRule type="expression" dxfId="58" priority="27">
      <formula>IF($S3&lt;&gt;"",1,0)</formula>
    </cfRule>
  </conditionalFormatting>
  <conditionalFormatting sqref="A3">
    <cfRule type="expression" dxfId="57" priority="1">
      <formula>IF(SEARCH("Received",$AE3),1,0)</formula>
    </cfRule>
    <cfRule type="expression" dxfId="56" priority="2">
      <formula>IF(SEARCH("under inspection",$AE3),1,0)</formula>
    </cfRule>
    <cfRule type="expression" dxfId="55" priority="3">
      <formula>IF(SEARCH("prepairing quotation",$AE3),1,0)</formula>
    </cfRule>
    <cfRule type="expression" dxfId="54" priority="4">
      <formula>IF(SEARCH("waiting confirm",$AE3),1,0)</formula>
    </cfRule>
    <cfRule type="expression" dxfId="53" priority="5">
      <formula>IF(SEARCH("waiting approved",$AE3),1,0)</formula>
    </cfRule>
    <cfRule type="expression" dxfId="52" priority="6">
      <formula>IF(SEARCH("waiting for part",$AE3),1,0)</formula>
    </cfRule>
    <cfRule type="expression" dxfId="51" priority="7">
      <formula>IF(SEARCH("under repair",$AE3),1,0)</formula>
    </cfRule>
    <cfRule type="expression" dxfId="50" priority="8">
      <formula>IF(SEARCH("waiting for repair",$AE3),1,0)</formula>
    </cfRule>
    <cfRule type="expression" dxfId="49" priority="9">
      <formula>IF(SEARCH("Completed repair",$AE3),1,0)</formula>
    </cfRule>
    <cfRule type="expression" dxfId="48" priority="10">
      <formula>IF(SEARCH("Transfer to sale team",$AE3),1,0)</formula>
    </cfRule>
    <cfRule type="expression" dxfId="47" priority="11">
      <formula>MOD($A3,2)</formula>
    </cfRule>
  </conditionalFormatting>
  <conditionalFormatting sqref="A3">
    <cfRule type="duplicateValues" dxfId="46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"/>
  <sheetViews>
    <sheetView workbookViewId="0">
      <selection sqref="A1:N1122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E1:H781"/>
  <sheetViews>
    <sheetView topLeftCell="A445" workbookViewId="0">
      <selection sqref="A1:D1122"/>
    </sheetView>
  </sheetViews>
  <sheetFormatPr defaultRowHeight="15"/>
  <cols>
    <col min="1" max="1" width="16.28515625" bestFit="1" customWidth="1"/>
    <col min="2" max="2" width="13.7109375" bestFit="1" customWidth="1"/>
    <col min="3" max="3" width="42.28515625" bestFit="1" customWidth="1"/>
  </cols>
  <sheetData>
    <row r="1" spans="5:8">
      <c r="E1">
        <f>COUNTIF(A:A,"Private")</f>
        <v>0</v>
      </c>
      <c r="G1" t="s">
        <v>1</v>
      </c>
      <c r="H1">
        <f>COUNTA(A2:A10000)</f>
        <v>0</v>
      </c>
    </row>
    <row r="13" spans="5:8" ht="14.25" customHeight="1"/>
    <row r="774" spans="5:5">
      <c r="E774">
        <f>COUNTIF($A$2:$A$774,"FMSV2020120035")</f>
        <v>0</v>
      </c>
    </row>
    <row r="775" spans="5:5">
      <c r="E775">
        <f>COUNTIF($A$2:$A$775,"FMSV2020120035")</f>
        <v>0</v>
      </c>
    </row>
    <row r="776" spans="5:5">
      <c r="E776">
        <f>COUNTIF($A$2:$A$776,"FMSV2020120035")</f>
        <v>0</v>
      </c>
    </row>
    <row r="777" spans="5:5">
      <c r="E777">
        <f>COUNTIF($A$2:$A$777,"FMSV2020120035")</f>
        <v>0</v>
      </c>
    </row>
    <row r="778" spans="5:5">
      <c r="E778">
        <f>COUNTIF($A$2:$A$778,"FMSV2020120035")</f>
        <v>0</v>
      </c>
    </row>
    <row r="779" spans="5:5">
      <c r="E779">
        <f>COUNTIF($A$2:$A$779,"FMSV2020120035")</f>
        <v>0</v>
      </c>
    </row>
    <row r="780" spans="5:5">
      <c r="E780">
        <f>COUNTIF($A$2:$A$780,"FMSV2020120035")</f>
        <v>0</v>
      </c>
    </row>
    <row r="781" spans="5:5">
      <c r="E781">
        <f>COUNTIF($A$2:$A$781,"FMSV2020120035")</f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1312</v>
      </c>
    </row>
    <row r="2" spans="1:5">
      <c r="A2" t="s">
        <v>1063</v>
      </c>
      <c r="B2" t="s">
        <v>1044</v>
      </c>
      <c r="C2" t="s">
        <v>315</v>
      </c>
      <c r="D2" t="s">
        <v>378</v>
      </c>
      <c r="E2" t="s">
        <v>1052</v>
      </c>
    </row>
    <row r="3" spans="1:5">
      <c r="A3" t="s">
        <v>1313</v>
      </c>
      <c r="B3" t="s">
        <v>1314</v>
      </c>
      <c r="C3" t="s">
        <v>1652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1315</v>
      </c>
      <c r="B4" t="s">
        <v>1316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1317</v>
      </c>
      <c r="B5" t="s">
        <v>1318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1319</v>
      </c>
      <c r="B6" t="s">
        <v>1320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495</v>
      </c>
      <c r="B7" t="s">
        <v>496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1321</v>
      </c>
      <c r="B8" t="s">
        <v>1322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1323</v>
      </c>
      <c r="B9" t="s">
        <v>337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1324</v>
      </c>
      <c r="B10" t="s">
        <v>336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534</v>
      </c>
      <c r="B11" t="s">
        <v>535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1325</v>
      </c>
      <c r="B12" t="s">
        <v>1326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1327</v>
      </c>
      <c r="B13" t="s">
        <v>1328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1329</v>
      </c>
      <c r="B14" t="s">
        <v>317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1330</v>
      </c>
      <c r="B15" t="s">
        <v>317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1331</v>
      </c>
      <c r="B16" t="s">
        <v>317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1332</v>
      </c>
      <c r="B17" t="s">
        <v>317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1333</v>
      </c>
      <c r="B18" t="s">
        <v>1334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413</v>
      </c>
      <c r="B19" t="s">
        <v>414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1335</v>
      </c>
      <c r="B20" t="s">
        <v>1336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422</v>
      </c>
      <c r="B21" t="s">
        <v>316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1337</v>
      </c>
      <c r="B22" t="s">
        <v>1338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1339</v>
      </c>
      <c r="B23" t="s">
        <v>389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434</v>
      </c>
      <c r="B24" t="s">
        <v>387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1340</v>
      </c>
      <c r="B25" t="s">
        <v>1341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1342</v>
      </c>
      <c r="B26" t="s">
        <v>1343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390</v>
      </c>
      <c r="B27" t="s">
        <v>391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1029</v>
      </c>
      <c r="B28" t="s">
        <v>1344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1345</v>
      </c>
      <c r="B29" t="s">
        <v>1346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394</v>
      </c>
      <c r="B30" t="s">
        <v>393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395</v>
      </c>
      <c r="B31" t="s">
        <v>396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1347</v>
      </c>
      <c r="B32" t="s">
        <v>1348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398</v>
      </c>
      <c r="B33" t="s">
        <v>1349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1014</v>
      </c>
      <c r="B34" t="s">
        <v>1350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575</v>
      </c>
      <c r="B35" t="s">
        <v>576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579</v>
      </c>
      <c r="B36" t="s">
        <v>580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403</v>
      </c>
      <c r="B37" t="s">
        <v>404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1351</v>
      </c>
      <c r="B38" t="s">
        <v>1352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583</v>
      </c>
      <c r="B39" t="s">
        <v>584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611</v>
      </c>
      <c r="B40" t="s">
        <v>612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758</v>
      </c>
      <c r="B41" t="s">
        <v>759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656</v>
      </c>
      <c r="B42" t="s">
        <v>1269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856</v>
      </c>
      <c r="B43" t="s">
        <v>317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1353</v>
      </c>
      <c r="B44" t="s">
        <v>1354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1355</v>
      </c>
      <c r="B45" t="s">
        <v>1356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351</v>
      </c>
      <c r="B46" t="s">
        <v>366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352</v>
      </c>
      <c r="B47" t="s">
        <v>367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1357</v>
      </c>
      <c r="B48" t="s">
        <v>481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421</v>
      </c>
      <c r="B49" t="s">
        <v>318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888</v>
      </c>
      <c r="B50" t="s">
        <v>317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1020</v>
      </c>
      <c r="B51" t="s">
        <v>318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1358</v>
      </c>
      <c r="B52" t="s">
        <v>1359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961</v>
      </c>
      <c r="B53" t="s">
        <v>317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845</v>
      </c>
      <c r="B54" t="s">
        <v>317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626</v>
      </c>
      <c r="B55" t="s">
        <v>317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1360</v>
      </c>
      <c r="B56" t="s">
        <v>1361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425</v>
      </c>
      <c r="B57" t="s">
        <v>426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1025</v>
      </c>
      <c r="B58" t="s">
        <v>1362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1363</v>
      </c>
      <c r="B59" t="s">
        <v>1316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1364</v>
      </c>
      <c r="B60" t="s">
        <v>387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868</v>
      </c>
      <c r="B61" t="s">
        <v>869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598</v>
      </c>
      <c r="B62" t="s">
        <v>599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627</v>
      </c>
      <c r="B63" t="s">
        <v>628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769</v>
      </c>
      <c r="B64" t="s">
        <v>317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437</v>
      </c>
      <c r="B65" t="s">
        <v>438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439</v>
      </c>
      <c r="B66" t="s">
        <v>440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1365</v>
      </c>
      <c r="B67" t="s">
        <v>1366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801</v>
      </c>
      <c r="B68" t="s">
        <v>317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641</v>
      </c>
      <c r="B69" t="s">
        <v>642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780</v>
      </c>
      <c r="B70" t="s">
        <v>706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617</v>
      </c>
      <c r="B71" t="s">
        <v>618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647</v>
      </c>
      <c r="B72" t="s">
        <v>648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1367</v>
      </c>
      <c r="B73" t="s">
        <v>1368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545</v>
      </c>
      <c r="B74" t="s">
        <v>546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567</v>
      </c>
      <c r="B75" t="s">
        <v>568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569</v>
      </c>
      <c r="B76" t="s">
        <v>570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597</v>
      </c>
      <c r="B77" t="s">
        <v>341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581</v>
      </c>
      <c r="B78" t="s">
        <v>582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683</v>
      </c>
      <c r="B79" t="s">
        <v>684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690</v>
      </c>
      <c r="B80" t="s">
        <v>691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485</v>
      </c>
      <c r="B81" t="s">
        <v>486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660</v>
      </c>
      <c r="B82" t="s">
        <v>486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747</v>
      </c>
      <c r="B83" t="s">
        <v>748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657</v>
      </c>
      <c r="B84" t="s">
        <v>658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643</v>
      </c>
      <c r="B85" t="s">
        <v>644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1369</v>
      </c>
      <c r="B86" t="s">
        <v>584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661</v>
      </c>
      <c r="B87" t="s">
        <v>662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694</v>
      </c>
      <c r="B88" t="s">
        <v>695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989</v>
      </c>
      <c r="B89" t="s">
        <v>990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590</v>
      </c>
      <c r="B90" t="s">
        <v>570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451</v>
      </c>
      <c r="B91" t="s">
        <v>452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595</v>
      </c>
      <c r="B92" t="s">
        <v>596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454</v>
      </c>
      <c r="B93" t="s">
        <v>455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1370</v>
      </c>
      <c r="B94" t="s">
        <v>1371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462</v>
      </c>
      <c r="B95" t="s">
        <v>463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606</v>
      </c>
      <c r="B96" t="s">
        <v>607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609</v>
      </c>
      <c r="B97" t="s">
        <v>610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482</v>
      </c>
      <c r="B98" t="s">
        <v>483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681</v>
      </c>
      <c r="B99" t="s">
        <v>682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615</v>
      </c>
      <c r="B100" t="s">
        <v>616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1372</v>
      </c>
      <c r="B101" t="s">
        <v>1208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479</v>
      </c>
      <c r="B102" t="s">
        <v>480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621</v>
      </c>
      <c r="B103" t="s">
        <v>622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624</v>
      </c>
      <c r="B104" t="s">
        <v>625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1373</v>
      </c>
      <c r="B105" t="s">
        <v>348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704</v>
      </c>
      <c r="B106" t="s">
        <v>346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716</v>
      </c>
      <c r="B107" t="s">
        <v>705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724</v>
      </c>
      <c r="B108" t="s">
        <v>324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1018</v>
      </c>
      <c r="B109" t="s">
        <v>1374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1375</v>
      </c>
      <c r="B110" t="s">
        <v>1376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441</v>
      </c>
      <c r="B111" t="s">
        <v>442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1377</v>
      </c>
      <c r="B112" t="s">
        <v>1378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1040</v>
      </c>
      <c r="B113" t="s">
        <v>365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411</v>
      </c>
      <c r="B114" t="s">
        <v>412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453</v>
      </c>
      <c r="B115" t="s">
        <v>322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734</v>
      </c>
      <c r="B116" t="s">
        <v>735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634</v>
      </c>
      <c r="B117" t="s">
        <v>635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639</v>
      </c>
      <c r="B118" t="s">
        <v>640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770</v>
      </c>
      <c r="B119" t="s">
        <v>771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977</v>
      </c>
      <c r="B120" t="s">
        <v>978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566</v>
      </c>
      <c r="B121" t="s">
        <v>302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1379</v>
      </c>
      <c r="B122" t="s">
        <v>1380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1381</v>
      </c>
      <c r="B123" t="s">
        <v>1382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762</v>
      </c>
      <c r="B124" t="s">
        <v>1256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768</v>
      </c>
      <c r="B125" t="s">
        <v>446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1383</v>
      </c>
      <c r="B126" t="s">
        <v>1384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1385</v>
      </c>
      <c r="B127" t="s">
        <v>1262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577</v>
      </c>
      <c r="B128" t="s">
        <v>578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1386</v>
      </c>
      <c r="B129" t="s">
        <v>320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786</v>
      </c>
      <c r="B130" t="s">
        <v>320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1387</v>
      </c>
      <c r="B131" t="s">
        <v>317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692</v>
      </c>
      <c r="B132" t="s">
        <v>693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943</v>
      </c>
      <c r="B133" t="s">
        <v>320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667</v>
      </c>
      <c r="B134" t="s">
        <v>320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563</v>
      </c>
      <c r="B135" t="s">
        <v>320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944</v>
      </c>
      <c r="B136" t="s">
        <v>317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787</v>
      </c>
      <c r="B137" t="s">
        <v>320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882</v>
      </c>
      <c r="B138" t="s">
        <v>883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663</v>
      </c>
      <c r="B139" t="s">
        <v>664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668</v>
      </c>
      <c r="B140" t="s">
        <v>664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1388</v>
      </c>
      <c r="B141" t="s">
        <v>1389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988</v>
      </c>
      <c r="B142" t="s">
        <v>706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790</v>
      </c>
      <c r="B143" t="s">
        <v>320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511</v>
      </c>
      <c r="B144" t="s">
        <v>512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669</v>
      </c>
      <c r="B145" t="s">
        <v>512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677</v>
      </c>
      <c r="B146" t="s">
        <v>426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510</v>
      </c>
      <c r="B147" t="s">
        <v>426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678</v>
      </c>
      <c r="B148" t="s">
        <v>679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675</v>
      </c>
      <c r="B149" t="s">
        <v>676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685</v>
      </c>
      <c r="B150" t="s">
        <v>686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699</v>
      </c>
      <c r="B151" t="s">
        <v>700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763</v>
      </c>
      <c r="B152" t="s">
        <v>347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713</v>
      </c>
      <c r="B153" t="s">
        <v>348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670</v>
      </c>
      <c r="B154" t="s">
        <v>671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853</v>
      </c>
      <c r="B155" t="s">
        <v>347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764</v>
      </c>
      <c r="B156" t="s">
        <v>320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791</v>
      </c>
      <c r="B157" t="s">
        <v>320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1390</v>
      </c>
      <c r="B158" t="s">
        <v>1391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701</v>
      </c>
      <c r="B159" t="s">
        <v>347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592</v>
      </c>
      <c r="B160" t="s">
        <v>346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707</v>
      </c>
      <c r="B161" t="s">
        <v>708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757</v>
      </c>
      <c r="B162" t="s">
        <v>347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957</v>
      </c>
      <c r="B163" t="s">
        <v>320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604</v>
      </c>
      <c r="B164" t="s">
        <v>605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967</v>
      </c>
      <c r="B165" t="s">
        <v>968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673</v>
      </c>
      <c r="B166" t="s">
        <v>674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654</v>
      </c>
      <c r="B167" t="s">
        <v>347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777</v>
      </c>
      <c r="B168" t="s">
        <v>347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829</v>
      </c>
      <c r="B169" t="s">
        <v>830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851</v>
      </c>
      <c r="B170" t="s">
        <v>852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547</v>
      </c>
      <c r="B171" t="s">
        <v>548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802</v>
      </c>
      <c r="B172" t="s">
        <v>803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1392</v>
      </c>
      <c r="B173" t="s">
        <v>1393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717</v>
      </c>
      <c r="B174" t="s">
        <v>718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1394</v>
      </c>
      <c r="B175" t="s">
        <v>1395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619</v>
      </c>
      <c r="B176" t="s">
        <v>620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419</v>
      </c>
      <c r="B177" t="s">
        <v>418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417</v>
      </c>
      <c r="B178" t="s">
        <v>418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719</v>
      </c>
      <c r="B179" t="s">
        <v>720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949</v>
      </c>
      <c r="B180" t="s">
        <v>389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722</v>
      </c>
      <c r="B181" t="s">
        <v>723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456</v>
      </c>
      <c r="B182" t="s">
        <v>457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755</v>
      </c>
      <c r="B183" t="s">
        <v>340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645</v>
      </c>
      <c r="B184" t="s">
        <v>316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980</v>
      </c>
      <c r="B185" t="s">
        <v>316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833</v>
      </c>
      <c r="B186" t="s">
        <v>834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729</v>
      </c>
      <c r="B187" t="s">
        <v>726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730</v>
      </c>
      <c r="B188" t="s">
        <v>339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731</v>
      </c>
      <c r="B189" t="s">
        <v>732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878</v>
      </c>
      <c r="B190" t="s">
        <v>316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1396</v>
      </c>
      <c r="B191" t="s">
        <v>1397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792</v>
      </c>
      <c r="B192" t="s">
        <v>316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449</v>
      </c>
      <c r="B193" t="s">
        <v>450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1398</v>
      </c>
      <c r="B194" t="s">
        <v>1399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386</v>
      </c>
      <c r="B195" t="s">
        <v>365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1028</v>
      </c>
      <c r="B196" t="s">
        <v>416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357</v>
      </c>
      <c r="B197" t="s">
        <v>372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1009</v>
      </c>
      <c r="B198" t="s">
        <v>1400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591</v>
      </c>
      <c r="B199" t="s">
        <v>323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871</v>
      </c>
      <c r="B200" t="s">
        <v>872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1401</v>
      </c>
      <c r="B201" t="s">
        <v>1402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1403</v>
      </c>
      <c r="B202" t="s">
        <v>1404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1019</v>
      </c>
      <c r="B203" t="s">
        <v>1277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1405</v>
      </c>
      <c r="B204" t="s">
        <v>1406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885</v>
      </c>
      <c r="B205" t="s">
        <v>886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736</v>
      </c>
      <c r="B206" t="s">
        <v>344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1407</v>
      </c>
      <c r="B207" t="s">
        <v>318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1408</v>
      </c>
      <c r="B208" t="s">
        <v>891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1409</v>
      </c>
      <c r="B209" t="s">
        <v>1410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363</v>
      </c>
      <c r="B210" t="s">
        <v>891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1411</v>
      </c>
      <c r="B211" t="s">
        <v>1412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1413</v>
      </c>
      <c r="B212" t="s">
        <v>1414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892</v>
      </c>
      <c r="B213" t="s">
        <v>914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760</v>
      </c>
      <c r="B214" t="s">
        <v>761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364</v>
      </c>
      <c r="B215" t="s">
        <v>376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1016</v>
      </c>
      <c r="B216" t="s">
        <v>1017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1415</v>
      </c>
      <c r="B217" t="s">
        <v>1416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435</v>
      </c>
      <c r="B218" t="s">
        <v>436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445</v>
      </c>
      <c r="B219" t="s">
        <v>446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897</v>
      </c>
      <c r="B220" t="s">
        <v>898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540</v>
      </c>
      <c r="B221" t="s">
        <v>526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1417</v>
      </c>
      <c r="B222" t="s">
        <v>1418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756</v>
      </c>
      <c r="B223" t="s">
        <v>346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475</v>
      </c>
      <c r="B224" t="s">
        <v>326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464</v>
      </c>
      <c r="B225" t="s">
        <v>327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541</v>
      </c>
      <c r="B226" t="s">
        <v>542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907</v>
      </c>
      <c r="B227" t="s">
        <v>526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913</v>
      </c>
      <c r="B228" t="s">
        <v>914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672</v>
      </c>
      <c r="B229" t="s">
        <v>651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976</v>
      </c>
      <c r="B230" t="s">
        <v>346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556</v>
      </c>
      <c r="B231" t="s">
        <v>488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487</v>
      </c>
      <c r="B232" t="s">
        <v>488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782</v>
      </c>
      <c r="B233" t="s">
        <v>783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784</v>
      </c>
      <c r="B234" t="s">
        <v>785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765</v>
      </c>
      <c r="B235" t="s">
        <v>766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924</v>
      </c>
      <c r="B236" t="s">
        <v>377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945</v>
      </c>
      <c r="B237" t="s">
        <v>946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982</v>
      </c>
      <c r="B238" t="s">
        <v>983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1419</v>
      </c>
      <c r="B239" t="s">
        <v>1420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1421</v>
      </c>
      <c r="B240" t="s">
        <v>1422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1423</v>
      </c>
      <c r="B241" t="s">
        <v>1424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1425</v>
      </c>
      <c r="B242" t="s">
        <v>1426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1427</v>
      </c>
      <c r="B243" t="s">
        <v>1428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1429</v>
      </c>
      <c r="B244" t="s">
        <v>1430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1431</v>
      </c>
      <c r="B245" t="s">
        <v>343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1432</v>
      </c>
      <c r="B246" t="s">
        <v>321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1433</v>
      </c>
      <c r="B247" t="s">
        <v>1434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484</v>
      </c>
      <c r="B248" t="s">
        <v>1435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1436</v>
      </c>
      <c r="B249" t="s">
        <v>1437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1438</v>
      </c>
      <c r="B250" t="s">
        <v>329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751</v>
      </c>
      <c r="B251" t="s">
        <v>752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565</v>
      </c>
      <c r="B252" t="s">
        <v>1439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1440</v>
      </c>
      <c r="B253" t="s">
        <v>1346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1441</v>
      </c>
      <c r="B254" t="s">
        <v>1442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1443</v>
      </c>
      <c r="B255" t="s">
        <v>1444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702</v>
      </c>
      <c r="B256" t="s">
        <v>703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1011</v>
      </c>
      <c r="B257" t="s">
        <v>1445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711</v>
      </c>
      <c r="B258" t="s">
        <v>712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709</v>
      </c>
      <c r="B259" t="s">
        <v>710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632</v>
      </c>
      <c r="B260" t="s">
        <v>633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600</v>
      </c>
      <c r="B261" t="s">
        <v>601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602</v>
      </c>
      <c r="B262" t="s">
        <v>603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459</v>
      </c>
      <c r="B263" t="s">
        <v>1446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1447</v>
      </c>
      <c r="B264" t="s">
        <v>1145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866</v>
      </c>
      <c r="B265" t="s">
        <v>867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697</v>
      </c>
      <c r="B266" t="s">
        <v>698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533</v>
      </c>
      <c r="B267" t="s">
        <v>328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737</v>
      </c>
      <c r="B268" t="s">
        <v>1448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1449</v>
      </c>
      <c r="B269" t="s">
        <v>1450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1451</v>
      </c>
      <c r="B270" t="s">
        <v>1452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1453</v>
      </c>
      <c r="B271" t="s">
        <v>1454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574</v>
      </c>
      <c r="B272" t="s">
        <v>1455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1015</v>
      </c>
      <c r="B273" t="s">
        <v>1456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804</v>
      </c>
      <c r="B274" t="s">
        <v>302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521</v>
      </c>
      <c r="B275" t="s">
        <v>522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805</v>
      </c>
      <c r="B276" t="s">
        <v>806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840</v>
      </c>
      <c r="B277" t="s">
        <v>841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1457</v>
      </c>
      <c r="B278" t="s">
        <v>1458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808</v>
      </c>
      <c r="B279" t="s">
        <v>302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809</v>
      </c>
      <c r="B280" t="s">
        <v>302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1459</v>
      </c>
      <c r="B281" t="s">
        <v>1460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1461</v>
      </c>
      <c r="B282" t="s">
        <v>1300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1462</v>
      </c>
      <c r="B283" t="s">
        <v>1463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1037</v>
      </c>
      <c r="B284" t="s">
        <v>1464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415</v>
      </c>
      <c r="B285" t="s">
        <v>338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1465</v>
      </c>
      <c r="B286" t="s">
        <v>1466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1467</v>
      </c>
      <c r="B287" t="s">
        <v>1468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811</v>
      </c>
      <c r="B288" t="s">
        <v>812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813</v>
      </c>
      <c r="B289" t="s">
        <v>814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815</v>
      </c>
      <c r="B290" t="s">
        <v>816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1469</v>
      </c>
      <c r="B291" t="s">
        <v>814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817</v>
      </c>
      <c r="B292" t="s">
        <v>302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818</v>
      </c>
      <c r="B293" t="s">
        <v>819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1012</v>
      </c>
      <c r="B294" t="s">
        <v>1470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797</v>
      </c>
      <c r="B295" t="s">
        <v>798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1471</v>
      </c>
      <c r="B296" t="s">
        <v>1108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1033</v>
      </c>
      <c r="B297" t="s">
        <v>302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973</v>
      </c>
      <c r="B298" t="s">
        <v>974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1472</v>
      </c>
      <c r="B299" t="s">
        <v>1163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383</v>
      </c>
      <c r="B300" t="s">
        <v>331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820</v>
      </c>
      <c r="B301" t="s">
        <v>1473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1474</v>
      </c>
      <c r="B302" t="s">
        <v>1475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392</v>
      </c>
      <c r="B303" t="s">
        <v>393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397</v>
      </c>
      <c r="B304" t="s">
        <v>396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504</v>
      </c>
      <c r="B305" t="s">
        <v>505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1476</v>
      </c>
      <c r="B306" t="s">
        <v>1477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572</v>
      </c>
      <c r="B307" t="s">
        <v>573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1478</v>
      </c>
      <c r="B308" t="s">
        <v>1479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585</v>
      </c>
      <c r="B309" t="s">
        <v>586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629</v>
      </c>
      <c r="B310" t="s">
        <v>630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1480</v>
      </c>
      <c r="B311" t="s">
        <v>347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727</v>
      </c>
      <c r="B312" t="s">
        <v>728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733</v>
      </c>
      <c r="B313" t="s">
        <v>332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1481</v>
      </c>
      <c r="B314" t="s">
        <v>344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1482</v>
      </c>
      <c r="B315" t="s">
        <v>1483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499</v>
      </c>
      <c r="B316" t="s">
        <v>500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953</v>
      </c>
      <c r="B317" t="s">
        <v>343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1484</v>
      </c>
      <c r="B318" t="s">
        <v>1341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986</v>
      </c>
      <c r="B319" t="s">
        <v>987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825</v>
      </c>
      <c r="B320" t="s">
        <v>826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353</v>
      </c>
      <c r="B321" t="s">
        <v>345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1010</v>
      </c>
      <c r="B322" t="s">
        <v>1485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473</v>
      </c>
      <c r="B323" t="s">
        <v>474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890</v>
      </c>
      <c r="B324" t="s">
        <v>891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555</v>
      </c>
      <c r="B325" t="s">
        <v>349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562</v>
      </c>
      <c r="B326" t="s">
        <v>349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497</v>
      </c>
      <c r="B327" t="s">
        <v>498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1486</v>
      </c>
      <c r="B328" t="s">
        <v>1487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1007</v>
      </c>
      <c r="B329" t="s">
        <v>1008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1488</v>
      </c>
      <c r="B330" t="s">
        <v>1489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1490</v>
      </c>
      <c r="B331" t="s">
        <v>1491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1492</v>
      </c>
      <c r="B332" t="s">
        <v>1493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430</v>
      </c>
      <c r="B333" t="s">
        <v>431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447</v>
      </c>
      <c r="B334" t="s">
        <v>448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557</v>
      </c>
      <c r="B335" t="s">
        <v>558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1494</v>
      </c>
      <c r="B336" t="s">
        <v>342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767</v>
      </c>
      <c r="B337" t="s">
        <v>388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1495</v>
      </c>
      <c r="B338" t="s">
        <v>1256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1496</v>
      </c>
      <c r="B339" t="s">
        <v>318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1497</v>
      </c>
      <c r="B340" t="s">
        <v>1498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1499</v>
      </c>
      <c r="B341" t="s">
        <v>1500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1501</v>
      </c>
      <c r="B342" t="s">
        <v>340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1502</v>
      </c>
      <c r="B343" t="s">
        <v>1503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1039</v>
      </c>
      <c r="B344" t="s">
        <v>319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1504</v>
      </c>
      <c r="B345" t="s">
        <v>365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1505</v>
      </c>
      <c r="B346" t="s">
        <v>1228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382</v>
      </c>
      <c r="B347" t="s">
        <v>1506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1507</v>
      </c>
      <c r="B348" t="s">
        <v>1201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478</v>
      </c>
      <c r="B349" t="s">
        <v>477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476</v>
      </c>
      <c r="B350" t="s">
        <v>477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646</v>
      </c>
      <c r="B351" t="s">
        <v>341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1034</v>
      </c>
      <c r="B352" t="s">
        <v>346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429</v>
      </c>
      <c r="B353" t="s">
        <v>330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458</v>
      </c>
      <c r="B354" t="s">
        <v>329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788</v>
      </c>
      <c r="B355" t="s">
        <v>789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536</v>
      </c>
      <c r="B356" t="s">
        <v>537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873</v>
      </c>
      <c r="B357" t="s">
        <v>302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954</v>
      </c>
      <c r="B358" t="s">
        <v>302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942</v>
      </c>
      <c r="B359" t="s">
        <v>302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810</v>
      </c>
      <c r="B360" t="s">
        <v>302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469</v>
      </c>
      <c r="B361" t="s">
        <v>323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821</v>
      </c>
      <c r="B362" t="s">
        <v>316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407</v>
      </c>
      <c r="B363" t="s">
        <v>408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355</v>
      </c>
      <c r="B364" t="s">
        <v>370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975</v>
      </c>
      <c r="B365" t="s">
        <v>743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1508</v>
      </c>
      <c r="B366" t="s">
        <v>1509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503</v>
      </c>
      <c r="B367" t="s">
        <v>318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827</v>
      </c>
      <c r="B368" t="s">
        <v>318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356</v>
      </c>
      <c r="B369" t="s">
        <v>371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824</v>
      </c>
      <c r="B370" t="s">
        <v>318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423</v>
      </c>
      <c r="B371" t="s">
        <v>424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1510</v>
      </c>
      <c r="B372" t="s">
        <v>1511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358</v>
      </c>
      <c r="B373" t="s">
        <v>369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359</v>
      </c>
      <c r="B374" t="s">
        <v>373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360</v>
      </c>
      <c r="B375" t="s">
        <v>836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551</v>
      </c>
      <c r="B376" t="s">
        <v>552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502</v>
      </c>
      <c r="B377" t="s">
        <v>318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900</v>
      </c>
      <c r="B378" t="s">
        <v>507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520</v>
      </c>
      <c r="B379" t="s">
        <v>318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354</v>
      </c>
      <c r="B380" t="s">
        <v>368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1512</v>
      </c>
      <c r="B381" t="s">
        <v>1513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361</v>
      </c>
      <c r="B382" t="s">
        <v>374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561</v>
      </c>
      <c r="B383" t="s">
        <v>318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847</v>
      </c>
      <c r="B384" t="s">
        <v>848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921</v>
      </c>
      <c r="B385" t="s">
        <v>554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849</v>
      </c>
      <c r="B386" t="s">
        <v>850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460</v>
      </c>
      <c r="B387" t="s">
        <v>461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1006</v>
      </c>
      <c r="B388" t="s">
        <v>477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1514</v>
      </c>
      <c r="B389" t="s">
        <v>1515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650</v>
      </c>
      <c r="B390" t="s">
        <v>651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857</v>
      </c>
      <c r="B391" t="s">
        <v>858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523</v>
      </c>
      <c r="B392" t="s">
        <v>524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859</v>
      </c>
      <c r="B393" t="s">
        <v>481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362</v>
      </c>
      <c r="B394" t="s">
        <v>369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860</v>
      </c>
      <c r="B395" t="s">
        <v>861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862</v>
      </c>
      <c r="B396" t="s">
        <v>863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864</v>
      </c>
      <c r="B397" t="s">
        <v>865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384</v>
      </c>
      <c r="B398" t="s">
        <v>385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1516</v>
      </c>
      <c r="B399" t="s">
        <v>1517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870</v>
      </c>
      <c r="B400" t="s">
        <v>318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1518</v>
      </c>
      <c r="B401" t="s">
        <v>1519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1024</v>
      </c>
      <c r="B402" t="s">
        <v>375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468</v>
      </c>
      <c r="B403" t="s">
        <v>466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465</v>
      </c>
      <c r="B404" t="s">
        <v>466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874</v>
      </c>
      <c r="B405" t="s">
        <v>875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876</v>
      </c>
      <c r="B406" t="s">
        <v>877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879</v>
      </c>
      <c r="B407" t="s">
        <v>880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508</v>
      </c>
      <c r="B408" t="s">
        <v>509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531</v>
      </c>
      <c r="B409" t="s">
        <v>532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1520</v>
      </c>
      <c r="B410" t="s">
        <v>319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1521</v>
      </c>
      <c r="B411" t="s">
        <v>743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1522</v>
      </c>
      <c r="B412" t="s">
        <v>1523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518</v>
      </c>
      <c r="B413" t="s">
        <v>519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588</v>
      </c>
      <c r="B414" t="s">
        <v>589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893</v>
      </c>
      <c r="B415" t="s">
        <v>894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895</v>
      </c>
      <c r="B416" t="s">
        <v>896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1524</v>
      </c>
      <c r="B417" t="s">
        <v>1525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749</v>
      </c>
      <c r="B418" t="s">
        <v>750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1027</v>
      </c>
      <c r="B419" t="s">
        <v>319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909</v>
      </c>
      <c r="B420" t="s">
        <v>910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1526</v>
      </c>
      <c r="B421" t="s">
        <v>1527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899</v>
      </c>
      <c r="B422" t="s">
        <v>1528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623</v>
      </c>
      <c r="B423" t="s">
        <v>349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774</v>
      </c>
      <c r="B424" t="s">
        <v>346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744</v>
      </c>
      <c r="B425" t="s">
        <v>318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1529</v>
      </c>
      <c r="B426" t="s">
        <v>1530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1531</v>
      </c>
      <c r="B427" t="s">
        <v>1460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525</v>
      </c>
      <c r="B428" t="s">
        <v>526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753</v>
      </c>
      <c r="B429" t="s">
        <v>754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513</v>
      </c>
      <c r="B430" t="s">
        <v>318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901</v>
      </c>
      <c r="B431" t="s">
        <v>349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472</v>
      </c>
      <c r="B432" t="s">
        <v>318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1532</v>
      </c>
      <c r="B433" t="s">
        <v>1428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902</v>
      </c>
      <c r="B434" t="s">
        <v>346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399</v>
      </c>
      <c r="B435" t="s">
        <v>335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420</v>
      </c>
      <c r="B436" t="s">
        <v>334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506</v>
      </c>
      <c r="B437" t="s">
        <v>507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432</v>
      </c>
      <c r="B438" t="s">
        <v>433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903</v>
      </c>
      <c r="B439" t="s">
        <v>554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904</v>
      </c>
      <c r="B440" t="s">
        <v>349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1038</v>
      </c>
      <c r="B441" t="s">
        <v>1533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926</v>
      </c>
      <c r="B442" t="s">
        <v>927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608</v>
      </c>
      <c r="B443" t="s">
        <v>349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725</v>
      </c>
      <c r="B444" t="s">
        <v>324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772</v>
      </c>
      <c r="B445" t="s">
        <v>773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1035</v>
      </c>
      <c r="B446" t="s">
        <v>346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908</v>
      </c>
      <c r="B447" t="s">
        <v>554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553</v>
      </c>
      <c r="B448" t="s">
        <v>554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665</v>
      </c>
      <c r="B449" t="s">
        <v>666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1021</v>
      </c>
      <c r="B450" t="s">
        <v>912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837</v>
      </c>
      <c r="B451" t="s">
        <v>838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911</v>
      </c>
      <c r="B452" t="s">
        <v>1534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745</v>
      </c>
      <c r="B453" t="s">
        <v>743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915</v>
      </c>
      <c r="B454" t="s">
        <v>916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917</v>
      </c>
      <c r="B455" t="s">
        <v>918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919</v>
      </c>
      <c r="B456" t="s">
        <v>920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1535</v>
      </c>
      <c r="B457" t="s">
        <v>1536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527</v>
      </c>
      <c r="B458" t="s">
        <v>528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529</v>
      </c>
      <c r="B459" t="s">
        <v>530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905</v>
      </c>
      <c r="B460" t="s">
        <v>906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799</v>
      </c>
      <c r="B461" t="s">
        <v>346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1537</v>
      </c>
      <c r="B462" t="s">
        <v>302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922</v>
      </c>
      <c r="B463" t="s">
        <v>923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1026</v>
      </c>
      <c r="B464" t="s">
        <v>318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409</v>
      </c>
      <c r="B465" t="s">
        <v>410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571</v>
      </c>
      <c r="B466" t="s">
        <v>346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925</v>
      </c>
      <c r="B467" t="s">
        <v>349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687</v>
      </c>
      <c r="B468" t="s">
        <v>526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514</v>
      </c>
      <c r="B469" t="s">
        <v>515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564</v>
      </c>
      <c r="B470" t="s">
        <v>526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721</v>
      </c>
      <c r="B471" t="s">
        <v>318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929</v>
      </c>
      <c r="B472" t="s">
        <v>318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930</v>
      </c>
      <c r="B473" t="s">
        <v>931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932</v>
      </c>
      <c r="B474" t="s">
        <v>1107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696</v>
      </c>
      <c r="B475" t="s">
        <v>526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516</v>
      </c>
      <c r="B476" t="s">
        <v>517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543</v>
      </c>
      <c r="B477" t="s">
        <v>544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501</v>
      </c>
      <c r="B478" t="s">
        <v>494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493</v>
      </c>
      <c r="B479" t="s">
        <v>494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549</v>
      </c>
      <c r="B480" t="s">
        <v>550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933</v>
      </c>
      <c r="B481" t="s">
        <v>934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1538</v>
      </c>
      <c r="B482" t="s">
        <v>1539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935</v>
      </c>
      <c r="B483" t="s">
        <v>936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1540</v>
      </c>
      <c r="B484" t="s">
        <v>1541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937</v>
      </c>
      <c r="B485" t="s">
        <v>938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1542</v>
      </c>
      <c r="B486" t="s">
        <v>1543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939</v>
      </c>
      <c r="B487" t="s">
        <v>490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489</v>
      </c>
      <c r="B488" t="s">
        <v>490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940</v>
      </c>
      <c r="B489" t="s">
        <v>941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470</v>
      </c>
      <c r="B490" t="s">
        <v>471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491</v>
      </c>
      <c r="B491" t="s">
        <v>492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740</v>
      </c>
      <c r="B492" t="s">
        <v>741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947</v>
      </c>
      <c r="B493" t="s">
        <v>948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950</v>
      </c>
      <c r="B494" t="s">
        <v>951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958</v>
      </c>
      <c r="B495" t="s">
        <v>959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970</v>
      </c>
      <c r="B496" t="s">
        <v>316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984</v>
      </c>
      <c r="B497" t="s">
        <v>985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427</v>
      </c>
      <c r="B498" t="s">
        <v>428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1032</v>
      </c>
      <c r="B499" t="s">
        <v>991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1031</v>
      </c>
      <c r="B500" t="s">
        <v>1544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992</v>
      </c>
      <c r="B501" t="s">
        <v>993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994</v>
      </c>
      <c r="B502" t="s">
        <v>995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996</v>
      </c>
      <c r="B503" t="s">
        <v>997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998</v>
      </c>
      <c r="B504" t="s">
        <v>999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1000</v>
      </c>
      <c r="B505" t="s">
        <v>1001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1002</v>
      </c>
      <c r="B506" t="s">
        <v>1003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1004</v>
      </c>
      <c r="B507" t="s">
        <v>1005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854</v>
      </c>
      <c r="B508" t="s">
        <v>316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843</v>
      </c>
      <c r="B509" t="s">
        <v>316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971</v>
      </c>
      <c r="B510" t="s">
        <v>972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593</v>
      </c>
      <c r="B511" t="s">
        <v>594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844</v>
      </c>
      <c r="B512" t="s">
        <v>316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659</v>
      </c>
      <c r="B513" t="s">
        <v>340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828</v>
      </c>
      <c r="B514" t="s">
        <v>316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649</v>
      </c>
      <c r="B515" t="s">
        <v>316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979</v>
      </c>
      <c r="B516" t="s">
        <v>316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839</v>
      </c>
      <c r="B517" t="s">
        <v>743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887</v>
      </c>
      <c r="B518" t="s">
        <v>316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955</v>
      </c>
      <c r="B519" t="s">
        <v>316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832</v>
      </c>
      <c r="B520" t="s">
        <v>316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963</v>
      </c>
      <c r="B521" t="s">
        <v>316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738</v>
      </c>
      <c r="B522" t="s">
        <v>739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842</v>
      </c>
      <c r="B523" t="s">
        <v>316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800</v>
      </c>
      <c r="B524" t="s">
        <v>794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964</v>
      </c>
      <c r="B525" t="s">
        <v>666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962</v>
      </c>
      <c r="B526" t="s">
        <v>316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835</v>
      </c>
      <c r="B527" t="s">
        <v>316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775</v>
      </c>
      <c r="B528" t="s">
        <v>743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793</v>
      </c>
      <c r="B529" t="s">
        <v>794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846</v>
      </c>
      <c r="B530" t="s">
        <v>316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981</v>
      </c>
      <c r="B531" t="s">
        <v>316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1036</v>
      </c>
      <c r="B532" t="s">
        <v>426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855</v>
      </c>
      <c r="B533" t="s">
        <v>316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881</v>
      </c>
      <c r="B534" t="s">
        <v>316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778</v>
      </c>
      <c r="B535" t="s">
        <v>743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779</v>
      </c>
      <c r="B536" t="s">
        <v>743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884</v>
      </c>
      <c r="B537" t="s">
        <v>316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467</v>
      </c>
      <c r="B538" t="s">
        <v>325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652</v>
      </c>
      <c r="B539" t="s">
        <v>653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688</v>
      </c>
      <c r="B540" t="s">
        <v>689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1545</v>
      </c>
      <c r="B541" t="s">
        <v>1546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1030</v>
      </c>
      <c r="B542" t="s">
        <v>350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742</v>
      </c>
      <c r="B543" t="s">
        <v>743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795</v>
      </c>
      <c r="B544" t="s">
        <v>796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956</v>
      </c>
      <c r="B545" t="s">
        <v>316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1547</v>
      </c>
      <c r="B546" t="s">
        <v>1548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1549</v>
      </c>
      <c r="B547" t="s">
        <v>1550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1551</v>
      </c>
      <c r="B548" t="s">
        <v>1552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823</v>
      </c>
      <c r="B549" t="s">
        <v>316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1553</v>
      </c>
      <c r="B550" t="s">
        <v>1109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831</v>
      </c>
      <c r="B551" t="s">
        <v>743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1554</v>
      </c>
      <c r="B552" t="s">
        <v>920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1555</v>
      </c>
      <c r="B553" t="s">
        <v>1556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1557</v>
      </c>
      <c r="B554" t="s">
        <v>1558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401</v>
      </c>
      <c r="B555" t="s">
        <v>402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637</v>
      </c>
      <c r="B556" t="s">
        <v>638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1559</v>
      </c>
      <c r="B557" t="s">
        <v>1560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960</v>
      </c>
      <c r="B558" t="s">
        <v>316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776</v>
      </c>
      <c r="B559" t="s">
        <v>343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966</v>
      </c>
      <c r="B560" t="s">
        <v>316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405</v>
      </c>
      <c r="B561" t="s">
        <v>406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1561</v>
      </c>
      <c r="B562" t="s">
        <v>1562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1563</v>
      </c>
      <c r="B563" t="s">
        <v>1316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559</v>
      </c>
      <c r="B564" t="s">
        <v>560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587</v>
      </c>
      <c r="B565" t="s">
        <v>316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822</v>
      </c>
      <c r="B566" t="s">
        <v>316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1022</v>
      </c>
      <c r="B567" t="s">
        <v>1023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1564</v>
      </c>
      <c r="B568" t="s">
        <v>1565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1566</v>
      </c>
      <c r="B569" t="s">
        <v>302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807</v>
      </c>
      <c r="B570" t="s">
        <v>302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1567</v>
      </c>
      <c r="B571" t="s">
        <v>302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1568</v>
      </c>
      <c r="B572" t="s">
        <v>1569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1570</v>
      </c>
      <c r="B573" t="s">
        <v>1571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1572</v>
      </c>
      <c r="B574" t="s">
        <v>1573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1574</v>
      </c>
      <c r="B575" t="s">
        <v>1575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889</v>
      </c>
      <c r="B576" t="s">
        <v>316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965</v>
      </c>
      <c r="B577" t="s">
        <v>316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969</v>
      </c>
      <c r="B578" t="s">
        <v>316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400</v>
      </c>
      <c r="B579" t="s">
        <v>333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928</v>
      </c>
      <c r="B580" t="s">
        <v>666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952</v>
      </c>
      <c r="B581" t="s">
        <v>316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538</v>
      </c>
      <c r="B582" t="s">
        <v>539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636</v>
      </c>
      <c r="B583" t="s">
        <v>316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714</v>
      </c>
      <c r="B584" t="s">
        <v>715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680</v>
      </c>
      <c r="B585" t="s">
        <v>316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1576</v>
      </c>
      <c r="B586" t="s">
        <v>320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1577</v>
      </c>
      <c r="B587" t="s">
        <v>1578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631</v>
      </c>
      <c r="B588" t="s">
        <v>316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655</v>
      </c>
      <c r="B589" t="s">
        <v>316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746</v>
      </c>
      <c r="B590" t="s">
        <v>614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1579</v>
      </c>
      <c r="B591" t="s">
        <v>1164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781</v>
      </c>
      <c r="B592" t="s">
        <v>343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1580</v>
      </c>
      <c r="B593" t="s">
        <v>1581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613</v>
      </c>
      <c r="B594" t="s">
        <v>614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1582</v>
      </c>
      <c r="B595" t="s">
        <v>1583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443</v>
      </c>
      <c r="B596" t="s">
        <v>444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1584</v>
      </c>
      <c r="B597" t="s">
        <v>1585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1586</v>
      </c>
      <c r="B598" t="s">
        <v>350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1587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1588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1589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1590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1591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1592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1593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1594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1595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1596</v>
      </c>
      <c r="B608" t="s">
        <v>1479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1597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1598</v>
      </c>
      <c r="B610" t="s">
        <v>1599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1600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1601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1602</v>
      </c>
      <c r="B613" t="s">
        <v>1603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1604</v>
      </c>
      <c r="B614" t="s">
        <v>1605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1606</v>
      </c>
      <c r="B615" t="s">
        <v>1607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1608</v>
      </c>
      <c r="B616" t="s">
        <v>1609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1610</v>
      </c>
      <c r="B617" t="s">
        <v>1611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1612</v>
      </c>
      <c r="B618" t="s">
        <v>1613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1614</v>
      </c>
      <c r="B619" t="s">
        <v>1615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1616</v>
      </c>
      <c r="B620" t="s">
        <v>1617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1618</v>
      </c>
      <c r="B621" t="s">
        <v>891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1619</v>
      </c>
      <c r="B622" t="s">
        <v>1620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1621</v>
      </c>
      <c r="B623" t="s">
        <v>1622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1623</v>
      </c>
      <c r="B624" t="s">
        <v>1624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1625</v>
      </c>
      <c r="B625" t="s">
        <v>1626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1627</v>
      </c>
      <c r="B626" t="s">
        <v>1628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1629</v>
      </c>
      <c r="B627" t="s">
        <v>1630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1631</v>
      </c>
      <c r="B628" t="s">
        <v>1632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1633</v>
      </c>
      <c r="B629" t="s">
        <v>1634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1013</v>
      </c>
      <c r="B630" t="s">
        <v>1635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1636</v>
      </c>
      <c r="B631" t="s">
        <v>1637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1638</v>
      </c>
      <c r="B632" t="s">
        <v>1226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1639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1640</v>
      </c>
      <c r="B634" t="s">
        <v>1641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1642</v>
      </c>
      <c r="B635" t="s">
        <v>1643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1644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1645</v>
      </c>
      <c r="B637" t="s">
        <v>1646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1647</v>
      </c>
      <c r="B638" t="s">
        <v>318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1648</v>
      </c>
      <c r="B639" t="s">
        <v>365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1018</v>
      </c>
      <c r="B640" t="s">
        <v>324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540</v>
      </c>
      <c r="B641" t="s">
        <v>526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1551</v>
      </c>
      <c r="B642" t="s">
        <v>1232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553</v>
      </c>
      <c r="B643" t="s">
        <v>554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1547</v>
      </c>
      <c r="B644" t="s">
        <v>323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1549</v>
      </c>
      <c r="B645" t="s">
        <v>1176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1649</v>
      </c>
      <c r="B646" t="s">
        <v>338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781</v>
      </c>
      <c r="B647" t="s">
        <v>614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1650</v>
      </c>
      <c r="B648" t="s">
        <v>1651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7" type="noConversion"/>
  <conditionalFormatting sqref="E1:E1048576">
    <cfRule type="duplicateValues" dxfId="45" priority="3"/>
  </conditionalFormatting>
  <conditionalFormatting sqref="A1:A1048576">
    <cfRule type="duplicateValues" dxfId="44" priority="1"/>
    <cfRule type="duplicateValues" dxfId="43" priority="2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7"/>
    </row>
    <row r="2" spans="1:6" ht="15.75">
      <c r="A2" s="300" t="s">
        <v>274</v>
      </c>
      <c r="B2" s="300"/>
      <c r="C2" s="300"/>
      <c r="D2" s="300"/>
      <c r="E2" s="300"/>
    </row>
    <row r="3" spans="1:6">
      <c r="A3" s="65" t="s">
        <v>275</v>
      </c>
      <c r="B3" s="65" t="s">
        <v>276</v>
      </c>
      <c r="C3" s="65" t="s">
        <v>277</v>
      </c>
      <c r="D3" s="65" t="s">
        <v>278</v>
      </c>
      <c r="E3" s="65" t="s">
        <v>279</v>
      </c>
      <c r="F3" s="77" t="s">
        <v>292</v>
      </c>
    </row>
    <row r="4" spans="1:6">
      <c r="A4" s="23">
        <v>1</v>
      </c>
      <c r="B4" s="18" t="s">
        <v>280</v>
      </c>
      <c r="C4" s="23" t="s">
        <v>107</v>
      </c>
      <c r="D4" s="18" t="s">
        <v>281</v>
      </c>
      <c r="E4" s="66" t="s">
        <v>282</v>
      </c>
    </row>
    <row r="5" spans="1:6">
      <c r="A5" s="23">
        <v>2</v>
      </c>
      <c r="B5" s="18" t="s">
        <v>283</v>
      </c>
      <c r="C5" s="23" t="s">
        <v>98</v>
      </c>
      <c r="D5" s="18" t="s">
        <v>131</v>
      </c>
      <c r="E5" s="66" t="s">
        <v>282</v>
      </c>
      <c r="F5" t="s">
        <v>26</v>
      </c>
    </row>
    <row r="6" spans="1:6">
      <c r="A6" s="23">
        <v>3</v>
      </c>
      <c r="B6" s="18" t="s">
        <v>284</v>
      </c>
      <c r="C6" s="23" t="s">
        <v>50</v>
      </c>
      <c r="D6" s="18" t="s">
        <v>131</v>
      </c>
      <c r="E6" s="66" t="s">
        <v>282</v>
      </c>
    </row>
    <row r="7" spans="1:6">
      <c r="A7" s="23">
        <v>4</v>
      </c>
      <c r="B7" s="18" t="s">
        <v>280</v>
      </c>
      <c r="C7" s="23" t="s">
        <v>97</v>
      </c>
      <c r="D7" s="18" t="s">
        <v>285</v>
      </c>
      <c r="E7" s="66" t="s">
        <v>282</v>
      </c>
    </row>
    <row r="8" spans="1:6">
      <c r="A8" s="23">
        <v>5</v>
      </c>
      <c r="B8" s="18" t="s">
        <v>286</v>
      </c>
      <c r="C8" s="23" t="s">
        <v>114</v>
      </c>
      <c r="D8" s="18" t="s">
        <v>281</v>
      </c>
      <c r="E8" s="66" t="s">
        <v>282</v>
      </c>
    </row>
    <row r="9" spans="1:6">
      <c r="A9" s="23">
        <v>6</v>
      </c>
      <c r="B9" s="18" t="s">
        <v>287</v>
      </c>
      <c r="C9" s="23" t="s">
        <v>115</v>
      </c>
      <c r="D9" s="75" t="s">
        <v>285</v>
      </c>
      <c r="E9" s="66" t="s">
        <v>282</v>
      </c>
    </row>
    <row r="10" spans="1:6">
      <c r="A10" s="23">
        <v>7</v>
      </c>
      <c r="B10" s="18" t="s">
        <v>288</v>
      </c>
      <c r="C10" s="23" t="s">
        <v>126</v>
      </c>
      <c r="D10" s="75" t="s">
        <v>285</v>
      </c>
      <c r="E10" s="66" t="s">
        <v>282</v>
      </c>
    </row>
    <row r="11" spans="1:6">
      <c r="A11" s="23">
        <v>8</v>
      </c>
      <c r="B11" s="18" t="s">
        <v>288</v>
      </c>
      <c r="C11" s="23" t="s">
        <v>128</v>
      </c>
      <c r="D11" s="75" t="s">
        <v>285</v>
      </c>
      <c r="E11" s="66" t="s">
        <v>282</v>
      </c>
    </row>
    <row r="12" spans="1:6">
      <c r="A12" s="23">
        <v>9</v>
      </c>
      <c r="B12" s="18" t="s">
        <v>280</v>
      </c>
      <c r="C12" s="23" t="s">
        <v>124</v>
      </c>
      <c r="D12" s="75" t="s">
        <v>285</v>
      </c>
      <c r="E12" s="66" t="s">
        <v>282</v>
      </c>
    </row>
    <row r="13" spans="1:6">
      <c r="A13" s="67">
        <v>10</v>
      </c>
      <c r="B13" s="68" t="s">
        <v>280</v>
      </c>
      <c r="C13" s="67" t="s">
        <v>85</v>
      </c>
      <c r="D13" s="76" t="s">
        <v>285</v>
      </c>
      <c r="E13" s="69" t="s">
        <v>282</v>
      </c>
    </row>
    <row r="14" spans="1:6">
      <c r="A14" s="67">
        <v>11</v>
      </c>
      <c r="B14" s="70" t="s">
        <v>133</v>
      </c>
      <c r="C14" s="67" t="s">
        <v>132</v>
      </c>
      <c r="D14" s="76" t="s">
        <v>285</v>
      </c>
      <c r="E14" s="69" t="s">
        <v>282</v>
      </c>
    </row>
    <row r="15" spans="1:6">
      <c r="A15" s="67">
        <v>12</v>
      </c>
      <c r="B15" s="71" t="s">
        <v>47</v>
      </c>
      <c r="C15" s="72" t="s">
        <v>46</v>
      </c>
      <c r="D15" s="68" t="s">
        <v>285</v>
      </c>
      <c r="E15" s="67" t="s">
        <v>26</v>
      </c>
      <c r="F15" t="s">
        <v>26</v>
      </c>
    </row>
    <row r="16" spans="1:6">
      <c r="A16" s="67">
        <v>13</v>
      </c>
      <c r="B16" s="71" t="s">
        <v>289</v>
      </c>
      <c r="C16" s="72" t="s">
        <v>54</v>
      </c>
      <c r="D16" s="68" t="s">
        <v>281</v>
      </c>
      <c r="E16" s="67" t="s">
        <v>26</v>
      </c>
      <c r="F16" t="s">
        <v>26</v>
      </c>
    </row>
    <row r="17" spans="1:7">
      <c r="A17" s="67">
        <v>14</v>
      </c>
      <c r="B17" s="71" t="s">
        <v>20</v>
      </c>
      <c r="C17" s="72" t="s">
        <v>77</v>
      </c>
      <c r="D17" s="73" t="s">
        <v>281</v>
      </c>
      <c r="E17" s="67" t="s">
        <v>26</v>
      </c>
      <c r="F17" t="s">
        <v>26</v>
      </c>
    </row>
    <row r="18" spans="1:7">
      <c r="A18" s="67">
        <v>15</v>
      </c>
      <c r="B18" s="71" t="s">
        <v>67</v>
      </c>
      <c r="C18" s="72" t="s">
        <v>103</v>
      </c>
      <c r="D18" s="74" t="s">
        <v>281</v>
      </c>
      <c r="E18" s="67" t="s">
        <v>26</v>
      </c>
      <c r="F18" t="s">
        <v>26</v>
      </c>
      <c r="G18" t="s">
        <v>298</v>
      </c>
    </row>
    <row r="19" spans="1:7">
      <c r="A19" s="67">
        <v>16</v>
      </c>
      <c r="B19" s="71" t="s">
        <v>290</v>
      </c>
      <c r="C19" s="72" t="s">
        <v>116</v>
      </c>
      <c r="D19" s="73" t="s">
        <v>281</v>
      </c>
      <c r="E19" s="67" t="s">
        <v>26</v>
      </c>
      <c r="F19" t="s">
        <v>26</v>
      </c>
      <c r="G19" t="s">
        <v>298</v>
      </c>
    </row>
    <row r="20" spans="1:7">
      <c r="A20" s="67">
        <v>17</v>
      </c>
      <c r="B20" s="18" t="s">
        <v>34</v>
      </c>
      <c r="C20" s="18" t="s">
        <v>197</v>
      </c>
      <c r="D20" s="68" t="s">
        <v>285</v>
      </c>
      <c r="E20" s="23"/>
    </row>
    <row r="21" spans="1:7">
      <c r="A21" s="67">
        <v>18</v>
      </c>
      <c r="B21" s="18" t="s">
        <v>34</v>
      </c>
      <c r="C21" s="18" t="s">
        <v>194</v>
      </c>
      <c r="D21" s="68" t="s">
        <v>285</v>
      </c>
      <c r="E21" s="23"/>
    </row>
    <row r="22" spans="1:7">
      <c r="A22" s="67">
        <v>19</v>
      </c>
      <c r="B22" s="18" t="s">
        <v>34</v>
      </c>
      <c r="C22" s="18" t="s">
        <v>205</v>
      </c>
      <c r="D22" s="68" t="s">
        <v>285</v>
      </c>
      <c r="E22" s="18"/>
    </row>
    <row r="23" spans="1:7">
      <c r="A23" s="67">
        <v>20</v>
      </c>
      <c r="B23" s="18" t="s">
        <v>291</v>
      </c>
      <c r="C23" s="18" t="s">
        <v>167</v>
      </c>
      <c r="D23" s="68" t="s">
        <v>285</v>
      </c>
      <c r="E23" s="18"/>
    </row>
  </sheetData>
  <autoFilter ref="A3:F19" xr:uid="{00000000-0009-0000-0000-000008000000}"/>
  <mergeCells count="1">
    <mergeCell ref="A2:E2"/>
  </mergeCells>
  <phoneticPr fontId="24"/>
  <conditionalFormatting sqref="C18">
    <cfRule type="duplicateValues" dxfId="42" priority="1"/>
  </conditionalFormatting>
  <conditionalFormatting sqref="C6">
    <cfRule type="duplicateValues" dxfId="41" priority="2"/>
  </conditionalFormatting>
  <conditionalFormatting sqref="C5">
    <cfRule type="duplicateValues" dxfId="40" priority="3"/>
  </conditionalFormatting>
  <conditionalFormatting sqref="C4">
    <cfRule type="duplicateValues" dxfId="39" priority="4"/>
  </conditionalFormatting>
  <conditionalFormatting sqref="C7">
    <cfRule type="duplicateValues" dxfId="38" priority="5"/>
  </conditionalFormatting>
  <conditionalFormatting sqref="C14">
    <cfRule type="duplicateValues" dxfId="37" priority="6"/>
  </conditionalFormatting>
  <conditionalFormatting sqref="C15">
    <cfRule type="duplicateValues" dxfId="36" priority="7"/>
  </conditionalFormatting>
  <conditionalFormatting sqref="C16">
    <cfRule type="duplicateValues" dxfId="35" priority="8"/>
  </conditionalFormatting>
  <conditionalFormatting sqref="C17">
    <cfRule type="duplicateValues" dxfId="34" priority="9"/>
  </conditionalFormatting>
  <conditionalFormatting sqref="C19">
    <cfRule type="duplicateValues" dxfId="33" priority="10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F954"/>
  <sheetViews>
    <sheetView zoomScaleNormal="100" workbookViewId="0">
      <pane xSplit="5" ySplit="2" topLeftCell="K3" activePane="bottomRight" state="frozen"/>
      <selection pane="topRight" activeCell="F1" sqref="F1"/>
      <selection pane="bottomLeft" activeCell="A3" sqref="A3"/>
      <selection pane="bottomRight" activeCell="C26" sqref="C26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209" customWidth="1"/>
    <col min="7" max="7" width="10.7109375" style="14" hidden="1" customWidth="1"/>
    <col min="8" max="10" width="10.7109375" style="14" customWidth="1"/>
    <col min="11" max="11" width="6.28515625" customWidth="1"/>
    <col min="12" max="12" width="14.7109375" customWidth="1"/>
    <col min="13" max="13" width="8.7109375" style="20" customWidth="1"/>
    <col min="14" max="14" width="21" customWidth="1"/>
    <col min="15" max="15" width="10.7109375" style="213" bestFit="1" customWidth="1"/>
    <col min="16" max="16" width="41.7109375" customWidth="1"/>
    <col min="17" max="17" width="3.7109375" customWidth="1"/>
    <col min="19" max="19" width="9.140625" hidden="1" customWidth="1"/>
    <col min="20" max="20" width="10" customWidth="1"/>
    <col min="21" max="21" width="9.5703125" customWidth="1"/>
    <col min="22" max="22" width="11.5703125" customWidth="1"/>
    <col min="23" max="23" width="10.140625" customWidth="1"/>
    <col min="24" max="24" width="10.85546875" customWidth="1"/>
    <col min="26" max="26" width="9.7109375" bestFit="1" customWidth="1"/>
    <col min="27" max="27" width="13" customWidth="1"/>
    <col min="28" max="28" width="9.7109375" bestFit="1" customWidth="1"/>
    <col min="30" max="30" width="11.85546875" customWidth="1"/>
    <col min="32" max="32" width="10" bestFit="1" customWidth="1"/>
  </cols>
  <sheetData>
    <row r="1" spans="1:32" ht="90" customHeight="1">
      <c r="B1" s="17" t="s">
        <v>71</v>
      </c>
      <c r="P1" s="15" t="s">
        <v>4833</v>
      </c>
      <c r="T1" s="15" t="s">
        <v>5661</v>
      </c>
      <c r="U1" s="15" t="s">
        <v>5713</v>
      </c>
      <c r="V1" s="15"/>
      <c r="W1" s="15" t="s">
        <v>5714</v>
      </c>
      <c r="X1" s="15" t="s">
        <v>5715</v>
      </c>
      <c r="Y1" s="15" t="s">
        <v>5807</v>
      </c>
      <c r="Z1" s="15" t="s">
        <v>5711</v>
      </c>
      <c r="AA1" s="15" t="s">
        <v>5806</v>
      </c>
      <c r="AB1" s="15" t="s">
        <v>5712</v>
      </c>
      <c r="AC1" s="15" t="s">
        <v>5662</v>
      </c>
      <c r="AD1" s="15" t="s">
        <v>5808</v>
      </c>
    </row>
    <row r="2" spans="1:32" ht="51">
      <c r="A2" s="164" t="s">
        <v>101</v>
      </c>
      <c r="B2" s="164" t="s">
        <v>1088</v>
      </c>
      <c r="C2" s="164" t="s">
        <v>81</v>
      </c>
      <c r="D2" s="164" t="s">
        <v>82</v>
      </c>
      <c r="E2" s="164" t="s">
        <v>83</v>
      </c>
      <c r="F2" s="164" t="s">
        <v>105</v>
      </c>
      <c r="G2" s="164" t="s">
        <v>1988</v>
      </c>
      <c r="H2" s="164" t="s">
        <v>2434</v>
      </c>
      <c r="I2" s="164" t="s">
        <v>1989</v>
      </c>
      <c r="J2" s="170" t="s">
        <v>1910</v>
      </c>
      <c r="K2" s="164" t="s">
        <v>99</v>
      </c>
      <c r="L2" s="164" t="s">
        <v>104</v>
      </c>
      <c r="M2" s="185" t="s">
        <v>1987</v>
      </c>
      <c r="N2" s="164" t="s">
        <v>10</v>
      </c>
      <c r="O2" s="164" t="s">
        <v>1071</v>
      </c>
      <c r="P2" s="169" t="s">
        <v>1986</v>
      </c>
      <c r="Q2" s="169" t="s">
        <v>2435</v>
      </c>
      <c r="R2" s="169" t="s">
        <v>3083</v>
      </c>
      <c r="S2" s="229" t="s">
        <v>5113</v>
      </c>
      <c r="T2" s="231" t="s">
        <v>5206</v>
      </c>
      <c r="U2" s="255" t="s">
        <v>5207</v>
      </c>
      <c r="V2" s="255" t="s">
        <v>5208</v>
      </c>
      <c r="W2" s="258" t="s">
        <v>5592</v>
      </c>
      <c r="X2" s="258" t="s">
        <v>5209</v>
      </c>
      <c r="Y2" s="259" t="s">
        <v>5593</v>
      </c>
      <c r="Z2" s="264" t="s">
        <v>5210</v>
      </c>
      <c r="AA2" s="265" t="s">
        <v>5594</v>
      </c>
      <c r="AB2" s="266" t="s">
        <v>5596</v>
      </c>
      <c r="AC2" s="232" t="s">
        <v>5595</v>
      </c>
      <c r="AD2" s="232" t="s">
        <v>5338</v>
      </c>
    </row>
    <row r="3" spans="1:32">
      <c r="A3" s="290">
        <f>COUNTA($E$3:E3)</f>
        <v>1</v>
      </c>
      <c r="B3" s="290" t="s">
        <v>5009</v>
      </c>
      <c r="C3" s="290" t="s">
        <v>4195</v>
      </c>
      <c r="D3" s="290" t="s">
        <v>1115</v>
      </c>
      <c r="E3" s="290" t="s">
        <v>5010</v>
      </c>
      <c r="F3" s="289">
        <v>45013.44054398148</v>
      </c>
      <c r="G3" s="289"/>
      <c r="H3" s="289">
        <v>45036</v>
      </c>
      <c r="I3" s="289">
        <v>45014</v>
      </c>
      <c r="J3" s="289" t="s">
        <v>3</v>
      </c>
      <c r="K3" s="290" t="s">
        <v>5011</v>
      </c>
      <c r="L3" s="214" t="s">
        <v>297</v>
      </c>
      <c r="M3" s="223">
        <v>45117</v>
      </c>
      <c r="N3" s="220" t="s">
        <v>5946</v>
      </c>
      <c r="O3" s="223"/>
      <c r="P3" s="222"/>
      <c r="R3" t="s">
        <v>26</v>
      </c>
      <c r="S3">
        <v>73</v>
      </c>
      <c r="T3" s="240">
        <v>45013</v>
      </c>
      <c r="U3" s="256">
        <v>45014</v>
      </c>
      <c r="V3" s="256">
        <v>45069</v>
      </c>
      <c r="W3" s="260">
        <f>V3</f>
        <v>45069</v>
      </c>
      <c r="X3" s="260">
        <v>45106.690057870372</v>
      </c>
      <c r="Y3" s="261">
        <f>IFERROR(NETWORKDAYS.INTL(W3,X3),1)</f>
        <v>28</v>
      </c>
      <c r="Z3" s="267">
        <v>45107</v>
      </c>
      <c r="AA3" s="268">
        <f>IFERROR(NETWORKDAYS.INTL(Z3,AB3),1)</f>
        <v>3</v>
      </c>
      <c r="AB3" s="267">
        <v>45111</v>
      </c>
      <c r="AC3" s="241">
        <f>IFERROR(NETWORKDAYS.INTL(T3,AB3),1)</f>
        <v>71</v>
      </c>
      <c r="AD3" s="240" t="str">
        <f>IF(O3&lt;&gt;"",O3,"")</f>
        <v/>
      </c>
      <c r="AE3" s="230"/>
      <c r="AF3" s="230"/>
    </row>
    <row r="4" spans="1:32">
      <c r="A4" s="291">
        <f>COUNTA($E$3:E4)</f>
        <v>2</v>
      </c>
      <c r="B4" s="291" t="s">
        <v>4983</v>
      </c>
      <c r="C4" s="291" t="s">
        <v>45</v>
      </c>
      <c r="D4" s="291" t="s">
        <v>20</v>
      </c>
      <c r="E4" s="291" t="s">
        <v>1218</v>
      </c>
      <c r="F4" s="292">
        <v>45012</v>
      </c>
      <c r="G4" s="292">
        <v>45020</v>
      </c>
      <c r="H4" s="292"/>
      <c r="I4" s="292" t="s">
        <v>70</v>
      </c>
      <c r="J4" s="292" t="s">
        <v>3</v>
      </c>
      <c r="K4" s="291" t="s">
        <v>5363</v>
      </c>
      <c r="L4" s="214" t="s">
        <v>22</v>
      </c>
      <c r="M4" s="223">
        <v>45117</v>
      </c>
      <c r="N4" s="220" t="s">
        <v>5705</v>
      </c>
      <c r="O4" s="223"/>
      <c r="P4" s="222"/>
      <c r="R4" t="s">
        <v>26</v>
      </c>
      <c r="S4">
        <v>78</v>
      </c>
      <c r="T4" s="240">
        <v>45012</v>
      </c>
      <c r="U4" s="256">
        <v>45013.456134259257</v>
      </c>
      <c r="V4" s="256">
        <v>45013.456134259257</v>
      </c>
      <c r="W4" s="260">
        <v>45013.456134259257</v>
      </c>
      <c r="X4" s="260">
        <v>45093.791597222225</v>
      </c>
      <c r="Y4" s="261">
        <v>59</v>
      </c>
      <c r="Z4" s="267">
        <v>45113</v>
      </c>
      <c r="AA4" s="268">
        <v>3</v>
      </c>
      <c r="AB4" s="267">
        <v>45117</v>
      </c>
      <c r="AC4" s="241">
        <v>76</v>
      </c>
      <c r="AD4" s="240"/>
      <c r="AE4" s="230"/>
      <c r="AF4" s="230"/>
    </row>
    <row r="5" spans="1:32">
      <c r="A5" s="291">
        <f>COUNTA($E$3:E5)</f>
        <v>3</v>
      </c>
      <c r="B5" s="291" t="s">
        <v>5102</v>
      </c>
      <c r="C5" s="291" t="s">
        <v>1131</v>
      </c>
      <c r="D5" s="291" t="s">
        <v>62</v>
      </c>
      <c r="E5" s="291" t="s">
        <v>5103</v>
      </c>
      <c r="F5" s="292">
        <v>45023</v>
      </c>
      <c r="G5" s="292"/>
      <c r="H5" s="292"/>
      <c r="I5" s="292" t="s">
        <v>59</v>
      </c>
      <c r="J5" s="292" t="s">
        <v>3</v>
      </c>
      <c r="K5" s="291" t="s">
        <v>5371</v>
      </c>
      <c r="L5" s="214" t="s">
        <v>37</v>
      </c>
      <c r="M5" s="223">
        <v>45117</v>
      </c>
      <c r="N5" s="220" t="s">
        <v>5921</v>
      </c>
      <c r="O5" s="223"/>
      <c r="P5" s="222"/>
      <c r="R5" t="s">
        <v>138</v>
      </c>
      <c r="S5">
        <v>65</v>
      </c>
      <c r="T5" s="240">
        <v>45023</v>
      </c>
      <c r="U5" s="256">
        <v>45033.80269675926</v>
      </c>
      <c r="V5" s="256">
        <v>45033.80269675926</v>
      </c>
      <c r="W5" s="260">
        <v>45033.80269675926</v>
      </c>
      <c r="X5" s="260">
        <v>45111.657557870371</v>
      </c>
      <c r="Y5" s="261">
        <v>57</v>
      </c>
      <c r="Z5" s="267">
        <v>45111</v>
      </c>
      <c r="AA5" s="268">
        <v>6</v>
      </c>
      <c r="AB5" s="267">
        <v>45118</v>
      </c>
      <c r="AC5" s="241">
        <v>68</v>
      </c>
      <c r="AD5" s="240"/>
      <c r="AE5" s="230"/>
      <c r="AF5" s="230"/>
    </row>
    <row r="6" spans="1:32">
      <c r="A6" s="291">
        <f>COUNTA($E$3:E6)</f>
        <v>4</v>
      </c>
      <c r="B6" s="291" t="s">
        <v>5268</v>
      </c>
      <c r="C6" s="291" t="s">
        <v>1131</v>
      </c>
      <c r="D6" s="291" t="s">
        <v>20</v>
      </c>
      <c r="E6" s="291" t="s">
        <v>5269</v>
      </c>
      <c r="F6" s="292">
        <v>45050</v>
      </c>
      <c r="G6" s="292"/>
      <c r="H6" s="292"/>
      <c r="I6" s="292" t="s">
        <v>59</v>
      </c>
      <c r="J6" s="292" t="s">
        <v>3</v>
      </c>
      <c r="K6" s="291" t="s">
        <v>5391</v>
      </c>
      <c r="L6" s="214" t="s">
        <v>37</v>
      </c>
      <c r="M6" s="223">
        <v>45117</v>
      </c>
      <c r="N6" s="220" t="s">
        <v>5920</v>
      </c>
      <c r="O6" s="223"/>
      <c r="P6" s="222"/>
      <c r="R6" t="s">
        <v>138</v>
      </c>
      <c r="S6">
        <v>46</v>
      </c>
      <c r="T6" s="240">
        <v>45050</v>
      </c>
      <c r="U6" s="256">
        <v>45050.71638888889</v>
      </c>
      <c r="V6" s="256">
        <v>45050.71638888889</v>
      </c>
      <c r="W6" s="260">
        <v>45050.71638888889</v>
      </c>
      <c r="X6" s="260">
        <v>45075.542719907404</v>
      </c>
      <c r="Y6" s="261">
        <v>18</v>
      </c>
      <c r="Z6" s="267">
        <v>45112</v>
      </c>
      <c r="AA6" s="268">
        <v>6</v>
      </c>
      <c r="AB6" s="267">
        <v>45119</v>
      </c>
      <c r="AC6" s="241">
        <v>50</v>
      </c>
      <c r="AD6" s="240"/>
      <c r="AE6" s="230"/>
      <c r="AF6" s="230"/>
    </row>
    <row r="7" spans="1:32">
      <c r="A7" s="291">
        <f>COUNTA($E$3:E7)</f>
        <v>5</v>
      </c>
      <c r="B7" s="291" t="s">
        <v>5863</v>
      </c>
      <c r="C7" s="291" t="s">
        <v>2396</v>
      </c>
      <c r="D7" s="291" t="s">
        <v>1157</v>
      </c>
      <c r="E7" s="291" t="s">
        <v>1175</v>
      </c>
      <c r="F7" s="292">
        <v>45107.650462962964</v>
      </c>
      <c r="G7" s="292"/>
      <c r="H7" s="292"/>
      <c r="I7" s="292"/>
      <c r="J7" s="292" t="s">
        <v>4</v>
      </c>
      <c r="K7" s="291" t="s">
        <v>5876</v>
      </c>
      <c r="L7" s="214" t="s">
        <v>1309</v>
      </c>
      <c r="M7" s="223">
        <v>45117</v>
      </c>
      <c r="N7" s="220" t="s">
        <v>5904</v>
      </c>
      <c r="O7" s="223"/>
      <c r="P7" s="222"/>
      <c r="R7" t="s">
        <v>26</v>
      </c>
      <c r="S7">
        <v>5</v>
      </c>
      <c r="T7" s="240">
        <v>45107</v>
      </c>
      <c r="U7" s="256">
        <v>45110.497256944444</v>
      </c>
      <c r="V7" s="256">
        <v>45110.497256944444</v>
      </c>
      <c r="W7" s="260">
        <v>45110.497256944444</v>
      </c>
      <c r="X7" s="260">
        <v>45110.497986111113</v>
      </c>
      <c r="Y7" s="261">
        <v>1</v>
      </c>
      <c r="Z7" s="267">
        <v>45110</v>
      </c>
      <c r="AA7" s="268">
        <v>9</v>
      </c>
      <c r="AB7" s="267">
        <v>45120</v>
      </c>
      <c r="AC7" s="241">
        <v>10</v>
      </c>
      <c r="AD7" s="240">
        <v>45111</v>
      </c>
      <c r="AE7" s="230"/>
      <c r="AF7" s="230"/>
    </row>
    <row r="8" spans="1:32">
      <c r="A8" s="291">
        <f>COUNTA($E$3:E8)</f>
        <v>6</v>
      </c>
      <c r="B8" s="291" t="s">
        <v>5879</v>
      </c>
      <c r="C8" s="291" t="s">
        <v>41</v>
      </c>
      <c r="D8" s="291" t="s">
        <v>38</v>
      </c>
      <c r="E8" s="291" t="s">
        <v>3312</v>
      </c>
      <c r="F8" s="292">
        <v>45111</v>
      </c>
      <c r="G8" s="292"/>
      <c r="H8" s="292"/>
      <c r="I8" s="292"/>
      <c r="J8" s="292" t="s">
        <v>4</v>
      </c>
      <c r="K8" s="291" t="s">
        <v>2179</v>
      </c>
      <c r="L8" s="214" t="s">
        <v>1132</v>
      </c>
      <c r="M8" s="223">
        <v>45117</v>
      </c>
      <c r="N8" s="220" t="s">
        <v>5903</v>
      </c>
      <c r="O8" s="223"/>
      <c r="P8" s="222"/>
      <c r="R8" t="s">
        <v>138</v>
      </c>
      <c r="T8" s="240">
        <v>45111</v>
      </c>
      <c r="U8" s="256">
        <v>45113.582916666666</v>
      </c>
      <c r="V8" s="256">
        <v>45113.582916666666</v>
      </c>
      <c r="W8" s="260">
        <v>45113.582916666666</v>
      </c>
      <c r="X8" s="260">
        <v>45113.583009259259</v>
      </c>
      <c r="Y8" s="261">
        <v>1</v>
      </c>
      <c r="Z8" s="267">
        <v>45113</v>
      </c>
      <c r="AA8" s="268">
        <v>7</v>
      </c>
      <c r="AB8" s="267">
        <v>45121</v>
      </c>
      <c r="AC8" s="241">
        <v>9</v>
      </c>
      <c r="AD8" s="240"/>
      <c r="AE8" s="230"/>
      <c r="AF8" s="230"/>
    </row>
    <row r="9" spans="1:32">
      <c r="A9" s="291">
        <f>COUNTA($E$3:E9)</f>
        <v>7</v>
      </c>
      <c r="B9" s="291" t="s">
        <v>5887</v>
      </c>
      <c r="C9" s="291" t="s">
        <v>41</v>
      </c>
      <c r="D9" s="291" t="s">
        <v>34</v>
      </c>
      <c r="E9" s="291" t="s">
        <v>1224</v>
      </c>
      <c r="F9" s="292">
        <v>45111</v>
      </c>
      <c r="G9" s="292"/>
      <c r="H9" s="292"/>
      <c r="I9" s="292"/>
      <c r="J9" s="292" t="s">
        <v>4</v>
      </c>
      <c r="K9" s="291" t="s">
        <v>4799</v>
      </c>
      <c r="L9" s="214" t="s">
        <v>37</v>
      </c>
      <c r="M9" s="223">
        <v>45117</v>
      </c>
      <c r="N9" s="220" t="s">
        <v>5903</v>
      </c>
      <c r="O9" s="223"/>
      <c r="P9" s="222"/>
      <c r="R9" t="s">
        <v>138</v>
      </c>
      <c r="T9" s="240">
        <v>45111</v>
      </c>
      <c r="U9" s="256">
        <v>45113.763182870367</v>
      </c>
      <c r="V9" s="256">
        <v>45113.763182870367</v>
      </c>
      <c r="W9" s="260">
        <v>45113.763182870367</v>
      </c>
      <c r="X9" s="260">
        <v>45113.763356481482</v>
      </c>
      <c r="Y9" s="261">
        <v>1</v>
      </c>
      <c r="Z9" s="267">
        <v>45113</v>
      </c>
      <c r="AA9" s="268">
        <v>7</v>
      </c>
      <c r="AB9" s="267">
        <v>45122</v>
      </c>
      <c r="AC9" s="241">
        <v>9</v>
      </c>
      <c r="AD9" s="240"/>
      <c r="AE9" s="230"/>
      <c r="AF9" s="230"/>
    </row>
    <row r="10" spans="1:32">
      <c r="A10" s="291">
        <f>COUNTA($E$3:E10)</f>
        <v>8</v>
      </c>
      <c r="B10" s="291" t="s">
        <v>5888</v>
      </c>
      <c r="C10" s="291" t="s">
        <v>3857</v>
      </c>
      <c r="D10" s="291" t="s">
        <v>23</v>
      </c>
      <c r="E10" s="291" t="s">
        <v>3725</v>
      </c>
      <c r="F10" s="292">
        <v>45111</v>
      </c>
      <c r="G10" s="292"/>
      <c r="H10" s="292"/>
      <c r="I10" s="292"/>
      <c r="J10" s="292" t="s">
        <v>4</v>
      </c>
      <c r="K10" s="291" t="s">
        <v>4654</v>
      </c>
      <c r="L10" s="214" t="s">
        <v>1310</v>
      </c>
      <c r="M10" s="223">
        <v>45117</v>
      </c>
      <c r="N10" s="220" t="s">
        <v>3527</v>
      </c>
      <c r="O10" s="223"/>
      <c r="P10" s="222"/>
      <c r="R10" t="s">
        <v>138</v>
      </c>
      <c r="T10" s="240">
        <v>45111</v>
      </c>
      <c r="U10" s="256">
        <v>45112.563622685186</v>
      </c>
      <c r="V10" s="256">
        <v>45112.563622685186</v>
      </c>
      <c r="W10" s="260">
        <v>45112.563622685186</v>
      </c>
      <c r="X10" s="260">
        <v>45112.563923611109</v>
      </c>
      <c r="Y10" s="261">
        <v>1</v>
      </c>
      <c r="Z10" s="267">
        <v>45113</v>
      </c>
      <c r="AA10" s="268">
        <v>7</v>
      </c>
      <c r="AB10" s="267">
        <v>45123</v>
      </c>
      <c r="AC10" s="241">
        <v>9</v>
      </c>
      <c r="AD10" s="240"/>
      <c r="AE10" s="230"/>
      <c r="AF10" s="230"/>
    </row>
    <row r="11" spans="1:32">
      <c r="A11" s="291">
        <f>COUNTA($E$3:E11)</f>
        <v>9</v>
      </c>
      <c r="B11" s="291" t="s">
        <v>5034</v>
      </c>
      <c r="C11" s="291" t="s">
        <v>25</v>
      </c>
      <c r="D11" s="291" t="s">
        <v>38</v>
      </c>
      <c r="E11" s="291" t="s">
        <v>5035</v>
      </c>
      <c r="F11" s="292">
        <v>45015.548657407409</v>
      </c>
      <c r="G11" s="292">
        <v>45022</v>
      </c>
      <c r="H11" s="292"/>
      <c r="I11" s="292">
        <v>45022</v>
      </c>
      <c r="J11" s="292" t="s">
        <v>4</v>
      </c>
      <c r="K11" s="291" t="s">
        <v>4725</v>
      </c>
      <c r="L11" s="214" t="s">
        <v>1310</v>
      </c>
      <c r="M11" s="223">
        <v>45110</v>
      </c>
      <c r="N11" s="220" t="s">
        <v>5864</v>
      </c>
      <c r="O11" s="223"/>
      <c r="P11" s="222"/>
      <c r="R11" t="s">
        <v>138</v>
      </c>
      <c r="S11">
        <v>68</v>
      </c>
      <c r="T11" s="240">
        <v>45015</v>
      </c>
      <c r="U11" s="256">
        <v>45022</v>
      </c>
      <c r="V11" s="256">
        <v>45022</v>
      </c>
      <c r="W11" s="260" t="s">
        <v>1776</v>
      </c>
      <c r="X11" s="260">
        <v>45106.674351851849</v>
      </c>
      <c r="Y11" s="261">
        <v>1</v>
      </c>
      <c r="Z11" s="267">
        <v>45106</v>
      </c>
      <c r="AA11" s="268">
        <v>2</v>
      </c>
      <c r="AB11" s="267">
        <v>45107</v>
      </c>
      <c r="AC11" s="241">
        <v>67</v>
      </c>
      <c r="AD11" s="240"/>
      <c r="AE11" s="230"/>
      <c r="AF11" s="230"/>
    </row>
    <row r="12" spans="1:32">
      <c r="A12" s="291">
        <f>COUNTA($E$3:E12)</f>
        <v>10</v>
      </c>
      <c r="B12" s="291" t="s">
        <v>5130</v>
      </c>
      <c r="C12" s="291" t="s">
        <v>45</v>
      </c>
      <c r="D12" s="291" t="s">
        <v>34</v>
      </c>
      <c r="E12" s="291" t="s">
        <v>4390</v>
      </c>
      <c r="F12" s="292">
        <v>45029.440752314818</v>
      </c>
      <c r="G12" s="292">
        <v>45057</v>
      </c>
      <c r="H12" s="292"/>
      <c r="I12" s="292" t="s">
        <v>70</v>
      </c>
      <c r="J12" s="292" t="s">
        <v>4</v>
      </c>
      <c r="K12" s="291" t="s">
        <v>5375</v>
      </c>
      <c r="L12" s="214" t="s">
        <v>1310</v>
      </c>
      <c r="M12" s="223">
        <v>45110</v>
      </c>
      <c r="N12" s="220" t="s">
        <v>5865</v>
      </c>
      <c r="O12" s="223"/>
      <c r="P12" s="222"/>
      <c r="R12" t="s">
        <v>138</v>
      </c>
      <c r="S12">
        <v>58</v>
      </c>
      <c r="T12" s="240">
        <v>45031</v>
      </c>
      <c r="U12" s="256">
        <v>45040.528738425928</v>
      </c>
      <c r="V12" s="256">
        <v>45040.528738425928</v>
      </c>
      <c r="W12" s="260">
        <v>45040.528738425928</v>
      </c>
      <c r="X12" s="260">
        <v>45075.526087962964</v>
      </c>
      <c r="Y12" s="261">
        <v>26</v>
      </c>
      <c r="Z12" s="267">
        <v>45106</v>
      </c>
      <c r="AA12" s="268">
        <v>2</v>
      </c>
      <c r="AB12" s="267">
        <v>45107</v>
      </c>
      <c r="AC12" s="241">
        <v>55</v>
      </c>
      <c r="AD12" s="240"/>
      <c r="AE12" s="230"/>
      <c r="AF12" s="230"/>
    </row>
    <row r="13" spans="1:32">
      <c r="A13" s="291">
        <f>COUNTA($E$3:E13)</f>
        <v>11</v>
      </c>
      <c r="B13" s="291" t="s">
        <v>5148</v>
      </c>
      <c r="C13" s="291" t="s">
        <v>3350</v>
      </c>
      <c r="D13" s="291" t="s">
        <v>49</v>
      </c>
      <c r="E13" s="291" t="s">
        <v>3356</v>
      </c>
      <c r="F13" s="292">
        <v>45030.624814814815</v>
      </c>
      <c r="G13" s="292">
        <v>45033</v>
      </c>
      <c r="H13" s="292">
        <v>45076</v>
      </c>
      <c r="I13" s="292">
        <v>45030</v>
      </c>
      <c r="J13" s="292" t="s">
        <v>5</v>
      </c>
      <c r="K13" s="291" t="s">
        <v>5149</v>
      </c>
      <c r="L13" s="214" t="s">
        <v>297</v>
      </c>
      <c r="M13" s="223">
        <v>45110</v>
      </c>
      <c r="N13" s="220" t="s">
        <v>5845</v>
      </c>
      <c r="O13" s="223">
        <v>45106</v>
      </c>
      <c r="P13" s="222"/>
      <c r="R13" t="s">
        <v>26</v>
      </c>
      <c r="S13">
        <v>57</v>
      </c>
      <c r="T13" s="240">
        <v>45030</v>
      </c>
      <c r="U13" s="256">
        <v>45030</v>
      </c>
      <c r="V13" s="256">
        <v>45030</v>
      </c>
      <c r="W13" s="260">
        <v>45030</v>
      </c>
      <c r="X13" s="260">
        <v>45106.447245370371</v>
      </c>
      <c r="Y13" s="261">
        <v>55</v>
      </c>
      <c r="Z13" s="267">
        <v>45106</v>
      </c>
      <c r="AA13" s="268">
        <v>1</v>
      </c>
      <c r="AB13" s="267">
        <v>45106</v>
      </c>
      <c r="AC13" s="241">
        <v>55</v>
      </c>
      <c r="AD13" s="240">
        <v>45106</v>
      </c>
      <c r="AE13" s="230"/>
      <c r="AF13" s="230"/>
    </row>
    <row r="14" spans="1:32">
      <c r="A14" s="291">
        <f>COUNTA($E$3:E14)</f>
        <v>12</v>
      </c>
      <c r="B14" s="291" t="s">
        <v>5219</v>
      </c>
      <c r="C14" s="291" t="s">
        <v>45</v>
      </c>
      <c r="D14" s="291" t="s">
        <v>1115</v>
      </c>
      <c r="E14" s="291" t="s">
        <v>4285</v>
      </c>
      <c r="F14" s="292">
        <v>45041.566770833335</v>
      </c>
      <c r="G14" s="292">
        <v>45043</v>
      </c>
      <c r="H14" s="292"/>
      <c r="I14" s="292" t="s">
        <v>70</v>
      </c>
      <c r="J14" s="292" t="s">
        <v>4</v>
      </c>
      <c r="K14" s="291" t="s">
        <v>1681</v>
      </c>
      <c r="L14" s="214" t="s">
        <v>1302</v>
      </c>
      <c r="M14" s="223">
        <v>45110</v>
      </c>
      <c r="N14" s="220" t="s">
        <v>5846</v>
      </c>
      <c r="O14" s="223"/>
      <c r="P14" s="222"/>
      <c r="R14" t="s">
        <v>138</v>
      </c>
      <c r="S14">
        <v>50</v>
      </c>
      <c r="T14" s="240">
        <v>45041</v>
      </c>
      <c r="U14" s="256">
        <v>45042.561747685184</v>
      </c>
      <c r="V14" s="256">
        <v>45042.561747685184</v>
      </c>
      <c r="W14" s="260">
        <v>45042.561747685184</v>
      </c>
      <c r="X14" s="260">
        <v>45104.455347222225</v>
      </c>
      <c r="Y14" s="261">
        <v>45</v>
      </c>
      <c r="Z14" s="267">
        <v>45104</v>
      </c>
      <c r="AA14" s="268">
        <v>3</v>
      </c>
      <c r="AB14" s="267">
        <v>45106</v>
      </c>
      <c r="AC14" s="241">
        <v>48</v>
      </c>
      <c r="AD14" s="240"/>
      <c r="AE14" s="230"/>
      <c r="AF14" s="230"/>
    </row>
    <row r="15" spans="1:32">
      <c r="A15" s="291">
        <f>COUNTA($E$3:E15)</f>
        <v>13</v>
      </c>
      <c r="B15" s="291" t="s">
        <v>5320</v>
      </c>
      <c r="C15" s="291" t="s">
        <v>5321</v>
      </c>
      <c r="D15" s="291" t="s">
        <v>68</v>
      </c>
      <c r="E15" s="291" t="s">
        <v>5322</v>
      </c>
      <c r="F15" s="292">
        <v>45058.552673611113</v>
      </c>
      <c r="G15" s="292"/>
      <c r="H15" s="292">
        <v>45092</v>
      </c>
      <c r="I15" s="292">
        <v>45058</v>
      </c>
      <c r="J15" s="292" t="s">
        <v>3</v>
      </c>
      <c r="K15" s="291" t="s">
        <v>5397</v>
      </c>
      <c r="L15" s="214" t="s">
        <v>297</v>
      </c>
      <c r="M15" s="223">
        <v>45110</v>
      </c>
      <c r="N15" s="220" t="s">
        <v>5847</v>
      </c>
      <c r="O15" s="223">
        <v>45106</v>
      </c>
      <c r="P15" s="222"/>
      <c r="R15" t="s">
        <v>26</v>
      </c>
      <c r="S15">
        <v>37</v>
      </c>
      <c r="T15" s="240">
        <v>45057</v>
      </c>
      <c r="U15" s="256">
        <v>45058</v>
      </c>
      <c r="V15" s="256">
        <v>45058</v>
      </c>
      <c r="W15" s="260">
        <v>45058</v>
      </c>
      <c r="X15" s="260">
        <v>45098.6953587963</v>
      </c>
      <c r="Y15" s="261">
        <v>29</v>
      </c>
      <c r="Z15" s="267">
        <v>45098</v>
      </c>
      <c r="AA15" s="268">
        <v>9</v>
      </c>
      <c r="AB15" s="267">
        <v>45110</v>
      </c>
      <c r="AC15" s="241">
        <v>38</v>
      </c>
      <c r="AD15" s="240">
        <v>45106</v>
      </c>
      <c r="AE15" s="230"/>
      <c r="AF15" s="230"/>
    </row>
    <row r="16" spans="1:32">
      <c r="A16" s="291">
        <f>COUNTA($E$3:E16)</f>
        <v>14</v>
      </c>
      <c r="B16" s="291" t="s">
        <v>5402</v>
      </c>
      <c r="C16" s="291" t="s">
        <v>45</v>
      </c>
      <c r="D16" s="291" t="s">
        <v>20</v>
      </c>
      <c r="E16" s="291" t="s">
        <v>3991</v>
      </c>
      <c r="F16" s="292">
        <v>45092.77884259259</v>
      </c>
      <c r="G16" s="292"/>
      <c r="H16" s="292"/>
      <c r="I16" s="292"/>
      <c r="J16" s="292" t="s">
        <v>4</v>
      </c>
      <c r="K16" s="291" t="s">
        <v>21</v>
      </c>
      <c r="L16" s="214" t="s">
        <v>297</v>
      </c>
      <c r="M16" s="223">
        <v>45110</v>
      </c>
      <c r="N16" s="220" t="s">
        <v>5867</v>
      </c>
      <c r="O16" s="223"/>
      <c r="P16" s="222"/>
      <c r="R16" t="s">
        <v>26</v>
      </c>
      <c r="S16">
        <v>13</v>
      </c>
      <c r="T16" s="240">
        <v>45054</v>
      </c>
      <c r="U16" s="256">
        <v>45099.798379629632</v>
      </c>
      <c r="V16" s="256">
        <v>45099.798379629632</v>
      </c>
      <c r="W16" s="260">
        <v>45099.798379629632</v>
      </c>
      <c r="X16" s="260">
        <v>45099.798437500001</v>
      </c>
      <c r="Y16" s="261">
        <v>1</v>
      </c>
      <c r="Z16" s="267">
        <v>45107</v>
      </c>
      <c r="AA16" s="268">
        <v>2</v>
      </c>
      <c r="AB16" s="267">
        <v>45110</v>
      </c>
      <c r="AC16" s="241">
        <v>41</v>
      </c>
      <c r="AD16" s="240"/>
      <c r="AE16" s="230"/>
      <c r="AF16" s="230"/>
    </row>
    <row r="17" spans="1:32">
      <c r="A17" s="291">
        <f>COUNTA($E$3:E17)</f>
        <v>15</v>
      </c>
      <c r="B17" s="291" t="s">
        <v>5611</v>
      </c>
      <c r="C17" s="291" t="s">
        <v>5538</v>
      </c>
      <c r="D17" s="291" t="s">
        <v>1216</v>
      </c>
      <c r="E17" s="291" t="s">
        <v>5612</v>
      </c>
      <c r="F17" s="292">
        <v>45083.438020833331</v>
      </c>
      <c r="G17" s="292"/>
      <c r="H17" s="292"/>
      <c r="I17" s="292"/>
      <c r="J17" s="292" t="s">
        <v>3</v>
      </c>
      <c r="K17" s="291" t="s">
        <v>5759</v>
      </c>
      <c r="L17" s="214" t="s">
        <v>297</v>
      </c>
      <c r="M17" s="250">
        <v>45110</v>
      </c>
      <c r="N17" s="249" t="s">
        <v>5851</v>
      </c>
      <c r="O17" s="250"/>
      <c r="P17" s="222"/>
      <c r="R17" t="s">
        <v>26</v>
      </c>
      <c r="S17">
        <v>20</v>
      </c>
      <c r="T17" s="240">
        <v>45086</v>
      </c>
      <c r="U17" s="256">
        <v>45098.658333333333</v>
      </c>
      <c r="V17" s="256">
        <v>45098.658333333333</v>
      </c>
      <c r="W17" s="260">
        <v>45098.658333333333</v>
      </c>
      <c r="X17" s="260">
        <v>45098.661168981482</v>
      </c>
      <c r="Y17" s="261">
        <v>1</v>
      </c>
      <c r="Z17" s="267">
        <v>45100</v>
      </c>
      <c r="AA17" s="268">
        <v>7</v>
      </c>
      <c r="AB17" s="267">
        <v>45110</v>
      </c>
      <c r="AC17" s="241">
        <v>17</v>
      </c>
      <c r="AD17" s="240"/>
      <c r="AE17" s="230"/>
      <c r="AF17" s="230"/>
    </row>
    <row r="18" spans="1:32">
      <c r="A18" s="291">
        <f>COUNTA($E$3:E18)</f>
        <v>16</v>
      </c>
      <c r="B18" s="291" t="s">
        <v>5615</v>
      </c>
      <c r="C18" s="291" t="s">
        <v>45</v>
      </c>
      <c r="D18" s="291" t="s">
        <v>1127</v>
      </c>
      <c r="E18" s="291" t="s">
        <v>4346</v>
      </c>
      <c r="F18" s="292">
        <v>45083.439155092594</v>
      </c>
      <c r="G18" s="292"/>
      <c r="H18" s="292"/>
      <c r="I18" s="292"/>
      <c r="J18" s="292" t="s">
        <v>4</v>
      </c>
      <c r="K18" s="291" t="s">
        <v>4654</v>
      </c>
      <c r="L18" s="214"/>
      <c r="M18" s="250">
        <v>45110</v>
      </c>
      <c r="N18" s="249" t="s">
        <v>5851</v>
      </c>
      <c r="O18" s="250"/>
      <c r="P18" s="222"/>
      <c r="R18" t="s">
        <v>26</v>
      </c>
      <c r="S18">
        <v>20</v>
      </c>
      <c r="T18" s="240">
        <v>45086</v>
      </c>
      <c r="U18" s="256">
        <v>45104.676481481481</v>
      </c>
      <c r="V18" s="256">
        <v>45104.676481481481</v>
      </c>
      <c r="W18" s="260">
        <v>45104.676481481481</v>
      </c>
      <c r="X18" s="260">
        <v>45104.67664351852</v>
      </c>
      <c r="Y18" s="261">
        <v>1</v>
      </c>
      <c r="Z18" s="267">
        <v>45104</v>
      </c>
      <c r="AA18" s="268">
        <v>3</v>
      </c>
      <c r="AB18" s="267">
        <v>45106</v>
      </c>
      <c r="AC18" s="241">
        <v>15</v>
      </c>
      <c r="AD18" s="240"/>
      <c r="AE18" s="230"/>
      <c r="AF18" s="230"/>
    </row>
    <row r="19" spans="1:32">
      <c r="A19" s="291">
        <f>COUNTA($E$3:E19)</f>
        <v>17</v>
      </c>
      <c r="B19" s="291" t="s">
        <v>5666</v>
      </c>
      <c r="C19" s="291" t="s">
        <v>5162</v>
      </c>
      <c r="D19" s="291" t="s">
        <v>60</v>
      </c>
      <c r="E19" s="291" t="s">
        <v>5163</v>
      </c>
      <c r="F19" s="292">
        <v>45089.755914351852</v>
      </c>
      <c r="G19" s="292"/>
      <c r="H19" s="292"/>
      <c r="I19" s="292" t="s">
        <v>59</v>
      </c>
      <c r="J19" s="292" t="s">
        <v>4</v>
      </c>
      <c r="K19" s="291" t="s">
        <v>1735</v>
      </c>
      <c r="L19" s="214" t="s">
        <v>1310</v>
      </c>
      <c r="M19" s="250">
        <v>45110</v>
      </c>
      <c r="N19" s="249" t="s">
        <v>5868</v>
      </c>
      <c r="O19" s="250"/>
      <c r="P19" s="222"/>
      <c r="R19" t="s">
        <v>138</v>
      </c>
      <c r="S19">
        <v>16</v>
      </c>
      <c r="T19" s="240">
        <v>45089</v>
      </c>
      <c r="U19" s="256">
        <v>45096.518599537034</v>
      </c>
      <c r="V19" s="256">
        <v>45096.518599537034</v>
      </c>
      <c r="W19" s="260">
        <v>45096.518599537034</v>
      </c>
      <c r="X19" s="260">
        <v>45106.698020833333</v>
      </c>
      <c r="Y19" s="261">
        <v>9</v>
      </c>
      <c r="Z19" s="267">
        <v>45106</v>
      </c>
      <c r="AA19" s="268">
        <v>2</v>
      </c>
      <c r="AB19" s="267">
        <v>45107</v>
      </c>
      <c r="AC19" s="241">
        <v>15</v>
      </c>
      <c r="AD19" s="240"/>
      <c r="AE19" s="230"/>
      <c r="AF19" s="230"/>
    </row>
    <row r="20" spans="1:32">
      <c r="A20" s="291">
        <f>COUNTA($E$3:E20)</f>
        <v>18</v>
      </c>
      <c r="B20" s="291" t="s">
        <v>5746</v>
      </c>
      <c r="C20" s="291" t="s">
        <v>41</v>
      </c>
      <c r="D20" s="291" t="s">
        <v>34</v>
      </c>
      <c r="E20" s="291" t="s">
        <v>2584</v>
      </c>
      <c r="F20" s="292">
        <v>45097.495266203703</v>
      </c>
      <c r="G20" s="292"/>
      <c r="H20" s="292"/>
      <c r="I20" s="292"/>
      <c r="J20" s="292" t="s">
        <v>4</v>
      </c>
      <c r="K20" s="291" t="s">
        <v>1227</v>
      </c>
      <c r="L20" s="214" t="s">
        <v>1311</v>
      </c>
      <c r="M20" s="223">
        <v>45110</v>
      </c>
      <c r="N20" s="220" t="s">
        <v>5869</v>
      </c>
      <c r="O20" s="223"/>
      <c r="P20" s="222"/>
      <c r="R20" t="s">
        <v>138</v>
      </c>
      <c r="S20">
        <v>10</v>
      </c>
      <c r="T20" s="240">
        <v>45097</v>
      </c>
      <c r="U20" s="256">
        <v>45100.78334490741</v>
      </c>
      <c r="V20" s="256">
        <v>45100.78334490741</v>
      </c>
      <c r="W20" s="260">
        <v>45100.78334490741</v>
      </c>
      <c r="X20" s="260">
        <v>45100.783414351848</v>
      </c>
      <c r="Y20" s="261">
        <v>1</v>
      </c>
      <c r="Z20" s="267">
        <v>45100</v>
      </c>
      <c r="AA20" s="268">
        <v>6</v>
      </c>
      <c r="AB20" s="267">
        <v>45107</v>
      </c>
      <c r="AC20" s="241">
        <v>9</v>
      </c>
      <c r="AD20" s="240"/>
      <c r="AE20" s="230"/>
      <c r="AF20" s="230"/>
    </row>
    <row r="21" spans="1:32">
      <c r="A21" s="291">
        <f>COUNTA($E$3:E21)</f>
        <v>19</v>
      </c>
      <c r="B21" s="291" t="s">
        <v>5753</v>
      </c>
      <c r="C21" s="291" t="s">
        <v>44</v>
      </c>
      <c r="D21" s="291" t="s">
        <v>3205</v>
      </c>
      <c r="E21" s="291" t="s">
        <v>5754</v>
      </c>
      <c r="F21" s="292">
        <v>45097.773773148147</v>
      </c>
      <c r="G21" s="292"/>
      <c r="H21" s="292"/>
      <c r="I21" s="292"/>
      <c r="J21" s="292" t="s">
        <v>4</v>
      </c>
      <c r="K21" s="291" t="s">
        <v>1500</v>
      </c>
      <c r="L21" s="214" t="s">
        <v>1302</v>
      </c>
      <c r="M21" s="223">
        <v>45110</v>
      </c>
      <c r="N21" s="220" t="s">
        <v>5849</v>
      </c>
      <c r="O21" s="223"/>
      <c r="P21" s="222"/>
      <c r="R21" t="s">
        <v>138</v>
      </c>
      <c r="S21">
        <v>10</v>
      </c>
      <c r="T21" s="240">
        <v>45097</v>
      </c>
      <c r="U21" s="256">
        <v>45099.659282407411</v>
      </c>
      <c r="V21" s="256">
        <v>45099.659282407411</v>
      </c>
      <c r="W21" s="260">
        <v>45099.659282407411</v>
      </c>
      <c r="X21" s="260">
        <v>45099.659363425926</v>
      </c>
      <c r="Y21" s="261">
        <v>1</v>
      </c>
      <c r="Z21" s="267">
        <v>45099</v>
      </c>
      <c r="AA21" s="268">
        <v>6</v>
      </c>
      <c r="AB21" s="267">
        <v>45106</v>
      </c>
      <c r="AC21" s="241">
        <v>8</v>
      </c>
      <c r="AD21" s="240"/>
      <c r="AE21" s="230"/>
      <c r="AF21" s="230"/>
    </row>
    <row r="22" spans="1:32">
      <c r="A22" s="291">
        <f>COUNTA($E$3:E22)</f>
        <v>20</v>
      </c>
      <c r="B22" s="291" t="s">
        <v>5763</v>
      </c>
      <c r="C22" s="291" t="s">
        <v>45</v>
      </c>
      <c r="D22" s="291" t="s">
        <v>55</v>
      </c>
      <c r="E22" s="291" t="s">
        <v>3769</v>
      </c>
      <c r="F22" s="292">
        <v>45107.462789351855</v>
      </c>
      <c r="G22" s="292"/>
      <c r="H22" s="292"/>
      <c r="I22" s="292"/>
      <c r="J22" s="292" t="s">
        <v>4</v>
      </c>
      <c r="K22" s="291" t="s">
        <v>526</v>
      </c>
      <c r="L22" s="214"/>
      <c r="M22" s="223">
        <v>45110</v>
      </c>
      <c r="N22" s="220" t="s">
        <v>3463</v>
      </c>
      <c r="O22" s="223"/>
      <c r="P22" s="222"/>
      <c r="R22" t="s">
        <v>26</v>
      </c>
      <c r="T22" s="240">
        <v>45107</v>
      </c>
      <c r="U22" s="256">
        <v>45107.474305555559</v>
      </c>
      <c r="V22" s="256">
        <v>45107.474305555559</v>
      </c>
      <c r="W22" s="260">
        <v>45107.474305555559</v>
      </c>
      <c r="X22" s="260">
        <v>45107.474456018521</v>
      </c>
      <c r="Y22" s="261">
        <v>1</v>
      </c>
      <c r="Z22" s="267">
        <v>45107</v>
      </c>
      <c r="AA22" s="268">
        <v>2</v>
      </c>
      <c r="AB22" s="267">
        <v>45110</v>
      </c>
      <c r="AC22" s="241">
        <v>2</v>
      </c>
      <c r="AD22" s="240"/>
    </row>
    <row r="23" spans="1:32">
      <c r="A23" s="291">
        <f>COUNTA($E$3:E23)</f>
        <v>21</v>
      </c>
      <c r="B23" s="291" t="s">
        <v>5766</v>
      </c>
      <c r="C23" s="291" t="s">
        <v>44</v>
      </c>
      <c r="D23" s="291" t="s">
        <v>55</v>
      </c>
      <c r="E23" s="291" t="s">
        <v>3935</v>
      </c>
      <c r="F23" s="292">
        <v>45100.755995370368</v>
      </c>
      <c r="G23" s="292"/>
      <c r="H23" s="292"/>
      <c r="I23" s="292"/>
      <c r="J23" s="292" t="s">
        <v>4</v>
      </c>
      <c r="K23" s="291" t="s">
        <v>5556</v>
      </c>
      <c r="L23" s="214" t="s">
        <v>1302</v>
      </c>
      <c r="M23" s="223">
        <v>45110</v>
      </c>
      <c r="N23" s="220" t="s">
        <v>5846</v>
      </c>
      <c r="O23" s="223"/>
      <c r="P23" s="222"/>
      <c r="R23" t="s">
        <v>138</v>
      </c>
      <c r="T23" s="240">
        <v>45100</v>
      </c>
      <c r="U23" s="256">
        <v>45105.648680555554</v>
      </c>
      <c r="V23" s="256">
        <v>45105.648680555554</v>
      </c>
      <c r="W23" s="260">
        <v>45105.648680555554</v>
      </c>
      <c r="X23" s="260">
        <v>45105.648842592593</v>
      </c>
      <c r="Y23" s="261">
        <v>1</v>
      </c>
      <c r="Z23" s="267">
        <v>45105</v>
      </c>
      <c r="AA23" s="268">
        <v>2</v>
      </c>
      <c r="AB23" s="267">
        <v>45106</v>
      </c>
      <c r="AC23" s="241">
        <v>5</v>
      </c>
      <c r="AD23" s="240"/>
    </row>
    <row r="24" spans="1:32">
      <c r="A24" s="291">
        <f>COUNTA($E$3:E24)</f>
        <v>22</v>
      </c>
      <c r="B24" s="291" t="s">
        <v>5787</v>
      </c>
      <c r="C24" s="291" t="s">
        <v>41</v>
      </c>
      <c r="D24" s="291" t="s">
        <v>38</v>
      </c>
      <c r="E24" s="291" t="s">
        <v>4630</v>
      </c>
      <c r="F24" s="292">
        <v>45100.761446759258</v>
      </c>
      <c r="G24" s="292"/>
      <c r="H24" s="292"/>
      <c r="I24" s="292"/>
      <c r="J24" s="292" t="s">
        <v>4</v>
      </c>
      <c r="K24" s="291" t="s">
        <v>2586</v>
      </c>
      <c r="L24" s="214" t="s">
        <v>1311</v>
      </c>
      <c r="M24" s="223">
        <v>45110</v>
      </c>
      <c r="N24" s="220" t="s">
        <v>5850</v>
      </c>
      <c r="O24" s="223"/>
      <c r="P24" s="222"/>
      <c r="R24" t="s">
        <v>138</v>
      </c>
      <c r="T24" s="240">
        <v>45100</v>
      </c>
      <c r="U24" s="256">
        <v>45104.591851851852</v>
      </c>
      <c r="V24" s="256">
        <v>45104.591851851852</v>
      </c>
      <c r="W24" s="260">
        <v>45104.591851851852</v>
      </c>
      <c r="X24" s="260">
        <v>45104.591921296298</v>
      </c>
      <c r="Y24" s="261">
        <v>1</v>
      </c>
      <c r="Z24" s="267">
        <v>45104</v>
      </c>
      <c r="AA24" s="268">
        <v>3</v>
      </c>
      <c r="AB24" s="267">
        <v>45106</v>
      </c>
      <c r="AC24" s="241">
        <v>5</v>
      </c>
      <c r="AD24" s="240"/>
    </row>
    <row r="25" spans="1:32">
      <c r="A25" s="291">
        <f>COUNTA($E$3:E25)</f>
        <v>23</v>
      </c>
      <c r="B25" s="291" t="s">
        <v>5788</v>
      </c>
      <c r="C25" s="291" t="s">
        <v>5538</v>
      </c>
      <c r="D25" s="291" t="s">
        <v>1216</v>
      </c>
      <c r="E25" s="291" t="s">
        <v>3013</v>
      </c>
      <c r="F25" s="292">
        <v>45100.769467592596</v>
      </c>
      <c r="G25" s="292"/>
      <c r="H25" s="292"/>
      <c r="I25" s="292"/>
      <c r="J25" s="292" t="s">
        <v>4</v>
      </c>
      <c r="K25" s="291" t="s">
        <v>2179</v>
      </c>
      <c r="L25" s="214" t="s">
        <v>1310</v>
      </c>
      <c r="M25" s="223">
        <v>45110</v>
      </c>
      <c r="N25" s="220" t="s">
        <v>5851</v>
      </c>
      <c r="O25" s="223"/>
      <c r="P25" s="222"/>
      <c r="R25" t="s">
        <v>138</v>
      </c>
      <c r="T25" s="240">
        <v>45100</v>
      </c>
      <c r="U25" s="256">
        <v>45100.788645833331</v>
      </c>
      <c r="V25" s="256">
        <v>45100.788645833331</v>
      </c>
      <c r="W25" s="260">
        <v>45100.788645833331</v>
      </c>
      <c r="X25" s="260">
        <v>45100.78875</v>
      </c>
      <c r="Y25" s="261">
        <v>1</v>
      </c>
      <c r="Z25" s="267">
        <v>45103</v>
      </c>
      <c r="AA25" s="268">
        <v>4</v>
      </c>
      <c r="AB25" s="267">
        <v>45106</v>
      </c>
      <c r="AC25" s="241">
        <v>5</v>
      </c>
      <c r="AD25" s="240"/>
    </row>
    <row r="26" spans="1:32">
      <c r="A26" s="291">
        <f>COUNTA($E$3:E26)</f>
        <v>24</v>
      </c>
      <c r="B26" s="291" t="s">
        <v>5789</v>
      </c>
      <c r="C26" s="291" t="s">
        <v>3857</v>
      </c>
      <c r="D26" s="291" t="s">
        <v>23</v>
      </c>
      <c r="E26" s="291" t="s">
        <v>3725</v>
      </c>
      <c r="F26" s="292">
        <v>45100.771249999998</v>
      </c>
      <c r="G26" s="292"/>
      <c r="H26" s="292"/>
      <c r="I26" s="292"/>
      <c r="J26" s="292" t="s">
        <v>4</v>
      </c>
      <c r="K26" s="291" t="s">
        <v>2179</v>
      </c>
      <c r="L26" s="214" t="s">
        <v>1311</v>
      </c>
      <c r="M26" s="223">
        <v>45110</v>
      </c>
      <c r="N26" s="220" t="s">
        <v>5850</v>
      </c>
      <c r="O26" s="223"/>
      <c r="P26" s="222"/>
      <c r="R26" t="s">
        <v>138</v>
      </c>
      <c r="T26" s="240">
        <v>45100</v>
      </c>
      <c r="U26" s="256">
        <v>45104.485069444447</v>
      </c>
      <c r="V26" s="256">
        <v>45104.485069444447</v>
      </c>
      <c r="W26" s="260">
        <v>45104.485069444447</v>
      </c>
      <c r="X26" s="260">
        <v>45104.485127314816</v>
      </c>
      <c r="Y26" s="261">
        <v>1</v>
      </c>
      <c r="Z26" s="267">
        <v>45104</v>
      </c>
      <c r="AA26" s="268">
        <v>3</v>
      </c>
      <c r="AB26" s="267">
        <v>45106</v>
      </c>
      <c r="AC26" s="241">
        <v>5</v>
      </c>
      <c r="AD26" s="240"/>
    </row>
    <row r="27" spans="1:32">
      <c r="A27" s="291">
        <f>COUNTA($E$3:E27)</f>
        <v>25</v>
      </c>
      <c r="B27" s="291" t="s">
        <v>5861</v>
      </c>
      <c r="C27" s="291" t="s">
        <v>1183</v>
      </c>
      <c r="D27" s="291" t="s">
        <v>34</v>
      </c>
      <c r="E27" s="291" t="s">
        <v>5862</v>
      </c>
      <c r="F27" s="292">
        <v>45106.756342592591</v>
      </c>
      <c r="G27" s="292"/>
      <c r="H27" s="292"/>
      <c r="I27" s="292"/>
      <c r="J27" s="292" t="s">
        <v>4</v>
      </c>
      <c r="K27" s="291" t="s">
        <v>526</v>
      </c>
      <c r="L27" s="214" t="s">
        <v>110</v>
      </c>
      <c r="M27" s="223">
        <v>45110</v>
      </c>
      <c r="N27" s="220" t="s">
        <v>3463</v>
      </c>
      <c r="O27" s="223"/>
      <c r="P27" s="222"/>
      <c r="R27" t="s">
        <v>26</v>
      </c>
      <c r="T27" s="240">
        <v>45106</v>
      </c>
      <c r="U27" s="256">
        <v>45107.477650462963</v>
      </c>
      <c r="V27" s="256">
        <v>45107.477650462963</v>
      </c>
      <c r="W27" s="260">
        <v>45107.477650462963</v>
      </c>
      <c r="X27" s="260">
        <v>45107.477951388886</v>
      </c>
      <c r="Y27" s="261">
        <v>1</v>
      </c>
      <c r="Z27" s="267">
        <v>45107</v>
      </c>
      <c r="AA27" s="268">
        <v>2</v>
      </c>
      <c r="AB27" s="267">
        <v>45110</v>
      </c>
      <c r="AC27" s="241">
        <v>3</v>
      </c>
      <c r="AD27" s="240"/>
    </row>
    <row r="28" spans="1:32">
      <c r="A28" s="291">
        <f>COUNTA($E$3:E28)</f>
        <v>26</v>
      </c>
      <c r="B28" s="291" t="s">
        <v>5475</v>
      </c>
      <c r="C28" s="291" t="s">
        <v>1161</v>
      </c>
      <c r="D28" s="291" t="s">
        <v>20</v>
      </c>
      <c r="E28" s="291" t="s">
        <v>5476</v>
      </c>
      <c r="F28" s="292">
        <v>45077.503807870373</v>
      </c>
      <c r="G28" s="292">
        <v>45085</v>
      </c>
      <c r="H28" s="292">
        <v>45085</v>
      </c>
      <c r="I28" s="292">
        <v>45077</v>
      </c>
      <c r="J28" s="292" t="s">
        <v>3</v>
      </c>
      <c r="K28" s="291"/>
      <c r="L28" s="214"/>
      <c r="M28" s="223">
        <v>45103</v>
      </c>
      <c r="N28" s="220" t="s">
        <v>5728</v>
      </c>
      <c r="O28" s="223">
        <v>45093</v>
      </c>
      <c r="P28" s="222" t="s">
        <v>26</v>
      </c>
      <c r="R28" t="s">
        <v>26</v>
      </c>
      <c r="S28">
        <v>19</v>
      </c>
      <c r="T28" s="240">
        <v>45077</v>
      </c>
      <c r="U28" s="256">
        <v>45077</v>
      </c>
      <c r="V28" s="256">
        <v>45077</v>
      </c>
      <c r="W28" s="260">
        <v>45077</v>
      </c>
      <c r="X28" s="260">
        <v>45092.793275462966</v>
      </c>
      <c r="Y28" s="261">
        <v>12</v>
      </c>
      <c r="Z28" s="267">
        <v>45092</v>
      </c>
      <c r="AA28" s="268">
        <v>5</v>
      </c>
      <c r="AB28" s="267">
        <v>45098</v>
      </c>
      <c r="AC28" s="241">
        <v>16</v>
      </c>
      <c r="AD28" s="240">
        <v>45093</v>
      </c>
    </row>
    <row r="29" spans="1:32">
      <c r="A29" s="291">
        <f>COUNTA($E$3:E29)</f>
        <v>27</v>
      </c>
      <c r="B29" s="291" t="s">
        <v>5477</v>
      </c>
      <c r="C29" s="291" t="s">
        <v>45</v>
      </c>
      <c r="D29" s="291" t="s">
        <v>38</v>
      </c>
      <c r="E29" s="291" t="s">
        <v>1057</v>
      </c>
      <c r="F29" s="292">
        <v>45093.642870370371</v>
      </c>
      <c r="G29" s="292"/>
      <c r="H29" s="292"/>
      <c r="I29" s="292"/>
      <c r="J29" s="292" t="s">
        <v>4</v>
      </c>
      <c r="K29" s="291" t="s">
        <v>3504</v>
      </c>
      <c r="L29" s="214" t="s">
        <v>1309</v>
      </c>
      <c r="M29" s="223">
        <v>45103</v>
      </c>
      <c r="N29" s="220" t="s">
        <v>3367</v>
      </c>
      <c r="O29" s="223">
        <v>45103</v>
      </c>
      <c r="P29" s="222" t="s">
        <v>26</v>
      </c>
      <c r="R29" t="s">
        <v>26</v>
      </c>
      <c r="S29">
        <v>7</v>
      </c>
      <c r="T29" s="240">
        <v>45061</v>
      </c>
      <c r="U29" s="256">
        <v>45100.759062500001</v>
      </c>
      <c r="V29" s="256">
        <v>45100.759062500001</v>
      </c>
      <c r="W29" s="260">
        <v>45100.759062500001</v>
      </c>
      <c r="X29" s="260">
        <v>45100.759282407409</v>
      </c>
      <c r="Y29" s="261">
        <v>1</v>
      </c>
      <c r="Z29" s="267">
        <v>45100</v>
      </c>
      <c r="AA29" s="268">
        <v>1</v>
      </c>
      <c r="AB29" s="267">
        <v>45100</v>
      </c>
      <c r="AC29" s="241">
        <v>30</v>
      </c>
      <c r="AD29" s="240">
        <v>45103</v>
      </c>
    </row>
    <row r="30" spans="1:32">
      <c r="A30" s="291">
        <f>COUNTA($E$3:E30)</f>
        <v>28</v>
      </c>
      <c r="B30" s="291" t="s">
        <v>5668</v>
      </c>
      <c r="C30" s="291" t="s">
        <v>2510</v>
      </c>
      <c r="D30" s="291" t="s">
        <v>56</v>
      </c>
      <c r="E30" s="291" t="s">
        <v>5669</v>
      </c>
      <c r="F30" s="292">
        <v>45092</v>
      </c>
      <c r="G30" s="292"/>
      <c r="H30" s="292"/>
      <c r="I30" s="292" t="s">
        <v>59</v>
      </c>
      <c r="J30" s="292" t="s">
        <v>5</v>
      </c>
      <c r="K30" s="291"/>
      <c r="L30" s="214" t="s">
        <v>28</v>
      </c>
      <c r="M30" s="223">
        <v>45103</v>
      </c>
      <c r="N30" s="220" t="s">
        <v>5757</v>
      </c>
      <c r="O30" s="223">
        <v>45099</v>
      </c>
      <c r="P30" s="222" t="s">
        <v>26</v>
      </c>
      <c r="R30" t="s">
        <v>26</v>
      </c>
      <c r="S30">
        <v>8</v>
      </c>
      <c r="T30" s="240">
        <v>45092</v>
      </c>
      <c r="U30" s="256">
        <v>45092.666504629633</v>
      </c>
      <c r="V30" s="256">
        <v>45092.666504629633</v>
      </c>
      <c r="W30" s="260">
        <v>45092.666504629633</v>
      </c>
      <c r="X30" s="260">
        <v>45098.694548611114</v>
      </c>
      <c r="Y30" s="261">
        <v>5</v>
      </c>
      <c r="Z30" s="267">
        <v>45098</v>
      </c>
      <c r="AA30" s="268">
        <v>2</v>
      </c>
      <c r="AB30" s="267">
        <v>45099</v>
      </c>
      <c r="AC30" s="241">
        <v>6</v>
      </c>
      <c r="AD30" s="240">
        <v>45099</v>
      </c>
    </row>
    <row r="31" spans="1:32">
      <c r="A31" s="291">
        <f>COUNTA($E$3:E31)</f>
        <v>29</v>
      </c>
      <c r="B31" s="291" t="s">
        <v>5674</v>
      </c>
      <c r="C31" s="291" t="s">
        <v>2396</v>
      </c>
      <c r="D31" s="291" t="s">
        <v>1135</v>
      </c>
      <c r="E31" s="291" t="s">
        <v>5675</v>
      </c>
      <c r="F31" s="292">
        <v>45092.47384259259</v>
      </c>
      <c r="G31" s="292"/>
      <c r="H31" s="292"/>
      <c r="I31" s="292"/>
      <c r="J31" s="292" t="s">
        <v>4</v>
      </c>
      <c r="K31" s="291" t="s">
        <v>5760</v>
      </c>
      <c r="L31" s="214" t="s">
        <v>2058</v>
      </c>
      <c r="M31" s="223">
        <v>45103</v>
      </c>
      <c r="N31" s="220" t="s">
        <v>5790</v>
      </c>
      <c r="O31" s="223">
        <v>45103</v>
      </c>
      <c r="P31" s="222" t="s">
        <v>26</v>
      </c>
      <c r="R31" t="s">
        <v>26</v>
      </c>
      <c r="S31">
        <v>8</v>
      </c>
      <c r="T31" s="240">
        <v>45092</v>
      </c>
      <c r="U31" s="256">
        <v>45099.786087962966</v>
      </c>
      <c r="V31" s="256">
        <v>45099.786087962966</v>
      </c>
      <c r="W31" s="260">
        <v>45099.786087962966</v>
      </c>
      <c r="X31" s="260">
        <v>45099.786157407405</v>
      </c>
      <c r="Y31" s="261">
        <v>1</v>
      </c>
      <c r="Z31" s="267">
        <v>45099</v>
      </c>
      <c r="AA31" s="268">
        <v>2</v>
      </c>
      <c r="AB31" s="267">
        <v>45101</v>
      </c>
      <c r="AC31" s="241">
        <v>7</v>
      </c>
      <c r="AD31" s="240">
        <v>45103</v>
      </c>
    </row>
    <row r="32" spans="1:32">
      <c r="A32" s="291">
        <f>COUNTA($E$3:E32)</f>
        <v>30</v>
      </c>
      <c r="B32" s="291" t="s">
        <v>5676</v>
      </c>
      <c r="C32" s="291" t="s">
        <v>1767</v>
      </c>
      <c r="D32" s="291" t="s">
        <v>53</v>
      </c>
      <c r="E32" s="291" t="s">
        <v>1768</v>
      </c>
      <c r="F32" s="292">
        <v>45092</v>
      </c>
      <c r="G32" s="292"/>
      <c r="H32" s="292"/>
      <c r="I32" s="292"/>
      <c r="J32" s="292" t="s">
        <v>4</v>
      </c>
      <c r="K32" s="291"/>
      <c r="L32" s="214"/>
      <c r="M32" s="223">
        <v>45103</v>
      </c>
      <c r="N32" s="220" t="s">
        <v>5727</v>
      </c>
      <c r="O32" s="223">
        <v>45092</v>
      </c>
      <c r="P32" s="222" t="s">
        <v>26</v>
      </c>
      <c r="R32" t="s">
        <v>26</v>
      </c>
      <c r="S32">
        <v>8</v>
      </c>
      <c r="T32" s="240">
        <v>45092</v>
      </c>
      <c r="U32" s="256">
        <v>45099.773900462962</v>
      </c>
      <c r="V32" s="256">
        <v>45099.773900462962</v>
      </c>
      <c r="W32" s="260">
        <v>45099.773900462962</v>
      </c>
      <c r="X32" s="260">
        <v>45099.773969907408</v>
      </c>
      <c r="Y32" s="261">
        <v>1</v>
      </c>
      <c r="Z32" s="267">
        <v>45099</v>
      </c>
      <c r="AA32" s="268">
        <v>1</v>
      </c>
      <c r="AB32" s="267">
        <v>45099</v>
      </c>
      <c r="AC32" s="241">
        <v>6</v>
      </c>
      <c r="AD32" s="240">
        <v>45092</v>
      </c>
    </row>
    <row r="33" spans="1:30">
      <c r="A33" s="291">
        <f>COUNTA($E$3:E33)</f>
        <v>31</v>
      </c>
      <c r="B33" s="291" t="s">
        <v>5686</v>
      </c>
      <c r="C33" s="291" t="s">
        <v>45</v>
      </c>
      <c r="D33" s="291" t="s">
        <v>1138</v>
      </c>
      <c r="E33" s="291" t="s">
        <v>5687</v>
      </c>
      <c r="F33" s="292">
        <v>45093</v>
      </c>
      <c r="G33" s="292"/>
      <c r="H33" s="292"/>
      <c r="I33" s="292"/>
      <c r="J33" s="292" t="s">
        <v>5</v>
      </c>
      <c r="K33" s="291"/>
      <c r="L33" s="214" t="s">
        <v>1302</v>
      </c>
      <c r="M33" s="223">
        <v>45103</v>
      </c>
      <c r="N33" s="220" t="s">
        <v>5755</v>
      </c>
      <c r="O33" s="223">
        <v>45103</v>
      </c>
      <c r="P33" s="222" t="s">
        <v>5810</v>
      </c>
      <c r="R33" t="s">
        <v>138</v>
      </c>
      <c r="S33">
        <v>7</v>
      </c>
      <c r="T33" s="240">
        <v>45093</v>
      </c>
      <c r="U33" s="256">
        <v>45096.449444444443</v>
      </c>
      <c r="V33" s="256">
        <v>45096.449444444443</v>
      </c>
      <c r="W33" s="260">
        <v>45096.449444444443</v>
      </c>
      <c r="X33" s="260">
        <v>45096.449513888889</v>
      </c>
      <c r="Y33" s="261">
        <v>1</v>
      </c>
      <c r="Z33" s="267">
        <v>45096</v>
      </c>
      <c r="AA33" s="268">
        <v>2</v>
      </c>
      <c r="AB33" s="267">
        <v>45097</v>
      </c>
      <c r="AC33" s="241">
        <v>3</v>
      </c>
      <c r="AD33" s="240">
        <v>45103</v>
      </c>
    </row>
    <row r="34" spans="1:30">
      <c r="A34" s="291">
        <f>COUNTA($E$3:E34)</f>
        <v>32</v>
      </c>
      <c r="B34" s="291" t="s">
        <v>5689</v>
      </c>
      <c r="C34" s="291" t="s">
        <v>45</v>
      </c>
      <c r="D34" s="291" t="s">
        <v>1279</v>
      </c>
      <c r="E34" s="291" t="s">
        <v>5690</v>
      </c>
      <c r="F34" s="292">
        <v>45093</v>
      </c>
      <c r="G34" s="292"/>
      <c r="H34" s="292"/>
      <c r="I34" s="292"/>
      <c r="J34" s="292" t="s">
        <v>5</v>
      </c>
      <c r="K34" s="291" t="s">
        <v>4654</v>
      </c>
      <c r="L34" s="214" t="s">
        <v>1302</v>
      </c>
      <c r="M34" s="223">
        <v>45103</v>
      </c>
      <c r="N34" s="220" t="s">
        <v>5755</v>
      </c>
      <c r="O34" s="223">
        <v>45103</v>
      </c>
      <c r="P34" s="222" t="s">
        <v>5810</v>
      </c>
      <c r="R34" t="s">
        <v>138</v>
      </c>
      <c r="S34">
        <v>7</v>
      </c>
      <c r="T34" s="240">
        <v>45093</v>
      </c>
      <c r="U34" s="256">
        <v>45096.446643518517</v>
      </c>
      <c r="V34" s="256">
        <v>45096.446643518517</v>
      </c>
      <c r="W34" s="260">
        <v>45096.446643518517</v>
      </c>
      <c r="X34" s="260">
        <v>45096.44672453704</v>
      </c>
      <c r="Y34" s="261">
        <v>1</v>
      </c>
      <c r="Z34" s="267">
        <v>45096</v>
      </c>
      <c r="AA34" s="268">
        <v>2</v>
      </c>
      <c r="AB34" s="267">
        <v>45097</v>
      </c>
      <c r="AC34" s="241">
        <v>3</v>
      </c>
      <c r="AD34" s="240">
        <v>45103</v>
      </c>
    </row>
    <row r="35" spans="1:30">
      <c r="A35" s="291">
        <f>COUNTA($E$3:E35)</f>
        <v>33</v>
      </c>
      <c r="B35" s="291" t="s">
        <v>5691</v>
      </c>
      <c r="C35" s="291" t="s">
        <v>45</v>
      </c>
      <c r="D35" s="291" t="s">
        <v>2777</v>
      </c>
      <c r="E35" s="291" t="s">
        <v>5692</v>
      </c>
      <c r="F35" s="292">
        <v>45093</v>
      </c>
      <c r="G35" s="292"/>
      <c r="H35" s="292"/>
      <c r="I35" s="292"/>
      <c r="J35" s="292" t="s">
        <v>5</v>
      </c>
      <c r="K35" s="291" t="s">
        <v>4654</v>
      </c>
      <c r="L35" s="214" t="s">
        <v>1302</v>
      </c>
      <c r="M35" s="223">
        <v>45103</v>
      </c>
      <c r="N35" s="220" t="s">
        <v>5755</v>
      </c>
      <c r="O35" s="223">
        <v>45103</v>
      </c>
      <c r="P35" s="222" t="s">
        <v>5053</v>
      </c>
      <c r="R35" t="s">
        <v>138</v>
      </c>
      <c r="S35">
        <v>7</v>
      </c>
      <c r="T35" s="240">
        <v>45093</v>
      </c>
      <c r="U35" s="256">
        <v>45096.442037037035</v>
      </c>
      <c r="V35" s="256">
        <v>45096.442037037035</v>
      </c>
      <c r="W35" s="260">
        <v>45096.442037037035</v>
      </c>
      <c r="X35" s="260">
        <v>45096.442187499997</v>
      </c>
      <c r="Y35" s="261">
        <v>1</v>
      </c>
      <c r="Z35" s="267">
        <v>45096</v>
      </c>
      <c r="AA35" s="268">
        <v>2</v>
      </c>
      <c r="AB35" s="267">
        <v>45097</v>
      </c>
      <c r="AC35" s="241">
        <v>3</v>
      </c>
      <c r="AD35" s="240">
        <v>45103</v>
      </c>
    </row>
    <row r="36" spans="1:30">
      <c r="A36" s="291">
        <f>COUNTA($E$3:E36)</f>
        <v>34</v>
      </c>
      <c r="B36" s="291" t="s">
        <v>5693</v>
      </c>
      <c r="C36" s="291" t="s">
        <v>45</v>
      </c>
      <c r="D36" s="291" t="s">
        <v>53</v>
      </c>
      <c r="E36" s="291" t="s">
        <v>5694</v>
      </c>
      <c r="F36" s="292">
        <v>45093</v>
      </c>
      <c r="G36" s="292"/>
      <c r="H36" s="292"/>
      <c r="I36" s="292"/>
      <c r="J36" s="292" t="s">
        <v>4</v>
      </c>
      <c r="K36" s="291"/>
      <c r="L36" s="214" t="s">
        <v>1302</v>
      </c>
      <c r="M36" s="223">
        <v>45103</v>
      </c>
      <c r="N36" s="220" t="s">
        <v>5755</v>
      </c>
      <c r="O36" s="223">
        <v>45103</v>
      </c>
      <c r="P36" s="222" t="s">
        <v>5810</v>
      </c>
      <c r="R36" t="s">
        <v>138</v>
      </c>
      <c r="S36">
        <v>7</v>
      </c>
      <c r="T36" s="240">
        <v>45093</v>
      </c>
      <c r="U36" s="256">
        <v>45096.454768518517</v>
      </c>
      <c r="V36" s="256">
        <v>45096.454768518517</v>
      </c>
      <c r="W36" s="260">
        <v>45096.454768518517</v>
      </c>
      <c r="X36" s="260">
        <v>45096.45484953704</v>
      </c>
      <c r="Y36" s="261">
        <v>1</v>
      </c>
      <c r="Z36" s="267">
        <v>45096</v>
      </c>
      <c r="AA36" s="268">
        <v>2</v>
      </c>
      <c r="AB36" s="267">
        <v>45097</v>
      </c>
      <c r="AC36" s="241">
        <v>3</v>
      </c>
      <c r="AD36" s="240">
        <v>45103</v>
      </c>
    </row>
    <row r="37" spans="1:30">
      <c r="A37" s="291">
        <f>COUNTA($E$3:E37)</f>
        <v>35</v>
      </c>
      <c r="B37" s="291" t="s">
        <v>5695</v>
      </c>
      <c r="C37" s="291" t="s">
        <v>45</v>
      </c>
      <c r="D37" s="291" t="s">
        <v>60</v>
      </c>
      <c r="E37" s="291" t="s">
        <v>5696</v>
      </c>
      <c r="F37" s="292">
        <v>45093</v>
      </c>
      <c r="G37" s="292"/>
      <c r="H37" s="292"/>
      <c r="I37" s="292"/>
      <c r="J37" s="292" t="s">
        <v>1122</v>
      </c>
      <c r="K37" s="291"/>
      <c r="L37" s="214" t="s">
        <v>1311</v>
      </c>
      <c r="M37" s="223">
        <v>45103</v>
      </c>
      <c r="N37" s="220" t="s">
        <v>5756</v>
      </c>
      <c r="O37" s="223">
        <v>45103</v>
      </c>
      <c r="P37" s="222" t="s">
        <v>5810</v>
      </c>
      <c r="R37" t="s">
        <v>138</v>
      </c>
      <c r="S37">
        <v>7</v>
      </c>
      <c r="T37" s="240">
        <v>45093</v>
      </c>
      <c r="U37" s="256">
        <v>45096.477199074077</v>
      </c>
      <c r="V37" s="256">
        <v>45096.477199074077</v>
      </c>
      <c r="W37" s="260">
        <v>45096.477199074077</v>
      </c>
      <c r="X37" s="260">
        <v>45096.477268518516</v>
      </c>
      <c r="Y37" s="261">
        <v>1</v>
      </c>
      <c r="Z37" s="267">
        <v>45096</v>
      </c>
      <c r="AA37" s="268">
        <v>2</v>
      </c>
      <c r="AB37" s="267">
        <v>45097</v>
      </c>
      <c r="AC37" s="241">
        <v>3</v>
      </c>
      <c r="AD37" s="240">
        <v>45103</v>
      </c>
    </row>
    <row r="38" spans="1:30">
      <c r="A38" s="291">
        <f>COUNTA($E$3:E38)</f>
        <v>36</v>
      </c>
      <c r="B38" s="291" t="s">
        <v>5697</v>
      </c>
      <c r="C38" s="291" t="s">
        <v>45</v>
      </c>
      <c r="D38" s="291" t="s">
        <v>1136</v>
      </c>
      <c r="E38" s="291" t="s">
        <v>1196</v>
      </c>
      <c r="F38" s="292">
        <v>45093</v>
      </c>
      <c r="G38" s="292"/>
      <c r="H38" s="292"/>
      <c r="I38" s="292"/>
      <c r="J38" s="292" t="s">
        <v>4</v>
      </c>
      <c r="K38" s="291"/>
      <c r="L38" s="214" t="s">
        <v>1311</v>
      </c>
      <c r="M38" s="223">
        <v>45103</v>
      </c>
      <c r="N38" s="220" t="s">
        <v>5756</v>
      </c>
      <c r="O38" s="223">
        <v>45103</v>
      </c>
      <c r="P38" s="222" t="s">
        <v>5811</v>
      </c>
      <c r="R38" t="s">
        <v>138</v>
      </c>
      <c r="S38">
        <v>7</v>
      </c>
      <c r="T38" s="240">
        <v>45093</v>
      </c>
      <c r="U38" s="256">
        <v>45097.436574074076</v>
      </c>
      <c r="V38" s="256">
        <v>45097.436574074076</v>
      </c>
      <c r="W38" s="260">
        <v>45097.436574074076</v>
      </c>
      <c r="X38" s="260">
        <v>45097.436643518522</v>
      </c>
      <c r="Y38" s="261">
        <v>1</v>
      </c>
      <c r="Z38" s="267">
        <v>45097</v>
      </c>
      <c r="AA38" s="268">
        <v>1</v>
      </c>
      <c r="AB38" s="267">
        <v>45097</v>
      </c>
      <c r="AC38" s="241">
        <v>3</v>
      </c>
      <c r="AD38" s="240">
        <v>45103</v>
      </c>
    </row>
    <row r="39" spans="1:30">
      <c r="A39" s="291">
        <f>COUNTA($E$3:E39)</f>
        <v>37</v>
      </c>
      <c r="B39" s="291" t="s">
        <v>5745</v>
      </c>
      <c r="C39" s="291" t="s">
        <v>41</v>
      </c>
      <c r="D39" s="291" t="s">
        <v>34</v>
      </c>
      <c r="E39" s="291" t="s">
        <v>4822</v>
      </c>
      <c r="F39" s="292">
        <v>45097.494780092595</v>
      </c>
      <c r="G39" s="292"/>
      <c r="H39" s="292"/>
      <c r="I39" s="292"/>
      <c r="J39" s="292" t="s">
        <v>4</v>
      </c>
      <c r="K39" s="291" t="s">
        <v>5762</v>
      </c>
      <c r="L39" s="214" t="s">
        <v>1311</v>
      </c>
      <c r="M39" s="223">
        <v>45103</v>
      </c>
      <c r="N39" s="220" t="s">
        <v>3367</v>
      </c>
      <c r="O39" s="223"/>
      <c r="P39" s="222" t="s">
        <v>5055</v>
      </c>
      <c r="R39" t="s">
        <v>138</v>
      </c>
      <c r="S39">
        <v>5</v>
      </c>
      <c r="T39" s="240">
        <v>45097</v>
      </c>
      <c r="U39" s="256">
        <v>45100.71665509259</v>
      </c>
      <c r="V39" s="256">
        <v>45100.71665509259</v>
      </c>
      <c r="W39" s="260">
        <v>45100.71665509259</v>
      </c>
      <c r="X39" s="260">
        <v>45100.716782407406</v>
      </c>
      <c r="Y39" s="261">
        <v>1</v>
      </c>
      <c r="Z39" s="267">
        <v>45100</v>
      </c>
      <c r="AA39" s="268">
        <v>1</v>
      </c>
      <c r="AB39" s="267">
        <v>45100</v>
      </c>
      <c r="AC39" s="241">
        <v>4</v>
      </c>
      <c r="AD39" s="240"/>
    </row>
    <row r="40" spans="1:30">
      <c r="A40" s="291">
        <f>COUNTA($E$3:E40)</f>
        <v>38</v>
      </c>
      <c r="B40" s="291" t="s">
        <v>5747</v>
      </c>
      <c r="C40" s="291" t="s">
        <v>41</v>
      </c>
      <c r="D40" s="291" t="s">
        <v>34</v>
      </c>
      <c r="E40" s="291" t="s">
        <v>5023</v>
      </c>
      <c r="F40" s="292">
        <v>45097</v>
      </c>
      <c r="G40" s="292"/>
      <c r="H40" s="292"/>
      <c r="I40" s="292"/>
      <c r="J40" s="292" t="s">
        <v>4</v>
      </c>
      <c r="K40" s="291"/>
      <c r="L40" s="214" t="s">
        <v>1292</v>
      </c>
      <c r="M40" s="223">
        <v>45103</v>
      </c>
      <c r="N40" s="220"/>
      <c r="O40" s="223"/>
      <c r="P40" s="222" t="s">
        <v>5812</v>
      </c>
      <c r="R40" t="s">
        <v>138</v>
      </c>
      <c r="S40">
        <v>5</v>
      </c>
      <c r="T40" s="240">
        <v>45097</v>
      </c>
      <c r="U40" s="256">
        <v>45099.489062499997</v>
      </c>
      <c r="V40" s="256">
        <v>45099.489062499997</v>
      </c>
      <c r="W40" s="260">
        <v>45099.489062499997</v>
      </c>
      <c r="X40" s="260">
        <v>45099.489131944443</v>
      </c>
      <c r="Y40" s="261">
        <v>1</v>
      </c>
      <c r="Z40" s="267">
        <v>45099</v>
      </c>
      <c r="AA40" s="268">
        <v>1</v>
      </c>
      <c r="AB40" s="267">
        <v>45099</v>
      </c>
      <c r="AC40" s="241">
        <v>3</v>
      </c>
      <c r="AD40" s="240"/>
    </row>
    <row r="41" spans="1:30">
      <c r="A41" s="291">
        <f>COUNTA($E$3:E41)</f>
        <v>39</v>
      </c>
      <c r="B41" s="291" t="s">
        <v>5748</v>
      </c>
      <c r="C41" s="291" t="s">
        <v>41</v>
      </c>
      <c r="D41" s="291" t="s">
        <v>34</v>
      </c>
      <c r="E41" s="291" t="s">
        <v>5749</v>
      </c>
      <c r="F41" s="292">
        <v>45097</v>
      </c>
      <c r="G41" s="292"/>
      <c r="H41" s="292"/>
      <c r="I41" s="292"/>
      <c r="J41" s="292" t="s">
        <v>4</v>
      </c>
      <c r="K41" s="291"/>
      <c r="L41" s="214" t="s">
        <v>1292</v>
      </c>
      <c r="M41" s="223">
        <v>45103</v>
      </c>
      <c r="N41" s="220"/>
      <c r="O41" s="223"/>
      <c r="P41" s="222" t="s">
        <v>5812</v>
      </c>
      <c r="R41" t="s">
        <v>138</v>
      </c>
      <c r="S41">
        <v>5</v>
      </c>
      <c r="T41" s="240">
        <v>45097</v>
      </c>
      <c r="U41" s="256">
        <v>45098.707291666666</v>
      </c>
      <c r="V41" s="256">
        <v>45098.707291666666</v>
      </c>
      <c r="W41" s="260">
        <v>45098.707291666666</v>
      </c>
      <c r="X41" s="260">
        <v>45098.708240740743</v>
      </c>
      <c r="Y41" s="261">
        <v>1</v>
      </c>
      <c r="Z41" s="267">
        <v>45098</v>
      </c>
      <c r="AA41" s="268">
        <v>2</v>
      </c>
      <c r="AB41" s="267">
        <v>45099</v>
      </c>
      <c r="AC41" s="241">
        <v>3</v>
      </c>
      <c r="AD41" s="240"/>
    </row>
    <row r="42" spans="1:30">
      <c r="A42" s="291">
        <f>COUNTA($E$3:E42)</f>
        <v>40</v>
      </c>
      <c r="B42" s="291" t="s">
        <v>5799</v>
      </c>
      <c r="C42" s="291" t="s">
        <v>25</v>
      </c>
      <c r="D42" s="291" t="s">
        <v>38</v>
      </c>
      <c r="E42" s="291" t="s">
        <v>5800</v>
      </c>
      <c r="F42" s="292">
        <v>45007</v>
      </c>
      <c r="G42" s="292"/>
      <c r="H42" s="292"/>
      <c r="I42" s="292" t="s">
        <v>70</v>
      </c>
      <c r="J42" s="292" t="s">
        <v>4</v>
      </c>
      <c r="K42" s="291" t="s">
        <v>5801</v>
      </c>
      <c r="L42" s="214"/>
      <c r="M42" s="223">
        <v>45096</v>
      </c>
      <c r="N42" s="220" t="s">
        <v>5802</v>
      </c>
      <c r="O42" s="223">
        <v>45086</v>
      </c>
      <c r="P42" s="222" t="s">
        <v>5813</v>
      </c>
      <c r="R42" t="s">
        <v>138</v>
      </c>
      <c r="S42">
        <v>64</v>
      </c>
      <c r="T42" s="240">
        <v>45007</v>
      </c>
      <c r="U42" s="256">
        <v>45014.673368055555</v>
      </c>
      <c r="V42" s="256">
        <v>45014.673368055555</v>
      </c>
      <c r="W42" s="260">
        <v>45014.673368055555</v>
      </c>
      <c r="X42" s="260">
        <v>45078.805821759262</v>
      </c>
      <c r="Y42" s="261">
        <v>47</v>
      </c>
      <c r="Z42" s="267">
        <v>45096</v>
      </c>
      <c r="AA42" s="268">
        <v>1</v>
      </c>
      <c r="AB42" s="267">
        <v>45096</v>
      </c>
      <c r="AC42" s="241">
        <v>64</v>
      </c>
      <c r="AD42" s="240">
        <v>45086</v>
      </c>
    </row>
    <row r="43" spans="1:30">
      <c r="A43" s="291">
        <f>COUNTA($E$3:E43)</f>
        <v>41</v>
      </c>
      <c r="B43" s="291" t="s">
        <v>5073</v>
      </c>
      <c r="C43" s="291" t="s">
        <v>4152</v>
      </c>
      <c r="D43" s="291" t="s">
        <v>20</v>
      </c>
      <c r="E43" s="291" t="s">
        <v>5074</v>
      </c>
      <c r="F43" s="292">
        <v>45022.631180555552</v>
      </c>
      <c r="G43" s="292"/>
      <c r="H43" s="292"/>
      <c r="I43" s="292"/>
      <c r="J43" s="292" t="s">
        <v>3</v>
      </c>
      <c r="K43" s="291" t="s">
        <v>5803</v>
      </c>
      <c r="L43" s="214"/>
      <c r="M43" s="223">
        <v>45096</v>
      </c>
      <c r="N43" s="220" t="s">
        <v>2437</v>
      </c>
      <c r="O43" s="223">
        <v>45092</v>
      </c>
      <c r="P43" s="222" t="s">
        <v>26</v>
      </c>
      <c r="R43" t="s">
        <v>26</v>
      </c>
      <c r="S43">
        <v>53</v>
      </c>
      <c r="T43" s="240">
        <v>45022</v>
      </c>
      <c r="U43" s="256">
        <v>45081</v>
      </c>
      <c r="V43" s="256">
        <v>45081</v>
      </c>
      <c r="W43" s="260">
        <v>45071</v>
      </c>
      <c r="X43" s="260">
        <v>45078.736516203702</v>
      </c>
      <c r="Y43" s="261">
        <v>6</v>
      </c>
      <c r="Z43" s="267">
        <v>45071</v>
      </c>
      <c r="AA43" s="268">
        <v>17</v>
      </c>
      <c r="AB43" s="267">
        <v>45093</v>
      </c>
      <c r="AC43" s="241">
        <v>52</v>
      </c>
      <c r="AD43" s="240">
        <v>45092</v>
      </c>
    </row>
    <row r="44" spans="1:30">
      <c r="A44" s="291">
        <f>COUNTA($E$3:E44)</f>
        <v>42</v>
      </c>
      <c r="B44" s="291" t="s">
        <v>5804</v>
      </c>
      <c r="C44" s="291" t="s">
        <v>2457</v>
      </c>
      <c r="D44" s="291" t="s">
        <v>1115</v>
      </c>
      <c r="E44" s="291" t="s">
        <v>5805</v>
      </c>
      <c r="F44" s="292">
        <v>45055</v>
      </c>
      <c r="G44" s="292"/>
      <c r="H44" s="292"/>
      <c r="I44" s="292"/>
      <c r="J44" s="292" t="s">
        <v>4</v>
      </c>
      <c r="K44" s="291" t="s">
        <v>526</v>
      </c>
      <c r="L44" s="214" t="s">
        <v>1302</v>
      </c>
      <c r="M44" s="223">
        <v>45096</v>
      </c>
      <c r="N44" s="220" t="s">
        <v>5679</v>
      </c>
      <c r="O44" s="223">
        <v>45069</v>
      </c>
      <c r="P44" s="222" t="s">
        <v>5814</v>
      </c>
      <c r="R44" t="s">
        <v>138</v>
      </c>
      <c r="S44">
        <v>30</v>
      </c>
      <c r="T44" s="240">
        <v>45055</v>
      </c>
      <c r="U44" s="256">
        <v>45055.489039351851</v>
      </c>
      <c r="V44" s="256">
        <v>45055.489039351851</v>
      </c>
      <c r="W44" s="260">
        <v>45055.489039351851</v>
      </c>
      <c r="X44" s="260">
        <v>45086.693854166668</v>
      </c>
      <c r="Y44" s="261">
        <v>24</v>
      </c>
      <c r="Z44" s="267">
        <v>45086</v>
      </c>
      <c r="AA44" s="268">
        <v>4</v>
      </c>
      <c r="AB44" s="267">
        <v>45091</v>
      </c>
      <c r="AC44" s="241">
        <v>27</v>
      </c>
      <c r="AD44" s="240">
        <v>45069</v>
      </c>
    </row>
    <row r="45" spans="1:30">
      <c r="A45" s="291">
        <f>COUNTA($E$3:E45)</f>
        <v>43</v>
      </c>
      <c r="B45" s="291" t="s">
        <v>5326</v>
      </c>
      <c r="C45" s="291" t="s">
        <v>5327</v>
      </c>
      <c r="D45" s="291" t="s">
        <v>20</v>
      </c>
      <c r="E45" s="291" t="s">
        <v>5328</v>
      </c>
      <c r="F45" s="292">
        <v>45057</v>
      </c>
      <c r="G45" s="292">
        <v>45057</v>
      </c>
      <c r="H45" s="292">
        <v>45089</v>
      </c>
      <c r="I45" s="292">
        <v>45058</v>
      </c>
      <c r="J45" s="292" t="s">
        <v>3</v>
      </c>
      <c r="K45" s="291" t="s">
        <v>5329</v>
      </c>
      <c r="L45" s="214"/>
      <c r="M45" s="223">
        <v>45096</v>
      </c>
      <c r="N45" s="220" t="s">
        <v>3297</v>
      </c>
      <c r="O45" s="223">
        <v>45093</v>
      </c>
      <c r="P45" s="222" t="s">
        <v>26</v>
      </c>
      <c r="R45" t="s">
        <v>26</v>
      </c>
      <c r="S45">
        <v>28</v>
      </c>
      <c r="T45" s="240">
        <v>45057</v>
      </c>
      <c r="U45" s="256">
        <v>45058</v>
      </c>
      <c r="V45" s="256">
        <v>45058</v>
      </c>
      <c r="W45" s="260">
        <v>45089</v>
      </c>
      <c r="X45" s="260">
        <v>45092.793761574074</v>
      </c>
      <c r="Y45" s="261">
        <v>4</v>
      </c>
      <c r="Z45" s="267">
        <v>45092</v>
      </c>
      <c r="AA45" s="268">
        <v>1</v>
      </c>
      <c r="AB45" s="267">
        <v>45092</v>
      </c>
      <c r="AC45" s="241">
        <v>26</v>
      </c>
      <c r="AD45" s="240">
        <v>45093</v>
      </c>
    </row>
    <row r="46" spans="1:30">
      <c r="A46" s="291">
        <f>COUNTA($E$3:E46)</f>
        <v>44</v>
      </c>
      <c r="B46" s="291" t="s">
        <v>5461</v>
      </c>
      <c r="C46" s="291" t="s">
        <v>1112</v>
      </c>
      <c r="D46" s="291" t="s">
        <v>34</v>
      </c>
      <c r="E46" s="291" t="s">
        <v>1663</v>
      </c>
      <c r="F46" s="292">
        <v>45061.429236111115</v>
      </c>
      <c r="G46" s="292"/>
      <c r="H46" s="292"/>
      <c r="I46" s="292"/>
      <c r="J46" s="292" t="s">
        <v>4</v>
      </c>
      <c r="K46" s="291"/>
      <c r="L46" s="214" t="s">
        <v>1292</v>
      </c>
      <c r="M46" s="223">
        <v>45096</v>
      </c>
      <c r="N46" s="220" t="s">
        <v>5625</v>
      </c>
      <c r="O46" s="223">
        <v>45047</v>
      </c>
      <c r="P46" s="222" t="s">
        <v>5815</v>
      </c>
      <c r="R46" t="s">
        <v>138</v>
      </c>
      <c r="S46">
        <v>26</v>
      </c>
      <c r="T46" s="240">
        <v>45061</v>
      </c>
      <c r="U46" s="256">
        <v>45072.777256944442</v>
      </c>
      <c r="V46" s="256">
        <v>45072.777256944442</v>
      </c>
      <c r="W46" s="260">
        <v>45072.777256944442</v>
      </c>
      <c r="X46" s="260">
        <v>45072.777384259258</v>
      </c>
      <c r="Y46" s="261">
        <v>1</v>
      </c>
      <c r="Z46" s="267">
        <v>45072</v>
      </c>
      <c r="AA46" s="268">
        <v>4</v>
      </c>
      <c r="AB46" s="267">
        <v>45077</v>
      </c>
      <c r="AC46" s="241">
        <v>13</v>
      </c>
      <c r="AD46" s="240">
        <v>45047</v>
      </c>
    </row>
    <row r="47" spans="1:30">
      <c r="A47" s="291">
        <f>COUNTA($E$3:E47)</f>
        <v>45</v>
      </c>
      <c r="B47" s="291" t="s">
        <v>5495</v>
      </c>
      <c r="C47" s="291" t="s">
        <v>45</v>
      </c>
      <c r="D47" s="291" t="s">
        <v>38</v>
      </c>
      <c r="E47" s="291" t="s">
        <v>2487</v>
      </c>
      <c r="F47" s="292">
        <v>45069.586261574077</v>
      </c>
      <c r="G47" s="292"/>
      <c r="H47" s="292"/>
      <c r="I47" s="292"/>
      <c r="J47" s="292" t="s">
        <v>4</v>
      </c>
      <c r="K47" s="291" t="s">
        <v>1227</v>
      </c>
      <c r="L47" s="214" t="s">
        <v>1302</v>
      </c>
      <c r="M47" s="223">
        <v>45096</v>
      </c>
      <c r="N47" s="220" t="s">
        <v>5679</v>
      </c>
      <c r="O47" s="223">
        <v>45096</v>
      </c>
      <c r="P47" s="222" t="s">
        <v>5816</v>
      </c>
      <c r="R47" t="s">
        <v>138</v>
      </c>
      <c r="S47">
        <v>20</v>
      </c>
      <c r="T47" s="240">
        <v>45069</v>
      </c>
      <c r="U47" s="256">
        <v>45075.500983796293</v>
      </c>
      <c r="V47" s="256">
        <v>45075.500983796293</v>
      </c>
      <c r="W47" s="260">
        <v>45075.500983796293</v>
      </c>
      <c r="X47" s="260">
        <v>45075.501435185186</v>
      </c>
      <c r="Y47" s="261">
        <v>1</v>
      </c>
      <c r="Z47" s="267">
        <v>45075</v>
      </c>
      <c r="AA47" s="268">
        <v>13</v>
      </c>
      <c r="AB47" s="267">
        <v>45091</v>
      </c>
      <c r="AC47" s="241">
        <v>17</v>
      </c>
      <c r="AD47" s="240">
        <v>45096</v>
      </c>
    </row>
    <row r="48" spans="1:30">
      <c r="A48" s="291">
        <f>COUNTA($E$3:E48)</f>
        <v>46</v>
      </c>
      <c r="B48" s="291" t="s">
        <v>5562</v>
      </c>
      <c r="C48" s="291" t="s">
        <v>4356</v>
      </c>
      <c r="D48" s="291" t="s">
        <v>40</v>
      </c>
      <c r="E48" s="291" t="s">
        <v>4372</v>
      </c>
      <c r="F48" s="292">
        <v>45078</v>
      </c>
      <c r="G48" s="292"/>
      <c r="H48" s="292"/>
      <c r="I48" s="292"/>
      <c r="J48" s="292" t="s">
        <v>4</v>
      </c>
      <c r="K48" s="291" t="s">
        <v>4929</v>
      </c>
      <c r="L48" s="214" t="s">
        <v>1311</v>
      </c>
      <c r="M48" s="223">
        <v>45096</v>
      </c>
      <c r="N48" s="220" t="s">
        <v>2981</v>
      </c>
      <c r="O48" s="223">
        <v>45090</v>
      </c>
      <c r="P48" s="222" t="s">
        <v>5817</v>
      </c>
      <c r="R48" t="s">
        <v>138</v>
      </c>
      <c r="S48">
        <v>13</v>
      </c>
      <c r="T48" s="240">
        <v>45078</v>
      </c>
      <c r="U48" s="256">
        <v>45084.780324074076</v>
      </c>
      <c r="V48" s="256">
        <v>45084.780324074076</v>
      </c>
      <c r="W48" s="260">
        <v>45084.780324074076</v>
      </c>
      <c r="X48" s="260">
        <v>45084.780405092592</v>
      </c>
      <c r="Y48" s="261">
        <v>1</v>
      </c>
      <c r="Z48" s="267">
        <v>45084</v>
      </c>
      <c r="AA48" s="268">
        <v>6</v>
      </c>
      <c r="AB48" s="267">
        <v>45091</v>
      </c>
      <c r="AC48" s="241">
        <v>10</v>
      </c>
      <c r="AD48" s="240">
        <v>45090</v>
      </c>
    </row>
    <row r="49" spans="1:30">
      <c r="A49" s="291">
        <f>COUNTA($E$3:E49)</f>
        <v>47</v>
      </c>
      <c r="B49" s="291" t="s">
        <v>5613</v>
      </c>
      <c r="C49" s="291" t="s">
        <v>1767</v>
      </c>
      <c r="D49" s="291" t="s">
        <v>55</v>
      </c>
      <c r="E49" s="291" t="s">
        <v>3179</v>
      </c>
      <c r="F49" s="292">
        <v>45086</v>
      </c>
      <c r="G49" s="292"/>
      <c r="H49" s="292"/>
      <c r="I49" s="292"/>
      <c r="J49" s="292" t="s">
        <v>4</v>
      </c>
      <c r="K49" s="291"/>
      <c r="L49" s="214" t="s">
        <v>2058</v>
      </c>
      <c r="M49" s="223">
        <v>45096</v>
      </c>
      <c r="N49" s="220" t="s">
        <v>5671</v>
      </c>
      <c r="O49" s="223">
        <v>45090</v>
      </c>
      <c r="P49" s="222" t="s">
        <v>26</v>
      </c>
      <c r="R49" t="s">
        <v>26</v>
      </c>
      <c r="S49">
        <v>7</v>
      </c>
      <c r="T49" s="240">
        <v>45086</v>
      </c>
      <c r="U49" s="256">
        <v>45090.701296296298</v>
      </c>
      <c r="V49" s="256">
        <v>45090.701296296298</v>
      </c>
      <c r="W49" s="260">
        <v>45090.701296296298</v>
      </c>
      <c r="X49" s="260">
        <v>45090.701423611114</v>
      </c>
      <c r="Y49" s="261">
        <v>1</v>
      </c>
      <c r="Z49" s="267">
        <v>45090</v>
      </c>
      <c r="AA49" s="268">
        <v>1</v>
      </c>
      <c r="AB49" s="267">
        <v>45090</v>
      </c>
      <c r="AC49" s="241">
        <v>3</v>
      </c>
      <c r="AD49" s="240">
        <v>45090</v>
      </c>
    </row>
    <row r="50" spans="1:30">
      <c r="A50" s="291">
        <f>COUNTA($E$3:E50)</f>
        <v>48</v>
      </c>
      <c r="B50" s="291" t="s">
        <v>5614</v>
      </c>
      <c r="C50" s="291" t="s">
        <v>1211</v>
      </c>
      <c r="D50" s="291" t="s">
        <v>40</v>
      </c>
      <c r="E50" s="291" t="s">
        <v>2605</v>
      </c>
      <c r="F50" s="292">
        <v>45086</v>
      </c>
      <c r="G50" s="292"/>
      <c r="H50" s="292"/>
      <c r="I50" s="292"/>
      <c r="J50" s="292" t="s">
        <v>4</v>
      </c>
      <c r="K50" s="291" t="s">
        <v>21</v>
      </c>
      <c r="L50" s="214"/>
      <c r="M50" s="223">
        <v>45096</v>
      </c>
      <c r="N50" s="220" t="s">
        <v>5681</v>
      </c>
      <c r="O50" s="223">
        <v>45090</v>
      </c>
      <c r="P50" s="222" t="s">
        <v>26</v>
      </c>
      <c r="R50" t="s">
        <v>26</v>
      </c>
      <c r="S50">
        <v>7</v>
      </c>
      <c r="T50" s="240">
        <v>45086</v>
      </c>
      <c r="U50" s="256">
        <v>45089.672627314816</v>
      </c>
      <c r="V50" s="256">
        <v>45089.672627314816</v>
      </c>
      <c r="W50" s="260">
        <v>45089.672627314816</v>
      </c>
      <c r="X50" s="260">
        <v>45089.672719907408</v>
      </c>
      <c r="Y50" s="261">
        <v>1</v>
      </c>
      <c r="Z50" s="267">
        <v>45089</v>
      </c>
      <c r="AA50" s="268">
        <v>4</v>
      </c>
      <c r="AB50" s="267">
        <v>45092</v>
      </c>
      <c r="AC50" s="241">
        <v>5</v>
      </c>
      <c r="AD50" s="240">
        <v>45090</v>
      </c>
    </row>
    <row r="51" spans="1:30">
      <c r="A51" s="291">
        <f>COUNTA($E$3:E51)</f>
        <v>49</v>
      </c>
      <c r="B51" s="291" t="s">
        <v>5620</v>
      </c>
      <c r="C51" s="291" t="s">
        <v>45</v>
      </c>
      <c r="D51" s="291" t="s">
        <v>38</v>
      </c>
      <c r="E51" s="291" t="s">
        <v>1940</v>
      </c>
      <c r="F51" s="292">
        <v>45086</v>
      </c>
      <c r="G51" s="292"/>
      <c r="H51" s="292"/>
      <c r="I51" s="292"/>
      <c r="J51" s="292" t="s">
        <v>4</v>
      </c>
      <c r="K51" s="291" t="s">
        <v>5683</v>
      </c>
      <c r="L51" s="214" t="s">
        <v>1302</v>
      </c>
      <c r="M51" s="223">
        <v>45096</v>
      </c>
      <c r="N51" s="220" t="s">
        <v>5679</v>
      </c>
      <c r="O51" s="223"/>
      <c r="P51" s="222" t="s">
        <v>5811</v>
      </c>
      <c r="R51" t="s">
        <v>138</v>
      </c>
      <c r="S51">
        <v>7</v>
      </c>
      <c r="T51" s="240">
        <v>45086</v>
      </c>
      <c r="U51" s="256">
        <v>45089.704861111109</v>
      </c>
      <c r="V51" s="256">
        <v>45089.704861111109</v>
      </c>
      <c r="W51" s="260">
        <v>45089.704861111109</v>
      </c>
      <c r="X51" s="260">
        <v>45089.705127314817</v>
      </c>
      <c r="Y51" s="261">
        <v>1</v>
      </c>
      <c r="Z51" s="267">
        <v>45089</v>
      </c>
      <c r="AA51" s="268">
        <v>3</v>
      </c>
      <c r="AB51" s="267">
        <v>45091</v>
      </c>
      <c r="AC51" s="241">
        <v>4</v>
      </c>
      <c r="AD51" s="240"/>
    </row>
    <row r="52" spans="1:30">
      <c r="A52" s="291">
        <f>COUNTA($E$3:E52)</f>
        <v>50</v>
      </c>
      <c r="B52" s="291" t="s">
        <v>5621</v>
      </c>
      <c r="C52" s="291" t="s">
        <v>2341</v>
      </c>
      <c r="D52" s="291" t="s">
        <v>62</v>
      </c>
      <c r="E52" s="291" t="s">
        <v>2342</v>
      </c>
      <c r="F52" s="292">
        <v>45086</v>
      </c>
      <c r="G52" s="292"/>
      <c r="H52" s="292"/>
      <c r="I52" s="292"/>
      <c r="J52" s="292" t="s">
        <v>4</v>
      </c>
      <c r="K52" s="291" t="s">
        <v>5684</v>
      </c>
      <c r="L52" s="214" t="s">
        <v>1311</v>
      </c>
      <c r="M52" s="223">
        <v>45096</v>
      </c>
      <c r="N52" s="220" t="s">
        <v>5671</v>
      </c>
      <c r="O52" s="223">
        <v>45093</v>
      </c>
      <c r="P52" s="222" t="s">
        <v>5818</v>
      </c>
      <c r="R52" t="s">
        <v>138</v>
      </c>
      <c r="S52">
        <v>7</v>
      </c>
      <c r="T52" s="240">
        <v>45086</v>
      </c>
      <c r="U52" s="256">
        <v>45089.704282407409</v>
      </c>
      <c r="V52" s="256">
        <v>45089.704282407409</v>
      </c>
      <c r="W52" s="260">
        <v>45089.704282407409</v>
      </c>
      <c r="X52" s="260">
        <v>45089.704375000001</v>
      </c>
      <c r="Y52" s="261">
        <v>1</v>
      </c>
      <c r="Z52" s="267">
        <v>45089</v>
      </c>
      <c r="AA52" s="268">
        <v>3</v>
      </c>
      <c r="AB52" s="267">
        <v>45091</v>
      </c>
      <c r="AC52" s="241">
        <v>4</v>
      </c>
      <c r="AD52" s="240">
        <v>45093</v>
      </c>
    </row>
    <row r="53" spans="1:30">
      <c r="A53" s="291">
        <f>COUNTA($E$3:E53)</f>
        <v>51</v>
      </c>
      <c r="B53" s="291" t="s">
        <v>5637</v>
      </c>
      <c r="C53" s="291" t="s">
        <v>308</v>
      </c>
      <c r="D53" s="291" t="s">
        <v>53</v>
      </c>
      <c r="E53" s="291" t="s">
        <v>5638</v>
      </c>
      <c r="F53" s="292">
        <v>45086</v>
      </c>
      <c r="G53" s="292">
        <v>45089</v>
      </c>
      <c r="H53" s="292"/>
      <c r="I53" s="292">
        <v>45086</v>
      </c>
      <c r="J53" s="292" t="s">
        <v>4</v>
      </c>
      <c r="K53" s="291" t="s">
        <v>4654</v>
      </c>
      <c r="L53" s="214"/>
      <c r="M53" s="223">
        <v>45096</v>
      </c>
      <c r="N53" s="220" t="s">
        <v>5729</v>
      </c>
      <c r="O53" s="223">
        <v>45093</v>
      </c>
      <c r="P53" s="222" t="s">
        <v>26</v>
      </c>
      <c r="R53" t="s">
        <v>26</v>
      </c>
      <c r="S53">
        <v>7</v>
      </c>
      <c r="T53" s="240">
        <v>45086</v>
      </c>
      <c r="U53" s="256">
        <v>45086</v>
      </c>
      <c r="V53" s="256">
        <v>45086</v>
      </c>
      <c r="W53" s="260">
        <v>45086</v>
      </c>
      <c r="X53" s="260">
        <v>45092.790717592594</v>
      </c>
      <c r="Y53" s="261">
        <v>5</v>
      </c>
      <c r="Z53" s="267">
        <v>45092</v>
      </c>
      <c r="AA53" s="268">
        <v>2</v>
      </c>
      <c r="AB53" s="267">
        <v>45093</v>
      </c>
      <c r="AC53" s="241">
        <v>6</v>
      </c>
      <c r="AD53" s="240">
        <v>45093</v>
      </c>
    </row>
    <row r="54" spans="1:30">
      <c r="A54" s="291">
        <f>COUNTA($E$3:E54)</f>
        <v>52</v>
      </c>
      <c r="B54" s="291" t="s">
        <v>5665</v>
      </c>
      <c r="C54" s="291" t="s">
        <v>45</v>
      </c>
      <c r="D54" s="291" t="s">
        <v>55</v>
      </c>
      <c r="E54" s="291" t="s">
        <v>4637</v>
      </c>
      <c r="F54" s="292">
        <v>45089.753877314812</v>
      </c>
      <c r="G54" s="292"/>
      <c r="H54" s="292"/>
      <c r="I54" s="292"/>
      <c r="J54" s="292" t="s">
        <v>4</v>
      </c>
      <c r="K54" s="291" t="s">
        <v>4799</v>
      </c>
      <c r="L54" s="214" t="s">
        <v>1311</v>
      </c>
      <c r="M54" s="223">
        <v>45096</v>
      </c>
      <c r="N54" s="220" t="s">
        <v>5679</v>
      </c>
      <c r="O54" s="223"/>
      <c r="P54" s="222" t="s">
        <v>5055</v>
      </c>
      <c r="R54" t="s">
        <v>138</v>
      </c>
      <c r="S54">
        <v>6</v>
      </c>
      <c r="T54" s="240">
        <v>45089</v>
      </c>
      <c r="U54" s="256">
        <v>45090.744791666664</v>
      </c>
      <c r="V54" s="256">
        <v>45090.744791666664</v>
      </c>
      <c r="W54" s="260">
        <v>45090.744791666664</v>
      </c>
      <c r="X54" s="260">
        <v>45090.74486111111</v>
      </c>
      <c r="Y54" s="261">
        <v>1</v>
      </c>
      <c r="Z54" s="267">
        <v>45090</v>
      </c>
      <c r="AA54" s="268">
        <v>2</v>
      </c>
      <c r="AB54" s="267">
        <v>45091</v>
      </c>
      <c r="AC54" s="241">
        <v>3</v>
      </c>
      <c r="AD54" s="240"/>
    </row>
    <row r="55" spans="1:30">
      <c r="A55" s="291">
        <f>COUNTA($E$3:E55)</f>
        <v>53</v>
      </c>
      <c r="B55" s="291" t="s">
        <v>5709</v>
      </c>
      <c r="C55" s="291" t="s">
        <v>45</v>
      </c>
      <c r="D55" s="291" t="s">
        <v>53</v>
      </c>
      <c r="E55" s="291" t="s">
        <v>4959</v>
      </c>
      <c r="F55" s="292">
        <v>45093.706689814811</v>
      </c>
      <c r="G55" s="292"/>
      <c r="H55" s="292"/>
      <c r="I55" s="292"/>
      <c r="J55" s="292" t="s">
        <v>4</v>
      </c>
      <c r="K55" s="291" t="s">
        <v>4799</v>
      </c>
      <c r="L55" s="214"/>
      <c r="M55" s="223">
        <v>45096</v>
      </c>
      <c r="N55" s="220" t="s">
        <v>2437</v>
      </c>
      <c r="O55" s="223"/>
      <c r="P55" s="222" t="s">
        <v>5053</v>
      </c>
      <c r="R55" t="s">
        <v>138</v>
      </c>
      <c r="S55">
        <v>2</v>
      </c>
      <c r="T55" s="240">
        <v>45093</v>
      </c>
      <c r="U55" s="256">
        <v>45093.710810185185</v>
      </c>
      <c r="V55" s="256">
        <v>45093.710810185185</v>
      </c>
      <c r="W55" s="260">
        <v>45093.710810185185</v>
      </c>
      <c r="X55" s="260">
        <v>45093.710879629631</v>
      </c>
      <c r="Y55" s="261">
        <v>1</v>
      </c>
      <c r="Z55" s="267">
        <v>45093</v>
      </c>
      <c r="AA55" s="268">
        <v>1</v>
      </c>
      <c r="AB55" s="267">
        <v>45093</v>
      </c>
      <c r="AC55" s="241">
        <v>1</v>
      </c>
      <c r="AD55" s="240"/>
    </row>
    <row r="56" spans="1:30">
      <c r="A56" s="291">
        <f>COUNTA($E$3:E56)</f>
        <v>54</v>
      </c>
      <c r="B56" s="291" t="s">
        <v>4905</v>
      </c>
      <c r="C56" s="291" t="s">
        <v>4195</v>
      </c>
      <c r="D56" s="291" t="s">
        <v>62</v>
      </c>
      <c r="E56" s="291" t="s">
        <v>4906</v>
      </c>
      <c r="F56" s="292">
        <v>45000</v>
      </c>
      <c r="G56" s="292"/>
      <c r="H56" s="292">
        <v>45015</v>
      </c>
      <c r="I56" s="292">
        <v>45001</v>
      </c>
      <c r="J56" s="292" t="s">
        <v>3</v>
      </c>
      <c r="K56" s="291"/>
      <c r="L56" s="214" t="s">
        <v>1309</v>
      </c>
      <c r="M56" s="223">
        <v>45089</v>
      </c>
      <c r="N56" s="220" t="s">
        <v>5663</v>
      </c>
      <c r="O56" s="223">
        <v>45082</v>
      </c>
      <c r="P56" s="222" t="s">
        <v>26</v>
      </c>
      <c r="R56" t="s">
        <v>26</v>
      </c>
      <c r="S56">
        <v>64</v>
      </c>
      <c r="T56" s="240">
        <v>45000</v>
      </c>
      <c r="U56" s="256">
        <v>45001</v>
      </c>
      <c r="V56" s="256">
        <v>45015</v>
      </c>
      <c r="W56" s="260">
        <v>44988</v>
      </c>
      <c r="X56" s="260">
        <v>45076.514120370368</v>
      </c>
      <c r="Y56" s="261">
        <v>63</v>
      </c>
      <c r="Z56" s="267">
        <v>45076</v>
      </c>
      <c r="AA56" s="268">
        <v>8</v>
      </c>
      <c r="AB56" s="267">
        <v>45085</v>
      </c>
      <c r="AC56" s="241">
        <v>62</v>
      </c>
      <c r="AD56" s="240">
        <v>45082</v>
      </c>
    </row>
    <row r="57" spans="1:30">
      <c r="A57" s="291">
        <f>COUNTA($E$3:E57)</f>
        <v>55</v>
      </c>
      <c r="B57" s="291" t="s">
        <v>4950</v>
      </c>
      <c r="C57" s="291" t="s">
        <v>2752</v>
      </c>
      <c r="D57" s="291" t="s">
        <v>1092</v>
      </c>
      <c r="E57" s="291" t="s">
        <v>4951</v>
      </c>
      <c r="F57" s="292">
        <v>45007</v>
      </c>
      <c r="G57" s="292">
        <v>45009</v>
      </c>
      <c r="H57" s="292">
        <v>45043</v>
      </c>
      <c r="I57" s="292">
        <v>45022</v>
      </c>
      <c r="J57" s="292" t="s">
        <v>3</v>
      </c>
      <c r="K57" s="291"/>
      <c r="L57" s="214" t="s">
        <v>297</v>
      </c>
      <c r="M57" s="223">
        <v>45089</v>
      </c>
      <c r="N57" s="220" t="s">
        <v>5663</v>
      </c>
      <c r="O57" s="223">
        <v>45082</v>
      </c>
      <c r="P57" s="222" t="s">
        <v>26</v>
      </c>
      <c r="R57" t="s">
        <v>26</v>
      </c>
      <c r="S57">
        <v>59</v>
      </c>
      <c r="T57" s="240">
        <v>45007</v>
      </c>
      <c r="U57" s="256">
        <v>45022</v>
      </c>
      <c r="V57" s="256">
        <v>45043</v>
      </c>
      <c r="W57" s="260">
        <v>45043</v>
      </c>
      <c r="X57" s="260">
        <v>45079.422256944446</v>
      </c>
      <c r="Y57" s="261">
        <v>27</v>
      </c>
      <c r="Z57" s="267">
        <v>45079</v>
      </c>
      <c r="AA57" s="268">
        <v>5</v>
      </c>
      <c r="AB57" s="267">
        <v>45085</v>
      </c>
      <c r="AC57" s="241">
        <v>57</v>
      </c>
      <c r="AD57" s="240">
        <v>45082</v>
      </c>
    </row>
    <row r="58" spans="1:30">
      <c r="A58" s="291">
        <f>COUNTA($E$3:E58)</f>
        <v>56</v>
      </c>
      <c r="B58" s="291" t="s">
        <v>5161</v>
      </c>
      <c r="C58" s="291" t="s">
        <v>5162</v>
      </c>
      <c r="D58" s="291" t="s">
        <v>60</v>
      </c>
      <c r="E58" s="291" t="s">
        <v>5163</v>
      </c>
      <c r="F58" s="292">
        <v>45033.827233796299</v>
      </c>
      <c r="G58" s="292"/>
      <c r="H58" s="292"/>
      <c r="I58" s="292" t="s">
        <v>70</v>
      </c>
      <c r="J58" s="292" t="s">
        <v>4</v>
      </c>
      <c r="K58" s="291" t="s">
        <v>526</v>
      </c>
      <c r="L58" s="214" t="s">
        <v>1311</v>
      </c>
      <c r="M58" s="223">
        <v>45089</v>
      </c>
      <c r="N58" s="220" t="s">
        <v>5647</v>
      </c>
      <c r="O58" s="223">
        <v>45082</v>
      </c>
      <c r="P58" s="222" t="s">
        <v>5819</v>
      </c>
      <c r="R58" t="s">
        <v>138</v>
      </c>
      <c r="S58">
        <v>41</v>
      </c>
      <c r="T58" s="240">
        <v>45033</v>
      </c>
      <c r="U58" s="256">
        <v>45034.563252314816</v>
      </c>
      <c r="V58" s="256">
        <v>45034.563252314816</v>
      </c>
      <c r="W58" s="260">
        <v>45034.563252314816</v>
      </c>
      <c r="X58" s="260">
        <v>45075.531342592592</v>
      </c>
      <c r="Y58" s="261">
        <v>30</v>
      </c>
      <c r="Z58" s="267">
        <v>45083</v>
      </c>
      <c r="AA58" s="268">
        <v>4</v>
      </c>
      <c r="AB58" s="267">
        <v>45086</v>
      </c>
      <c r="AC58" s="241">
        <v>40</v>
      </c>
      <c r="AD58" s="240">
        <v>45082</v>
      </c>
    </row>
    <row r="59" spans="1:30">
      <c r="A59" s="291">
        <f>COUNTA($E$3:E59)</f>
        <v>57</v>
      </c>
      <c r="B59" s="291" t="s">
        <v>5478</v>
      </c>
      <c r="C59" s="291" t="s">
        <v>2959</v>
      </c>
      <c r="D59" s="291" t="s">
        <v>1135</v>
      </c>
      <c r="E59" s="291" t="s">
        <v>5479</v>
      </c>
      <c r="F59" s="292">
        <v>45071.480358796296</v>
      </c>
      <c r="G59" s="292"/>
      <c r="H59" s="292"/>
      <c r="I59" s="292"/>
      <c r="J59" s="292" t="s">
        <v>4</v>
      </c>
      <c r="K59" s="291"/>
      <c r="L59" s="214" t="s">
        <v>1311</v>
      </c>
      <c r="M59" s="223">
        <v>45089</v>
      </c>
      <c r="N59" s="220" t="s">
        <v>5626</v>
      </c>
      <c r="O59" s="223">
        <v>45084</v>
      </c>
      <c r="P59" s="222" t="s">
        <v>5820</v>
      </c>
      <c r="R59" t="s">
        <v>138</v>
      </c>
      <c r="S59">
        <v>13</v>
      </c>
      <c r="T59" s="240">
        <v>45071</v>
      </c>
      <c r="U59" s="256">
        <v>45072.568703703706</v>
      </c>
      <c r="V59" s="256">
        <v>45072.568703703706</v>
      </c>
      <c r="W59" s="260">
        <v>45072.568703703706</v>
      </c>
      <c r="X59" s="260">
        <v>45072.568807870368</v>
      </c>
      <c r="Y59" s="261">
        <v>1</v>
      </c>
      <c r="Z59" s="267">
        <v>45072</v>
      </c>
      <c r="AA59" s="268">
        <v>4</v>
      </c>
      <c r="AB59" s="267">
        <v>45077</v>
      </c>
      <c r="AC59" s="241">
        <v>5</v>
      </c>
      <c r="AD59" s="240">
        <v>45084</v>
      </c>
    </row>
    <row r="60" spans="1:30">
      <c r="A60" s="291">
        <f>COUNTA($E$3:E60)</f>
        <v>58</v>
      </c>
      <c r="B60" s="291" t="s">
        <v>5488</v>
      </c>
      <c r="C60" s="291" t="s">
        <v>41</v>
      </c>
      <c r="D60" s="291" t="s">
        <v>38</v>
      </c>
      <c r="E60" s="291" t="s">
        <v>1691</v>
      </c>
      <c r="F60" s="292">
        <v>45070.713761574072</v>
      </c>
      <c r="G60" s="292"/>
      <c r="H60" s="292"/>
      <c r="I60" s="292"/>
      <c r="J60" s="292" t="s">
        <v>4</v>
      </c>
      <c r="K60" s="291"/>
      <c r="L60" s="214" t="s">
        <v>1302</v>
      </c>
      <c r="M60" s="223">
        <v>45089</v>
      </c>
      <c r="N60" s="220" t="s">
        <v>5627</v>
      </c>
      <c r="O60" s="223">
        <v>45096</v>
      </c>
      <c r="P60" s="222" t="s">
        <v>5821</v>
      </c>
      <c r="R60" t="s">
        <v>138</v>
      </c>
      <c r="S60">
        <v>14</v>
      </c>
      <c r="T60" s="240">
        <v>45070</v>
      </c>
      <c r="U60" s="256">
        <v>45079.748923611114</v>
      </c>
      <c r="V60" s="256">
        <v>45079.748923611114</v>
      </c>
      <c r="W60" s="260">
        <v>45079.748923611114</v>
      </c>
      <c r="X60" s="260">
        <v>45079.749016203707</v>
      </c>
      <c r="Y60" s="261">
        <v>1</v>
      </c>
      <c r="Z60" s="267">
        <v>45079</v>
      </c>
      <c r="AA60" s="268">
        <v>4</v>
      </c>
      <c r="AB60" s="267">
        <v>45084</v>
      </c>
      <c r="AC60" s="241">
        <v>11</v>
      </c>
      <c r="AD60" s="240">
        <v>45096</v>
      </c>
    </row>
    <row r="61" spans="1:30">
      <c r="A61" s="291">
        <f>COUNTA($E$3:E61)</f>
        <v>59</v>
      </c>
      <c r="B61" s="291" t="s">
        <v>5499</v>
      </c>
      <c r="C61" s="291" t="s">
        <v>3576</v>
      </c>
      <c r="D61" s="291" t="s">
        <v>20</v>
      </c>
      <c r="E61" s="291" t="s">
        <v>5500</v>
      </c>
      <c r="F61" s="292">
        <v>45069.599606481483</v>
      </c>
      <c r="G61" s="292"/>
      <c r="H61" s="292"/>
      <c r="I61" s="292"/>
      <c r="J61" s="292" t="s">
        <v>4</v>
      </c>
      <c r="K61" s="291"/>
      <c r="L61" s="214"/>
      <c r="M61" s="223">
        <v>45089</v>
      </c>
      <c r="N61" s="220" t="s">
        <v>5628</v>
      </c>
      <c r="O61" s="223">
        <v>45076</v>
      </c>
      <c r="P61" s="222" t="s">
        <v>26</v>
      </c>
      <c r="R61" t="s">
        <v>26</v>
      </c>
      <c r="S61">
        <v>15</v>
      </c>
      <c r="T61" s="240">
        <v>45069</v>
      </c>
      <c r="U61" s="256">
        <v>45078.487291666665</v>
      </c>
      <c r="V61" s="256">
        <v>45078.487291666665</v>
      </c>
      <c r="W61" s="260">
        <v>45078.487291666665</v>
      </c>
      <c r="X61" s="260">
        <v>45078.487442129626</v>
      </c>
      <c r="Y61" s="261">
        <v>1</v>
      </c>
      <c r="Z61" s="267">
        <v>45078</v>
      </c>
      <c r="AA61" s="268">
        <v>7</v>
      </c>
      <c r="AB61" s="267">
        <v>45086</v>
      </c>
      <c r="AC61" s="241">
        <v>14</v>
      </c>
      <c r="AD61" s="240">
        <v>45076</v>
      </c>
    </row>
    <row r="62" spans="1:30">
      <c r="A62" s="291">
        <f>COUNTA($E$3:E62)</f>
        <v>60</v>
      </c>
      <c r="B62" s="291" t="s">
        <v>5535</v>
      </c>
      <c r="C62" s="291" t="s">
        <v>48</v>
      </c>
      <c r="D62" s="291" t="s">
        <v>1141</v>
      </c>
      <c r="E62" s="291" t="s">
        <v>5536</v>
      </c>
      <c r="F62" s="292">
        <v>45077</v>
      </c>
      <c r="G62" s="292">
        <v>45082</v>
      </c>
      <c r="H62" s="292"/>
      <c r="I62" s="292" t="s">
        <v>70</v>
      </c>
      <c r="J62" s="292" t="s">
        <v>3</v>
      </c>
      <c r="K62" s="291"/>
      <c r="L62" s="214" t="s">
        <v>2058</v>
      </c>
      <c r="M62" s="223">
        <v>45089</v>
      </c>
      <c r="N62" s="220" t="s">
        <v>5629</v>
      </c>
      <c r="O62" s="223">
        <v>45089</v>
      </c>
      <c r="P62" s="222" t="s">
        <v>26</v>
      </c>
      <c r="R62" t="s">
        <v>26</v>
      </c>
      <c r="S62">
        <v>9</v>
      </c>
      <c r="T62" s="240">
        <v>45077</v>
      </c>
      <c r="U62" s="256">
        <v>45077.453194444446</v>
      </c>
      <c r="V62" s="256">
        <v>45077.453194444446</v>
      </c>
      <c r="W62" s="260">
        <v>45077.453194444446</v>
      </c>
      <c r="X62" s="260">
        <v>45083.653599537036</v>
      </c>
      <c r="Y62" s="261">
        <v>5</v>
      </c>
      <c r="Z62" s="267">
        <v>45083</v>
      </c>
      <c r="AA62" s="268">
        <v>2</v>
      </c>
      <c r="AB62" s="267">
        <v>45084</v>
      </c>
      <c r="AC62" s="241">
        <v>6</v>
      </c>
      <c r="AD62" s="240">
        <v>45089</v>
      </c>
    </row>
    <row r="63" spans="1:30">
      <c r="A63" s="291">
        <f>COUNTA($E$3:E63)</f>
        <v>61</v>
      </c>
      <c r="B63" s="291" t="s">
        <v>5542</v>
      </c>
      <c r="C63" s="291" t="s">
        <v>4825</v>
      </c>
      <c r="D63" s="291" t="s">
        <v>1135</v>
      </c>
      <c r="E63" s="291" t="s">
        <v>5543</v>
      </c>
      <c r="F63" s="292">
        <v>45078</v>
      </c>
      <c r="G63" s="292"/>
      <c r="H63" s="292"/>
      <c r="I63" s="292"/>
      <c r="J63" s="292" t="s">
        <v>4</v>
      </c>
      <c r="K63" s="291" t="s">
        <v>5608</v>
      </c>
      <c r="L63" s="214" t="s">
        <v>37</v>
      </c>
      <c r="M63" s="223">
        <v>45089</v>
      </c>
      <c r="N63" s="220" t="s">
        <v>2295</v>
      </c>
      <c r="O63" s="223"/>
      <c r="P63" s="222" t="s">
        <v>5822</v>
      </c>
      <c r="R63" t="s">
        <v>138</v>
      </c>
      <c r="S63">
        <v>8</v>
      </c>
      <c r="T63" s="240">
        <v>45078</v>
      </c>
      <c r="U63" s="256">
        <v>45084.558622685188</v>
      </c>
      <c r="V63" s="256">
        <v>45084.558622685188</v>
      </c>
      <c r="W63" s="260">
        <v>45084.558622685188</v>
      </c>
      <c r="X63" s="260">
        <v>45084.55972222222</v>
      </c>
      <c r="Y63" s="261">
        <v>1</v>
      </c>
      <c r="Z63" s="267">
        <v>45089</v>
      </c>
      <c r="AA63" s="269">
        <v>1</v>
      </c>
      <c r="AB63" s="267">
        <v>45089</v>
      </c>
      <c r="AC63" s="241">
        <v>8</v>
      </c>
      <c r="AD63" s="240"/>
    </row>
    <row r="64" spans="1:30">
      <c r="A64" s="291">
        <f>COUNTA($E$3:E64)</f>
        <v>62</v>
      </c>
      <c r="B64" s="291" t="s">
        <v>5564</v>
      </c>
      <c r="C64" s="291" t="s">
        <v>41</v>
      </c>
      <c r="D64" s="291" t="s">
        <v>34</v>
      </c>
      <c r="E64" s="291" t="s">
        <v>5180</v>
      </c>
      <c r="F64" s="292">
        <v>45079</v>
      </c>
      <c r="G64" s="292"/>
      <c r="H64" s="292"/>
      <c r="I64" s="292"/>
      <c r="J64" s="292" t="s">
        <v>4</v>
      </c>
      <c r="K64" s="291"/>
      <c r="L64" s="214" t="s">
        <v>1311</v>
      </c>
      <c r="M64" s="223">
        <v>45089</v>
      </c>
      <c r="N64" s="220" t="s">
        <v>5630</v>
      </c>
      <c r="O64" s="223">
        <v>45090</v>
      </c>
      <c r="P64" s="222" t="s">
        <v>5823</v>
      </c>
      <c r="R64" t="s">
        <v>138</v>
      </c>
      <c r="S64">
        <v>7</v>
      </c>
      <c r="T64" s="240">
        <v>45079</v>
      </c>
      <c r="U64" s="256">
        <v>45083.534699074073</v>
      </c>
      <c r="V64" s="256">
        <v>45083.534699074073</v>
      </c>
      <c r="W64" s="260">
        <v>45083.534699074073</v>
      </c>
      <c r="X64" s="260">
        <v>45083.534780092596</v>
      </c>
      <c r="Y64" s="261">
        <v>1</v>
      </c>
      <c r="Z64" s="267">
        <v>45083</v>
      </c>
      <c r="AA64" s="269">
        <v>2</v>
      </c>
      <c r="AB64" s="267">
        <v>45084</v>
      </c>
      <c r="AC64" s="241">
        <v>4</v>
      </c>
      <c r="AD64" s="240">
        <v>45090</v>
      </c>
    </row>
    <row r="65" spans="1:30">
      <c r="A65" s="291">
        <f>COUNTA($E$3:E65)</f>
        <v>63</v>
      </c>
      <c r="B65" s="291" t="s">
        <v>5565</v>
      </c>
      <c r="C65" s="291" t="s">
        <v>41</v>
      </c>
      <c r="D65" s="291" t="s">
        <v>34</v>
      </c>
      <c r="E65" s="291" t="s">
        <v>4810</v>
      </c>
      <c r="F65" s="292">
        <v>45083</v>
      </c>
      <c r="G65" s="292"/>
      <c r="H65" s="292"/>
      <c r="I65" s="292"/>
      <c r="J65" s="292" t="s">
        <v>4</v>
      </c>
      <c r="K65" s="291" t="s">
        <v>4654</v>
      </c>
      <c r="L65" s="214" t="s">
        <v>1310</v>
      </c>
      <c r="M65" s="223">
        <v>45089</v>
      </c>
      <c r="N65" s="220" t="s">
        <v>5630</v>
      </c>
      <c r="O65" s="223">
        <v>45089</v>
      </c>
      <c r="P65" s="222" t="s">
        <v>5824</v>
      </c>
      <c r="R65" t="s">
        <v>138</v>
      </c>
      <c r="S65">
        <v>5</v>
      </c>
      <c r="T65" s="240">
        <v>45083</v>
      </c>
      <c r="U65" s="256">
        <v>45084.533819444441</v>
      </c>
      <c r="V65" s="256">
        <v>45084.533819444441</v>
      </c>
      <c r="W65" s="260">
        <v>45084.533819444441</v>
      </c>
      <c r="X65" s="260">
        <v>45084.533888888887</v>
      </c>
      <c r="Y65" s="261">
        <v>1</v>
      </c>
      <c r="Z65" s="267">
        <v>45084</v>
      </c>
      <c r="AA65" s="269">
        <v>3</v>
      </c>
      <c r="AB65" s="267">
        <v>45086</v>
      </c>
      <c r="AC65" s="241">
        <v>4</v>
      </c>
      <c r="AD65" s="240">
        <v>45089</v>
      </c>
    </row>
    <row r="66" spans="1:30">
      <c r="A66" s="291">
        <f>COUNTA($E$3:E66)</f>
        <v>64</v>
      </c>
      <c r="B66" s="291" t="s">
        <v>5566</v>
      </c>
      <c r="C66" s="291" t="s">
        <v>41</v>
      </c>
      <c r="D66" s="291" t="s">
        <v>34</v>
      </c>
      <c r="E66" s="291" t="s">
        <v>5567</v>
      </c>
      <c r="F66" s="292">
        <v>45083</v>
      </c>
      <c r="G66" s="292"/>
      <c r="H66" s="292"/>
      <c r="I66" s="292"/>
      <c r="J66" s="292" t="s">
        <v>4</v>
      </c>
      <c r="K66" s="291"/>
      <c r="L66" s="214" t="s">
        <v>1311</v>
      </c>
      <c r="M66" s="223">
        <v>45089</v>
      </c>
      <c r="N66" s="220" t="s">
        <v>5630</v>
      </c>
      <c r="O66" s="223">
        <v>45089</v>
      </c>
      <c r="P66" s="222" t="s">
        <v>5824</v>
      </c>
      <c r="R66" t="s">
        <v>138</v>
      </c>
      <c r="S66">
        <v>5</v>
      </c>
      <c r="T66" s="240">
        <v>45083</v>
      </c>
      <c r="U66" s="256">
        <v>45084.565601851849</v>
      </c>
      <c r="V66" s="256">
        <v>45084.565601851849</v>
      </c>
      <c r="W66" s="260">
        <v>45084.565601851849</v>
      </c>
      <c r="X66" s="260">
        <v>45084.565682870372</v>
      </c>
      <c r="Y66" s="261">
        <v>1</v>
      </c>
      <c r="Z66" s="267">
        <v>45084</v>
      </c>
      <c r="AA66" s="269">
        <v>3</v>
      </c>
      <c r="AB66" s="267">
        <v>45086</v>
      </c>
      <c r="AC66" s="241">
        <v>4</v>
      </c>
      <c r="AD66" s="240">
        <v>45089</v>
      </c>
    </row>
    <row r="67" spans="1:30">
      <c r="A67" s="291">
        <f>COUNTA($E$3:E67)</f>
        <v>65</v>
      </c>
      <c r="B67" s="291" t="s">
        <v>5568</v>
      </c>
      <c r="C67" s="291" t="s">
        <v>41</v>
      </c>
      <c r="D67" s="291" t="s">
        <v>34</v>
      </c>
      <c r="E67" s="291" t="s">
        <v>5569</v>
      </c>
      <c r="F67" s="292">
        <v>45083</v>
      </c>
      <c r="G67" s="292"/>
      <c r="H67" s="292"/>
      <c r="I67" s="292"/>
      <c r="J67" s="292" t="s">
        <v>4</v>
      </c>
      <c r="K67" s="291"/>
      <c r="L67" s="214" t="s">
        <v>1302</v>
      </c>
      <c r="M67" s="223">
        <v>45089</v>
      </c>
      <c r="N67" s="220" t="s">
        <v>5631</v>
      </c>
      <c r="O67" s="223">
        <v>45089</v>
      </c>
      <c r="P67" s="222" t="s">
        <v>5825</v>
      </c>
      <c r="R67" t="s">
        <v>138</v>
      </c>
      <c r="S67">
        <v>5</v>
      </c>
      <c r="T67" s="240">
        <v>45083</v>
      </c>
      <c r="U67" s="256">
        <v>45083.814826388887</v>
      </c>
      <c r="V67" s="256">
        <v>45083.814826388887</v>
      </c>
      <c r="W67" s="260">
        <v>45083.814826388887</v>
      </c>
      <c r="X67" s="260">
        <v>45083.814988425926</v>
      </c>
      <c r="Y67" s="261">
        <v>1</v>
      </c>
      <c r="Z67" s="267">
        <v>45083</v>
      </c>
      <c r="AA67" s="269">
        <v>4</v>
      </c>
      <c r="AB67" s="267">
        <v>45086</v>
      </c>
      <c r="AC67" s="241">
        <v>4</v>
      </c>
      <c r="AD67" s="240">
        <v>45089</v>
      </c>
    </row>
    <row r="68" spans="1:30">
      <c r="A68" s="291">
        <f>COUNTA($E$3:E68)</f>
        <v>66</v>
      </c>
      <c r="B68" s="291" t="s">
        <v>5570</v>
      </c>
      <c r="C68" s="291" t="s">
        <v>41</v>
      </c>
      <c r="D68" s="291" t="s">
        <v>34</v>
      </c>
      <c r="E68" s="291" t="s">
        <v>3404</v>
      </c>
      <c r="F68" s="292">
        <v>45083</v>
      </c>
      <c r="G68" s="292"/>
      <c r="H68" s="292"/>
      <c r="I68" s="292"/>
      <c r="J68" s="292" t="s">
        <v>4</v>
      </c>
      <c r="K68" s="291" t="s">
        <v>471</v>
      </c>
      <c r="L68" s="214" t="s">
        <v>1114</v>
      </c>
      <c r="M68" s="223">
        <v>45089</v>
      </c>
      <c r="N68" s="220"/>
      <c r="O68" s="223">
        <v>45089</v>
      </c>
      <c r="P68" s="222" t="s">
        <v>5826</v>
      </c>
      <c r="R68" t="s">
        <v>138</v>
      </c>
      <c r="S68">
        <v>5</v>
      </c>
      <c r="T68" s="240">
        <v>45083</v>
      </c>
      <c r="U68" s="256">
        <v>45085.535439814812</v>
      </c>
      <c r="V68" s="256">
        <v>45085.535439814812</v>
      </c>
      <c r="W68" s="260">
        <v>45085.535439814812</v>
      </c>
      <c r="X68" s="260">
        <v>45085.653217592589</v>
      </c>
      <c r="Y68" s="261">
        <v>1</v>
      </c>
      <c r="Z68" s="267">
        <v>45085</v>
      </c>
      <c r="AA68" s="269">
        <v>3</v>
      </c>
      <c r="AB68" s="267">
        <v>45089</v>
      </c>
      <c r="AC68" s="241">
        <v>5</v>
      </c>
      <c r="AD68" s="240">
        <v>45089</v>
      </c>
    </row>
    <row r="69" spans="1:30">
      <c r="A69" s="291">
        <f>COUNTA($E$3:E69)</f>
        <v>67</v>
      </c>
      <c r="B69" s="291" t="s">
        <v>5571</v>
      </c>
      <c r="C69" s="291" t="s">
        <v>41</v>
      </c>
      <c r="D69" s="291" t="s">
        <v>34</v>
      </c>
      <c r="E69" s="291" t="s">
        <v>3396</v>
      </c>
      <c r="F69" s="292">
        <v>45085</v>
      </c>
      <c r="G69" s="292"/>
      <c r="H69" s="292"/>
      <c r="I69" s="292"/>
      <c r="J69" s="292" t="s">
        <v>4</v>
      </c>
      <c r="K69" s="291"/>
      <c r="L69" s="214" t="s">
        <v>1311</v>
      </c>
      <c r="M69" s="223">
        <v>45089</v>
      </c>
      <c r="N69" s="220" t="s">
        <v>5630</v>
      </c>
      <c r="O69" s="223">
        <v>45089</v>
      </c>
      <c r="P69" s="222" t="s">
        <v>5824</v>
      </c>
      <c r="R69" t="s">
        <v>138</v>
      </c>
      <c r="S69">
        <v>3</v>
      </c>
      <c r="T69" s="240">
        <v>45085</v>
      </c>
      <c r="U69" s="256">
        <v>45083.71471064815</v>
      </c>
      <c r="V69" s="256">
        <v>45083.71471064815</v>
      </c>
      <c r="W69" s="260">
        <v>45083.71471064815</v>
      </c>
      <c r="X69" s="260">
        <v>45083.714791666665</v>
      </c>
      <c r="Y69" s="261">
        <v>1</v>
      </c>
      <c r="Z69" s="267">
        <v>45089</v>
      </c>
      <c r="AA69" s="269">
        <v>1</v>
      </c>
      <c r="AB69" s="267">
        <v>45089</v>
      </c>
      <c r="AC69" s="241">
        <v>0.5</v>
      </c>
      <c r="AD69" s="240">
        <v>45089</v>
      </c>
    </row>
    <row r="70" spans="1:30">
      <c r="A70" s="291">
        <f>COUNTA($E$3:E70)</f>
        <v>68</v>
      </c>
      <c r="B70" s="291" t="s">
        <v>5572</v>
      </c>
      <c r="C70" s="291" t="s">
        <v>41</v>
      </c>
      <c r="D70" s="291" t="s">
        <v>34</v>
      </c>
      <c r="E70" s="291" t="s">
        <v>3314</v>
      </c>
      <c r="F70" s="292">
        <v>45085</v>
      </c>
      <c r="G70" s="292"/>
      <c r="H70" s="292"/>
      <c r="I70" s="292"/>
      <c r="J70" s="292" t="s">
        <v>4</v>
      </c>
      <c r="K70" s="291"/>
      <c r="L70" s="214" t="s">
        <v>1302</v>
      </c>
      <c r="M70" s="223">
        <v>45089</v>
      </c>
      <c r="N70" s="220" t="s">
        <v>5631</v>
      </c>
      <c r="O70" s="223">
        <v>45096</v>
      </c>
      <c r="P70" s="222" t="s">
        <v>5821</v>
      </c>
      <c r="R70" t="s">
        <v>138</v>
      </c>
      <c r="S70">
        <v>3</v>
      </c>
      <c r="T70" s="240">
        <v>45085</v>
      </c>
      <c r="U70" s="256">
        <v>45083.677430555559</v>
      </c>
      <c r="V70" s="256">
        <v>45083.677430555559</v>
      </c>
      <c r="W70" s="260">
        <v>45083.677430555559</v>
      </c>
      <c r="X70" s="260">
        <v>45083.677511574075</v>
      </c>
      <c r="Y70" s="261">
        <v>1</v>
      </c>
      <c r="Z70" s="267">
        <v>45083</v>
      </c>
      <c r="AA70" s="269">
        <v>4</v>
      </c>
      <c r="AB70" s="267">
        <v>45086</v>
      </c>
      <c r="AC70" s="241">
        <v>2</v>
      </c>
      <c r="AD70" s="240">
        <v>45096</v>
      </c>
    </row>
    <row r="71" spans="1:30">
      <c r="A71" s="291">
        <f>COUNTA($E$3:E71)</f>
        <v>69</v>
      </c>
      <c r="B71" s="291" t="s">
        <v>5617</v>
      </c>
      <c r="C71" s="291" t="s">
        <v>5538</v>
      </c>
      <c r="D71" s="291" t="s">
        <v>1216</v>
      </c>
      <c r="E71" s="291" t="s">
        <v>3013</v>
      </c>
      <c r="F71" s="292">
        <v>45083.658946759257</v>
      </c>
      <c r="G71" s="292"/>
      <c r="H71" s="292"/>
      <c r="I71" s="292"/>
      <c r="J71" s="292" t="s">
        <v>4</v>
      </c>
      <c r="K71" s="291" t="s">
        <v>2179</v>
      </c>
      <c r="L71" s="214" t="s">
        <v>1310</v>
      </c>
      <c r="M71" s="223">
        <v>45089</v>
      </c>
      <c r="N71" s="220" t="s">
        <v>5654</v>
      </c>
      <c r="O71" s="223"/>
      <c r="P71" s="222" t="s">
        <v>5810</v>
      </c>
      <c r="R71" t="s">
        <v>138</v>
      </c>
      <c r="T71" s="240">
        <v>45083</v>
      </c>
      <c r="U71" s="256">
        <v>45085.450821759259</v>
      </c>
      <c r="V71" s="256">
        <v>45085.450821759259</v>
      </c>
      <c r="W71" s="260">
        <v>45085.450821759259</v>
      </c>
      <c r="X71" s="260">
        <v>45085.451296296298</v>
      </c>
      <c r="Y71" s="261">
        <v>1</v>
      </c>
      <c r="Z71" s="267">
        <v>45085</v>
      </c>
      <c r="AA71" s="269">
        <v>2</v>
      </c>
      <c r="AB71" s="267">
        <v>45086</v>
      </c>
      <c r="AC71" s="241">
        <v>4</v>
      </c>
      <c r="AD71" s="240"/>
    </row>
    <row r="72" spans="1:30">
      <c r="A72" s="291">
        <f>COUNTA($E$3:E72)</f>
        <v>70</v>
      </c>
      <c r="B72" s="291" t="s">
        <v>5005</v>
      </c>
      <c r="C72" s="291" t="s">
        <v>1261</v>
      </c>
      <c r="D72" s="291" t="s">
        <v>1136</v>
      </c>
      <c r="E72" s="291" t="s">
        <v>5006</v>
      </c>
      <c r="F72" s="292">
        <v>45012</v>
      </c>
      <c r="G72" s="292"/>
      <c r="H72" s="292"/>
      <c r="I72" s="292" t="s">
        <v>59</v>
      </c>
      <c r="J72" s="292" t="s">
        <v>3</v>
      </c>
      <c r="K72" s="291" t="s">
        <v>1500</v>
      </c>
      <c r="L72" s="214" t="s">
        <v>2058</v>
      </c>
      <c r="M72" s="223">
        <v>45082</v>
      </c>
      <c r="N72" s="220" t="s">
        <v>5574</v>
      </c>
      <c r="O72" s="223">
        <v>45082</v>
      </c>
      <c r="P72" s="222" t="s">
        <v>26</v>
      </c>
      <c r="R72" t="s">
        <v>26</v>
      </c>
      <c r="S72">
        <v>51</v>
      </c>
      <c r="T72" s="233">
        <v>45012</v>
      </c>
      <c r="U72" s="257">
        <v>45012.626689814817</v>
      </c>
      <c r="V72" s="257">
        <v>45012.626689814817</v>
      </c>
      <c r="W72" s="262">
        <v>45012.626689814817</v>
      </c>
      <c r="X72" s="262">
        <v>45075.514467592591</v>
      </c>
      <c r="Y72" s="263">
        <v>46</v>
      </c>
      <c r="Z72" s="270">
        <v>45075</v>
      </c>
      <c r="AA72" s="271">
        <v>6</v>
      </c>
      <c r="AB72" s="270">
        <v>45082</v>
      </c>
      <c r="AC72" s="234">
        <v>52</v>
      </c>
      <c r="AD72" s="240">
        <v>45082</v>
      </c>
    </row>
    <row r="73" spans="1:30">
      <c r="A73" s="291">
        <f>COUNTA($E$3:E73)</f>
        <v>71</v>
      </c>
      <c r="B73" s="291" t="s">
        <v>5007</v>
      </c>
      <c r="C73" s="291" t="s">
        <v>2510</v>
      </c>
      <c r="D73" s="291" t="s">
        <v>20</v>
      </c>
      <c r="E73" s="291" t="s">
        <v>5008</v>
      </c>
      <c r="F73" s="292">
        <v>45012</v>
      </c>
      <c r="G73" s="292"/>
      <c r="H73" s="292"/>
      <c r="I73" s="292" t="s">
        <v>59</v>
      </c>
      <c r="J73" s="292" t="s">
        <v>3</v>
      </c>
      <c r="K73" s="291" t="s">
        <v>3279</v>
      </c>
      <c r="L73" s="214" t="s">
        <v>1309</v>
      </c>
      <c r="M73" s="223">
        <v>45082</v>
      </c>
      <c r="N73" s="220" t="s">
        <v>5575</v>
      </c>
      <c r="O73" s="223">
        <v>45070</v>
      </c>
      <c r="P73" s="222" t="s">
        <v>26</v>
      </c>
      <c r="R73" t="s">
        <v>26</v>
      </c>
      <c r="S73">
        <v>51</v>
      </c>
      <c r="T73" s="233">
        <v>45012</v>
      </c>
      <c r="U73" s="257">
        <v>45012.69740740741</v>
      </c>
      <c r="V73" s="257">
        <v>45012.69740740741</v>
      </c>
      <c r="W73" s="262">
        <v>45012.69740740741</v>
      </c>
      <c r="X73" s="262">
        <v>45068.53266203704</v>
      </c>
      <c r="Y73" s="263">
        <v>41</v>
      </c>
      <c r="Z73" s="270">
        <v>45075</v>
      </c>
      <c r="AA73" s="271">
        <v>4</v>
      </c>
      <c r="AB73" s="270">
        <v>45078</v>
      </c>
      <c r="AC73" s="234">
        <v>50</v>
      </c>
      <c r="AD73" s="240">
        <v>45070</v>
      </c>
    </row>
    <row r="74" spans="1:30">
      <c r="A74" s="291">
        <f>COUNTA($E$3:E74)</f>
        <v>72</v>
      </c>
      <c r="B74" s="291" t="s">
        <v>5401</v>
      </c>
      <c r="C74" s="291" t="s">
        <v>2457</v>
      </c>
      <c r="D74" s="291" t="s">
        <v>40</v>
      </c>
      <c r="E74" s="291" t="s">
        <v>3149</v>
      </c>
      <c r="F74" s="292">
        <v>45054.678379629629</v>
      </c>
      <c r="G74" s="292"/>
      <c r="H74" s="292"/>
      <c r="I74" s="292"/>
      <c r="J74" s="292" t="s">
        <v>4</v>
      </c>
      <c r="K74" s="291" t="s">
        <v>4654</v>
      </c>
      <c r="L74" s="214" t="s">
        <v>1310</v>
      </c>
      <c r="M74" s="223">
        <v>45082</v>
      </c>
      <c r="N74" s="220" t="s">
        <v>5576</v>
      </c>
      <c r="O74" s="223">
        <v>45069</v>
      </c>
      <c r="P74" s="222" t="s">
        <v>5827</v>
      </c>
      <c r="R74" t="s">
        <v>138</v>
      </c>
      <c r="S74">
        <v>21</v>
      </c>
      <c r="T74" s="233">
        <v>45061</v>
      </c>
      <c r="U74" s="257">
        <v>45069.46130787037</v>
      </c>
      <c r="V74" s="257">
        <v>45069.46130787037</v>
      </c>
      <c r="W74" s="262">
        <v>45069.46130787037</v>
      </c>
      <c r="X74" s="262">
        <v>45069.461423611108</v>
      </c>
      <c r="Y74" s="263">
        <v>1</v>
      </c>
      <c r="Z74" s="270">
        <v>45075</v>
      </c>
      <c r="AA74" s="271">
        <v>3</v>
      </c>
      <c r="AB74" s="270">
        <v>45077</v>
      </c>
      <c r="AC74" s="234">
        <v>14</v>
      </c>
      <c r="AD74" s="240">
        <v>45069</v>
      </c>
    </row>
    <row r="75" spans="1:30">
      <c r="A75" s="291">
        <f>COUNTA($E$3:E75)</f>
        <v>73</v>
      </c>
      <c r="B75" s="291" t="s">
        <v>5464</v>
      </c>
      <c r="C75" s="291" t="s">
        <v>5465</v>
      </c>
      <c r="D75" s="291" t="s">
        <v>1115</v>
      </c>
      <c r="E75" s="291" t="s">
        <v>1116</v>
      </c>
      <c r="F75" s="292">
        <v>45061.769814814812</v>
      </c>
      <c r="G75" s="292">
        <v>45075</v>
      </c>
      <c r="H75" s="292">
        <v>45075</v>
      </c>
      <c r="I75" s="292">
        <v>45075</v>
      </c>
      <c r="J75" s="292" t="s">
        <v>4</v>
      </c>
      <c r="K75" s="291" t="s">
        <v>1681</v>
      </c>
      <c r="L75" s="214" t="s">
        <v>2058</v>
      </c>
      <c r="M75" s="223">
        <v>45082</v>
      </c>
      <c r="N75" s="220" t="s">
        <v>5577</v>
      </c>
      <c r="O75" s="223">
        <v>45076</v>
      </c>
      <c r="P75" s="222" t="s">
        <v>26</v>
      </c>
      <c r="R75" t="s">
        <v>26</v>
      </c>
      <c r="S75">
        <v>16</v>
      </c>
      <c r="T75" s="233">
        <v>45075</v>
      </c>
      <c r="U75" s="257">
        <v>45075.540254629632</v>
      </c>
      <c r="V75" s="257">
        <v>45075</v>
      </c>
      <c r="W75" s="262">
        <v>45075</v>
      </c>
      <c r="X75" s="262">
        <v>45075.540856481479</v>
      </c>
      <c r="Y75" s="263">
        <v>1</v>
      </c>
      <c r="Z75" s="270">
        <v>45076</v>
      </c>
      <c r="AA75" s="271">
        <v>3</v>
      </c>
      <c r="AB75" s="270">
        <v>45078</v>
      </c>
      <c r="AC75" s="234">
        <v>5</v>
      </c>
      <c r="AD75" s="240">
        <v>45076</v>
      </c>
    </row>
    <row r="76" spans="1:30">
      <c r="A76" s="291">
        <f>COUNTA($E$3:E76)</f>
        <v>74</v>
      </c>
      <c r="B76" s="291" t="s">
        <v>5480</v>
      </c>
      <c r="C76" s="291" t="s">
        <v>2959</v>
      </c>
      <c r="D76" s="291" t="s">
        <v>1157</v>
      </c>
      <c r="E76" s="291" t="s">
        <v>5481</v>
      </c>
      <c r="F76" s="292">
        <v>45068.718842592592</v>
      </c>
      <c r="G76" s="292"/>
      <c r="H76" s="292"/>
      <c r="I76" s="292"/>
      <c r="J76" s="292" t="s">
        <v>4</v>
      </c>
      <c r="K76" s="291" t="s">
        <v>5554</v>
      </c>
      <c r="L76" s="214" t="s">
        <v>1311</v>
      </c>
      <c r="M76" s="223">
        <v>45082</v>
      </c>
      <c r="N76" s="220" t="s">
        <v>5578</v>
      </c>
      <c r="O76" s="223">
        <v>45084</v>
      </c>
      <c r="P76" s="222" t="s">
        <v>5828</v>
      </c>
      <c r="R76" t="s">
        <v>138</v>
      </c>
      <c r="S76">
        <v>11</v>
      </c>
      <c r="T76" s="233">
        <v>45071</v>
      </c>
      <c r="U76" s="257">
        <v>45077.516192129631</v>
      </c>
      <c r="V76" s="257">
        <v>45077.516192129631</v>
      </c>
      <c r="W76" s="262">
        <v>45077.516192129631</v>
      </c>
      <c r="X76" s="262">
        <v>45077.516469907408</v>
      </c>
      <c r="Y76" s="263">
        <v>1</v>
      </c>
      <c r="Z76" s="270">
        <v>45077</v>
      </c>
      <c r="AA76" s="271">
        <v>1</v>
      </c>
      <c r="AB76" s="270">
        <v>45077</v>
      </c>
      <c r="AC76" s="234">
        <v>6</v>
      </c>
      <c r="AD76" s="240">
        <v>45084</v>
      </c>
    </row>
    <row r="77" spans="1:30">
      <c r="A77" s="291">
        <f>COUNTA($E$3:E77)</f>
        <v>75</v>
      </c>
      <c r="B77" s="291" t="s">
        <v>5482</v>
      </c>
      <c r="C77" s="291" t="s">
        <v>41</v>
      </c>
      <c r="D77" s="291" t="s">
        <v>34</v>
      </c>
      <c r="E77" s="291" t="s">
        <v>3514</v>
      </c>
      <c r="F77" s="292">
        <v>45062.757774259262</v>
      </c>
      <c r="G77" s="292"/>
      <c r="H77" s="292"/>
      <c r="I77" s="292"/>
      <c r="J77" s="292" t="s">
        <v>4</v>
      </c>
      <c r="K77" s="291" t="s">
        <v>1227</v>
      </c>
      <c r="L77" s="214" t="s">
        <v>1310</v>
      </c>
      <c r="M77" s="223">
        <v>45082</v>
      </c>
      <c r="N77" s="220" t="s">
        <v>5578</v>
      </c>
      <c r="O77" s="223">
        <v>45079</v>
      </c>
      <c r="P77" s="222" t="s">
        <v>5829</v>
      </c>
      <c r="R77" t="s">
        <v>138</v>
      </c>
      <c r="S77">
        <v>15</v>
      </c>
      <c r="T77" s="233">
        <v>45071</v>
      </c>
      <c r="U77" s="257">
        <v>45075.76390046296</v>
      </c>
      <c r="V77" s="257">
        <v>45075.76390046296</v>
      </c>
      <c r="W77" s="262">
        <v>45075.76390046296</v>
      </c>
      <c r="X77" s="262">
        <v>45075.764004629629</v>
      </c>
      <c r="Y77" s="263">
        <v>1</v>
      </c>
      <c r="Z77" s="270">
        <v>45075</v>
      </c>
      <c r="AA77" s="271">
        <v>3</v>
      </c>
      <c r="AB77" s="270">
        <v>45077</v>
      </c>
      <c r="AC77" s="234">
        <v>6</v>
      </c>
      <c r="AD77" s="240">
        <v>45079</v>
      </c>
    </row>
    <row r="78" spans="1:30">
      <c r="A78" s="291">
        <f>COUNTA($E$3:E78)</f>
        <v>76</v>
      </c>
      <c r="B78" s="291" t="s">
        <v>5483</v>
      </c>
      <c r="C78" s="291" t="s">
        <v>41</v>
      </c>
      <c r="D78" s="291" t="s">
        <v>34</v>
      </c>
      <c r="E78" s="291" t="s">
        <v>5484</v>
      </c>
      <c r="F78" s="292">
        <v>45063.705578703702</v>
      </c>
      <c r="G78" s="292"/>
      <c r="H78" s="292"/>
      <c r="I78" s="292"/>
      <c r="J78" s="292" t="s">
        <v>4</v>
      </c>
      <c r="K78" s="291"/>
      <c r="L78" s="214"/>
      <c r="M78" s="223">
        <v>45082</v>
      </c>
      <c r="N78" s="220" t="s">
        <v>3159</v>
      </c>
      <c r="O78" s="223">
        <v>45079</v>
      </c>
      <c r="P78" s="222" t="s">
        <v>5830</v>
      </c>
      <c r="R78" t="s">
        <v>138</v>
      </c>
      <c r="S78">
        <v>14</v>
      </c>
      <c r="T78" s="233">
        <v>45071</v>
      </c>
      <c r="U78" s="257">
        <v>45075.741006944445</v>
      </c>
      <c r="V78" s="257">
        <v>45075.741006944445</v>
      </c>
      <c r="W78" s="262">
        <v>45075.741006944445</v>
      </c>
      <c r="X78" s="262">
        <v>45075.741087962961</v>
      </c>
      <c r="Y78" s="263">
        <v>1</v>
      </c>
      <c r="Z78" s="270">
        <v>45075</v>
      </c>
      <c r="AA78" s="271">
        <v>3</v>
      </c>
      <c r="AB78" s="270">
        <v>45077</v>
      </c>
      <c r="AC78" s="234">
        <v>6</v>
      </c>
      <c r="AD78" s="240">
        <v>45079</v>
      </c>
    </row>
    <row r="79" spans="1:30">
      <c r="A79" s="291">
        <f>COUNTA($E$3:E79)</f>
        <v>77</v>
      </c>
      <c r="B79" s="291" t="s">
        <v>5485</v>
      </c>
      <c r="C79" s="291" t="s">
        <v>41</v>
      </c>
      <c r="D79" s="291" t="s">
        <v>34</v>
      </c>
      <c r="E79" s="291" t="s">
        <v>2584</v>
      </c>
      <c r="F79" s="292">
        <v>45068.703599537039</v>
      </c>
      <c r="G79" s="292"/>
      <c r="H79" s="292"/>
      <c r="I79" s="292"/>
      <c r="J79" s="292" t="s">
        <v>4</v>
      </c>
      <c r="K79" s="291" t="s">
        <v>5555</v>
      </c>
      <c r="L79" s="214" t="s">
        <v>1302</v>
      </c>
      <c r="M79" s="223">
        <v>45082</v>
      </c>
      <c r="N79" s="220" t="s">
        <v>5578</v>
      </c>
      <c r="O79" s="223">
        <v>45079</v>
      </c>
      <c r="P79" s="222" t="s">
        <v>5829</v>
      </c>
      <c r="R79" t="s">
        <v>138</v>
      </c>
      <c r="S79">
        <v>11</v>
      </c>
      <c r="T79" s="233">
        <v>45071</v>
      </c>
      <c r="U79" s="257">
        <v>45075.863287037035</v>
      </c>
      <c r="V79" s="257">
        <v>45075.863287037035</v>
      </c>
      <c r="W79" s="262">
        <v>45075.863287037035</v>
      </c>
      <c r="X79" s="262">
        <v>45075.863368055558</v>
      </c>
      <c r="Y79" s="263">
        <v>1</v>
      </c>
      <c r="Z79" s="270">
        <v>45075</v>
      </c>
      <c r="AA79" s="271">
        <v>5</v>
      </c>
      <c r="AB79" s="270">
        <v>45079</v>
      </c>
      <c r="AC79" s="234">
        <v>8</v>
      </c>
      <c r="AD79" s="240">
        <v>45079</v>
      </c>
    </row>
    <row r="80" spans="1:30">
      <c r="A80" s="291">
        <f>COUNTA($E$3:E80)</f>
        <v>78</v>
      </c>
      <c r="B80" s="291" t="s">
        <v>5489</v>
      </c>
      <c r="C80" s="291" t="s">
        <v>41</v>
      </c>
      <c r="D80" s="291" t="s">
        <v>38</v>
      </c>
      <c r="E80" s="291" t="s">
        <v>5490</v>
      </c>
      <c r="F80" s="292">
        <v>45071</v>
      </c>
      <c r="G80" s="292"/>
      <c r="H80" s="292"/>
      <c r="I80" s="292"/>
      <c r="J80" s="292" t="s">
        <v>4</v>
      </c>
      <c r="K80" s="291" t="s">
        <v>1681</v>
      </c>
      <c r="L80" s="214"/>
      <c r="M80" s="223">
        <v>45082</v>
      </c>
      <c r="N80" s="220"/>
      <c r="O80" s="223"/>
      <c r="P80" s="222" t="s">
        <v>72</v>
      </c>
      <c r="R80" t="s">
        <v>138</v>
      </c>
      <c r="S80">
        <v>32201</v>
      </c>
      <c r="T80" s="233">
        <v>45071</v>
      </c>
      <c r="U80" s="257">
        <v>45076.410289768515</v>
      </c>
      <c r="V80" s="257">
        <v>45076.410289768515</v>
      </c>
      <c r="W80" s="262">
        <v>45076.410289768515</v>
      </c>
      <c r="X80" s="262">
        <v>45076.410289768515</v>
      </c>
      <c r="Y80" s="263">
        <v>1</v>
      </c>
      <c r="Z80" s="270">
        <v>45076.410289768515</v>
      </c>
      <c r="AA80" s="271">
        <v>1</v>
      </c>
      <c r="AB80" s="270">
        <v>45076.410289768515</v>
      </c>
      <c r="AC80" s="234">
        <v>5</v>
      </c>
      <c r="AD80" s="240"/>
    </row>
    <row r="81" spans="1:30">
      <c r="A81" s="291">
        <f>COUNTA($E$3:E81)</f>
        <v>79</v>
      </c>
      <c r="B81" s="291" t="s">
        <v>5491</v>
      </c>
      <c r="C81" s="291" t="s">
        <v>44</v>
      </c>
      <c r="D81" s="291" t="s">
        <v>53</v>
      </c>
      <c r="E81" s="291" t="s">
        <v>5492</v>
      </c>
      <c r="F81" s="292">
        <v>45072</v>
      </c>
      <c r="G81" s="292"/>
      <c r="H81" s="292"/>
      <c r="I81" s="292"/>
      <c r="J81" s="292" t="s">
        <v>4</v>
      </c>
      <c r="K81" s="291" t="s">
        <v>1500</v>
      </c>
      <c r="L81" s="214" t="s">
        <v>1302</v>
      </c>
      <c r="M81" s="223">
        <v>45082</v>
      </c>
      <c r="N81" s="220" t="s">
        <v>5591</v>
      </c>
      <c r="O81" s="223">
        <v>45082</v>
      </c>
      <c r="P81" s="222" t="s">
        <v>5831</v>
      </c>
      <c r="R81" t="s">
        <v>138</v>
      </c>
      <c r="S81">
        <v>32201</v>
      </c>
      <c r="T81" s="233">
        <v>45072</v>
      </c>
      <c r="U81" s="257">
        <v>45075.864918981482</v>
      </c>
      <c r="V81" s="257">
        <v>45075.864918981482</v>
      </c>
      <c r="W81" s="262">
        <v>45075.864918981482</v>
      </c>
      <c r="X81" s="262">
        <v>45075.864988425928</v>
      </c>
      <c r="Y81" s="263">
        <v>1</v>
      </c>
      <c r="Z81" s="270">
        <v>45075</v>
      </c>
      <c r="AA81" s="271">
        <v>5</v>
      </c>
      <c r="AB81" s="270">
        <v>45079</v>
      </c>
      <c r="AC81" s="234">
        <v>7</v>
      </c>
      <c r="AD81" s="240">
        <v>45082</v>
      </c>
    </row>
    <row r="82" spans="1:30">
      <c r="A82" s="291">
        <f>COUNTA($E$3:E82)</f>
        <v>80</v>
      </c>
      <c r="B82" s="291" t="s">
        <v>5493</v>
      </c>
      <c r="C82" s="291" t="s">
        <v>44</v>
      </c>
      <c r="D82" s="291" t="s">
        <v>53</v>
      </c>
      <c r="E82" s="291" t="s">
        <v>5494</v>
      </c>
      <c r="F82" s="292">
        <v>45069.585625</v>
      </c>
      <c r="G82" s="292"/>
      <c r="H82" s="292"/>
      <c r="I82" s="292"/>
      <c r="J82" s="292" t="s">
        <v>4</v>
      </c>
      <c r="K82" s="291" t="s">
        <v>5556</v>
      </c>
      <c r="L82" s="214" t="s">
        <v>1302</v>
      </c>
      <c r="M82" s="223">
        <v>45082</v>
      </c>
      <c r="N82" s="220" t="s">
        <v>5578</v>
      </c>
      <c r="O82" s="223">
        <v>45082</v>
      </c>
      <c r="P82" s="222" t="s">
        <v>5831</v>
      </c>
      <c r="R82" t="s">
        <v>138</v>
      </c>
      <c r="S82">
        <v>10</v>
      </c>
      <c r="T82" s="233">
        <v>45072</v>
      </c>
      <c r="U82" s="257">
        <v>45076.412141203706</v>
      </c>
      <c r="V82" s="257">
        <v>45076.412141203706</v>
      </c>
      <c r="W82" s="262">
        <v>45076.412141203706</v>
      </c>
      <c r="X82" s="262">
        <v>45076.730555555558</v>
      </c>
      <c r="Y82" s="263">
        <v>1</v>
      </c>
      <c r="Z82" s="270">
        <v>45076</v>
      </c>
      <c r="AA82" s="271">
        <v>4</v>
      </c>
      <c r="AB82" s="270">
        <v>45079</v>
      </c>
      <c r="AC82" s="234">
        <v>7</v>
      </c>
      <c r="AD82" s="240">
        <v>45082</v>
      </c>
    </row>
    <row r="83" spans="1:30">
      <c r="A83" s="291">
        <f>COUNTA($E$3:E83)</f>
        <v>81</v>
      </c>
      <c r="B83" s="291" t="s">
        <v>5496</v>
      </c>
      <c r="C83" s="291" t="s">
        <v>2628</v>
      </c>
      <c r="D83" s="291" t="s">
        <v>53</v>
      </c>
      <c r="E83" s="291" t="s">
        <v>4423</v>
      </c>
      <c r="F83" s="292">
        <v>45259</v>
      </c>
      <c r="G83" s="292">
        <v>45262</v>
      </c>
      <c r="H83" s="292">
        <v>45075</v>
      </c>
      <c r="I83" s="292">
        <v>44914</v>
      </c>
      <c r="J83" s="292" t="s">
        <v>3</v>
      </c>
      <c r="K83" s="291" t="s">
        <v>3413</v>
      </c>
      <c r="L83" s="214"/>
      <c r="M83" s="223">
        <v>45082</v>
      </c>
      <c r="N83" s="220" t="s">
        <v>5590</v>
      </c>
      <c r="O83" s="223">
        <v>45072</v>
      </c>
      <c r="P83" s="222" t="e">
        <v>#N/A</v>
      </c>
      <c r="R83" t="s">
        <v>26</v>
      </c>
      <c r="S83">
        <v>-128</v>
      </c>
      <c r="T83" s="233">
        <v>44895</v>
      </c>
      <c r="U83" s="257">
        <v>44895.705277777779</v>
      </c>
      <c r="V83" s="257">
        <v>45075</v>
      </c>
      <c r="W83" s="262">
        <v>45075</v>
      </c>
      <c r="X83" s="262">
        <v>45075</v>
      </c>
      <c r="Y83" s="263">
        <v>1</v>
      </c>
      <c r="Z83" s="270">
        <v>45075</v>
      </c>
      <c r="AA83" s="271">
        <v>1</v>
      </c>
      <c r="AB83" s="270">
        <v>45075</v>
      </c>
      <c r="AC83" s="234">
        <v>130</v>
      </c>
      <c r="AD83" s="240">
        <v>45072</v>
      </c>
    </row>
    <row r="84" spans="1:30">
      <c r="A84" s="291">
        <f>COUNTA($E$3:E84)</f>
        <v>82</v>
      </c>
      <c r="B84" s="291" t="s">
        <v>5497</v>
      </c>
      <c r="C84" s="291" t="s">
        <v>2628</v>
      </c>
      <c r="D84" s="291" t="s">
        <v>1157</v>
      </c>
      <c r="E84" s="291" t="s">
        <v>2629</v>
      </c>
      <c r="F84" s="292">
        <v>44905</v>
      </c>
      <c r="G84" s="292">
        <v>44910</v>
      </c>
      <c r="H84" s="292">
        <v>45075</v>
      </c>
      <c r="I84" s="292">
        <v>44911</v>
      </c>
      <c r="J84" s="292" t="s">
        <v>3</v>
      </c>
      <c r="K84" s="291" t="s">
        <v>5498</v>
      </c>
      <c r="L84" s="214" t="s">
        <v>297</v>
      </c>
      <c r="M84" s="223">
        <v>45082</v>
      </c>
      <c r="N84" s="220" t="s">
        <v>5579</v>
      </c>
      <c r="O84" s="223">
        <v>45072</v>
      </c>
      <c r="P84" s="222" t="e">
        <v>#N/A</v>
      </c>
      <c r="R84" t="s">
        <v>26</v>
      </c>
      <c r="S84">
        <v>126</v>
      </c>
      <c r="T84" s="233">
        <v>44909</v>
      </c>
      <c r="U84" s="257">
        <v>44909.725555555553</v>
      </c>
      <c r="V84" s="257">
        <v>45075</v>
      </c>
      <c r="W84" s="262">
        <v>45075</v>
      </c>
      <c r="X84" s="262">
        <v>45075</v>
      </c>
      <c r="Y84" s="263">
        <v>1</v>
      </c>
      <c r="Z84" s="270">
        <v>45076</v>
      </c>
      <c r="AA84" s="271">
        <v>5</v>
      </c>
      <c r="AB84" s="270">
        <v>45082</v>
      </c>
      <c r="AC84" s="234">
        <v>125</v>
      </c>
      <c r="AD84" s="240">
        <v>45072</v>
      </c>
    </row>
    <row r="85" spans="1:30">
      <c r="A85" s="291">
        <f>COUNTA($E$3:E85)</f>
        <v>83</v>
      </c>
      <c r="B85" s="291" t="s">
        <v>5524</v>
      </c>
      <c r="C85" s="291" t="s">
        <v>25</v>
      </c>
      <c r="D85" s="291" t="s">
        <v>62</v>
      </c>
      <c r="E85" s="291" t="s">
        <v>1273</v>
      </c>
      <c r="F85" s="292">
        <v>45075.793946759259</v>
      </c>
      <c r="G85" s="292"/>
      <c r="H85" s="292"/>
      <c r="I85" s="292"/>
      <c r="J85" s="292" t="s">
        <v>4</v>
      </c>
      <c r="K85" s="291" t="s">
        <v>5525</v>
      </c>
      <c r="L85" s="214" t="s">
        <v>1310</v>
      </c>
      <c r="M85" s="223">
        <v>45082</v>
      </c>
      <c r="N85" s="220" t="s">
        <v>5573</v>
      </c>
      <c r="O85" s="223"/>
      <c r="P85" s="222"/>
      <c r="R85" t="s">
        <v>138</v>
      </c>
      <c r="T85" s="233">
        <v>45075</v>
      </c>
      <c r="U85" s="257">
        <v>45077.693969907406</v>
      </c>
      <c r="V85" s="257">
        <v>45077</v>
      </c>
      <c r="W85" s="262">
        <v>45077</v>
      </c>
      <c r="X85" s="262">
        <v>45077.694502314815</v>
      </c>
      <c r="Y85" s="263">
        <v>1</v>
      </c>
      <c r="Z85" s="270">
        <v>45077</v>
      </c>
      <c r="AA85" s="271">
        <v>1</v>
      </c>
      <c r="AB85" s="270">
        <v>45077</v>
      </c>
      <c r="AC85" s="234">
        <v>4</v>
      </c>
      <c r="AD85" s="240"/>
    </row>
    <row r="86" spans="1:30">
      <c r="A86" s="291">
        <f>COUNTA($E$3:E86)</f>
        <v>84</v>
      </c>
      <c r="B86" s="291" t="s">
        <v>4902</v>
      </c>
      <c r="C86" s="291" t="s">
        <v>2457</v>
      </c>
      <c r="D86" s="291" t="s">
        <v>34</v>
      </c>
      <c r="E86" s="291" t="s">
        <v>4328</v>
      </c>
      <c r="F86" s="292">
        <v>44999</v>
      </c>
      <c r="G86" s="292"/>
      <c r="H86" s="292"/>
      <c r="I86" s="292"/>
      <c r="J86" s="292" t="s">
        <v>3</v>
      </c>
      <c r="K86" s="291"/>
      <c r="L86" s="214"/>
      <c r="M86" s="223">
        <v>45075</v>
      </c>
      <c r="N86" s="220" t="s">
        <v>5434</v>
      </c>
      <c r="O86" s="223"/>
      <c r="P86" s="222"/>
      <c r="R86" t="s">
        <v>138</v>
      </c>
      <c r="S86">
        <v>55</v>
      </c>
      <c r="T86" s="233">
        <v>44999</v>
      </c>
      <c r="U86" s="257">
        <v>44999.47619212963</v>
      </c>
      <c r="V86" s="257">
        <v>44999.47619212963</v>
      </c>
      <c r="W86" s="262">
        <v>44999.47619212963</v>
      </c>
      <c r="X86" s="262">
        <v>44999.47619212963</v>
      </c>
      <c r="Y86" s="263">
        <v>1</v>
      </c>
      <c r="Z86" s="270">
        <v>45035</v>
      </c>
      <c r="AA86" s="271">
        <v>5</v>
      </c>
      <c r="AB86" s="270">
        <v>45041</v>
      </c>
      <c r="AC86" s="234">
        <v>43</v>
      </c>
      <c r="AD86" s="240"/>
    </row>
    <row r="87" spans="1:30">
      <c r="A87" s="291">
        <f>COUNTA($E$3:E87)</f>
        <v>85</v>
      </c>
      <c r="B87" s="291" t="s">
        <v>4964</v>
      </c>
      <c r="C87" s="291" t="s">
        <v>1212</v>
      </c>
      <c r="D87" s="291" t="s">
        <v>68</v>
      </c>
      <c r="E87" s="291" t="s">
        <v>2512</v>
      </c>
      <c r="F87" s="292">
        <v>45008</v>
      </c>
      <c r="G87" s="292">
        <v>45009</v>
      </c>
      <c r="H87" s="292">
        <v>45033</v>
      </c>
      <c r="I87" s="292">
        <v>45014</v>
      </c>
      <c r="J87" s="292" t="s">
        <v>3</v>
      </c>
      <c r="K87" s="291"/>
      <c r="L87" s="214"/>
      <c r="M87" s="223">
        <v>45075</v>
      </c>
      <c r="N87" s="220" t="s">
        <v>5466</v>
      </c>
      <c r="O87" s="223">
        <v>45055</v>
      </c>
      <c r="P87" s="222"/>
      <c r="R87" t="s">
        <v>26</v>
      </c>
      <c r="S87">
        <v>48</v>
      </c>
      <c r="T87" s="233">
        <v>45008</v>
      </c>
      <c r="U87" s="257">
        <v>45014</v>
      </c>
      <c r="V87" s="257">
        <v>45014</v>
      </c>
      <c r="W87" s="262">
        <v>45014</v>
      </c>
      <c r="X87" s="262">
        <v>45014</v>
      </c>
      <c r="Y87" s="263">
        <v>1</v>
      </c>
      <c r="Z87" s="270">
        <v>45044</v>
      </c>
      <c r="AA87" s="271">
        <v>10</v>
      </c>
      <c r="AB87" s="270">
        <v>45057</v>
      </c>
      <c r="AC87" s="234">
        <v>49</v>
      </c>
      <c r="AD87" s="240">
        <v>45055</v>
      </c>
    </row>
    <row r="88" spans="1:30">
      <c r="A88" s="291">
        <f>COUNTA($E$3:E88)</f>
        <v>86</v>
      </c>
      <c r="B88" s="291" t="s">
        <v>5080</v>
      </c>
      <c r="C88" s="291" t="s">
        <v>45</v>
      </c>
      <c r="D88" s="291" t="s">
        <v>1137</v>
      </c>
      <c r="E88" s="291" t="s">
        <v>2674</v>
      </c>
      <c r="F88" s="292">
        <v>45019</v>
      </c>
      <c r="G88" s="292"/>
      <c r="H88" s="292"/>
      <c r="I88" s="292"/>
      <c r="J88" s="292" t="s">
        <v>5</v>
      </c>
      <c r="K88" s="291" t="s">
        <v>4799</v>
      </c>
      <c r="L88" s="214" t="s">
        <v>1310</v>
      </c>
      <c r="M88" s="223">
        <v>45075</v>
      </c>
      <c r="N88" s="220" t="s">
        <v>5467</v>
      </c>
      <c r="O88" s="223"/>
      <c r="P88" s="222"/>
      <c r="R88" t="s">
        <v>138</v>
      </c>
      <c r="S88">
        <v>41</v>
      </c>
      <c r="T88" s="233">
        <v>45019</v>
      </c>
      <c r="U88" s="257">
        <v>45027.703599537039</v>
      </c>
      <c r="V88" s="257">
        <v>45027.703599537039</v>
      </c>
      <c r="W88" s="262">
        <v>45027.703599537039</v>
      </c>
      <c r="X88" s="262">
        <v>45027.703599537039</v>
      </c>
      <c r="Y88" s="263">
        <v>1</v>
      </c>
      <c r="Z88" s="270">
        <v>45069</v>
      </c>
      <c r="AA88" s="271">
        <v>1</v>
      </c>
      <c r="AB88" s="270">
        <v>45069</v>
      </c>
      <c r="AC88" s="234">
        <v>50</v>
      </c>
      <c r="AD88" s="240"/>
    </row>
    <row r="89" spans="1:30">
      <c r="A89" s="291">
        <f>COUNTA($E$3:E89)</f>
        <v>87</v>
      </c>
      <c r="B89" s="291" t="s">
        <v>5073</v>
      </c>
      <c r="C89" s="291" t="s">
        <v>4152</v>
      </c>
      <c r="D89" s="291" t="s">
        <v>20</v>
      </c>
      <c r="E89" s="291" t="s">
        <v>5074</v>
      </c>
      <c r="F89" s="292">
        <v>45022</v>
      </c>
      <c r="G89" s="292"/>
      <c r="H89" s="292"/>
      <c r="I89" s="292" t="s">
        <v>59</v>
      </c>
      <c r="J89" s="292" t="s">
        <v>3</v>
      </c>
      <c r="K89" s="291" t="s">
        <v>1500</v>
      </c>
      <c r="L89" s="214" t="s">
        <v>28</v>
      </c>
      <c r="M89" s="223">
        <v>45075</v>
      </c>
      <c r="N89" s="220" t="s">
        <v>5501</v>
      </c>
      <c r="O89" s="223">
        <v>45083</v>
      </c>
      <c r="P89" s="222" t="s">
        <v>5600</v>
      </c>
      <c r="R89" t="s">
        <v>26</v>
      </c>
      <c r="S89">
        <v>38</v>
      </c>
      <c r="T89" s="233">
        <v>45022</v>
      </c>
      <c r="U89" s="257">
        <v>45022</v>
      </c>
      <c r="V89" s="257">
        <v>45026</v>
      </c>
      <c r="W89" s="262">
        <v>45026</v>
      </c>
      <c r="X89" s="262">
        <v>45071</v>
      </c>
      <c r="Y89" s="263">
        <v>35</v>
      </c>
      <c r="Z89" s="270">
        <v>45071</v>
      </c>
      <c r="AA89" s="271">
        <v>3</v>
      </c>
      <c r="AB89" s="270">
        <v>45075</v>
      </c>
      <c r="AC89" s="234">
        <v>1</v>
      </c>
      <c r="AD89" s="240">
        <v>45083</v>
      </c>
    </row>
    <row r="90" spans="1:30">
      <c r="A90" s="291">
        <f>COUNTA($E$3:E90)</f>
        <v>88</v>
      </c>
      <c r="B90" s="291" t="s">
        <v>5250</v>
      </c>
      <c r="C90" s="291" t="s">
        <v>45</v>
      </c>
      <c r="D90" s="291" t="s">
        <v>38</v>
      </c>
      <c r="E90" s="291" t="s">
        <v>1940</v>
      </c>
      <c r="F90" s="292">
        <v>45043</v>
      </c>
      <c r="G90" s="292"/>
      <c r="H90" s="292"/>
      <c r="I90" s="292"/>
      <c r="J90" s="292" t="s">
        <v>4</v>
      </c>
      <c r="K90" s="291" t="s">
        <v>4654</v>
      </c>
      <c r="L90" s="214" t="s">
        <v>1310</v>
      </c>
      <c r="M90" s="223">
        <v>45075</v>
      </c>
      <c r="N90" s="220" t="s">
        <v>5469</v>
      </c>
      <c r="O90" s="223"/>
      <c r="P90" s="222"/>
      <c r="R90" t="s">
        <v>138</v>
      </c>
      <c r="S90">
        <v>23</v>
      </c>
      <c r="T90" s="233">
        <v>45043</v>
      </c>
      <c r="U90" s="257">
        <v>45050.584710648145</v>
      </c>
      <c r="V90" s="257">
        <v>45050.584710648145</v>
      </c>
      <c r="W90" s="262">
        <v>45050.584710648145</v>
      </c>
      <c r="X90" s="262">
        <v>45050.584710648145</v>
      </c>
      <c r="Y90" s="263">
        <v>2</v>
      </c>
      <c r="Z90" s="270">
        <v>45068</v>
      </c>
      <c r="AA90" s="271">
        <v>2</v>
      </c>
      <c r="AB90" s="270">
        <v>45069</v>
      </c>
      <c r="AC90" s="234">
        <v>1</v>
      </c>
      <c r="AD90" s="240"/>
    </row>
    <row r="91" spans="1:30">
      <c r="A91" s="291">
        <f>COUNTA($E$3:E91)</f>
        <v>89</v>
      </c>
      <c r="B91" s="291" t="s">
        <v>5263</v>
      </c>
      <c r="C91" s="291" t="s">
        <v>25</v>
      </c>
      <c r="D91" s="291" t="s">
        <v>34</v>
      </c>
      <c r="E91" s="291" t="s">
        <v>2591</v>
      </c>
      <c r="F91" s="292">
        <v>45043</v>
      </c>
      <c r="G91" s="292"/>
      <c r="H91" s="292"/>
      <c r="I91" s="292"/>
      <c r="J91" s="292" t="s">
        <v>4</v>
      </c>
      <c r="K91" s="291" t="s">
        <v>5387</v>
      </c>
      <c r="L91" s="214" t="s">
        <v>1302</v>
      </c>
      <c r="M91" s="223">
        <v>45075</v>
      </c>
      <c r="N91" s="220" t="s">
        <v>5502</v>
      </c>
      <c r="O91" s="223"/>
      <c r="P91" s="222"/>
      <c r="R91" t="s">
        <v>138</v>
      </c>
      <c r="S91">
        <v>23</v>
      </c>
      <c r="T91" s="233">
        <v>45043</v>
      </c>
      <c r="U91" s="257">
        <v>45058.751747685186</v>
      </c>
      <c r="V91" s="257">
        <v>45058.751747685186</v>
      </c>
      <c r="W91" s="262">
        <v>45058.751747685186</v>
      </c>
      <c r="X91" s="262">
        <v>45058.751747685186</v>
      </c>
      <c r="Y91" s="263">
        <v>2</v>
      </c>
      <c r="Z91" s="270">
        <v>45070</v>
      </c>
      <c r="AA91" s="271">
        <v>3</v>
      </c>
      <c r="AB91" s="270">
        <v>45072</v>
      </c>
      <c r="AC91" s="234">
        <v>29</v>
      </c>
      <c r="AD91" s="240"/>
    </row>
    <row r="92" spans="1:30">
      <c r="A92" s="291">
        <f>COUNTA($E$3:E92)</f>
        <v>90</v>
      </c>
      <c r="B92" s="291" t="s">
        <v>5277</v>
      </c>
      <c r="C92" s="291" t="s">
        <v>41</v>
      </c>
      <c r="D92" s="291" t="s">
        <v>34</v>
      </c>
      <c r="E92" s="291" t="s">
        <v>3020</v>
      </c>
      <c r="F92" s="292">
        <v>45051</v>
      </c>
      <c r="G92" s="292"/>
      <c r="H92" s="292"/>
      <c r="I92" s="292"/>
      <c r="J92" s="292" t="s">
        <v>4</v>
      </c>
      <c r="K92" s="291" t="s">
        <v>4654</v>
      </c>
      <c r="L92" s="214" t="s">
        <v>1310</v>
      </c>
      <c r="M92" s="223">
        <v>45075</v>
      </c>
      <c r="N92" s="220" t="s">
        <v>5470</v>
      </c>
      <c r="O92" s="223"/>
      <c r="P92" s="222"/>
      <c r="R92" t="s">
        <v>138</v>
      </c>
      <c r="S92">
        <v>17</v>
      </c>
      <c r="T92" s="233">
        <v>45051</v>
      </c>
      <c r="U92" s="257">
        <v>45058.579675925925</v>
      </c>
      <c r="V92" s="257">
        <v>45058.579675925925</v>
      </c>
      <c r="W92" s="262">
        <v>45058.579675925925</v>
      </c>
      <c r="X92" s="262">
        <v>45058.579675925925</v>
      </c>
      <c r="Y92" s="263">
        <v>2</v>
      </c>
      <c r="Z92" s="270">
        <v>45058</v>
      </c>
      <c r="AA92" s="271">
        <v>8</v>
      </c>
      <c r="AB92" s="270">
        <v>45069</v>
      </c>
      <c r="AC92" s="234">
        <v>18</v>
      </c>
      <c r="AD92" s="240"/>
    </row>
    <row r="93" spans="1:30">
      <c r="A93" s="291">
        <f>COUNTA($E$3:E93)</f>
        <v>91</v>
      </c>
      <c r="B93" s="291" t="s">
        <v>5278</v>
      </c>
      <c r="C93" s="291" t="s">
        <v>1118</v>
      </c>
      <c r="D93" s="291" t="s">
        <v>62</v>
      </c>
      <c r="E93" s="291" t="s">
        <v>2647</v>
      </c>
      <c r="F93" s="292">
        <v>45051.633308819444</v>
      </c>
      <c r="G93" s="292"/>
      <c r="H93" s="292"/>
      <c r="I93" s="292"/>
      <c r="J93" s="292" t="s">
        <v>4</v>
      </c>
      <c r="K93" s="291" t="s">
        <v>1664</v>
      </c>
      <c r="L93" s="214" t="s">
        <v>1310</v>
      </c>
      <c r="M93" s="223">
        <v>45075</v>
      </c>
      <c r="N93" s="220" t="s">
        <v>5470</v>
      </c>
      <c r="O93" s="223"/>
      <c r="P93" s="222"/>
      <c r="R93" t="s">
        <v>138</v>
      </c>
      <c r="S93">
        <v>17</v>
      </c>
      <c r="T93" s="233">
        <v>45051</v>
      </c>
      <c r="U93" s="257">
        <v>45057.862997685188</v>
      </c>
      <c r="V93" s="257">
        <v>45057.862997685188</v>
      </c>
      <c r="W93" s="262">
        <v>45057.862997685188</v>
      </c>
      <c r="X93" s="262">
        <v>45057.862997685188</v>
      </c>
      <c r="Y93" s="263">
        <v>2</v>
      </c>
      <c r="Z93" s="270">
        <v>45068</v>
      </c>
      <c r="AA93" s="271">
        <v>2</v>
      </c>
      <c r="AB93" s="270">
        <v>45069</v>
      </c>
      <c r="AC93" s="234">
        <v>18</v>
      </c>
      <c r="AD93" s="240"/>
    </row>
    <row r="94" spans="1:30">
      <c r="A94" s="291">
        <f>COUNTA($E$3:E94)</f>
        <v>92</v>
      </c>
      <c r="B94" s="291" t="s">
        <v>5281</v>
      </c>
      <c r="C94" s="291" t="s">
        <v>1248</v>
      </c>
      <c r="D94" s="291" t="s">
        <v>62</v>
      </c>
      <c r="E94" s="291" t="s">
        <v>5282</v>
      </c>
      <c r="F94" s="292">
        <v>45054</v>
      </c>
      <c r="G94" s="292"/>
      <c r="H94" s="292"/>
      <c r="I94" s="292" t="s">
        <v>59</v>
      </c>
      <c r="J94" s="292" t="s">
        <v>4</v>
      </c>
      <c r="K94" s="291" t="s">
        <v>5392</v>
      </c>
      <c r="L94" s="214" t="s">
        <v>2058</v>
      </c>
      <c r="M94" s="223">
        <v>45075</v>
      </c>
      <c r="N94" s="220" t="s">
        <v>3164</v>
      </c>
      <c r="O94" s="223">
        <v>45070</v>
      </c>
      <c r="P94" s="222"/>
      <c r="R94" t="s">
        <v>26</v>
      </c>
      <c r="S94">
        <v>16</v>
      </c>
      <c r="T94" s="233">
        <v>45054</v>
      </c>
      <c r="U94" s="257">
        <v>45056</v>
      </c>
      <c r="V94" s="257">
        <v>45056</v>
      </c>
      <c r="W94" s="262">
        <v>45056</v>
      </c>
      <c r="X94" s="262">
        <v>45069</v>
      </c>
      <c r="Y94" s="263">
        <v>11</v>
      </c>
      <c r="Z94" s="270">
        <v>45069</v>
      </c>
      <c r="AA94" s="271">
        <v>2</v>
      </c>
      <c r="AB94" s="270">
        <v>45070</v>
      </c>
      <c r="AC94" s="234">
        <v>17</v>
      </c>
      <c r="AD94" s="240">
        <v>45070</v>
      </c>
    </row>
    <row r="95" spans="1:30">
      <c r="A95" s="291">
        <f>COUNTA($E$3:E95)</f>
        <v>93</v>
      </c>
      <c r="B95" s="291" t="s">
        <v>5287</v>
      </c>
      <c r="C95" s="291" t="s">
        <v>1104</v>
      </c>
      <c r="D95" s="291" t="s">
        <v>1157</v>
      </c>
      <c r="E95" s="291" t="s">
        <v>4694</v>
      </c>
      <c r="F95" s="292">
        <v>45054.676720682874</v>
      </c>
      <c r="G95" s="292"/>
      <c r="H95" s="292"/>
      <c r="I95" s="292"/>
      <c r="J95" s="292" t="s">
        <v>4</v>
      </c>
      <c r="K95" s="291" t="s">
        <v>4799</v>
      </c>
      <c r="L95" s="214" t="s">
        <v>1302</v>
      </c>
      <c r="M95" s="223">
        <v>45075</v>
      </c>
      <c r="N95" s="220" t="s">
        <v>5503</v>
      </c>
      <c r="O95" s="223"/>
      <c r="P95" s="222"/>
      <c r="R95" t="s">
        <v>138</v>
      </c>
      <c r="S95">
        <v>16</v>
      </c>
      <c r="T95" s="233">
        <v>45054</v>
      </c>
      <c r="U95" s="257">
        <v>45064.724733796298</v>
      </c>
      <c r="V95" s="257">
        <v>45064.724733796298</v>
      </c>
      <c r="W95" s="262">
        <v>45064.724733796298</v>
      </c>
      <c r="X95" s="262">
        <v>45064.724733796298</v>
      </c>
      <c r="Y95" s="263">
        <v>2</v>
      </c>
      <c r="Z95" s="270">
        <v>45064</v>
      </c>
      <c r="AA95" s="271">
        <v>7</v>
      </c>
      <c r="AB95" s="270">
        <v>45072</v>
      </c>
      <c r="AC95" s="234">
        <v>18</v>
      </c>
      <c r="AD95" s="240"/>
    </row>
    <row r="96" spans="1:30">
      <c r="A96" s="291">
        <f>COUNTA($E$3:E96)</f>
        <v>94</v>
      </c>
      <c r="B96" s="291" t="s">
        <v>5288</v>
      </c>
      <c r="C96" s="291" t="s">
        <v>1104</v>
      </c>
      <c r="D96" s="291" t="s">
        <v>53</v>
      </c>
      <c r="E96" s="291" t="s">
        <v>5289</v>
      </c>
      <c r="F96" s="292">
        <v>45054.678382638886</v>
      </c>
      <c r="G96" s="292"/>
      <c r="H96" s="292"/>
      <c r="I96" s="292"/>
      <c r="J96" s="292" t="s">
        <v>4</v>
      </c>
      <c r="K96" s="291" t="s">
        <v>4799</v>
      </c>
      <c r="L96" s="214" t="s">
        <v>1302</v>
      </c>
      <c r="M96" s="223">
        <v>45075</v>
      </c>
      <c r="N96" s="220" t="s">
        <v>5503</v>
      </c>
      <c r="O96" s="223"/>
      <c r="P96" s="222"/>
      <c r="R96" t="s">
        <v>138</v>
      </c>
      <c r="S96">
        <v>16</v>
      </c>
      <c r="T96" s="233">
        <v>45054</v>
      </c>
      <c r="U96" s="257">
        <v>45064.72246527778</v>
      </c>
      <c r="V96" s="257">
        <v>45064.72246527778</v>
      </c>
      <c r="W96" s="262">
        <v>45064.72246527778</v>
      </c>
      <c r="X96" s="262">
        <v>45064.72246527778</v>
      </c>
      <c r="Y96" s="263">
        <v>2</v>
      </c>
      <c r="Z96" s="270">
        <v>45064</v>
      </c>
      <c r="AA96" s="271">
        <v>7</v>
      </c>
      <c r="AB96" s="270">
        <v>45072</v>
      </c>
      <c r="AC96" s="234">
        <v>18</v>
      </c>
      <c r="AD96" s="240"/>
    </row>
    <row r="97" spans="1:30">
      <c r="A97" s="291">
        <f>COUNTA($E$3:E97)</f>
        <v>95</v>
      </c>
      <c r="B97" s="291" t="s">
        <v>5293</v>
      </c>
      <c r="C97" s="291" t="s">
        <v>1104</v>
      </c>
      <c r="D97" s="291" t="s">
        <v>55</v>
      </c>
      <c r="E97" s="291" t="s">
        <v>3195</v>
      </c>
      <c r="F97" s="292">
        <v>45054</v>
      </c>
      <c r="G97" s="292"/>
      <c r="H97" s="292"/>
      <c r="I97" s="292"/>
      <c r="J97" s="292" t="s">
        <v>3</v>
      </c>
      <c r="K97" s="291" t="s">
        <v>5394</v>
      </c>
      <c r="L97" s="214" t="s">
        <v>1310</v>
      </c>
      <c r="M97" s="223">
        <v>45075</v>
      </c>
      <c r="N97" s="220" t="s">
        <v>5471</v>
      </c>
      <c r="O97" s="223"/>
      <c r="P97" s="222"/>
      <c r="R97" t="s">
        <v>138</v>
      </c>
      <c r="S97">
        <v>16</v>
      </c>
      <c r="T97" s="233">
        <v>44713</v>
      </c>
      <c r="U97" s="257">
        <v>44720</v>
      </c>
      <c r="V97" s="257">
        <v>45047</v>
      </c>
      <c r="W97" s="262">
        <v>45047</v>
      </c>
      <c r="X97" s="262">
        <v>45047</v>
      </c>
      <c r="Y97" s="263">
        <v>1</v>
      </c>
      <c r="Z97" s="270">
        <v>45061</v>
      </c>
      <c r="AA97" s="271">
        <v>7</v>
      </c>
      <c r="AB97" s="270">
        <v>45069</v>
      </c>
      <c r="AC97" s="234">
        <v>15</v>
      </c>
      <c r="AD97" s="240"/>
    </row>
    <row r="98" spans="1:30">
      <c r="A98" s="291">
        <f>COUNTA($E$3:E98)</f>
        <v>96</v>
      </c>
      <c r="B98" s="291" t="s">
        <v>5316</v>
      </c>
      <c r="C98" s="291" t="s">
        <v>5317</v>
      </c>
      <c r="D98" s="291" t="s">
        <v>4340</v>
      </c>
      <c r="E98" s="291" t="s">
        <v>5318</v>
      </c>
      <c r="F98" s="292">
        <v>45056</v>
      </c>
      <c r="G98" s="292"/>
      <c r="H98" s="292"/>
      <c r="I98" s="292"/>
      <c r="J98" s="292" t="s">
        <v>5</v>
      </c>
      <c r="K98" s="291"/>
      <c r="L98" s="214" t="s">
        <v>28</v>
      </c>
      <c r="M98" s="223">
        <v>45075</v>
      </c>
      <c r="N98" s="220" t="s">
        <v>5472</v>
      </c>
      <c r="O98" s="223">
        <v>45076</v>
      </c>
      <c r="P98" s="222"/>
      <c r="R98" t="s">
        <v>26</v>
      </c>
      <c r="S98">
        <v>14</v>
      </c>
      <c r="T98" s="233">
        <v>45056</v>
      </c>
      <c r="U98" s="257">
        <v>45068.501006944447</v>
      </c>
      <c r="V98" s="257">
        <v>45068.501006944447</v>
      </c>
      <c r="W98" s="262">
        <v>45068.501006944447</v>
      </c>
      <c r="X98" s="262">
        <v>45068.501006944447</v>
      </c>
      <c r="Y98" s="263">
        <v>1</v>
      </c>
      <c r="Z98" s="270">
        <v>45068</v>
      </c>
      <c r="AA98" s="271">
        <v>6</v>
      </c>
      <c r="AB98" s="270">
        <v>45075</v>
      </c>
      <c r="AC98" s="234">
        <v>19</v>
      </c>
      <c r="AD98" s="240">
        <v>45076</v>
      </c>
    </row>
    <row r="99" spans="1:30">
      <c r="A99" s="291">
        <f>COUNTA($E$3:E99)</f>
        <v>97</v>
      </c>
      <c r="B99" s="291" t="s">
        <v>5319</v>
      </c>
      <c r="C99" s="291" t="s">
        <v>3322</v>
      </c>
      <c r="D99" s="291" t="s">
        <v>40</v>
      </c>
      <c r="E99" s="291" t="s">
        <v>3553</v>
      </c>
      <c r="F99" s="292">
        <v>45057</v>
      </c>
      <c r="G99" s="292"/>
      <c r="H99" s="292"/>
      <c r="I99" s="292"/>
      <c r="J99" s="292" t="s">
        <v>4</v>
      </c>
      <c r="K99" s="291"/>
      <c r="L99" s="214" t="s">
        <v>1311</v>
      </c>
      <c r="M99" s="223">
        <v>45075</v>
      </c>
      <c r="N99" s="220" t="s">
        <v>5502</v>
      </c>
      <c r="O99" s="223"/>
      <c r="P99" s="222"/>
      <c r="R99" t="s">
        <v>138</v>
      </c>
      <c r="S99">
        <v>13</v>
      </c>
      <c r="T99" s="233">
        <v>45057</v>
      </c>
      <c r="U99" s="257">
        <v>45071.501574074071</v>
      </c>
      <c r="V99" s="257">
        <v>45071.501574074071</v>
      </c>
      <c r="W99" s="262">
        <v>45071.501574074071</v>
      </c>
      <c r="X99" s="262">
        <v>45071.501574074071</v>
      </c>
      <c r="Y99" s="263">
        <v>1</v>
      </c>
      <c r="Z99" s="270">
        <v>45071</v>
      </c>
      <c r="AA99" s="271">
        <v>2</v>
      </c>
      <c r="AB99" s="270">
        <v>45072</v>
      </c>
      <c r="AC99" s="234">
        <v>15</v>
      </c>
      <c r="AD99" s="240"/>
    </row>
    <row r="100" spans="1:30">
      <c r="A100" s="291">
        <f>COUNTA($E$3:E100)</f>
        <v>98</v>
      </c>
      <c r="B100" s="291" t="s">
        <v>5422</v>
      </c>
      <c r="C100" s="291" t="s">
        <v>44</v>
      </c>
      <c r="D100" s="291" t="s">
        <v>3205</v>
      </c>
      <c r="E100" s="291" t="s">
        <v>5423</v>
      </c>
      <c r="F100" s="292">
        <v>45055.773506944446</v>
      </c>
      <c r="G100" s="292"/>
      <c r="H100" s="292"/>
      <c r="I100" s="292"/>
      <c r="J100" s="292" t="s">
        <v>4</v>
      </c>
      <c r="K100" s="291"/>
      <c r="L100" s="214" t="s">
        <v>1302</v>
      </c>
      <c r="M100" s="223">
        <v>45075</v>
      </c>
      <c r="N100" s="220" t="s">
        <v>5502</v>
      </c>
      <c r="O100" s="223"/>
      <c r="P100" s="222"/>
      <c r="R100" t="s">
        <v>138</v>
      </c>
      <c r="S100">
        <v>15</v>
      </c>
      <c r="T100" s="233">
        <v>45063</v>
      </c>
      <c r="U100" s="257">
        <v>45070.664409722223</v>
      </c>
      <c r="V100" s="257">
        <v>45070.664409722223</v>
      </c>
      <c r="W100" s="262">
        <v>45070.664409722223</v>
      </c>
      <c r="X100" s="262">
        <v>45070.664409722223</v>
      </c>
      <c r="Y100" s="263">
        <v>1</v>
      </c>
      <c r="Z100" s="270">
        <v>45070</v>
      </c>
      <c r="AA100" s="271">
        <v>3</v>
      </c>
      <c r="AB100" s="270">
        <v>45072</v>
      </c>
      <c r="AC100" s="234">
        <v>8</v>
      </c>
      <c r="AD100" s="240"/>
    </row>
    <row r="101" spans="1:30">
      <c r="A101" s="291">
        <f>COUNTA($E$3:E101)</f>
        <v>99</v>
      </c>
      <c r="B101" s="291" t="s">
        <v>5462</v>
      </c>
      <c r="C101" s="291" t="s">
        <v>69</v>
      </c>
      <c r="D101" s="291" t="s">
        <v>1115</v>
      </c>
      <c r="E101" s="291" t="s">
        <v>3671</v>
      </c>
      <c r="F101" s="292">
        <v>45057.596990740742</v>
      </c>
      <c r="G101" s="292"/>
      <c r="H101" s="292"/>
      <c r="I101" s="292"/>
      <c r="J101" s="292" t="s">
        <v>4</v>
      </c>
      <c r="K101" s="291"/>
      <c r="L101" s="214" t="s">
        <v>1309</v>
      </c>
      <c r="M101" s="223">
        <v>45075</v>
      </c>
      <c r="N101" s="220" t="s">
        <v>3166</v>
      </c>
      <c r="O101" s="223">
        <v>45083</v>
      </c>
      <c r="P101" s="222"/>
      <c r="R101" t="s">
        <v>26</v>
      </c>
      <c r="S101">
        <v>13</v>
      </c>
      <c r="T101" s="233">
        <v>45069</v>
      </c>
      <c r="U101" s="257">
        <v>45070.535810185182</v>
      </c>
      <c r="V101" s="257">
        <v>45070.535810185182</v>
      </c>
      <c r="W101" s="262">
        <v>45070.535810185182</v>
      </c>
      <c r="X101" s="262">
        <v>45070.535810185182</v>
      </c>
      <c r="Y101" s="263">
        <v>1</v>
      </c>
      <c r="Z101" s="270">
        <v>45070</v>
      </c>
      <c r="AA101" s="271">
        <v>1</v>
      </c>
      <c r="AB101" s="270">
        <v>45070</v>
      </c>
      <c r="AC101" s="234">
        <v>2</v>
      </c>
      <c r="AD101" s="240">
        <v>45083</v>
      </c>
    </row>
    <row r="102" spans="1:30">
      <c r="A102" s="291">
        <f>COUNTA($E$3:E102)</f>
        <v>100</v>
      </c>
      <c r="B102" s="291" t="s">
        <v>4890</v>
      </c>
      <c r="C102" s="291" t="s">
        <v>1767</v>
      </c>
      <c r="D102" s="291" t="s">
        <v>1135</v>
      </c>
      <c r="E102" s="291" t="s">
        <v>4891</v>
      </c>
      <c r="F102" s="292">
        <v>44994</v>
      </c>
      <c r="G102" s="292">
        <v>45005</v>
      </c>
      <c r="H102" s="292">
        <v>45061</v>
      </c>
      <c r="I102" s="292">
        <v>45005</v>
      </c>
      <c r="J102" s="292" t="s">
        <v>3</v>
      </c>
      <c r="K102" s="291" t="s">
        <v>4892</v>
      </c>
      <c r="L102" s="214"/>
      <c r="M102" s="223">
        <v>45068</v>
      </c>
      <c r="N102" s="220" t="s">
        <v>5431</v>
      </c>
      <c r="O102" s="223">
        <v>45076</v>
      </c>
      <c r="P102" s="222"/>
      <c r="R102" t="s">
        <v>26</v>
      </c>
      <c r="S102">
        <v>53</v>
      </c>
      <c r="T102" s="233">
        <v>44994</v>
      </c>
      <c r="U102" s="257">
        <v>45005</v>
      </c>
      <c r="V102" s="257">
        <v>45061</v>
      </c>
      <c r="W102" s="262">
        <v>45061</v>
      </c>
      <c r="X102" s="262">
        <v>45061</v>
      </c>
      <c r="Y102" s="263">
        <v>1</v>
      </c>
      <c r="Z102" s="270">
        <v>45062</v>
      </c>
      <c r="AA102" s="271">
        <v>5</v>
      </c>
      <c r="AB102" s="270">
        <v>45068</v>
      </c>
      <c r="AC102" s="234">
        <v>53</v>
      </c>
      <c r="AD102" s="240">
        <v>45076</v>
      </c>
    </row>
    <row r="103" spans="1:30">
      <c r="A103" s="291">
        <f>COUNTA($E$3:E103)</f>
        <v>101</v>
      </c>
      <c r="B103" s="291" t="s">
        <v>5230</v>
      </c>
      <c r="C103" s="291" t="s">
        <v>45</v>
      </c>
      <c r="D103" s="291" t="s">
        <v>53</v>
      </c>
      <c r="E103" s="291" t="s">
        <v>2745</v>
      </c>
      <c r="F103" s="292">
        <v>45042.543129432874</v>
      </c>
      <c r="G103" s="292"/>
      <c r="H103" s="292"/>
      <c r="I103" s="292"/>
      <c r="J103" s="292" t="s">
        <v>3</v>
      </c>
      <c r="K103" s="291" t="s">
        <v>5385</v>
      </c>
      <c r="L103" s="214"/>
      <c r="M103" s="223">
        <v>45068</v>
      </c>
      <c r="N103" s="220" t="s">
        <v>5432</v>
      </c>
      <c r="O103" s="223">
        <v>45083</v>
      </c>
      <c r="P103" s="222" t="s">
        <v>5600</v>
      </c>
      <c r="R103" t="s">
        <v>26</v>
      </c>
      <c r="S103">
        <v>19</v>
      </c>
      <c r="T103" s="233">
        <v>45042</v>
      </c>
      <c r="U103" s="257">
        <v>45055.429652777777</v>
      </c>
      <c r="V103" s="257">
        <v>45055.429652777777</v>
      </c>
      <c r="W103" s="262">
        <v>45055.429652777777</v>
      </c>
      <c r="X103" s="262">
        <v>45055.429652777777</v>
      </c>
      <c r="Y103" s="263">
        <v>1</v>
      </c>
      <c r="Z103" s="270">
        <v>45055</v>
      </c>
      <c r="AA103" s="271">
        <v>10</v>
      </c>
      <c r="AB103" s="270">
        <v>45068</v>
      </c>
      <c r="AC103" s="234">
        <v>19</v>
      </c>
      <c r="AD103" s="240">
        <v>45083</v>
      </c>
    </row>
    <row r="104" spans="1:30">
      <c r="A104" s="291">
        <f>COUNTA($E$3:E104)</f>
        <v>102</v>
      </c>
      <c r="B104" s="291" t="s">
        <v>5292</v>
      </c>
      <c r="C104" s="291" t="s">
        <v>1104</v>
      </c>
      <c r="D104" s="291" t="s">
        <v>55</v>
      </c>
      <c r="E104" s="291" t="s">
        <v>4552</v>
      </c>
      <c r="F104" s="292">
        <v>45054.683086666664</v>
      </c>
      <c r="G104" s="292"/>
      <c r="H104" s="292"/>
      <c r="I104" s="292"/>
      <c r="J104" s="292" t="s">
        <v>4</v>
      </c>
      <c r="K104" s="291" t="s">
        <v>2179</v>
      </c>
      <c r="L104" s="214" t="s">
        <v>1074</v>
      </c>
      <c r="M104" s="223">
        <v>45068</v>
      </c>
      <c r="N104" s="220" t="s">
        <v>5411</v>
      </c>
      <c r="O104" s="223"/>
      <c r="P104" s="222"/>
      <c r="R104" t="s">
        <v>138</v>
      </c>
      <c r="S104">
        <v>11</v>
      </c>
      <c r="T104" s="233">
        <v>45054</v>
      </c>
      <c r="U104" s="257">
        <v>45061.653263888889</v>
      </c>
      <c r="V104" s="257">
        <v>45061.653263888889</v>
      </c>
      <c r="W104" s="262">
        <v>45061.653263888889</v>
      </c>
      <c r="X104" s="262">
        <v>45061.653263888889</v>
      </c>
      <c r="Y104" s="263">
        <v>1</v>
      </c>
      <c r="Z104" s="270">
        <v>45061</v>
      </c>
      <c r="AA104" s="271">
        <v>5</v>
      </c>
      <c r="AB104" s="270">
        <v>45065</v>
      </c>
      <c r="AC104" s="234">
        <v>10</v>
      </c>
      <c r="AD104" s="240"/>
    </row>
    <row r="105" spans="1:30">
      <c r="A105" s="291">
        <f>COUNTA($E$3:E105)</f>
        <v>103</v>
      </c>
      <c r="B105" s="291" t="s">
        <v>5309</v>
      </c>
      <c r="C105" s="291" t="s">
        <v>45</v>
      </c>
      <c r="D105" s="291" t="s">
        <v>34</v>
      </c>
      <c r="E105" s="291" t="s">
        <v>1655</v>
      </c>
      <c r="F105" s="292">
        <v>45055.547175925924</v>
      </c>
      <c r="G105" s="292"/>
      <c r="H105" s="292"/>
      <c r="I105" s="292"/>
      <c r="J105" s="292" t="s">
        <v>4</v>
      </c>
      <c r="K105" s="291" t="s">
        <v>1227</v>
      </c>
      <c r="L105" s="214" t="s">
        <v>1311</v>
      </c>
      <c r="M105" s="223">
        <v>45068</v>
      </c>
      <c r="N105" s="220" t="s">
        <v>5426</v>
      </c>
      <c r="O105" s="223"/>
      <c r="P105" s="222"/>
      <c r="R105" t="s">
        <v>138</v>
      </c>
      <c r="S105">
        <v>10</v>
      </c>
      <c r="T105" s="233">
        <v>45055</v>
      </c>
      <c r="U105" s="257">
        <v>45057.7496875</v>
      </c>
      <c r="V105" s="257">
        <v>45057.7496875</v>
      </c>
      <c r="W105" s="262">
        <v>45057.7496875</v>
      </c>
      <c r="X105" s="262">
        <v>45057.7496875</v>
      </c>
      <c r="Y105" s="263">
        <v>1</v>
      </c>
      <c r="Z105" s="270">
        <v>45057</v>
      </c>
      <c r="AA105" s="271">
        <v>8</v>
      </c>
      <c r="AB105" s="270">
        <v>45068</v>
      </c>
      <c r="AC105" s="234">
        <v>10</v>
      </c>
      <c r="AD105" s="240"/>
    </row>
    <row r="106" spans="1:30">
      <c r="A106" s="291">
        <f>COUNTA($E$3:E106)</f>
        <v>104</v>
      </c>
      <c r="B106" s="291" t="s">
        <v>5345</v>
      </c>
      <c r="C106" s="291" t="s">
        <v>3325</v>
      </c>
      <c r="D106" s="291" t="s">
        <v>62</v>
      </c>
      <c r="E106" s="291" t="s">
        <v>5346</v>
      </c>
      <c r="F106" s="292">
        <v>45057</v>
      </c>
      <c r="G106" s="292"/>
      <c r="H106" s="292"/>
      <c r="I106" s="292"/>
      <c r="J106" s="292" t="s">
        <v>4</v>
      </c>
      <c r="K106" s="291" t="s">
        <v>4799</v>
      </c>
      <c r="L106" s="214" t="s">
        <v>1311</v>
      </c>
      <c r="M106" s="223">
        <v>45068</v>
      </c>
      <c r="N106" s="220" t="s">
        <v>5424</v>
      </c>
      <c r="O106" s="223"/>
      <c r="P106" s="222"/>
      <c r="R106" t="s">
        <v>138</v>
      </c>
      <c r="S106">
        <v>8</v>
      </c>
      <c r="T106" s="233">
        <v>45058</v>
      </c>
      <c r="U106" s="257">
        <v>45063.75854166667</v>
      </c>
      <c r="V106" s="257">
        <v>45063.75854166667</v>
      </c>
      <c r="W106" s="262">
        <v>45063.75854166667</v>
      </c>
      <c r="X106" s="262">
        <v>45063.75854166667</v>
      </c>
      <c r="Y106" s="263">
        <v>1</v>
      </c>
      <c r="Z106" s="270">
        <v>45063</v>
      </c>
      <c r="AA106" s="271">
        <v>3</v>
      </c>
      <c r="AB106" s="270">
        <v>45065</v>
      </c>
      <c r="AC106" s="234">
        <v>6</v>
      </c>
      <c r="AD106" s="240"/>
    </row>
    <row r="107" spans="1:30">
      <c r="A107" s="291">
        <f>COUNTA($E$3:E107)</f>
        <v>105</v>
      </c>
      <c r="B107" s="291" t="s">
        <v>5347</v>
      </c>
      <c r="C107" s="291" t="s">
        <v>3325</v>
      </c>
      <c r="D107" s="291" t="s">
        <v>20</v>
      </c>
      <c r="E107" s="291" t="s">
        <v>5348</v>
      </c>
      <c r="F107" s="292">
        <v>45058</v>
      </c>
      <c r="G107" s="292"/>
      <c r="H107" s="292"/>
      <c r="I107" s="292"/>
      <c r="J107" s="292" t="s">
        <v>4</v>
      </c>
      <c r="K107" s="291" t="s">
        <v>4799</v>
      </c>
      <c r="L107" s="214" t="s">
        <v>1311</v>
      </c>
      <c r="M107" s="223">
        <v>45068</v>
      </c>
      <c r="N107" s="220" t="s">
        <v>5425</v>
      </c>
      <c r="O107" s="223"/>
      <c r="P107" s="222"/>
      <c r="R107" t="s">
        <v>138</v>
      </c>
      <c r="S107">
        <v>7</v>
      </c>
      <c r="T107" s="233">
        <v>45058</v>
      </c>
      <c r="U107" s="233">
        <v>45063.765393518515</v>
      </c>
      <c r="V107" s="233">
        <v>45063.765393518515</v>
      </c>
      <c r="W107" s="233">
        <v>45063.765393518515</v>
      </c>
      <c r="X107" s="233">
        <v>45063.765393518515</v>
      </c>
      <c r="Y107" s="238">
        <v>1</v>
      </c>
      <c r="Z107" s="270">
        <v>45063</v>
      </c>
      <c r="AA107" s="271">
        <v>3</v>
      </c>
      <c r="AB107" s="270">
        <v>45065</v>
      </c>
      <c r="AC107" s="234">
        <v>6</v>
      </c>
      <c r="AD107" s="240"/>
    </row>
    <row r="108" spans="1:30">
      <c r="A108" s="291">
        <f>COUNTA($E$3:E108)</f>
        <v>106</v>
      </c>
      <c r="B108" s="291" t="s">
        <v>4955</v>
      </c>
      <c r="C108" s="291" t="s">
        <v>45</v>
      </c>
      <c r="D108" s="291" t="s">
        <v>53</v>
      </c>
      <c r="E108" s="291" t="s">
        <v>4956</v>
      </c>
      <c r="F108" s="292">
        <v>45008</v>
      </c>
      <c r="G108" s="292">
        <v>45009</v>
      </c>
      <c r="H108" s="292"/>
      <c r="I108" s="292" t="s">
        <v>70</v>
      </c>
      <c r="J108" s="292" t="s">
        <v>3</v>
      </c>
      <c r="K108" s="291" t="s">
        <v>4957</v>
      </c>
      <c r="L108" s="214" t="s">
        <v>24</v>
      </c>
      <c r="M108" s="223">
        <v>45061</v>
      </c>
      <c r="N108" s="220" t="s">
        <v>5350</v>
      </c>
      <c r="O108" s="223">
        <v>45057</v>
      </c>
      <c r="P108" s="222"/>
      <c r="R108" t="s">
        <v>26</v>
      </c>
      <c r="S108">
        <v>38</v>
      </c>
      <c r="T108" s="233">
        <v>45008</v>
      </c>
      <c r="U108" s="233">
        <v>45010</v>
      </c>
      <c r="V108" s="233">
        <v>45010</v>
      </c>
      <c r="W108" s="233">
        <v>45010</v>
      </c>
      <c r="X108" s="233">
        <v>45010</v>
      </c>
      <c r="Y108" s="238">
        <v>1</v>
      </c>
      <c r="Z108" s="270">
        <v>45056</v>
      </c>
      <c r="AA108" s="271">
        <v>3</v>
      </c>
      <c r="AB108" s="270">
        <v>45058</v>
      </c>
      <c r="AC108" s="234">
        <v>37</v>
      </c>
      <c r="AD108" s="240">
        <v>45057</v>
      </c>
    </row>
    <row r="109" spans="1:30">
      <c r="A109" s="291">
        <f>COUNTA($E$3:E109)</f>
        <v>107</v>
      </c>
      <c r="B109" s="291" t="s">
        <v>5228</v>
      </c>
      <c r="C109" s="291" t="s">
        <v>4667</v>
      </c>
      <c r="D109" s="291" t="s">
        <v>1136</v>
      </c>
      <c r="E109" s="291" t="s">
        <v>5229</v>
      </c>
      <c r="F109" s="292">
        <v>45042</v>
      </c>
      <c r="G109" s="292">
        <v>45043</v>
      </c>
      <c r="H109" s="292">
        <v>45058</v>
      </c>
      <c r="I109" s="292">
        <v>45050</v>
      </c>
      <c r="J109" s="292" t="s">
        <v>4</v>
      </c>
      <c r="K109" s="291"/>
      <c r="L109" s="214" t="s">
        <v>110</v>
      </c>
      <c r="M109" s="223">
        <v>45061</v>
      </c>
      <c r="N109" s="220" t="s">
        <v>5351</v>
      </c>
      <c r="O109" s="223">
        <v>45061</v>
      </c>
      <c r="P109" s="222"/>
      <c r="R109" t="s">
        <v>26</v>
      </c>
      <c r="S109">
        <v>14</v>
      </c>
      <c r="T109" s="233">
        <v>45042</v>
      </c>
      <c r="U109" s="233">
        <v>45011</v>
      </c>
      <c r="V109" s="233">
        <v>45057</v>
      </c>
      <c r="W109" s="233">
        <v>45057</v>
      </c>
      <c r="X109" s="233">
        <v>45057</v>
      </c>
      <c r="Y109" s="238">
        <v>1</v>
      </c>
      <c r="Z109" s="270">
        <v>45057</v>
      </c>
      <c r="AA109" s="271">
        <v>2</v>
      </c>
      <c r="AB109" s="270">
        <v>45058</v>
      </c>
      <c r="AC109" s="234">
        <v>13</v>
      </c>
      <c r="AD109" s="240">
        <v>45061</v>
      </c>
    </row>
    <row r="110" spans="1:30">
      <c r="A110" s="291">
        <f>COUNTA($E$3:E110)</f>
        <v>108</v>
      </c>
      <c r="B110" s="291" t="s">
        <v>5235</v>
      </c>
      <c r="C110" s="291" t="s">
        <v>41</v>
      </c>
      <c r="D110" s="291" t="s">
        <v>34</v>
      </c>
      <c r="E110" s="291" t="s">
        <v>4969</v>
      </c>
      <c r="F110" s="292">
        <v>45043.453528298611</v>
      </c>
      <c r="G110" s="292"/>
      <c r="H110" s="292"/>
      <c r="I110" s="292"/>
      <c r="J110" s="292" t="s">
        <v>4</v>
      </c>
      <c r="K110" s="291"/>
      <c r="L110" s="214"/>
      <c r="M110" s="223">
        <v>45061</v>
      </c>
      <c r="N110" s="220" t="s">
        <v>5339</v>
      </c>
      <c r="O110" s="223"/>
      <c r="P110" s="222"/>
      <c r="R110" t="s">
        <v>138</v>
      </c>
      <c r="S110">
        <v>13</v>
      </c>
      <c r="T110" s="233">
        <v>45043.453528298611</v>
      </c>
      <c r="U110" s="233">
        <v>45012</v>
      </c>
      <c r="V110" s="233">
        <v>45012</v>
      </c>
      <c r="W110" s="233">
        <v>45012</v>
      </c>
      <c r="X110" s="233">
        <v>45012</v>
      </c>
      <c r="Y110" s="238">
        <v>1</v>
      </c>
      <c r="Z110" s="270">
        <v>45055</v>
      </c>
      <c r="AA110" s="271">
        <v>1</v>
      </c>
      <c r="AB110" s="270">
        <v>45055</v>
      </c>
      <c r="AC110" s="234">
        <v>9</v>
      </c>
      <c r="AD110" s="240"/>
    </row>
    <row r="111" spans="1:30">
      <c r="A111" s="291">
        <f>COUNTA($E$3:E111)</f>
        <v>109</v>
      </c>
      <c r="B111" s="291" t="s">
        <v>5272</v>
      </c>
      <c r="C111" s="291" t="s">
        <v>2341</v>
      </c>
      <c r="D111" s="291" t="s">
        <v>62</v>
      </c>
      <c r="E111" s="291" t="s">
        <v>2342</v>
      </c>
      <c r="F111" s="292">
        <v>45055</v>
      </c>
      <c r="G111" s="292"/>
      <c r="H111" s="292"/>
      <c r="I111" s="292"/>
      <c r="J111" s="292" t="s">
        <v>4</v>
      </c>
      <c r="K111" s="291"/>
      <c r="L111" s="214" t="s">
        <v>58</v>
      </c>
      <c r="M111" s="223">
        <v>45061</v>
      </c>
      <c r="N111" s="220" t="s">
        <v>5352</v>
      </c>
      <c r="O111" s="223"/>
      <c r="P111" s="222"/>
      <c r="R111" t="s">
        <v>138</v>
      </c>
      <c r="S111">
        <v>5</v>
      </c>
      <c r="T111" s="233">
        <v>45055</v>
      </c>
      <c r="U111" s="233">
        <v>45013</v>
      </c>
      <c r="V111" s="233">
        <v>45013</v>
      </c>
      <c r="W111" s="233">
        <v>45013</v>
      </c>
      <c r="X111" s="233">
        <v>45013</v>
      </c>
      <c r="Y111" s="238">
        <v>1</v>
      </c>
      <c r="Z111" s="270">
        <v>45056</v>
      </c>
      <c r="AA111" s="271">
        <v>1</v>
      </c>
      <c r="AB111" s="270">
        <v>45056</v>
      </c>
      <c r="AC111" s="234">
        <v>2</v>
      </c>
      <c r="AD111" s="240"/>
    </row>
    <row r="112" spans="1:30">
      <c r="A112" s="291">
        <f>COUNTA($E$3:E112)</f>
        <v>110</v>
      </c>
      <c r="B112" s="291" t="s">
        <v>5303</v>
      </c>
      <c r="C112" s="291" t="s">
        <v>112</v>
      </c>
      <c r="D112" s="291" t="s">
        <v>49</v>
      </c>
      <c r="E112" s="291" t="s">
        <v>5304</v>
      </c>
      <c r="F112" s="292">
        <v>45057.493819444448</v>
      </c>
      <c r="G112" s="292"/>
      <c r="H112" s="292"/>
      <c r="I112" s="292"/>
      <c r="J112" s="292" t="s">
        <v>5</v>
      </c>
      <c r="K112" s="291" t="s">
        <v>4654</v>
      </c>
      <c r="L112" s="214" t="s">
        <v>297</v>
      </c>
      <c r="M112" s="223">
        <v>45061</v>
      </c>
      <c r="N112" s="220" t="s">
        <v>3072</v>
      </c>
      <c r="O112" s="223">
        <v>45083</v>
      </c>
      <c r="P112" s="222" t="s">
        <v>5600</v>
      </c>
      <c r="R112" t="s">
        <v>26</v>
      </c>
      <c r="S112">
        <v>3</v>
      </c>
      <c r="T112" s="233">
        <v>45057.493819444448</v>
      </c>
      <c r="U112" s="233">
        <v>45014</v>
      </c>
      <c r="V112" s="233">
        <v>45014</v>
      </c>
      <c r="W112" s="233">
        <v>45014</v>
      </c>
      <c r="X112" s="233">
        <v>45014</v>
      </c>
      <c r="Y112" s="238">
        <v>1</v>
      </c>
      <c r="Z112" s="270">
        <v>45056</v>
      </c>
      <c r="AA112" s="271">
        <v>1</v>
      </c>
      <c r="AB112" s="270">
        <v>45056</v>
      </c>
      <c r="AC112" s="234">
        <v>-2</v>
      </c>
      <c r="AD112" s="240">
        <v>45083</v>
      </c>
    </row>
    <row r="113" spans="1:30">
      <c r="A113" s="291">
        <f>COUNTA($E$3:E113)</f>
        <v>111</v>
      </c>
      <c r="B113" s="291" t="s">
        <v>5183</v>
      </c>
      <c r="C113" s="291" t="s">
        <v>2457</v>
      </c>
      <c r="D113" s="291" t="s">
        <v>23</v>
      </c>
      <c r="E113" s="291" t="s">
        <v>3551</v>
      </c>
      <c r="F113" s="292">
        <v>45035</v>
      </c>
      <c r="G113" s="292"/>
      <c r="H113" s="292"/>
      <c r="I113" s="292"/>
      <c r="J113" s="292" t="s">
        <v>3</v>
      </c>
      <c r="K113" s="291"/>
      <c r="L113" s="214" t="s">
        <v>1302</v>
      </c>
      <c r="M113" s="223">
        <v>45054</v>
      </c>
      <c r="N113" s="220" t="s">
        <v>2979</v>
      </c>
      <c r="O113" s="223"/>
      <c r="P113" s="222"/>
      <c r="R113" t="s">
        <v>138</v>
      </c>
      <c r="S113">
        <v>19</v>
      </c>
      <c r="T113" s="233">
        <v>45035</v>
      </c>
      <c r="U113" s="233">
        <v>45035</v>
      </c>
      <c r="V113" s="233">
        <v>45035</v>
      </c>
      <c r="W113" s="233">
        <v>45035</v>
      </c>
      <c r="X113" s="233">
        <v>45042</v>
      </c>
      <c r="Y113" s="238">
        <v>1</v>
      </c>
      <c r="Z113" s="270">
        <v>45043</v>
      </c>
      <c r="AA113" s="271">
        <v>1</v>
      </c>
      <c r="AB113" s="270">
        <v>45043</v>
      </c>
      <c r="AC113" s="234">
        <v>38</v>
      </c>
      <c r="AD113" s="240"/>
    </row>
    <row r="114" spans="1:30">
      <c r="A114" s="291">
        <f>COUNTA($E$3:E114)</f>
        <v>112</v>
      </c>
      <c r="B114" s="291" t="s">
        <v>5231</v>
      </c>
      <c r="C114" s="291" t="s">
        <v>2457</v>
      </c>
      <c r="D114" s="291" t="s">
        <v>40</v>
      </c>
      <c r="E114" s="291" t="s">
        <v>3149</v>
      </c>
      <c r="F114" s="292">
        <v>44704</v>
      </c>
      <c r="G114" s="292"/>
      <c r="H114" s="292">
        <v>45012</v>
      </c>
      <c r="I114" s="292">
        <v>44714</v>
      </c>
      <c r="J114" s="292" t="s">
        <v>3</v>
      </c>
      <c r="K114" s="291" t="s">
        <v>5232</v>
      </c>
      <c r="L114" s="214" t="s">
        <v>28</v>
      </c>
      <c r="M114" s="223">
        <v>45054</v>
      </c>
      <c r="N114" s="220" t="s">
        <v>5284</v>
      </c>
      <c r="O114" s="223">
        <v>45055</v>
      </c>
      <c r="P114" s="222"/>
      <c r="R114" t="s">
        <v>26</v>
      </c>
      <c r="S114">
        <v>350</v>
      </c>
      <c r="T114" s="233">
        <v>44704</v>
      </c>
      <c r="U114" s="233">
        <v>44714</v>
      </c>
      <c r="V114" s="233">
        <v>44647</v>
      </c>
      <c r="W114" s="233">
        <v>44966</v>
      </c>
      <c r="X114" s="233">
        <v>45005</v>
      </c>
      <c r="Y114" s="238">
        <v>39</v>
      </c>
      <c r="Z114" s="270">
        <v>45044</v>
      </c>
      <c r="AA114" s="271">
        <v>6</v>
      </c>
      <c r="AB114" s="270">
        <v>45051</v>
      </c>
      <c r="AC114" s="234">
        <v>14</v>
      </c>
      <c r="AD114" s="240">
        <v>45055</v>
      </c>
    </row>
    <row r="115" spans="1:30">
      <c r="A115" s="291">
        <f>COUNTA($E$3:E115)</f>
        <v>113</v>
      </c>
      <c r="B115" s="291" t="s">
        <v>5233</v>
      </c>
      <c r="C115" s="291" t="s">
        <v>41</v>
      </c>
      <c r="D115" s="291" t="s">
        <v>31</v>
      </c>
      <c r="E115" s="291" t="s">
        <v>4751</v>
      </c>
      <c r="F115" s="292">
        <v>45043.449482129632</v>
      </c>
      <c r="G115" s="292"/>
      <c r="H115" s="292"/>
      <c r="I115" s="292"/>
      <c r="J115" s="292" t="s">
        <v>5</v>
      </c>
      <c r="K115" s="291"/>
      <c r="L115" s="214" t="s">
        <v>1302</v>
      </c>
      <c r="M115" s="223">
        <v>45054</v>
      </c>
      <c r="N115" s="220" t="s">
        <v>5283</v>
      </c>
      <c r="O115" s="223"/>
      <c r="P115" s="222"/>
      <c r="R115" t="s">
        <v>138</v>
      </c>
      <c r="S115">
        <v>11</v>
      </c>
      <c r="T115" s="233">
        <v>45043.449482129632</v>
      </c>
      <c r="U115" s="233"/>
      <c r="V115" s="233"/>
      <c r="W115" s="233"/>
      <c r="X115" s="233">
        <v>45050</v>
      </c>
      <c r="Y115" s="238">
        <v>1</v>
      </c>
      <c r="Z115" s="270">
        <v>45051</v>
      </c>
      <c r="AA115" s="271">
        <v>1</v>
      </c>
      <c r="AB115" s="270">
        <v>45051</v>
      </c>
      <c r="AC115" s="234">
        <v>13</v>
      </c>
      <c r="AD115" s="240"/>
    </row>
    <row r="116" spans="1:30">
      <c r="A116" s="291">
        <f>COUNTA($E$3:E116)</f>
        <v>114</v>
      </c>
      <c r="B116" s="291" t="s">
        <v>5234</v>
      </c>
      <c r="C116" s="291" t="s">
        <v>41</v>
      </c>
      <c r="D116" s="291" t="s">
        <v>38</v>
      </c>
      <c r="E116" s="291" t="s">
        <v>1823</v>
      </c>
      <c r="F116" s="292">
        <v>45043.451997083335</v>
      </c>
      <c r="G116" s="292"/>
      <c r="H116" s="292"/>
      <c r="I116" s="292"/>
      <c r="J116" s="292" t="s">
        <v>4</v>
      </c>
      <c r="K116" s="291"/>
      <c r="L116" s="214" t="s">
        <v>1302</v>
      </c>
      <c r="M116" s="223">
        <v>45054</v>
      </c>
      <c r="N116" s="220" t="s">
        <v>3031</v>
      </c>
      <c r="O116" s="223"/>
      <c r="P116" s="222"/>
      <c r="R116" t="s">
        <v>138</v>
      </c>
      <c r="S116">
        <v>11</v>
      </c>
      <c r="T116" s="233">
        <v>45043.451997083335</v>
      </c>
      <c r="U116" s="233"/>
      <c r="V116" s="233"/>
      <c r="W116" s="233"/>
      <c r="X116" s="233">
        <v>45050</v>
      </c>
      <c r="Y116" s="238">
        <v>1</v>
      </c>
      <c r="Z116" s="270">
        <v>45051</v>
      </c>
      <c r="AA116" s="271">
        <v>1</v>
      </c>
      <c r="AB116" s="270">
        <v>45051</v>
      </c>
      <c r="AC116" s="234">
        <v>5</v>
      </c>
      <c r="AD116" s="240"/>
    </row>
    <row r="117" spans="1:30">
      <c r="A117" s="291">
        <f>COUNTA($E$3:E117)</f>
        <v>115</v>
      </c>
      <c r="B117" s="291" t="s">
        <v>5253</v>
      </c>
      <c r="C117" s="291" t="s">
        <v>45</v>
      </c>
      <c r="D117" s="291" t="s">
        <v>36</v>
      </c>
      <c r="E117" s="291" t="s">
        <v>1297</v>
      </c>
      <c r="F117" s="292">
        <v>45045</v>
      </c>
      <c r="G117" s="292"/>
      <c r="H117" s="292"/>
      <c r="I117" s="292"/>
      <c r="J117" s="292" t="s">
        <v>1122</v>
      </c>
      <c r="K117" s="291"/>
      <c r="L117" s="214" t="s">
        <v>1311</v>
      </c>
      <c r="M117" s="223">
        <v>45054</v>
      </c>
      <c r="N117" s="220" t="s">
        <v>5283</v>
      </c>
      <c r="O117" s="223"/>
      <c r="P117" s="222"/>
      <c r="R117" t="s">
        <v>138</v>
      </c>
      <c r="S117">
        <v>9</v>
      </c>
      <c r="T117" s="233">
        <v>45045</v>
      </c>
      <c r="U117" s="233"/>
      <c r="V117" s="233"/>
      <c r="W117" s="233"/>
      <c r="X117" s="233">
        <v>45050</v>
      </c>
      <c r="Y117" s="238">
        <v>1</v>
      </c>
      <c r="Z117" s="270">
        <v>45051</v>
      </c>
      <c r="AA117" s="271">
        <v>1</v>
      </c>
      <c r="AB117" s="270">
        <v>45051</v>
      </c>
      <c r="AC117" s="234">
        <v>3</v>
      </c>
      <c r="AD117" s="240"/>
    </row>
    <row r="118" spans="1:30">
      <c r="A118" s="291">
        <f>COUNTA($E$3:E118)</f>
        <v>116</v>
      </c>
      <c r="B118" s="291" t="s">
        <v>5254</v>
      </c>
      <c r="C118" s="291" t="s">
        <v>45</v>
      </c>
      <c r="D118" s="291" t="s">
        <v>36</v>
      </c>
      <c r="E118" s="291" t="s">
        <v>2721</v>
      </c>
      <c r="F118" s="292">
        <v>45045</v>
      </c>
      <c r="G118" s="292"/>
      <c r="H118" s="292"/>
      <c r="I118" s="292"/>
      <c r="J118" s="292" t="s">
        <v>1122</v>
      </c>
      <c r="K118" s="291"/>
      <c r="L118" s="214" t="s">
        <v>1311</v>
      </c>
      <c r="M118" s="223">
        <v>45054</v>
      </c>
      <c r="N118" s="220" t="s">
        <v>5283</v>
      </c>
      <c r="O118" s="223"/>
      <c r="P118" s="222"/>
      <c r="R118" t="s">
        <v>138</v>
      </c>
      <c r="S118">
        <v>9</v>
      </c>
      <c r="T118" s="233">
        <v>45045</v>
      </c>
      <c r="U118" s="233"/>
      <c r="V118" s="233"/>
      <c r="W118" s="233"/>
      <c r="X118" s="233">
        <v>45050</v>
      </c>
      <c r="Y118" s="238">
        <v>1</v>
      </c>
      <c r="Z118" s="233">
        <v>45051</v>
      </c>
      <c r="AA118" s="235">
        <v>1</v>
      </c>
      <c r="AB118" s="233">
        <v>45051</v>
      </c>
      <c r="AC118" s="234">
        <v>19</v>
      </c>
      <c r="AD118" s="240"/>
    </row>
    <row r="119" spans="1:30">
      <c r="A119" s="291">
        <f>COUNTA($E$3:E119)</f>
        <v>117</v>
      </c>
      <c r="B119" s="291" t="s">
        <v>5255</v>
      </c>
      <c r="C119" s="291" t="s">
        <v>45</v>
      </c>
      <c r="D119" s="291" t="s">
        <v>55</v>
      </c>
      <c r="E119" s="291" t="s">
        <v>4546</v>
      </c>
      <c r="F119" s="292">
        <v>45045</v>
      </c>
      <c r="G119" s="292"/>
      <c r="H119" s="292"/>
      <c r="I119" s="292"/>
      <c r="J119" s="292" t="s">
        <v>1122</v>
      </c>
      <c r="K119" s="291"/>
      <c r="L119" s="214" t="s">
        <v>1311</v>
      </c>
      <c r="M119" s="223">
        <v>45054</v>
      </c>
      <c r="N119" s="220" t="s">
        <v>5283</v>
      </c>
      <c r="O119" s="223"/>
      <c r="P119" s="222"/>
      <c r="R119" t="s">
        <v>138</v>
      </c>
      <c r="S119">
        <v>9</v>
      </c>
      <c r="T119" s="233">
        <v>45045</v>
      </c>
      <c r="U119" s="233"/>
      <c r="V119" s="233"/>
      <c r="W119" s="233"/>
      <c r="X119" s="233">
        <v>45050</v>
      </c>
      <c r="Y119" s="238">
        <v>1</v>
      </c>
      <c r="Z119" s="233">
        <v>45051</v>
      </c>
      <c r="AA119" s="235">
        <v>1</v>
      </c>
      <c r="AB119" s="233">
        <v>45051</v>
      </c>
      <c r="AC119" s="234">
        <v>350</v>
      </c>
      <c r="AD119" s="240"/>
    </row>
    <row r="120" spans="1:30">
      <c r="A120" s="291">
        <f>COUNTA($E$3:E120)</f>
        <v>118</v>
      </c>
      <c r="B120" s="291" t="s">
        <v>5256</v>
      </c>
      <c r="C120" s="291" t="s">
        <v>45</v>
      </c>
      <c r="D120" s="291" t="s">
        <v>60</v>
      </c>
      <c r="E120" s="291" t="s">
        <v>3094</v>
      </c>
      <c r="F120" s="292">
        <v>45045</v>
      </c>
      <c r="G120" s="292"/>
      <c r="H120" s="292"/>
      <c r="I120" s="292"/>
      <c r="J120" s="292" t="s">
        <v>1122</v>
      </c>
      <c r="K120" s="291"/>
      <c r="L120" s="214" t="s">
        <v>1311</v>
      </c>
      <c r="M120" s="223">
        <v>45054</v>
      </c>
      <c r="N120" s="220" t="s">
        <v>5283</v>
      </c>
      <c r="O120" s="223"/>
      <c r="P120" s="222"/>
      <c r="R120" t="s">
        <v>138</v>
      </c>
      <c r="S120">
        <v>9</v>
      </c>
      <c r="T120" s="233">
        <v>45045</v>
      </c>
      <c r="U120" s="233"/>
      <c r="V120" s="233"/>
      <c r="W120" s="233"/>
      <c r="X120" s="233">
        <v>45050</v>
      </c>
      <c r="Y120" s="238">
        <v>1</v>
      </c>
      <c r="Z120" s="233">
        <v>45051</v>
      </c>
      <c r="AA120" s="235">
        <v>1</v>
      </c>
      <c r="AB120" s="233">
        <v>45051</v>
      </c>
      <c r="AC120" s="234">
        <v>11</v>
      </c>
      <c r="AD120" s="240"/>
    </row>
    <row r="121" spans="1:30">
      <c r="A121" s="291">
        <f>COUNTA($E$3:E121)</f>
        <v>119</v>
      </c>
      <c r="B121" s="291" t="s">
        <v>5257</v>
      </c>
      <c r="C121" s="291" t="s">
        <v>45</v>
      </c>
      <c r="D121" s="291" t="s">
        <v>1137</v>
      </c>
      <c r="E121" s="291" t="s">
        <v>2905</v>
      </c>
      <c r="F121" s="292">
        <v>45045</v>
      </c>
      <c r="G121" s="292"/>
      <c r="H121" s="292"/>
      <c r="I121" s="292"/>
      <c r="J121" s="292" t="s">
        <v>1122</v>
      </c>
      <c r="K121" s="291"/>
      <c r="L121" s="214" t="s">
        <v>1311</v>
      </c>
      <c r="M121" s="223">
        <v>45054</v>
      </c>
      <c r="N121" s="220" t="s">
        <v>5283</v>
      </c>
      <c r="O121" s="223"/>
      <c r="P121" s="222"/>
      <c r="R121" t="s">
        <v>138</v>
      </c>
      <c r="S121">
        <v>9</v>
      </c>
      <c r="T121" s="233">
        <v>45045</v>
      </c>
      <c r="U121" s="233"/>
      <c r="V121" s="233"/>
      <c r="W121" s="233"/>
      <c r="X121" s="233">
        <v>45050</v>
      </c>
      <c r="Y121" s="238">
        <v>1</v>
      </c>
      <c r="Z121" s="233">
        <v>45051</v>
      </c>
      <c r="AA121" s="235">
        <v>1</v>
      </c>
      <c r="AB121" s="233">
        <v>45051</v>
      </c>
      <c r="AC121" s="234">
        <v>11</v>
      </c>
      <c r="AD121" s="240"/>
    </row>
    <row r="122" spans="1:30">
      <c r="A122" s="291">
        <f>COUNTA($E$3:E122)</f>
        <v>120</v>
      </c>
      <c r="B122" s="291" t="s">
        <v>5258</v>
      </c>
      <c r="C122" s="291" t="s">
        <v>44</v>
      </c>
      <c r="D122" s="291" t="s">
        <v>1135</v>
      </c>
      <c r="E122" s="291" t="s">
        <v>5259</v>
      </c>
      <c r="F122" s="292">
        <v>45045</v>
      </c>
      <c r="G122" s="292"/>
      <c r="H122" s="292"/>
      <c r="I122" s="292"/>
      <c r="J122" s="292" t="s">
        <v>1122</v>
      </c>
      <c r="K122" s="291"/>
      <c r="L122" s="214" t="s">
        <v>1311</v>
      </c>
      <c r="M122" s="223">
        <v>45054</v>
      </c>
      <c r="N122" s="220" t="s">
        <v>5283</v>
      </c>
      <c r="O122" s="223"/>
      <c r="P122" s="222"/>
      <c r="R122" t="s">
        <v>138</v>
      </c>
      <c r="S122">
        <v>9</v>
      </c>
      <c r="T122" s="233">
        <v>45045</v>
      </c>
      <c r="U122" s="233"/>
      <c r="V122" s="233"/>
      <c r="W122" s="233"/>
      <c r="X122" s="233">
        <v>45050</v>
      </c>
      <c r="Y122" s="238">
        <v>1</v>
      </c>
      <c r="Z122" s="233">
        <v>45051</v>
      </c>
      <c r="AA122" s="235">
        <v>1</v>
      </c>
      <c r="AB122" s="233">
        <v>45051</v>
      </c>
      <c r="AC122" s="234">
        <v>9</v>
      </c>
      <c r="AD122" s="240"/>
    </row>
    <row r="123" spans="1:30">
      <c r="A123" s="291">
        <f>COUNTA($E$3:E123)</f>
        <v>121</v>
      </c>
      <c r="B123" s="291" t="s">
        <v>5260</v>
      </c>
      <c r="C123" s="291" t="s">
        <v>45</v>
      </c>
      <c r="D123" s="291" t="s">
        <v>36</v>
      </c>
      <c r="E123" s="291" t="s">
        <v>1171</v>
      </c>
      <c r="F123" s="292">
        <v>45045</v>
      </c>
      <c r="G123" s="292"/>
      <c r="H123" s="292"/>
      <c r="I123" s="292"/>
      <c r="J123" s="292" t="s">
        <v>1122</v>
      </c>
      <c r="K123" s="291"/>
      <c r="L123" s="214" t="s">
        <v>1311</v>
      </c>
      <c r="M123" s="223">
        <v>45054</v>
      </c>
      <c r="N123" s="220" t="s">
        <v>5283</v>
      </c>
      <c r="O123" s="223"/>
      <c r="P123" s="222"/>
      <c r="R123" t="s">
        <v>138</v>
      </c>
      <c r="S123">
        <v>9</v>
      </c>
      <c r="T123">
        <v>45045</v>
      </c>
      <c r="X123">
        <v>45050</v>
      </c>
      <c r="Y123">
        <v>1</v>
      </c>
      <c r="Z123">
        <v>45051</v>
      </c>
      <c r="AA123" s="236">
        <v>1</v>
      </c>
      <c r="AB123">
        <v>45051</v>
      </c>
      <c r="AC123">
        <v>9</v>
      </c>
      <c r="AD123" s="240"/>
    </row>
    <row r="124" spans="1:30">
      <c r="A124" s="291">
        <f>COUNTA($E$3:E124)</f>
        <v>122</v>
      </c>
      <c r="B124" s="291" t="s">
        <v>5261</v>
      </c>
      <c r="C124" s="291" t="s">
        <v>45</v>
      </c>
      <c r="D124" s="291" t="s">
        <v>55</v>
      </c>
      <c r="E124" s="291" t="s">
        <v>4637</v>
      </c>
      <c r="F124" s="292">
        <v>45045</v>
      </c>
      <c r="G124" s="292"/>
      <c r="H124" s="292"/>
      <c r="I124" s="292"/>
      <c r="J124" s="292" t="s">
        <v>1122</v>
      </c>
      <c r="K124" s="291"/>
      <c r="L124" s="214" t="s">
        <v>1311</v>
      </c>
      <c r="M124" s="223">
        <v>45054</v>
      </c>
      <c r="N124" s="220" t="s">
        <v>5283</v>
      </c>
      <c r="O124" s="223"/>
      <c r="P124" s="222"/>
      <c r="R124" t="s">
        <v>138</v>
      </c>
      <c r="S124">
        <v>9</v>
      </c>
      <c r="T124">
        <v>45045</v>
      </c>
      <c r="X124">
        <v>45050</v>
      </c>
      <c r="Y124">
        <v>1</v>
      </c>
      <c r="Z124">
        <v>45051</v>
      </c>
      <c r="AA124" s="236">
        <v>1</v>
      </c>
      <c r="AB124">
        <v>45051</v>
      </c>
      <c r="AC124">
        <v>9</v>
      </c>
      <c r="AD124" s="240"/>
    </row>
    <row r="125" spans="1:30">
      <c r="A125" s="291">
        <f>COUNTA($E$3:E125)</f>
        <v>123</v>
      </c>
      <c r="B125" s="291" t="s">
        <v>5262</v>
      </c>
      <c r="C125" s="291" t="s">
        <v>45</v>
      </c>
      <c r="D125" s="291" t="s">
        <v>1205</v>
      </c>
      <c r="E125" s="291" t="s">
        <v>4287</v>
      </c>
      <c r="F125" s="292">
        <v>45045</v>
      </c>
      <c r="G125" s="292"/>
      <c r="H125" s="292"/>
      <c r="I125" s="292"/>
      <c r="J125" s="292" t="s">
        <v>1122</v>
      </c>
      <c r="K125" s="291"/>
      <c r="L125" s="214" t="s">
        <v>1311</v>
      </c>
      <c r="M125" s="223">
        <v>45054</v>
      </c>
      <c r="N125" s="220" t="s">
        <v>5283</v>
      </c>
      <c r="O125" s="223"/>
      <c r="P125" s="222"/>
      <c r="R125" t="s">
        <v>138</v>
      </c>
      <c r="S125">
        <v>9</v>
      </c>
      <c r="T125">
        <v>45045</v>
      </c>
      <c r="X125">
        <v>45050</v>
      </c>
      <c r="Y125">
        <v>1</v>
      </c>
      <c r="Z125">
        <v>45051</v>
      </c>
      <c r="AA125" s="236">
        <v>1</v>
      </c>
      <c r="AB125">
        <v>45051</v>
      </c>
      <c r="AC125">
        <v>9</v>
      </c>
      <c r="AD125" s="240"/>
    </row>
    <row r="126" spans="1:30">
      <c r="A126" s="291">
        <f>COUNTA($E$3:E126)</f>
        <v>124</v>
      </c>
      <c r="B126" s="291" t="s">
        <v>5276</v>
      </c>
      <c r="C126" s="291" t="s">
        <v>45</v>
      </c>
      <c r="D126" s="291" t="s">
        <v>29</v>
      </c>
      <c r="E126" s="291" t="s">
        <v>1214</v>
      </c>
      <c r="F126" s="292">
        <v>45051.629629629628</v>
      </c>
      <c r="G126" s="292"/>
      <c r="H126" s="292"/>
      <c r="I126" s="292"/>
      <c r="J126" s="292" t="s">
        <v>4</v>
      </c>
      <c r="K126" s="291" t="s">
        <v>1500</v>
      </c>
      <c r="L126" s="214" t="s">
        <v>1302</v>
      </c>
      <c r="M126" s="223">
        <v>45054</v>
      </c>
      <c r="N126" s="220" t="s">
        <v>5283</v>
      </c>
      <c r="O126" s="223"/>
      <c r="P126" s="222"/>
      <c r="R126" t="s">
        <v>138</v>
      </c>
      <c r="S126">
        <v>2</v>
      </c>
      <c r="AA126" s="236"/>
      <c r="AD126" s="240"/>
    </row>
    <row r="127" spans="1:30">
      <c r="A127" s="291">
        <f>COUNTA($E$3:E127)</f>
        <v>125</v>
      </c>
      <c r="B127" s="291" t="s">
        <v>5280</v>
      </c>
      <c r="C127" s="291" t="s">
        <v>311</v>
      </c>
      <c r="D127" s="291" t="s">
        <v>20</v>
      </c>
      <c r="E127" s="291" t="s">
        <v>1061</v>
      </c>
      <c r="F127" s="292">
        <v>45051.633308819444</v>
      </c>
      <c r="G127" s="292"/>
      <c r="H127" s="292"/>
      <c r="I127" s="292"/>
      <c r="J127" s="292"/>
      <c r="K127" s="291"/>
      <c r="L127" s="214" t="s">
        <v>22</v>
      </c>
      <c r="M127" s="223">
        <v>45054</v>
      </c>
      <c r="N127" s="220" t="s">
        <v>5285</v>
      </c>
      <c r="O127" s="223">
        <v>45056</v>
      </c>
      <c r="P127" s="222"/>
      <c r="R127" t="s">
        <v>26</v>
      </c>
      <c r="S127">
        <v>2</v>
      </c>
      <c r="AA127" s="236"/>
      <c r="AD127" s="240">
        <v>45056</v>
      </c>
    </row>
    <row r="128" spans="1:30">
      <c r="A128" s="291">
        <f>COUNTA($E$3:E128)</f>
        <v>126</v>
      </c>
      <c r="B128" s="291" t="s">
        <v>5142</v>
      </c>
      <c r="C128" s="291" t="s">
        <v>1261</v>
      </c>
      <c r="D128" s="291" t="s">
        <v>20</v>
      </c>
      <c r="E128" s="291" t="s">
        <v>4223</v>
      </c>
      <c r="F128" s="292">
        <v>44859</v>
      </c>
      <c r="G128" s="292"/>
      <c r="H128" s="292"/>
      <c r="I128" s="292"/>
      <c r="J128" s="292" t="s">
        <v>3</v>
      </c>
      <c r="K128" s="291" t="s">
        <v>5143</v>
      </c>
      <c r="L128" s="214"/>
      <c r="M128" s="223">
        <v>45047</v>
      </c>
      <c r="N128" s="220" t="s">
        <v>5251</v>
      </c>
      <c r="O128" s="223">
        <v>45056</v>
      </c>
      <c r="P128" s="222"/>
      <c r="R128" t="s">
        <v>26</v>
      </c>
      <c r="S128">
        <v>188</v>
      </c>
      <c r="AA128" s="236"/>
      <c r="AD128" s="240">
        <v>45056</v>
      </c>
    </row>
    <row r="129" spans="1:30">
      <c r="A129" s="291">
        <f>COUNTA($E$3:E129)</f>
        <v>127</v>
      </c>
      <c r="B129" s="291" t="s">
        <v>5125</v>
      </c>
      <c r="C129" s="291" t="s">
        <v>41</v>
      </c>
      <c r="D129" s="291" t="s">
        <v>38</v>
      </c>
      <c r="E129" s="291" t="s">
        <v>1980</v>
      </c>
      <c r="F129" s="292">
        <v>45027.820123993057</v>
      </c>
      <c r="G129" s="292"/>
      <c r="H129" s="292"/>
      <c r="I129" s="292"/>
      <c r="J129" s="292" t="s">
        <v>3</v>
      </c>
      <c r="K129" s="291"/>
      <c r="L129" s="214" t="s">
        <v>1302</v>
      </c>
      <c r="M129" s="223">
        <v>45047</v>
      </c>
      <c r="N129" s="220" t="s">
        <v>5223</v>
      </c>
      <c r="O129" s="223"/>
      <c r="P129" s="222"/>
      <c r="R129" t="s">
        <v>138</v>
      </c>
      <c r="S129">
        <v>19</v>
      </c>
      <c r="AA129" s="236"/>
      <c r="AD129" s="240"/>
    </row>
    <row r="130" spans="1:30">
      <c r="A130" s="291">
        <f>COUNTA($E$3:E130)</f>
        <v>128</v>
      </c>
      <c r="B130" s="291" t="s">
        <v>5068</v>
      </c>
      <c r="C130" s="291" t="s">
        <v>4283</v>
      </c>
      <c r="D130" s="291" t="s">
        <v>42</v>
      </c>
      <c r="E130" s="291" t="s">
        <v>3779</v>
      </c>
      <c r="F130" s="292">
        <v>45019</v>
      </c>
      <c r="G130" s="292">
        <v>45026</v>
      </c>
      <c r="H130" s="292"/>
      <c r="I130" s="292">
        <v>45026</v>
      </c>
      <c r="J130" s="292" t="s">
        <v>3</v>
      </c>
      <c r="K130" s="291" t="s">
        <v>1500</v>
      </c>
      <c r="L130" s="214" t="s">
        <v>297</v>
      </c>
      <c r="M130" s="223">
        <v>45047</v>
      </c>
      <c r="N130" s="220" t="s">
        <v>5220</v>
      </c>
      <c r="O130" s="223"/>
      <c r="P130" s="222"/>
      <c r="R130" t="s">
        <v>138</v>
      </c>
      <c r="S130">
        <v>28</v>
      </c>
      <c r="AA130" s="236"/>
      <c r="AD130" s="240"/>
    </row>
    <row r="131" spans="1:30">
      <c r="A131" s="291">
        <f>COUNTA($E$3:E131)</f>
        <v>129</v>
      </c>
      <c r="B131" s="291" t="s">
        <v>4784</v>
      </c>
      <c r="C131" s="291" t="s">
        <v>2752</v>
      </c>
      <c r="D131" s="291" t="s">
        <v>1092</v>
      </c>
      <c r="E131" s="291" t="s">
        <v>4785</v>
      </c>
      <c r="F131" s="292">
        <v>44972</v>
      </c>
      <c r="G131" s="292"/>
      <c r="H131" s="292"/>
      <c r="I131" s="292" t="s">
        <v>59</v>
      </c>
      <c r="J131" s="292" t="s">
        <v>3</v>
      </c>
      <c r="K131" s="291" t="s">
        <v>3279</v>
      </c>
      <c r="L131" s="214"/>
      <c r="M131" s="223">
        <v>45047</v>
      </c>
      <c r="N131" s="220" t="s">
        <v>5599</v>
      </c>
      <c r="O131" s="223">
        <v>45070</v>
      </c>
      <c r="P131" s="222" t="e">
        <v>#N/A</v>
      </c>
      <c r="R131" t="s">
        <v>26</v>
      </c>
      <c r="S131">
        <v>75</v>
      </c>
      <c r="AA131" s="236"/>
      <c r="AD131" s="240">
        <v>45070</v>
      </c>
    </row>
    <row r="132" spans="1:30">
      <c r="A132" s="291">
        <f>COUNTA($E$3:E132)</f>
        <v>130</v>
      </c>
      <c r="B132" s="291" t="s">
        <v>5213</v>
      </c>
      <c r="C132" s="291" t="s">
        <v>1131</v>
      </c>
      <c r="D132" s="291" t="s">
        <v>68</v>
      </c>
      <c r="E132" s="291" t="s">
        <v>4872</v>
      </c>
      <c r="F132" s="292">
        <v>45040.466239189816</v>
      </c>
      <c r="G132" s="292"/>
      <c r="H132" s="292"/>
      <c r="I132" s="292"/>
      <c r="J132" s="292" t="s">
        <v>4</v>
      </c>
      <c r="K132" s="291"/>
      <c r="L132" s="214" t="s">
        <v>1310</v>
      </c>
      <c r="M132" s="223">
        <v>45047</v>
      </c>
      <c r="N132" s="220" t="s">
        <v>5238</v>
      </c>
      <c r="O132" s="223"/>
      <c r="P132" s="222"/>
      <c r="R132" t="s">
        <v>138</v>
      </c>
      <c r="S132">
        <v>7</v>
      </c>
      <c r="AA132" s="236"/>
      <c r="AD132" s="240"/>
    </row>
    <row r="133" spans="1:30">
      <c r="A133" s="291">
        <f>COUNTA($E$3:E133)</f>
        <v>131</v>
      </c>
      <c r="B133" s="291" t="s">
        <v>5199</v>
      </c>
      <c r="C133" s="291" t="s">
        <v>117</v>
      </c>
      <c r="D133" s="291" t="s">
        <v>20</v>
      </c>
      <c r="E133" s="291" t="s">
        <v>5200</v>
      </c>
      <c r="F133" s="292">
        <v>45037.719680243055</v>
      </c>
      <c r="G133" s="292"/>
      <c r="H133" s="292"/>
      <c r="I133" s="292"/>
      <c r="J133" s="292" t="s">
        <v>4</v>
      </c>
      <c r="K133" s="291"/>
      <c r="L133" s="214" t="s">
        <v>1310</v>
      </c>
      <c r="M133" s="223">
        <v>45047</v>
      </c>
      <c r="N133" s="220" t="s">
        <v>5240</v>
      </c>
      <c r="O133" s="223"/>
      <c r="P133" s="222"/>
      <c r="R133" t="s">
        <v>138</v>
      </c>
      <c r="S133">
        <v>9</v>
      </c>
      <c r="AA133" s="236"/>
      <c r="AD133" s="240"/>
    </row>
    <row r="134" spans="1:30">
      <c r="A134" s="291">
        <f>COUNTA($E$3:E134)</f>
        <v>132</v>
      </c>
      <c r="B134" s="291" t="s">
        <v>5179</v>
      </c>
      <c r="C134" s="291" t="s">
        <v>41</v>
      </c>
      <c r="D134" s="291" t="s">
        <v>34</v>
      </c>
      <c r="E134" s="291" t="s">
        <v>5180</v>
      </c>
      <c r="F134" s="292">
        <v>45034.762278483795</v>
      </c>
      <c r="G134" s="292"/>
      <c r="H134" s="292"/>
      <c r="I134" s="292"/>
      <c r="J134" s="292" t="s">
        <v>4</v>
      </c>
      <c r="K134" s="291"/>
      <c r="L134" s="214" t="s">
        <v>1302</v>
      </c>
      <c r="M134" s="223">
        <v>45047</v>
      </c>
      <c r="N134" s="220" t="s">
        <v>5239</v>
      </c>
      <c r="O134" s="223"/>
      <c r="P134" s="222"/>
      <c r="R134" t="s">
        <v>138</v>
      </c>
      <c r="S134">
        <v>12</v>
      </c>
      <c r="AA134" s="236"/>
      <c r="AD134" s="240"/>
    </row>
    <row r="135" spans="1:30">
      <c r="A135" s="291">
        <f>COUNTA($E$3:E135)</f>
        <v>133</v>
      </c>
      <c r="B135" s="291" t="s">
        <v>5178</v>
      </c>
      <c r="C135" s="291" t="s">
        <v>41</v>
      </c>
      <c r="D135" s="291" t="s">
        <v>34</v>
      </c>
      <c r="E135" s="291" t="s">
        <v>3397</v>
      </c>
      <c r="F135" s="292">
        <v>45034.761691412037</v>
      </c>
      <c r="G135" s="292"/>
      <c r="H135" s="292"/>
      <c r="I135" s="292"/>
      <c r="J135" s="292" t="s">
        <v>4</v>
      </c>
      <c r="K135" s="291"/>
      <c r="L135" s="214" t="s">
        <v>1310</v>
      </c>
      <c r="M135" s="223">
        <v>45047</v>
      </c>
      <c r="N135" s="220" t="s">
        <v>5238</v>
      </c>
      <c r="O135" s="223"/>
      <c r="P135" s="222"/>
      <c r="R135" t="s">
        <v>138</v>
      </c>
      <c r="S135">
        <v>12</v>
      </c>
      <c r="AA135" s="236"/>
      <c r="AD135" s="240"/>
    </row>
    <row r="136" spans="1:30">
      <c r="A136" s="291">
        <f>COUNTA($E$3:E136)</f>
        <v>134</v>
      </c>
      <c r="B136" s="291" t="s">
        <v>5171</v>
      </c>
      <c r="C136" s="291" t="s">
        <v>25</v>
      </c>
      <c r="D136" s="291" t="s">
        <v>38</v>
      </c>
      <c r="E136" s="291" t="s">
        <v>5172</v>
      </c>
      <c r="F136" s="292">
        <v>45034.534218182867</v>
      </c>
      <c r="G136" s="292"/>
      <c r="H136" s="292"/>
      <c r="I136" s="292"/>
      <c r="J136" s="292" t="s">
        <v>4</v>
      </c>
      <c r="K136" s="291"/>
      <c r="L136" s="214" t="s">
        <v>1311</v>
      </c>
      <c r="M136" s="223">
        <v>45047</v>
      </c>
      <c r="N136" s="220" t="s">
        <v>5221</v>
      </c>
      <c r="O136" s="223"/>
      <c r="P136" s="222"/>
      <c r="R136" t="s">
        <v>138</v>
      </c>
      <c r="S136">
        <v>12</v>
      </c>
      <c r="AA136" s="236"/>
      <c r="AD136" s="240"/>
    </row>
    <row r="137" spans="1:30">
      <c r="A137" s="291">
        <f>COUNTA($E$3:E137)</f>
        <v>135</v>
      </c>
      <c r="B137" s="291" t="s">
        <v>5123</v>
      </c>
      <c r="C137" s="291" t="s">
        <v>2341</v>
      </c>
      <c r="D137" s="291" t="s">
        <v>34</v>
      </c>
      <c r="E137" s="291" t="s">
        <v>2343</v>
      </c>
      <c r="F137" s="292">
        <v>45027.815383217596</v>
      </c>
      <c r="G137" s="292"/>
      <c r="H137" s="292"/>
      <c r="I137" s="292"/>
      <c r="J137" s="292" t="s">
        <v>4</v>
      </c>
      <c r="K137" s="291"/>
      <c r="L137" s="214" t="s">
        <v>1311</v>
      </c>
      <c r="M137" s="223">
        <v>45047</v>
      </c>
      <c r="N137" s="220" t="s">
        <v>5222</v>
      </c>
      <c r="O137" s="223"/>
      <c r="P137" s="222"/>
      <c r="R137" t="s">
        <v>138</v>
      </c>
      <c r="S137">
        <v>19</v>
      </c>
      <c r="AA137" s="236"/>
      <c r="AD137" s="240"/>
    </row>
    <row r="138" spans="1:30">
      <c r="A138" s="291">
        <f>COUNTA($E$3:E138)</f>
        <v>136</v>
      </c>
      <c r="B138" s="291" t="s">
        <v>5076</v>
      </c>
      <c r="C138" s="291" t="s">
        <v>25</v>
      </c>
      <c r="D138" s="291" t="s">
        <v>34</v>
      </c>
      <c r="E138" s="291" t="s">
        <v>5077</v>
      </c>
      <c r="F138" s="292">
        <v>45019.717126597221</v>
      </c>
      <c r="G138" s="292"/>
      <c r="H138" s="292"/>
      <c r="I138" s="292"/>
      <c r="J138" s="292" t="s">
        <v>4</v>
      </c>
      <c r="K138" s="291"/>
      <c r="L138" s="214" t="s">
        <v>1310</v>
      </c>
      <c r="M138" s="223">
        <v>45047</v>
      </c>
      <c r="N138" s="220" t="s">
        <v>5221</v>
      </c>
      <c r="O138" s="223"/>
      <c r="P138" s="223"/>
      <c r="R138" t="s">
        <v>138</v>
      </c>
      <c r="S138">
        <v>27</v>
      </c>
      <c r="AA138" s="236"/>
      <c r="AD138" s="240"/>
    </row>
    <row r="139" spans="1:30">
      <c r="A139" s="291">
        <f>COUNTA($E$3:E139)</f>
        <v>137</v>
      </c>
      <c r="B139" s="291" t="s">
        <v>5176</v>
      </c>
      <c r="C139" s="291" t="s">
        <v>41</v>
      </c>
      <c r="D139" s="291" t="s">
        <v>31</v>
      </c>
      <c r="E139" s="291" t="s">
        <v>2728</v>
      </c>
      <c r="F139" s="292">
        <v>45034.760385914349</v>
      </c>
      <c r="G139" s="292"/>
      <c r="H139" s="292"/>
      <c r="I139" s="292"/>
      <c r="J139" s="292" t="s">
        <v>5</v>
      </c>
      <c r="K139" s="291"/>
      <c r="L139" s="214" t="s">
        <v>1302</v>
      </c>
      <c r="M139" s="223">
        <v>45047</v>
      </c>
      <c r="N139" s="220" t="s">
        <v>5237</v>
      </c>
      <c r="O139" s="223"/>
      <c r="P139" s="222"/>
      <c r="R139" t="s">
        <v>138</v>
      </c>
      <c r="S139">
        <v>12</v>
      </c>
      <c r="AA139" s="236"/>
      <c r="AD139" s="240"/>
    </row>
    <row r="140" spans="1:30">
      <c r="A140" s="291">
        <f>COUNTA($E$3:E140)</f>
        <v>138</v>
      </c>
      <c r="B140" s="291" t="s">
        <v>5174</v>
      </c>
      <c r="C140" s="291" t="s">
        <v>41</v>
      </c>
      <c r="D140" s="291" t="s">
        <v>31</v>
      </c>
      <c r="E140" s="291" t="s">
        <v>5175</v>
      </c>
      <c r="F140" s="292">
        <v>45034.759824351851</v>
      </c>
      <c r="G140" s="292"/>
      <c r="H140" s="292"/>
      <c r="I140" s="292"/>
      <c r="J140" s="292" t="s">
        <v>5</v>
      </c>
      <c r="K140" s="291"/>
      <c r="L140" s="214" t="s">
        <v>1302</v>
      </c>
      <c r="M140" s="223">
        <v>45047</v>
      </c>
      <c r="N140" s="220" t="s">
        <v>5237</v>
      </c>
      <c r="O140" s="223"/>
      <c r="P140" s="223"/>
      <c r="R140" t="s">
        <v>138</v>
      </c>
      <c r="S140">
        <v>12</v>
      </c>
      <c r="AA140" s="236"/>
      <c r="AD140" s="240"/>
    </row>
    <row r="141" spans="1:30">
      <c r="A141" s="291">
        <f>COUNTA($E$3:E141)</f>
        <v>139</v>
      </c>
      <c r="B141" s="291" t="s">
        <v>5133</v>
      </c>
      <c r="C141" s="291" t="s">
        <v>45</v>
      </c>
      <c r="D141" s="291" t="s">
        <v>20</v>
      </c>
      <c r="E141" s="291" t="s">
        <v>1200</v>
      </c>
      <c r="F141" s="292">
        <v>45029.637663518515</v>
      </c>
      <c r="G141" s="292"/>
      <c r="H141" s="292"/>
      <c r="I141" s="292"/>
      <c r="J141" s="292" t="s">
        <v>1122</v>
      </c>
      <c r="K141" s="291"/>
      <c r="L141" s="214" t="s">
        <v>1311</v>
      </c>
      <c r="M141" s="223">
        <v>45040</v>
      </c>
      <c r="N141" s="220" t="s">
        <v>5191</v>
      </c>
      <c r="O141" s="223"/>
      <c r="P141" s="223"/>
      <c r="R141" t="s">
        <v>138</v>
      </c>
      <c r="S141">
        <v>10</v>
      </c>
      <c r="AA141" s="236"/>
      <c r="AD141" s="240"/>
    </row>
    <row r="142" spans="1:30">
      <c r="A142" s="291">
        <f>COUNTA($E$3:E142)</f>
        <v>140</v>
      </c>
      <c r="B142" s="291" t="s">
        <v>5131</v>
      </c>
      <c r="C142" s="291" t="s">
        <v>45</v>
      </c>
      <c r="D142" s="291" t="s">
        <v>38</v>
      </c>
      <c r="E142" s="291" t="s">
        <v>5132</v>
      </c>
      <c r="F142" s="292">
        <v>45029.628496770834</v>
      </c>
      <c r="G142" s="292"/>
      <c r="H142" s="292"/>
      <c r="I142" s="292"/>
      <c r="J142" s="292" t="s">
        <v>1122</v>
      </c>
      <c r="K142" s="291"/>
      <c r="L142" s="214" t="s">
        <v>1311</v>
      </c>
      <c r="M142" s="223">
        <v>45040</v>
      </c>
      <c r="N142" s="220" t="s">
        <v>5191</v>
      </c>
      <c r="O142" s="223"/>
      <c r="P142" s="222"/>
      <c r="R142" t="s">
        <v>138</v>
      </c>
      <c r="S142">
        <v>10</v>
      </c>
      <c r="AA142" s="236"/>
      <c r="AD142" s="240"/>
    </row>
    <row r="143" spans="1:30">
      <c r="A143" s="291">
        <f>COUNTA($E$3:E143)</f>
        <v>141</v>
      </c>
      <c r="B143" s="291" t="s">
        <v>5104</v>
      </c>
      <c r="C143" s="291" t="s">
        <v>1212</v>
      </c>
      <c r="D143" s="291" t="s">
        <v>42</v>
      </c>
      <c r="E143" s="291" t="s">
        <v>3554</v>
      </c>
      <c r="F143" s="292">
        <v>45023.722749988425</v>
      </c>
      <c r="G143" s="292"/>
      <c r="H143" s="292"/>
      <c r="I143" s="292"/>
      <c r="J143" s="292" t="s">
        <v>3</v>
      </c>
      <c r="K143" s="291"/>
      <c r="L143" s="214" t="s">
        <v>1309</v>
      </c>
      <c r="M143" s="223">
        <v>45040</v>
      </c>
      <c r="N143" s="220" t="s">
        <v>5192</v>
      </c>
      <c r="O143" s="223">
        <v>45037</v>
      </c>
      <c r="P143" s="222"/>
      <c r="R143" t="s">
        <v>26</v>
      </c>
      <c r="S143">
        <v>16</v>
      </c>
      <c r="AA143" s="236"/>
      <c r="AD143" s="240">
        <v>45037</v>
      </c>
    </row>
    <row r="144" spans="1:30">
      <c r="A144" s="291">
        <f>COUNTA($E$3:E144)</f>
        <v>142</v>
      </c>
      <c r="B144" s="291" t="s">
        <v>4855</v>
      </c>
      <c r="C144" s="291" t="s">
        <v>1131</v>
      </c>
      <c r="D144" s="291" t="s">
        <v>42</v>
      </c>
      <c r="E144" s="291" t="s">
        <v>2033</v>
      </c>
      <c r="F144" s="292">
        <v>44984</v>
      </c>
      <c r="G144" s="292"/>
      <c r="H144" s="292">
        <v>45022</v>
      </c>
      <c r="I144" s="292">
        <v>44986</v>
      </c>
      <c r="J144" s="292" t="s">
        <v>3</v>
      </c>
      <c r="K144" s="291" t="s">
        <v>1739</v>
      </c>
      <c r="L144" s="214" t="s">
        <v>1311</v>
      </c>
      <c r="M144" s="223">
        <v>45040</v>
      </c>
      <c r="N144" s="220" t="s">
        <v>5164</v>
      </c>
      <c r="O144" s="223"/>
      <c r="P144" s="222"/>
      <c r="R144" t="s">
        <v>138</v>
      </c>
      <c r="S144">
        <v>56</v>
      </c>
      <c r="AA144" s="236"/>
      <c r="AD144" s="240"/>
    </row>
    <row r="145" spans="1:30">
      <c r="A145" s="291">
        <f>COUNTA($E$3:E145)</f>
        <v>143</v>
      </c>
      <c r="B145" s="291" t="s">
        <v>4975</v>
      </c>
      <c r="C145" s="291" t="s">
        <v>25</v>
      </c>
      <c r="D145" s="291" t="s">
        <v>27</v>
      </c>
      <c r="E145" s="291" t="s">
        <v>1942</v>
      </c>
      <c r="F145" s="292">
        <v>45007</v>
      </c>
      <c r="G145" s="292"/>
      <c r="H145" s="292"/>
      <c r="I145" s="292"/>
      <c r="J145" s="292" t="s">
        <v>3</v>
      </c>
      <c r="K145" s="291"/>
      <c r="L145" s="214" t="s">
        <v>1302</v>
      </c>
      <c r="M145" s="223">
        <v>45040</v>
      </c>
      <c r="N145" s="220" t="s">
        <v>5165</v>
      </c>
      <c r="O145" s="223"/>
      <c r="P145" s="222"/>
      <c r="R145" t="s">
        <v>138</v>
      </c>
      <c r="S145">
        <v>33</v>
      </c>
      <c r="AA145" s="236"/>
      <c r="AD145" s="240"/>
    </row>
    <row r="146" spans="1:30">
      <c r="A146" s="291">
        <f>COUNTA($E$3:E146)</f>
        <v>144</v>
      </c>
      <c r="B146" s="291" t="s">
        <v>5016</v>
      </c>
      <c r="C146" s="291" t="s">
        <v>45</v>
      </c>
      <c r="D146" s="291" t="s">
        <v>34</v>
      </c>
      <c r="E146" s="291" t="s">
        <v>2996</v>
      </c>
      <c r="F146" s="292">
        <v>45014</v>
      </c>
      <c r="G146" s="292">
        <v>45020</v>
      </c>
      <c r="H146" s="292"/>
      <c r="I146" s="292" t="s">
        <v>70</v>
      </c>
      <c r="J146" s="292" t="s">
        <v>3</v>
      </c>
      <c r="K146" s="291" t="s">
        <v>5017</v>
      </c>
      <c r="L146" s="214" t="s">
        <v>1309</v>
      </c>
      <c r="M146" s="223">
        <v>45040</v>
      </c>
      <c r="N146" s="220" t="s">
        <v>5201</v>
      </c>
      <c r="O146" s="223">
        <v>45083</v>
      </c>
      <c r="P146" s="222" t="s">
        <v>5600</v>
      </c>
      <c r="R146" t="s">
        <v>26</v>
      </c>
      <c r="S146">
        <v>26</v>
      </c>
      <c r="AA146" s="236"/>
      <c r="AD146" s="240">
        <v>45083</v>
      </c>
    </row>
    <row r="147" spans="1:30">
      <c r="A147" s="291">
        <f>COUNTA($E$3:E147)</f>
        <v>145</v>
      </c>
      <c r="B147" s="291" t="s">
        <v>4788</v>
      </c>
      <c r="C147" s="291" t="s">
        <v>45</v>
      </c>
      <c r="D147" s="291" t="s">
        <v>1115</v>
      </c>
      <c r="E147" s="291" t="s">
        <v>4285</v>
      </c>
      <c r="F147" s="292">
        <v>44970</v>
      </c>
      <c r="G147" s="292"/>
      <c r="H147" s="292"/>
      <c r="I147" s="292"/>
      <c r="J147" s="292" t="s">
        <v>3</v>
      </c>
      <c r="K147" s="291" t="s">
        <v>4865</v>
      </c>
      <c r="L147" s="214" t="s">
        <v>1310</v>
      </c>
      <c r="M147" s="223">
        <v>45040</v>
      </c>
      <c r="N147" s="220" t="s">
        <v>5193</v>
      </c>
      <c r="O147" s="223">
        <v>45020</v>
      </c>
      <c r="P147" s="222"/>
      <c r="R147" t="s">
        <v>138</v>
      </c>
      <c r="S147">
        <v>70</v>
      </c>
      <c r="AA147" s="236"/>
      <c r="AD147" s="240">
        <v>45020</v>
      </c>
    </row>
    <row r="148" spans="1:30">
      <c r="A148" s="291">
        <f>COUNTA($E$3:E148)</f>
        <v>146</v>
      </c>
      <c r="B148" s="291" t="s">
        <v>5020</v>
      </c>
      <c r="C148" s="291" t="s">
        <v>41</v>
      </c>
      <c r="D148" s="291" t="s">
        <v>34</v>
      </c>
      <c r="E148" s="291" t="s">
        <v>1224</v>
      </c>
      <c r="F148" s="292">
        <v>45009</v>
      </c>
      <c r="G148" s="292"/>
      <c r="H148" s="292"/>
      <c r="I148" s="292"/>
      <c r="J148" s="292" t="s">
        <v>4</v>
      </c>
      <c r="K148" s="291" t="s">
        <v>5021</v>
      </c>
      <c r="L148" s="214" t="s">
        <v>1310</v>
      </c>
      <c r="M148" s="223">
        <v>45040</v>
      </c>
      <c r="N148" s="220" t="s">
        <v>5190</v>
      </c>
      <c r="O148" s="223"/>
      <c r="P148" s="222"/>
      <c r="R148" t="s">
        <v>138</v>
      </c>
      <c r="S148">
        <v>31</v>
      </c>
      <c r="AA148" s="236"/>
      <c r="AD148" s="240"/>
    </row>
    <row r="149" spans="1:30">
      <c r="A149" s="291">
        <f>COUNTA($E$3:E149)</f>
        <v>147</v>
      </c>
      <c r="B149" s="291" t="s">
        <v>5084</v>
      </c>
      <c r="C149" s="291" t="s">
        <v>41</v>
      </c>
      <c r="D149" s="291" t="s">
        <v>34</v>
      </c>
      <c r="E149" s="291" t="s">
        <v>3514</v>
      </c>
      <c r="F149" s="292">
        <v>45020.713293692126</v>
      </c>
      <c r="G149" s="292"/>
      <c r="H149" s="292"/>
      <c r="I149" s="292"/>
      <c r="J149" s="292" t="s">
        <v>4</v>
      </c>
      <c r="K149" s="291"/>
      <c r="L149" s="214" t="s">
        <v>1310</v>
      </c>
      <c r="M149" s="223">
        <v>45040</v>
      </c>
      <c r="N149" s="220" t="s">
        <v>5202</v>
      </c>
      <c r="O149" s="223"/>
      <c r="P149" s="222"/>
      <c r="R149" t="s">
        <v>138</v>
      </c>
      <c r="S149">
        <v>19</v>
      </c>
      <c r="AA149" s="236"/>
      <c r="AD149" s="240"/>
    </row>
    <row r="150" spans="1:30">
      <c r="A150" s="291">
        <f>COUNTA($E$3:E150)</f>
        <v>148</v>
      </c>
      <c r="B150" s="291" t="s">
        <v>5085</v>
      </c>
      <c r="C150" s="291" t="s">
        <v>41</v>
      </c>
      <c r="D150" s="291" t="s">
        <v>34</v>
      </c>
      <c r="E150" s="291" t="s">
        <v>3406</v>
      </c>
      <c r="F150" s="292">
        <v>45020.713823761573</v>
      </c>
      <c r="G150" s="292"/>
      <c r="H150" s="292"/>
      <c r="I150" s="292"/>
      <c r="J150" s="292" t="s">
        <v>4</v>
      </c>
      <c r="K150" s="291"/>
      <c r="L150" s="214" t="s">
        <v>1310</v>
      </c>
      <c r="M150" s="223">
        <v>45040</v>
      </c>
      <c r="N150" s="220" t="s">
        <v>5203</v>
      </c>
      <c r="O150" s="223"/>
      <c r="P150" s="222"/>
      <c r="R150" t="s">
        <v>138</v>
      </c>
      <c r="S150">
        <v>19</v>
      </c>
      <c r="AA150" s="236"/>
      <c r="AD150" s="240"/>
    </row>
    <row r="151" spans="1:30">
      <c r="A151" s="291">
        <f>COUNTA($E$3:E151)</f>
        <v>149</v>
      </c>
      <c r="B151" s="291" t="s">
        <v>5122</v>
      </c>
      <c r="C151" s="291" t="s">
        <v>45</v>
      </c>
      <c r="D151" s="291" t="s">
        <v>53</v>
      </c>
      <c r="E151" s="291" t="s">
        <v>1100</v>
      </c>
      <c r="F151" s="292">
        <v>45027.656533379632</v>
      </c>
      <c r="G151" s="292"/>
      <c r="H151" s="292"/>
      <c r="I151" s="292"/>
      <c r="J151" s="292" t="s">
        <v>4</v>
      </c>
      <c r="K151" s="291"/>
      <c r="L151" s="214" t="s">
        <v>1310</v>
      </c>
      <c r="M151" s="223">
        <v>45040</v>
      </c>
      <c r="N151" s="220" t="s">
        <v>5204</v>
      </c>
      <c r="O151" s="223"/>
      <c r="P151" s="222"/>
      <c r="R151" t="s">
        <v>138</v>
      </c>
      <c r="S151">
        <v>12</v>
      </c>
      <c r="AA151" s="236"/>
      <c r="AD151" s="240"/>
    </row>
    <row r="152" spans="1:30">
      <c r="A152" s="291">
        <f>COUNTA($E$3:E152)</f>
        <v>150</v>
      </c>
      <c r="B152" s="291" t="s">
        <v>5177</v>
      </c>
      <c r="C152" s="291" t="s">
        <v>41</v>
      </c>
      <c r="D152" s="291" t="s">
        <v>38</v>
      </c>
      <c r="E152" s="291" t="s">
        <v>3392</v>
      </c>
      <c r="F152" s="292">
        <v>45034.761204444447</v>
      </c>
      <c r="G152" s="292"/>
      <c r="H152" s="292"/>
      <c r="I152" s="292"/>
      <c r="J152" s="292" t="s">
        <v>4</v>
      </c>
      <c r="K152" s="291"/>
      <c r="L152" s="214" t="s">
        <v>1311</v>
      </c>
      <c r="M152" s="223">
        <v>45040</v>
      </c>
      <c r="N152" s="220" t="s">
        <v>5195</v>
      </c>
      <c r="O152" s="223"/>
      <c r="P152" s="222"/>
      <c r="R152" t="s">
        <v>138</v>
      </c>
      <c r="S152">
        <v>5</v>
      </c>
      <c r="AA152" s="236"/>
      <c r="AD152" s="240"/>
    </row>
    <row r="153" spans="1:30">
      <c r="A153" s="291">
        <f>COUNTA($E$3:E153)</f>
        <v>151</v>
      </c>
      <c r="B153" s="291" t="s">
        <v>5124</v>
      </c>
      <c r="C153" s="291" t="s">
        <v>41</v>
      </c>
      <c r="D153" s="291" t="s">
        <v>34</v>
      </c>
      <c r="E153" s="291" t="s">
        <v>3394</v>
      </c>
      <c r="F153" s="292">
        <v>45028.768826631946</v>
      </c>
      <c r="G153" s="292"/>
      <c r="H153" s="292"/>
      <c r="I153" s="292"/>
      <c r="J153" s="292" t="s">
        <v>4</v>
      </c>
      <c r="K153" s="291" t="s">
        <v>1227</v>
      </c>
      <c r="L153" s="214" t="s">
        <v>1302</v>
      </c>
      <c r="M153" s="223">
        <v>45040</v>
      </c>
      <c r="N153" s="220" t="s">
        <v>5168</v>
      </c>
      <c r="O153" s="223"/>
      <c r="P153" s="222"/>
      <c r="R153" t="s">
        <v>138</v>
      </c>
      <c r="S153">
        <v>11</v>
      </c>
      <c r="AA153" s="236"/>
      <c r="AD153" s="240"/>
    </row>
    <row r="154" spans="1:30">
      <c r="A154" s="291">
        <f>COUNTA($E$3:E154)</f>
        <v>152</v>
      </c>
      <c r="B154" s="291" t="s">
        <v>5147</v>
      </c>
      <c r="C154" s="291" t="s">
        <v>25</v>
      </c>
      <c r="D154" s="291" t="s">
        <v>38</v>
      </c>
      <c r="E154" s="291" t="s">
        <v>1697</v>
      </c>
      <c r="F154" s="292">
        <v>45030.560689479164</v>
      </c>
      <c r="G154" s="292"/>
      <c r="H154" s="292"/>
      <c r="I154" s="292"/>
      <c r="J154" s="292" t="s">
        <v>4</v>
      </c>
      <c r="K154" s="291"/>
      <c r="L154" s="214" t="s">
        <v>1311</v>
      </c>
      <c r="M154" s="223">
        <v>45040</v>
      </c>
      <c r="N154" s="220" t="s">
        <v>5195</v>
      </c>
      <c r="O154" s="223"/>
      <c r="P154" s="222"/>
      <c r="R154" t="s">
        <v>138</v>
      </c>
      <c r="S154">
        <v>9</v>
      </c>
      <c r="AA154" s="236"/>
      <c r="AD154" s="240"/>
    </row>
    <row r="155" spans="1:30">
      <c r="A155" s="291">
        <f>COUNTA($E$3:E155)</f>
        <v>153</v>
      </c>
      <c r="B155" s="291" t="s">
        <v>5150</v>
      </c>
      <c r="C155" s="291" t="s">
        <v>45</v>
      </c>
      <c r="D155" s="291" t="s">
        <v>35</v>
      </c>
      <c r="E155" s="291" t="s">
        <v>3137</v>
      </c>
      <c r="F155" s="292">
        <v>45030.643825196756</v>
      </c>
      <c r="G155" s="292"/>
      <c r="H155" s="292"/>
      <c r="I155" s="292"/>
      <c r="J155" s="292" t="s">
        <v>4</v>
      </c>
      <c r="K155" s="291"/>
      <c r="L155" s="214" t="s">
        <v>1310</v>
      </c>
      <c r="M155" s="223">
        <v>45040</v>
      </c>
      <c r="N155" s="220" t="s">
        <v>5190</v>
      </c>
      <c r="O155" s="223"/>
      <c r="P155" s="222"/>
      <c r="R155" t="s">
        <v>138</v>
      </c>
      <c r="S155">
        <v>9</v>
      </c>
      <c r="AA155" s="236"/>
      <c r="AD155" s="240"/>
    </row>
    <row r="156" spans="1:30">
      <c r="A156" s="291">
        <f>COUNTA($E$3:E156)</f>
        <v>154</v>
      </c>
      <c r="B156" s="291" t="s">
        <v>5173</v>
      </c>
      <c r="C156" s="291" t="s">
        <v>2701</v>
      </c>
      <c r="D156" s="291" t="s">
        <v>2709</v>
      </c>
      <c r="E156" s="291" t="s">
        <v>2710</v>
      </c>
      <c r="F156" s="292">
        <v>45034.758705300927</v>
      </c>
      <c r="G156" s="292"/>
      <c r="H156" s="292"/>
      <c r="I156" s="292"/>
      <c r="J156" s="292" t="s">
        <v>4</v>
      </c>
      <c r="K156" s="291"/>
      <c r="L156" s="214" t="s">
        <v>1310</v>
      </c>
      <c r="M156" s="223">
        <v>45040</v>
      </c>
      <c r="N156" s="220" t="s">
        <v>5205</v>
      </c>
      <c r="O156" s="223"/>
      <c r="P156" s="222"/>
      <c r="R156" t="s">
        <v>138</v>
      </c>
      <c r="S156">
        <v>5</v>
      </c>
      <c r="AA156" s="236"/>
      <c r="AD156" s="240"/>
    </row>
    <row r="157" spans="1:30">
      <c r="A157" s="291">
        <f>COUNTA($E$3:E157)</f>
        <v>155</v>
      </c>
      <c r="B157" s="291" t="s">
        <v>5118</v>
      </c>
      <c r="C157" s="291" t="s">
        <v>78</v>
      </c>
      <c r="D157" s="291" t="s">
        <v>53</v>
      </c>
      <c r="E157" s="291" t="s">
        <v>5119</v>
      </c>
      <c r="F157" s="292">
        <v>45027.699392650466</v>
      </c>
      <c r="G157" s="292"/>
      <c r="H157" s="292"/>
      <c r="I157" s="292"/>
      <c r="J157" s="292" t="s">
        <v>4</v>
      </c>
      <c r="K157" s="291"/>
      <c r="L157" s="214" t="s">
        <v>1310</v>
      </c>
      <c r="M157" s="223">
        <v>45040</v>
      </c>
      <c r="N157" s="220" t="s">
        <v>5190</v>
      </c>
      <c r="O157" s="223"/>
      <c r="P157" s="222"/>
      <c r="R157" t="s">
        <v>138</v>
      </c>
      <c r="S157">
        <v>12</v>
      </c>
      <c r="AA157" s="236"/>
      <c r="AD157" s="240"/>
    </row>
    <row r="158" spans="1:30">
      <c r="A158" s="291">
        <f>COUNTA($E$3:E158)</f>
        <v>156</v>
      </c>
      <c r="B158" s="291" t="s">
        <v>5083</v>
      </c>
      <c r="C158" s="291" t="s">
        <v>41</v>
      </c>
      <c r="D158" s="291" t="s">
        <v>34</v>
      </c>
      <c r="E158" s="291" t="s">
        <v>3020</v>
      </c>
      <c r="F158" s="292">
        <v>45020.712262187502</v>
      </c>
      <c r="G158" s="292"/>
      <c r="H158" s="292"/>
      <c r="I158" s="292"/>
      <c r="J158" s="292" t="s">
        <v>3</v>
      </c>
      <c r="K158" s="291"/>
      <c r="L158" s="214" t="s">
        <v>1311</v>
      </c>
      <c r="M158" s="223">
        <v>45033</v>
      </c>
      <c r="N158" s="220" t="s">
        <v>5154</v>
      </c>
      <c r="O158" s="223">
        <v>45051</v>
      </c>
      <c r="P158" s="222"/>
      <c r="R158" t="s">
        <v>138</v>
      </c>
      <c r="S158">
        <v>12</v>
      </c>
      <c r="AA158" s="236"/>
      <c r="AD158" s="240">
        <v>45051</v>
      </c>
    </row>
    <row r="159" spans="1:30">
      <c r="A159" s="291">
        <f>COUNTA($E$3:E159)</f>
        <v>157</v>
      </c>
      <c r="B159" s="291" t="s">
        <v>4976</v>
      </c>
      <c r="C159" s="291" t="s">
        <v>25</v>
      </c>
      <c r="D159" s="291" t="s">
        <v>38</v>
      </c>
      <c r="E159" s="291" t="s">
        <v>4977</v>
      </c>
      <c r="F159" s="292">
        <v>45007</v>
      </c>
      <c r="G159" s="292">
        <v>45021</v>
      </c>
      <c r="H159" s="292"/>
      <c r="I159" s="292"/>
      <c r="J159" s="292" t="s">
        <v>3</v>
      </c>
      <c r="K159" s="291"/>
      <c r="L159" s="214" t="s">
        <v>1302</v>
      </c>
      <c r="M159" s="223">
        <v>45033</v>
      </c>
      <c r="N159" s="220" t="s">
        <v>2837</v>
      </c>
      <c r="O159" s="223"/>
      <c r="P159" s="222"/>
      <c r="R159" t="s">
        <v>138</v>
      </c>
      <c r="S159">
        <v>26</v>
      </c>
      <c r="AA159" s="236"/>
      <c r="AD159" s="240"/>
    </row>
    <row r="160" spans="1:30">
      <c r="A160" s="291">
        <f>COUNTA($E$3:E160)</f>
        <v>158</v>
      </c>
      <c r="B160" s="291" t="s">
        <v>4888</v>
      </c>
      <c r="C160" s="291" t="s">
        <v>45</v>
      </c>
      <c r="D160" s="291" t="s">
        <v>60</v>
      </c>
      <c r="E160" s="291" t="s">
        <v>1253</v>
      </c>
      <c r="F160" s="292">
        <v>44774</v>
      </c>
      <c r="G160" s="292">
        <v>45005</v>
      </c>
      <c r="H160" s="292"/>
      <c r="I160" s="292" t="s">
        <v>70</v>
      </c>
      <c r="J160" s="292" t="s">
        <v>3</v>
      </c>
      <c r="K160" s="291" t="s">
        <v>4889</v>
      </c>
      <c r="L160" s="214" t="s">
        <v>28</v>
      </c>
      <c r="M160" s="223">
        <v>45033</v>
      </c>
      <c r="N160" s="220" t="s">
        <v>5153</v>
      </c>
      <c r="O160" s="223"/>
      <c r="P160" s="222" t="s">
        <v>1074</v>
      </c>
      <c r="R160" t="s">
        <v>26</v>
      </c>
      <c r="S160">
        <v>259</v>
      </c>
      <c r="AA160" s="236"/>
      <c r="AD160" s="240"/>
    </row>
    <row r="161" spans="1:30">
      <c r="A161" s="291">
        <f>COUNTA($E$3:E161)</f>
        <v>159</v>
      </c>
      <c r="B161" s="291" t="s">
        <v>5115</v>
      </c>
      <c r="C161" s="291" t="s">
        <v>41</v>
      </c>
      <c r="D161" s="291" t="s">
        <v>38</v>
      </c>
      <c r="E161" s="291" t="s">
        <v>4604</v>
      </c>
      <c r="F161" s="292">
        <v>45027.818645833337</v>
      </c>
      <c r="G161" s="292"/>
      <c r="H161" s="292"/>
      <c r="I161" s="292"/>
      <c r="J161" s="292" t="s">
        <v>4</v>
      </c>
      <c r="K161" s="291" t="s">
        <v>1264</v>
      </c>
      <c r="L161" s="214" t="s">
        <v>1302</v>
      </c>
      <c r="M161" s="223">
        <v>45033</v>
      </c>
      <c r="N161" s="220" t="s">
        <v>5154</v>
      </c>
      <c r="O161" s="223"/>
      <c r="P161" s="222"/>
      <c r="R161" t="s">
        <v>138</v>
      </c>
      <c r="S161">
        <v>5</v>
      </c>
      <c r="AA161" s="236"/>
      <c r="AD161" s="240"/>
    </row>
    <row r="162" spans="1:30">
      <c r="A162" s="291">
        <f>COUNTA($E$3:E162)</f>
        <v>160</v>
      </c>
      <c r="B162" s="291" t="s">
        <v>5093</v>
      </c>
      <c r="C162" s="291" t="s">
        <v>45</v>
      </c>
      <c r="D162" s="291" t="s">
        <v>36</v>
      </c>
      <c r="E162" s="291" t="s">
        <v>1171</v>
      </c>
      <c r="F162" s="292">
        <v>45021.452931932872</v>
      </c>
      <c r="G162" s="292"/>
      <c r="H162" s="292"/>
      <c r="I162" s="292"/>
      <c r="J162" s="292" t="s">
        <v>4</v>
      </c>
      <c r="K162" s="291"/>
      <c r="L162" s="214" t="s">
        <v>2058</v>
      </c>
      <c r="M162" s="223">
        <v>45033</v>
      </c>
      <c r="N162" s="220" t="s">
        <v>5128</v>
      </c>
      <c r="O162" s="223">
        <v>45051</v>
      </c>
      <c r="P162" s="222"/>
      <c r="R162" t="s">
        <v>26</v>
      </c>
      <c r="S162">
        <v>12</v>
      </c>
      <c r="AA162" s="236"/>
      <c r="AD162" s="240">
        <v>45051</v>
      </c>
    </row>
    <row r="163" spans="1:30">
      <c r="A163" s="291">
        <f>COUNTA($E$3:E163)</f>
        <v>161</v>
      </c>
      <c r="B163" s="291" t="s">
        <v>5090</v>
      </c>
      <c r="C163" s="291" t="s">
        <v>45</v>
      </c>
      <c r="D163" s="291" t="s">
        <v>20</v>
      </c>
      <c r="E163" s="291" t="s">
        <v>3476</v>
      </c>
      <c r="F163" s="292">
        <v>45021.451466874998</v>
      </c>
      <c r="G163" s="292"/>
      <c r="H163" s="292"/>
      <c r="I163" s="292"/>
      <c r="J163" s="292" t="s">
        <v>4</v>
      </c>
      <c r="K163" s="291"/>
      <c r="L163" s="214" t="s">
        <v>2058</v>
      </c>
      <c r="M163" s="223">
        <v>45033</v>
      </c>
      <c r="N163" s="220" t="s">
        <v>5128</v>
      </c>
      <c r="O163" s="223">
        <v>45083</v>
      </c>
      <c r="P163" s="222" t="e">
        <v>#N/A</v>
      </c>
      <c r="R163" t="s">
        <v>26</v>
      </c>
      <c r="S163">
        <v>12</v>
      </c>
      <c r="AA163" s="236"/>
      <c r="AD163" s="240">
        <v>45083</v>
      </c>
    </row>
    <row r="164" spans="1:30">
      <c r="A164" s="291">
        <f>COUNTA($E$3:E164)</f>
        <v>162</v>
      </c>
      <c r="B164" s="291" t="s">
        <v>5071</v>
      </c>
      <c r="C164" s="291" t="s">
        <v>45</v>
      </c>
      <c r="D164" s="291" t="s">
        <v>38</v>
      </c>
      <c r="E164" s="291" t="s">
        <v>1057</v>
      </c>
      <c r="F164" s="292">
        <v>45022</v>
      </c>
      <c r="G164" s="292">
        <v>45023</v>
      </c>
      <c r="H164" s="292"/>
      <c r="I164" s="292" t="s">
        <v>70</v>
      </c>
      <c r="J164" s="292" t="s">
        <v>4</v>
      </c>
      <c r="K164" s="291" t="s">
        <v>5072</v>
      </c>
      <c r="L164" s="214" t="s">
        <v>22</v>
      </c>
      <c r="M164" s="223">
        <v>45033</v>
      </c>
      <c r="N164" s="220"/>
      <c r="O164" s="223">
        <v>45083</v>
      </c>
      <c r="P164" s="222" t="e">
        <v>#N/A</v>
      </c>
      <c r="R164" t="s">
        <v>26</v>
      </c>
      <c r="S164">
        <v>11</v>
      </c>
      <c r="AA164" s="236"/>
      <c r="AD164" s="240">
        <v>45083</v>
      </c>
    </row>
    <row r="165" spans="1:30">
      <c r="A165" s="291">
        <f>COUNTA($E$3:E165)</f>
        <v>163</v>
      </c>
      <c r="B165" s="291" t="s">
        <v>5082</v>
      </c>
      <c r="C165" s="291" t="s">
        <v>41</v>
      </c>
      <c r="D165" s="291" t="s">
        <v>38</v>
      </c>
      <c r="E165" s="291" t="s">
        <v>3399</v>
      </c>
      <c r="F165" s="292">
        <v>45020.71172644676</v>
      </c>
      <c r="G165" s="292"/>
      <c r="H165" s="292"/>
      <c r="I165" s="292"/>
      <c r="J165" s="292" t="s">
        <v>4</v>
      </c>
      <c r="K165" s="291"/>
      <c r="L165" s="214" t="s">
        <v>1311</v>
      </c>
      <c r="M165" s="223">
        <v>45033</v>
      </c>
      <c r="N165" s="220" t="s">
        <v>5154</v>
      </c>
      <c r="O165" s="223"/>
      <c r="P165" s="222"/>
      <c r="R165" t="s">
        <v>138</v>
      </c>
      <c r="S165">
        <v>12</v>
      </c>
      <c r="AA165" s="236"/>
      <c r="AD165" s="240"/>
    </row>
    <row r="166" spans="1:30">
      <c r="A166" s="291">
        <f>COUNTA($E$3:E166)</f>
        <v>164</v>
      </c>
      <c r="B166" s="291" t="s">
        <v>5081</v>
      </c>
      <c r="C166" s="291" t="s">
        <v>41</v>
      </c>
      <c r="D166" s="291" t="s">
        <v>34</v>
      </c>
      <c r="E166" s="291" t="s">
        <v>1199</v>
      </c>
      <c r="F166" s="292">
        <v>45020.710970069442</v>
      </c>
      <c r="G166" s="292"/>
      <c r="H166" s="292"/>
      <c r="I166" s="292"/>
      <c r="J166" s="292" t="s">
        <v>4</v>
      </c>
      <c r="K166" s="291"/>
      <c r="L166" s="214" t="s">
        <v>1302</v>
      </c>
      <c r="M166" s="223">
        <v>45033</v>
      </c>
      <c r="N166" s="220" t="s">
        <v>2837</v>
      </c>
      <c r="O166" s="223"/>
      <c r="P166" s="222"/>
      <c r="R166" t="s">
        <v>138</v>
      </c>
      <c r="S166">
        <v>12</v>
      </c>
      <c r="AA166" s="236"/>
      <c r="AD166" s="240"/>
    </row>
    <row r="167" spans="1:30">
      <c r="A167" s="291">
        <f>COUNTA($E$3:E167)</f>
        <v>165</v>
      </c>
      <c r="B167" s="291" t="s">
        <v>5027</v>
      </c>
      <c r="C167" s="291" t="s">
        <v>25</v>
      </c>
      <c r="D167" s="291" t="s">
        <v>38</v>
      </c>
      <c r="E167" s="291" t="s">
        <v>1800</v>
      </c>
      <c r="F167" s="292">
        <v>45015</v>
      </c>
      <c r="G167" s="292"/>
      <c r="H167" s="292"/>
      <c r="I167" s="292" t="s">
        <v>59</v>
      </c>
      <c r="J167" s="292" t="s">
        <v>4</v>
      </c>
      <c r="K167" s="291" t="s">
        <v>5028</v>
      </c>
      <c r="L167" s="214" t="s">
        <v>1132</v>
      </c>
      <c r="M167" s="223">
        <v>45033</v>
      </c>
      <c r="N167" s="220" t="s">
        <v>5064</v>
      </c>
      <c r="O167" s="223"/>
      <c r="P167" s="222"/>
      <c r="R167" t="s">
        <v>138</v>
      </c>
      <c r="S167">
        <v>18</v>
      </c>
      <c r="AA167" s="236"/>
      <c r="AD167" s="240"/>
    </row>
    <row r="168" spans="1:30">
      <c r="A168" s="291">
        <f>COUNTA($E$3:E168)</f>
        <v>166</v>
      </c>
      <c r="B168" s="291" t="s">
        <v>4746</v>
      </c>
      <c r="C168" s="291" t="s">
        <v>48</v>
      </c>
      <c r="D168" s="291" t="s">
        <v>49</v>
      </c>
      <c r="E168" s="291" t="s">
        <v>182</v>
      </c>
      <c r="F168" s="292">
        <v>44959</v>
      </c>
      <c r="G168" s="292">
        <v>44977</v>
      </c>
      <c r="H168" s="292"/>
      <c r="I168" s="292" t="s">
        <v>70</v>
      </c>
      <c r="J168" s="292" t="s">
        <v>5</v>
      </c>
      <c r="K168" s="291" t="s">
        <v>1654</v>
      </c>
      <c r="L168" s="214" t="s">
        <v>1302</v>
      </c>
      <c r="M168" s="223">
        <v>45033</v>
      </c>
      <c r="N168" s="220" t="s">
        <v>5152</v>
      </c>
      <c r="O168" s="223"/>
      <c r="P168" s="222"/>
      <c r="R168" t="s">
        <v>138</v>
      </c>
      <c r="S168">
        <v>74</v>
      </c>
      <c r="AA168" s="236"/>
      <c r="AD168" s="240"/>
    </row>
    <row r="169" spans="1:30">
      <c r="A169" s="291">
        <f>COUNTA($E$3:E169)</f>
        <v>167</v>
      </c>
      <c r="B169" s="291" t="s">
        <v>4744</v>
      </c>
      <c r="C169" s="291" t="s">
        <v>48</v>
      </c>
      <c r="D169" s="291" t="s">
        <v>49</v>
      </c>
      <c r="E169" s="291" t="s">
        <v>187</v>
      </c>
      <c r="F169" s="292">
        <v>44959</v>
      </c>
      <c r="G169" s="292">
        <v>44977</v>
      </c>
      <c r="H169" s="292"/>
      <c r="I169" s="292" t="s">
        <v>70</v>
      </c>
      <c r="J169" s="292" t="s">
        <v>5</v>
      </c>
      <c r="K169" s="291" t="s">
        <v>1654</v>
      </c>
      <c r="L169" s="214" t="s">
        <v>1302</v>
      </c>
      <c r="M169" s="223">
        <v>45033</v>
      </c>
      <c r="N169" s="220" t="s">
        <v>5152</v>
      </c>
      <c r="O169" s="223"/>
      <c r="P169" s="222"/>
      <c r="R169" t="s">
        <v>138</v>
      </c>
      <c r="S169">
        <v>74</v>
      </c>
      <c r="AA169" s="236"/>
      <c r="AD169" s="240"/>
    </row>
    <row r="170" spans="1:30">
      <c r="A170" s="291">
        <f>COUNTA($E$3:E170)</f>
        <v>168</v>
      </c>
      <c r="B170" s="291" t="s">
        <v>4686</v>
      </c>
      <c r="C170" s="291" t="s">
        <v>45</v>
      </c>
      <c r="D170" s="291" t="s">
        <v>1110</v>
      </c>
      <c r="E170" s="291" t="s">
        <v>4687</v>
      </c>
      <c r="F170" s="292">
        <v>44936</v>
      </c>
      <c r="G170" s="292">
        <v>44942</v>
      </c>
      <c r="H170" s="292"/>
      <c r="I170" s="292" t="s">
        <v>70</v>
      </c>
      <c r="J170" s="292" t="s">
        <v>5</v>
      </c>
      <c r="K170" s="291" t="s">
        <v>3938</v>
      </c>
      <c r="L170" s="214" t="s">
        <v>1302</v>
      </c>
      <c r="M170" s="223">
        <v>45033</v>
      </c>
      <c r="N170" s="220" t="s">
        <v>5151</v>
      </c>
      <c r="O170" s="223"/>
      <c r="P170" s="222"/>
      <c r="R170" t="s">
        <v>138</v>
      </c>
      <c r="S170">
        <v>97</v>
      </c>
      <c r="AA170" s="236"/>
      <c r="AD170" s="233"/>
    </row>
    <row r="171" spans="1:30">
      <c r="A171" s="291">
        <f>COUNTA($E$3:E171)</f>
        <v>169</v>
      </c>
      <c r="B171" s="291" t="s">
        <v>5032</v>
      </c>
      <c r="C171" s="291" t="s">
        <v>25</v>
      </c>
      <c r="D171" s="291" t="s">
        <v>34</v>
      </c>
      <c r="E171" s="291" t="s">
        <v>5033</v>
      </c>
      <c r="F171" s="292">
        <v>45015</v>
      </c>
      <c r="G171" s="292"/>
      <c r="H171" s="292"/>
      <c r="I171" s="292"/>
      <c r="J171" s="292"/>
      <c r="K171" s="291"/>
      <c r="L171" s="214" t="s">
        <v>57</v>
      </c>
      <c r="M171" s="223">
        <v>45026</v>
      </c>
      <c r="N171" s="220"/>
      <c r="O171" s="223"/>
      <c r="P171" s="222"/>
      <c r="R171" t="s">
        <v>138</v>
      </c>
      <c r="S171">
        <v>11</v>
      </c>
      <c r="AA171" s="236"/>
      <c r="AD171" s="233"/>
    </row>
    <row r="172" spans="1:30">
      <c r="A172" s="291">
        <f>COUNTA($E$3:E172)</f>
        <v>170</v>
      </c>
      <c r="B172" s="291" t="s">
        <v>4999</v>
      </c>
      <c r="C172" s="291" t="s">
        <v>4356</v>
      </c>
      <c r="D172" s="291" t="s">
        <v>42</v>
      </c>
      <c r="E172" s="291" t="s">
        <v>4367</v>
      </c>
      <c r="F172" s="292">
        <v>45016.581076388888</v>
      </c>
      <c r="G172" s="292"/>
      <c r="H172" s="292"/>
      <c r="I172" s="292"/>
      <c r="J172" s="292" t="s">
        <v>3</v>
      </c>
      <c r="K172" s="291" t="s">
        <v>5000</v>
      </c>
      <c r="L172" s="214" t="s">
        <v>1302</v>
      </c>
      <c r="M172" s="223">
        <v>45026</v>
      </c>
      <c r="N172" s="220" t="s">
        <v>5110</v>
      </c>
      <c r="O172" s="223"/>
      <c r="P172" s="222"/>
      <c r="R172" t="s">
        <v>138</v>
      </c>
      <c r="S172">
        <v>147</v>
      </c>
      <c r="AA172" s="236"/>
      <c r="AD172" s="233"/>
    </row>
    <row r="173" spans="1:30">
      <c r="A173" s="291">
        <f>COUNTA($E$3:E173)</f>
        <v>171</v>
      </c>
      <c r="B173" s="291" t="s">
        <v>4757</v>
      </c>
      <c r="C173" s="291" t="s">
        <v>1767</v>
      </c>
      <c r="D173" s="291" t="s">
        <v>1157</v>
      </c>
      <c r="E173" s="291" t="s">
        <v>4440</v>
      </c>
      <c r="F173" s="292">
        <v>44964</v>
      </c>
      <c r="G173" s="292"/>
      <c r="H173" s="292"/>
      <c r="I173" s="292"/>
      <c r="J173" s="292" t="s">
        <v>3</v>
      </c>
      <c r="K173" s="291" t="s">
        <v>369</v>
      </c>
      <c r="L173" s="214" t="s">
        <v>1310</v>
      </c>
      <c r="M173" s="223">
        <v>45026</v>
      </c>
      <c r="N173" s="220" t="s">
        <v>5106</v>
      </c>
      <c r="O173" s="223"/>
      <c r="P173" s="222"/>
      <c r="R173" t="s">
        <v>138</v>
      </c>
      <c r="S173">
        <v>62</v>
      </c>
      <c r="AA173" s="236"/>
      <c r="AD173" s="233"/>
    </row>
    <row r="174" spans="1:30">
      <c r="A174" s="291">
        <f>COUNTA($E$3:E174)</f>
        <v>172</v>
      </c>
      <c r="B174" s="291" t="s">
        <v>5065</v>
      </c>
      <c r="C174" s="291" t="s">
        <v>2016</v>
      </c>
      <c r="D174" s="291" t="s">
        <v>20</v>
      </c>
      <c r="E174" s="291" t="s">
        <v>5066</v>
      </c>
      <c r="F174" s="292">
        <v>45021.550636574073</v>
      </c>
      <c r="G174" s="292"/>
      <c r="H174" s="292"/>
      <c r="I174" s="292"/>
      <c r="J174" s="292" t="s">
        <v>4</v>
      </c>
      <c r="K174" s="291" t="s">
        <v>5067</v>
      </c>
      <c r="L174" s="214"/>
      <c r="M174" s="223">
        <v>45026</v>
      </c>
      <c r="N174" s="220" t="s">
        <v>5111</v>
      </c>
      <c r="O174" s="223"/>
      <c r="P174" s="222"/>
      <c r="R174" t="s">
        <v>138</v>
      </c>
      <c r="S174">
        <v>4</v>
      </c>
      <c r="AA174" s="236"/>
      <c r="AD174" s="233"/>
    </row>
    <row r="175" spans="1:30">
      <c r="A175" s="291">
        <f>COUNTA($E$3:E175)</f>
        <v>173</v>
      </c>
      <c r="B175" s="291" t="s">
        <v>5029</v>
      </c>
      <c r="C175" s="291" t="s">
        <v>45</v>
      </c>
      <c r="D175" s="291" t="s">
        <v>67</v>
      </c>
      <c r="E175" s="291" t="s">
        <v>5030</v>
      </c>
      <c r="F175" s="292">
        <v>45015.455003020834</v>
      </c>
      <c r="G175" s="292"/>
      <c r="H175" s="292"/>
      <c r="I175" s="292"/>
      <c r="J175" s="292" t="s">
        <v>4</v>
      </c>
      <c r="K175" s="291"/>
      <c r="L175" s="214" t="s">
        <v>1311</v>
      </c>
      <c r="M175" s="223">
        <v>45026</v>
      </c>
      <c r="N175" s="220" t="s">
        <v>5097</v>
      </c>
      <c r="O175" s="223"/>
      <c r="P175" s="223"/>
      <c r="R175" t="s">
        <v>138</v>
      </c>
      <c r="S175">
        <v>11</v>
      </c>
      <c r="AA175" s="236"/>
      <c r="AD175" s="233"/>
    </row>
    <row r="176" spans="1:30">
      <c r="A176" s="291">
        <f>COUNTA($E$3:E176)</f>
        <v>174</v>
      </c>
      <c r="B176" s="291" t="s">
        <v>5003</v>
      </c>
      <c r="C176" s="291" t="s">
        <v>69</v>
      </c>
      <c r="D176" s="291" t="s">
        <v>1092</v>
      </c>
      <c r="E176" s="291" t="s">
        <v>5004</v>
      </c>
      <c r="F176" s="292">
        <v>45012</v>
      </c>
      <c r="G176" s="292"/>
      <c r="H176" s="292"/>
      <c r="I176" s="292">
        <v>45019</v>
      </c>
      <c r="J176" s="292" t="s">
        <v>4</v>
      </c>
      <c r="K176" s="291" t="s">
        <v>526</v>
      </c>
      <c r="L176" s="214" t="s">
        <v>24</v>
      </c>
      <c r="M176" s="223">
        <v>45026</v>
      </c>
      <c r="N176" s="220"/>
      <c r="O176" s="223">
        <v>45028</v>
      </c>
      <c r="P176" s="222"/>
      <c r="R176" t="s">
        <v>26</v>
      </c>
      <c r="S176">
        <v>14</v>
      </c>
      <c r="AA176" s="236"/>
      <c r="AD176" s="233">
        <v>45028</v>
      </c>
    </row>
    <row r="177" spans="1:30">
      <c r="A177" s="291">
        <f>COUNTA($E$3:E177)</f>
        <v>175</v>
      </c>
      <c r="B177" s="291" t="s">
        <v>5001</v>
      </c>
      <c r="C177" s="291" t="s">
        <v>45</v>
      </c>
      <c r="D177" s="291" t="s">
        <v>1092</v>
      </c>
      <c r="E177" s="291" t="s">
        <v>3449</v>
      </c>
      <c r="F177" s="292">
        <v>45012.44767361111</v>
      </c>
      <c r="G177" s="292"/>
      <c r="H177" s="292"/>
      <c r="I177" s="292"/>
      <c r="J177" s="292" t="s">
        <v>4</v>
      </c>
      <c r="K177" s="291" t="s">
        <v>5002</v>
      </c>
      <c r="L177" s="214" t="s">
        <v>1309</v>
      </c>
      <c r="M177" s="223">
        <v>45026</v>
      </c>
      <c r="N177" s="220" t="s">
        <v>5108</v>
      </c>
      <c r="O177" s="223"/>
      <c r="P177" s="222" t="s">
        <v>1074</v>
      </c>
      <c r="R177" t="s">
        <v>26</v>
      </c>
      <c r="S177">
        <v>14</v>
      </c>
      <c r="AA177" s="236"/>
      <c r="AD177" s="233"/>
    </row>
    <row r="178" spans="1:30">
      <c r="A178" s="291">
        <f>COUNTA($E$3:E178)</f>
        <v>176</v>
      </c>
      <c r="B178" s="291" t="s">
        <v>5022</v>
      </c>
      <c r="C178" s="291" t="s">
        <v>41</v>
      </c>
      <c r="D178" s="291" t="s">
        <v>34</v>
      </c>
      <c r="E178" s="291" t="s">
        <v>5023</v>
      </c>
      <c r="F178" s="292">
        <v>45009</v>
      </c>
      <c r="G178" s="292"/>
      <c r="H178" s="292"/>
      <c r="I178" s="292"/>
      <c r="J178" s="292" t="s">
        <v>4</v>
      </c>
      <c r="K178" s="291" t="s">
        <v>5024</v>
      </c>
      <c r="L178" s="214" t="s">
        <v>1310</v>
      </c>
      <c r="M178" s="223">
        <v>45026</v>
      </c>
      <c r="N178" s="220" t="s">
        <v>5109</v>
      </c>
      <c r="O178" s="223"/>
      <c r="P178" s="222"/>
      <c r="R178" t="s">
        <v>138</v>
      </c>
      <c r="S178">
        <v>17</v>
      </c>
      <c r="AA178" s="236"/>
      <c r="AD178" s="233"/>
    </row>
    <row r="179" spans="1:30">
      <c r="A179" s="291">
        <f>COUNTA($E$3:E179)</f>
        <v>177</v>
      </c>
      <c r="B179" s="291" t="s">
        <v>4958</v>
      </c>
      <c r="C179" s="291" t="s">
        <v>45</v>
      </c>
      <c r="D179" s="291" t="s">
        <v>53</v>
      </c>
      <c r="E179" s="291" t="s">
        <v>4959</v>
      </c>
      <c r="F179" s="292">
        <v>45008</v>
      </c>
      <c r="G179" s="292">
        <v>45009</v>
      </c>
      <c r="H179" s="292"/>
      <c r="I179" s="292" t="s">
        <v>70</v>
      </c>
      <c r="J179" s="292" t="s">
        <v>4</v>
      </c>
      <c r="K179" s="291" t="s">
        <v>4960</v>
      </c>
      <c r="L179" s="214" t="s">
        <v>2058</v>
      </c>
      <c r="M179" s="223">
        <v>45026</v>
      </c>
      <c r="N179" s="220" t="s">
        <v>5096</v>
      </c>
      <c r="O179" s="223">
        <v>45051</v>
      </c>
      <c r="P179" s="222"/>
      <c r="R179" t="s">
        <v>26</v>
      </c>
      <c r="S179">
        <v>18</v>
      </c>
      <c r="AA179" s="236"/>
      <c r="AD179" s="233">
        <v>45051</v>
      </c>
    </row>
    <row r="180" spans="1:30">
      <c r="A180" s="291">
        <f>COUNTA($E$3:E180)</f>
        <v>178</v>
      </c>
      <c r="B180" s="291" t="s">
        <v>4982</v>
      </c>
      <c r="C180" s="291" t="s">
        <v>45</v>
      </c>
      <c r="D180" s="291" t="s">
        <v>20</v>
      </c>
      <c r="E180" s="291" t="s">
        <v>3991</v>
      </c>
      <c r="F180" s="292">
        <v>45006</v>
      </c>
      <c r="G180" s="292"/>
      <c r="H180" s="292"/>
      <c r="I180" s="292"/>
      <c r="J180" s="292" t="s">
        <v>4</v>
      </c>
      <c r="K180" s="291"/>
      <c r="L180" s="214"/>
      <c r="M180" s="223">
        <v>45026</v>
      </c>
      <c r="N180" s="220" t="s">
        <v>5047</v>
      </c>
      <c r="O180" s="223">
        <v>45083</v>
      </c>
      <c r="P180" s="222" t="s">
        <v>5600</v>
      </c>
      <c r="R180" t="s">
        <v>26</v>
      </c>
      <c r="S180">
        <v>20</v>
      </c>
      <c r="AA180" s="236"/>
      <c r="AD180" s="233"/>
    </row>
    <row r="181" spans="1:30">
      <c r="A181" s="291">
        <f>COUNTA($E$3:E181)</f>
        <v>179</v>
      </c>
      <c r="B181" s="291" t="s">
        <v>4952</v>
      </c>
      <c r="C181" s="291" t="s">
        <v>4667</v>
      </c>
      <c r="D181" s="291" t="s">
        <v>1136</v>
      </c>
      <c r="E181" s="291" t="s">
        <v>4953</v>
      </c>
      <c r="F181" s="292">
        <v>45007</v>
      </c>
      <c r="G181" s="292"/>
      <c r="H181" s="292">
        <v>45022</v>
      </c>
      <c r="I181" s="292">
        <v>45008</v>
      </c>
      <c r="J181" s="292" t="s">
        <v>4</v>
      </c>
      <c r="K181" s="291" t="s">
        <v>4954</v>
      </c>
      <c r="L181" s="214" t="s">
        <v>24</v>
      </c>
      <c r="M181" s="223">
        <v>45026</v>
      </c>
      <c r="N181" s="220" t="s">
        <v>5095</v>
      </c>
      <c r="O181" s="223">
        <v>45083</v>
      </c>
      <c r="P181" s="222" t="s">
        <v>5600</v>
      </c>
      <c r="R181" t="s">
        <v>26</v>
      </c>
      <c r="S181">
        <v>19</v>
      </c>
      <c r="AA181" s="236"/>
      <c r="AD181" s="233"/>
    </row>
    <row r="182" spans="1:30">
      <c r="A182" s="291">
        <f>COUNTA($E$3:E182)</f>
        <v>180</v>
      </c>
      <c r="B182" s="291" t="s">
        <v>4916</v>
      </c>
      <c r="C182" s="291" t="s">
        <v>41</v>
      </c>
      <c r="D182" s="291" t="s">
        <v>34</v>
      </c>
      <c r="E182" s="291" t="s">
        <v>4810</v>
      </c>
      <c r="F182" s="292">
        <v>45000</v>
      </c>
      <c r="G182" s="292"/>
      <c r="H182" s="292"/>
      <c r="I182" s="292"/>
      <c r="J182" s="292" t="s">
        <v>4</v>
      </c>
      <c r="K182" s="291"/>
      <c r="L182" s="214" t="s">
        <v>1310</v>
      </c>
      <c r="M182" s="223">
        <v>45026</v>
      </c>
      <c r="N182" s="220" t="s">
        <v>5094</v>
      </c>
      <c r="O182" s="223"/>
      <c r="P182" s="222"/>
      <c r="R182" t="s">
        <v>138</v>
      </c>
      <c r="S182">
        <v>26</v>
      </c>
      <c r="AA182" s="236"/>
      <c r="AD182" s="233"/>
    </row>
    <row r="183" spans="1:30">
      <c r="A183" s="291">
        <f>COUNTA($E$3:E183)</f>
        <v>181</v>
      </c>
      <c r="B183" s="291" t="s">
        <v>4912</v>
      </c>
      <c r="C183" s="291" t="s">
        <v>41</v>
      </c>
      <c r="D183" s="291" t="s">
        <v>34</v>
      </c>
      <c r="E183" s="291" t="s">
        <v>3396</v>
      </c>
      <c r="F183" s="292">
        <v>45000</v>
      </c>
      <c r="G183" s="292"/>
      <c r="H183" s="292"/>
      <c r="I183" s="292"/>
      <c r="J183" s="292" t="s">
        <v>4</v>
      </c>
      <c r="K183" s="291"/>
      <c r="L183" s="214" t="s">
        <v>1310</v>
      </c>
      <c r="M183" s="223">
        <v>45026</v>
      </c>
      <c r="N183" s="220" t="s">
        <v>5108</v>
      </c>
      <c r="O183" s="223"/>
      <c r="P183" s="222"/>
      <c r="R183" t="s">
        <v>138</v>
      </c>
      <c r="S183">
        <v>26</v>
      </c>
      <c r="AA183" s="236"/>
      <c r="AD183" s="233"/>
    </row>
    <row r="184" spans="1:30">
      <c r="A184" s="291">
        <f>COUNTA($E$3:E184)</f>
        <v>182</v>
      </c>
      <c r="B184" s="291" t="s">
        <v>4911</v>
      </c>
      <c r="C184" s="291" t="s">
        <v>41</v>
      </c>
      <c r="D184" s="291" t="s">
        <v>34</v>
      </c>
      <c r="E184" s="291" t="s">
        <v>4053</v>
      </c>
      <c r="F184" s="292">
        <v>45000</v>
      </c>
      <c r="G184" s="292"/>
      <c r="H184" s="292"/>
      <c r="I184" s="292"/>
      <c r="J184" s="292" t="s">
        <v>4</v>
      </c>
      <c r="K184" s="291"/>
      <c r="L184" s="214" t="s">
        <v>1310</v>
      </c>
      <c r="M184" s="223">
        <v>45026</v>
      </c>
      <c r="N184" s="220" t="s">
        <v>5107</v>
      </c>
      <c r="O184" s="223"/>
      <c r="P184" s="222"/>
      <c r="R184" t="s">
        <v>138</v>
      </c>
      <c r="S184">
        <v>26</v>
      </c>
      <c r="AA184" s="236"/>
      <c r="AD184" s="233"/>
    </row>
    <row r="185" spans="1:30">
      <c r="A185" s="291">
        <f>COUNTA($E$3:E185)</f>
        <v>183</v>
      </c>
      <c r="B185" s="291" t="s">
        <v>4829</v>
      </c>
      <c r="C185" s="291" t="s">
        <v>112</v>
      </c>
      <c r="D185" s="291" t="s">
        <v>34</v>
      </c>
      <c r="E185" s="291" t="s">
        <v>1301</v>
      </c>
      <c r="F185" s="292">
        <v>44980</v>
      </c>
      <c r="G185" s="292"/>
      <c r="H185" s="292"/>
      <c r="I185" s="292">
        <v>44987</v>
      </c>
      <c r="J185" s="292" t="s">
        <v>4</v>
      </c>
      <c r="K185" s="291" t="s">
        <v>1667</v>
      </c>
      <c r="L185" s="214" t="s">
        <v>110</v>
      </c>
      <c r="M185" s="223">
        <v>45026</v>
      </c>
      <c r="N185" s="220"/>
      <c r="O185" s="223">
        <v>45028</v>
      </c>
      <c r="P185" s="222"/>
      <c r="R185" t="s">
        <v>26</v>
      </c>
      <c r="S185">
        <v>46</v>
      </c>
      <c r="AA185" s="236"/>
      <c r="AD185" s="233"/>
    </row>
    <row r="186" spans="1:30">
      <c r="A186" s="291">
        <f>COUNTA($E$3:E186)</f>
        <v>184</v>
      </c>
      <c r="B186" s="291" t="s">
        <v>4871</v>
      </c>
      <c r="C186" s="291" t="s">
        <v>1131</v>
      </c>
      <c r="D186" s="291" t="s">
        <v>68</v>
      </c>
      <c r="E186" s="291" t="s">
        <v>4872</v>
      </c>
      <c r="F186" s="292">
        <v>44987</v>
      </c>
      <c r="G186" s="292"/>
      <c r="H186" s="292">
        <v>45002</v>
      </c>
      <c r="I186" s="292">
        <v>44994</v>
      </c>
      <c r="J186" s="292" t="s">
        <v>3</v>
      </c>
      <c r="K186" s="291"/>
      <c r="L186" s="214" t="s">
        <v>1310</v>
      </c>
      <c r="M186" s="223">
        <v>45020</v>
      </c>
      <c r="N186" s="220" t="s">
        <v>5039</v>
      </c>
      <c r="O186" s="223">
        <v>45020</v>
      </c>
      <c r="P186" s="222"/>
      <c r="R186" t="s">
        <v>138</v>
      </c>
      <c r="AA186" s="236"/>
      <c r="AD186" s="233">
        <v>45020</v>
      </c>
    </row>
    <row r="187" spans="1:30">
      <c r="A187" s="291">
        <f>COUNTA($E$3:E187)</f>
        <v>185</v>
      </c>
      <c r="B187" s="291" t="s">
        <v>4997</v>
      </c>
      <c r="C187" s="291" t="s">
        <v>41</v>
      </c>
      <c r="D187" s="291" t="s">
        <v>34</v>
      </c>
      <c r="E187" s="291" t="s">
        <v>3754</v>
      </c>
      <c r="F187" s="292">
        <v>45013</v>
      </c>
      <c r="G187" s="292"/>
      <c r="H187" s="292"/>
      <c r="I187" s="292"/>
      <c r="J187" s="292" t="s">
        <v>4</v>
      </c>
      <c r="K187" s="291" t="s">
        <v>1264</v>
      </c>
      <c r="L187" s="214" t="s">
        <v>1302</v>
      </c>
      <c r="M187" s="223">
        <v>45020</v>
      </c>
      <c r="N187" s="220"/>
      <c r="O187" s="223"/>
      <c r="P187" s="222" t="s">
        <v>5053</v>
      </c>
      <c r="R187" t="s">
        <v>138</v>
      </c>
      <c r="AA187" s="236"/>
      <c r="AD187" s="233"/>
    </row>
    <row r="188" spans="1:30">
      <c r="A188" s="291">
        <f>COUNTA($E$3:E188)</f>
        <v>186</v>
      </c>
      <c r="B188" s="291" t="s">
        <v>4998</v>
      </c>
      <c r="C188" s="291" t="s">
        <v>41</v>
      </c>
      <c r="D188" s="291" t="s">
        <v>38</v>
      </c>
      <c r="E188" s="291" t="s">
        <v>3312</v>
      </c>
      <c r="F188" s="292">
        <v>45009.702245370368</v>
      </c>
      <c r="G188" s="292"/>
      <c r="H188" s="292"/>
      <c r="I188" s="292"/>
      <c r="J188" s="292" t="s">
        <v>4</v>
      </c>
      <c r="K188" s="291" t="s">
        <v>1735</v>
      </c>
      <c r="L188" s="214" t="s">
        <v>1302</v>
      </c>
      <c r="M188" s="223">
        <v>45020</v>
      </c>
      <c r="N188" s="220"/>
      <c r="O188" s="223"/>
      <c r="P188" s="222" t="s">
        <v>5053</v>
      </c>
      <c r="R188" t="s">
        <v>138</v>
      </c>
      <c r="AA188" s="236"/>
      <c r="AD188" s="233"/>
    </row>
    <row r="189" spans="1:30">
      <c r="A189" s="291">
        <f>COUNTA($E$3:E189)</f>
        <v>187</v>
      </c>
      <c r="B189" s="291" t="s">
        <v>4980</v>
      </c>
      <c r="C189" s="291" t="s">
        <v>1118</v>
      </c>
      <c r="D189" s="291" t="s">
        <v>20</v>
      </c>
      <c r="E189" s="291" t="s">
        <v>2870</v>
      </c>
      <c r="F189" s="292">
        <v>45008</v>
      </c>
      <c r="G189" s="292"/>
      <c r="H189" s="292"/>
      <c r="I189" s="292"/>
      <c r="J189" s="292" t="s">
        <v>4</v>
      </c>
      <c r="K189" s="291"/>
      <c r="L189" s="214" t="s">
        <v>1192</v>
      </c>
      <c r="M189" s="223">
        <v>45020</v>
      </c>
      <c r="N189" s="220" t="s">
        <v>5054</v>
      </c>
      <c r="O189" s="223">
        <v>45021</v>
      </c>
      <c r="P189" s="222"/>
      <c r="R189" t="s">
        <v>138</v>
      </c>
      <c r="AA189" s="236"/>
      <c r="AD189" s="233">
        <v>45021</v>
      </c>
    </row>
    <row r="190" spans="1:30">
      <c r="A190" s="291">
        <f>COUNTA($E$3:E190)</f>
        <v>188</v>
      </c>
      <c r="B190" s="291" t="s">
        <v>4970</v>
      </c>
      <c r="C190" s="291" t="s">
        <v>25</v>
      </c>
      <c r="D190" s="291" t="s">
        <v>29</v>
      </c>
      <c r="E190" s="291" t="s">
        <v>4971</v>
      </c>
      <c r="F190" s="292">
        <v>45006.505124444448</v>
      </c>
      <c r="G190" s="292"/>
      <c r="H190" s="292"/>
      <c r="I190" s="292"/>
      <c r="J190" s="292" t="s">
        <v>4</v>
      </c>
      <c r="K190" s="291"/>
      <c r="L190" s="214" t="s">
        <v>1302</v>
      </c>
      <c r="M190" s="223">
        <v>45020</v>
      </c>
      <c r="N190" s="220" t="s">
        <v>5042</v>
      </c>
      <c r="O190" s="223"/>
      <c r="P190" s="222"/>
      <c r="R190" t="s">
        <v>138</v>
      </c>
      <c r="AA190" s="236"/>
      <c r="AD190" s="233"/>
    </row>
    <row r="191" spans="1:30">
      <c r="A191" s="291">
        <f>COUNTA($E$3:E191)</f>
        <v>189</v>
      </c>
      <c r="B191" s="291" t="s">
        <v>4968</v>
      </c>
      <c r="C191" s="291" t="s">
        <v>41</v>
      </c>
      <c r="D191" s="291" t="s">
        <v>34</v>
      </c>
      <c r="E191" s="291" t="s">
        <v>4969</v>
      </c>
      <c r="F191" s="292">
        <v>45006</v>
      </c>
      <c r="G191" s="292"/>
      <c r="H191" s="292"/>
      <c r="I191" s="292"/>
      <c r="J191" s="292" t="s">
        <v>4</v>
      </c>
      <c r="K191" s="291"/>
      <c r="L191" s="214" t="s">
        <v>1310</v>
      </c>
      <c r="M191" s="223">
        <v>45020</v>
      </c>
      <c r="N191" s="220" t="s">
        <v>5040</v>
      </c>
      <c r="O191" s="223">
        <v>45051</v>
      </c>
      <c r="P191" s="222"/>
      <c r="R191" t="s">
        <v>138</v>
      </c>
      <c r="AA191" s="236"/>
      <c r="AD191" s="233">
        <v>45051</v>
      </c>
    </row>
    <row r="192" spans="1:30">
      <c r="A192" s="291">
        <f>COUNTA($E$3:E192)</f>
        <v>190</v>
      </c>
      <c r="B192" s="291" t="s">
        <v>4917</v>
      </c>
      <c r="C192" s="291" t="s">
        <v>25</v>
      </c>
      <c r="D192" s="291" t="s">
        <v>34</v>
      </c>
      <c r="E192" s="291" t="s">
        <v>2591</v>
      </c>
      <c r="F192" s="292">
        <v>45001</v>
      </c>
      <c r="G192" s="292"/>
      <c r="H192" s="292"/>
      <c r="I192" s="292"/>
      <c r="J192" s="292" t="s">
        <v>4</v>
      </c>
      <c r="K192" s="291"/>
      <c r="L192" s="214" t="s">
        <v>1310</v>
      </c>
      <c r="M192" s="223">
        <v>45020</v>
      </c>
      <c r="N192" s="220" t="s">
        <v>5040</v>
      </c>
      <c r="O192" s="223">
        <v>45051</v>
      </c>
      <c r="P192" s="222"/>
      <c r="R192" t="s">
        <v>138</v>
      </c>
      <c r="AA192" s="236"/>
      <c r="AD192" s="233">
        <v>45051</v>
      </c>
    </row>
    <row r="193" spans="1:30">
      <c r="A193" s="291">
        <f>COUNTA($E$3:E193)</f>
        <v>191</v>
      </c>
      <c r="B193" s="291" t="s">
        <v>4915</v>
      </c>
      <c r="C193" s="291" t="s">
        <v>41</v>
      </c>
      <c r="D193" s="291" t="s">
        <v>34</v>
      </c>
      <c r="E193" s="291" t="s">
        <v>1242</v>
      </c>
      <c r="F193" s="292">
        <v>45000</v>
      </c>
      <c r="G193" s="292"/>
      <c r="H193" s="292"/>
      <c r="I193" s="292"/>
      <c r="J193" s="292" t="s">
        <v>4</v>
      </c>
      <c r="K193" s="291"/>
      <c r="L193" s="214" t="s">
        <v>1310</v>
      </c>
      <c r="M193" s="223">
        <v>45020</v>
      </c>
      <c r="N193" s="220" t="s">
        <v>5040</v>
      </c>
      <c r="O193" s="223"/>
      <c r="P193" s="223"/>
      <c r="R193" t="s">
        <v>138</v>
      </c>
      <c r="AA193" s="236"/>
      <c r="AD193" s="233"/>
    </row>
    <row r="194" spans="1:30">
      <c r="A194" s="291">
        <f>COUNTA($E$3:E194)</f>
        <v>192</v>
      </c>
      <c r="B194" s="291" t="s">
        <v>4913</v>
      </c>
      <c r="C194" s="291" t="s">
        <v>41</v>
      </c>
      <c r="D194" s="291" t="s">
        <v>34</v>
      </c>
      <c r="E194" s="291" t="s">
        <v>4914</v>
      </c>
      <c r="F194" s="292">
        <v>45000</v>
      </c>
      <c r="G194" s="292"/>
      <c r="H194" s="292"/>
      <c r="I194" s="292"/>
      <c r="J194" s="292" t="s">
        <v>4</v>
      </c>
      <c r="K194" s="291"/>
      <c r="L194" s="214" t="s">
        <v>1310</v>
      </c>
      <c r="M194" s="223">
        <v>45020</v>
      </c>
      <c r="N194" s="220" t="s">
        <v>5041</v>
      </c>
      <c r="O194" s="223"/>
      <c r="P194" s="223"/>
      <c r="R194" t="s">
        <v>138</v>
      </c>
      <c r="AA194" s="236"/>
      <c r="AD194" s="233"/>
    </row>
    <row r="195" spans="1:30">
      <c r="A195" s="291">
        <f>COUNTA($E$3:E195)</f>
        <v>193</v>
      </c>
      <c r="B195" s="291" t="s">
        <v>4910</v>
      </c>
      <c r="C195" s="291" t="s">
        <v>41</v>
      </c>
      <c r="D195" s="291" t="s">
        <v>34</v>
      </c>
      <c r="E195" s="291" t="s">
        <v>3518</v>
      </c>
      <c r="F195" s="292">
        <v>45000</v>
      </c>
      <c r="G195" s="292"/>
      <c r="H195" s="292"/>
      <c r="I195" s="292"/>
      <c r="J195" s="292" t="s">
        <v>4</v>
      </c>
      <c r="K195" s="291"/>
      <c r="L195" s="214" t="s">
        <v>1310</v>
      </c>
      <c r="M195" s="223">
        <v>45020</v>
      </c>
      <c r="N195" s="220" t="s">
        <v>5040</v>
      </c>
      <c r="O195" s="223">
        <v>45051</v>
      </c>
      <c r="P195" s="222"/>
      <c r="R195" t="s">
        <v>138</v>
      </c>
      <c r="AA195" s="236"/>
      <c r="AD195" s="233">
        <v>45051</v>
      </c>
    </row>
    <row r="196" spans="1:30">
      <c r="A196" s="291">
        <f>COUNTA($E$3:E196)</f>
        <v>194</v>
      </c>
      <c r="B196" s="291" t="s">
        <v>4944</v>
      </c>
      <c r="C196" s="291" t="s">
        <v>4356</v>
      </c>
      <c r="D196" s="291" t="s">
        <v>40</v>
      </c>
      <c r="E196" s="291" t="s">
        <v>4372</v>
      </c>
      <c r="F196" s="292">
        <v>45005</v>
      </c>
      <c r="G196" s="292"/>
      <c r="H196" s="292"/>
      <c r="I196" s="292"/>
      <c r="J196" s="292" t="s">
        <v>3</v>
      </c>
      <c r="K196" s="291" t="s">
        <v>4945</v>
      </c>
      <c r="L196" s="214" t="s">
        <v>24</v>
      </c>
      <c r="M196" s="223">
        <v>45012</v>
      </c>
      <c r="N196" s="220" t="s">
        <v>4988</v>
      </c>
      <c r="O196" s="223">
        <v>45083</v>
      </c>
      <c r="P196" s="222" t="s">
        <v>5600</v>
      </c>
      <c r="R196" t="s">
        <v>26</v>
      </c>
      <c r="AA196" s="236"/>
      <c r="AD196" s="233"/>
    </row>
    <row r="197" spans="1:30">
      <c r="A197" s="291">
        <f>COUNTA($E$3:E197)</f>
        <v>195</v>
      </c>
      <c r="B197" s="291" t="s">
        <v>4946</v>
      </c>
      <c r="C197" s="291" t="s">
        <v>41</v>
      </c>
      <c r="D197" s="291" t="s">
        <v>34</v>
      </c>
      <c r="E197" s="291" t="s">
        <v>4947</v>
      </c>
      <c r="F197" s="292">
        <v>45006</v>
      </c>
      <c r="G197" s="292"/>
      <c r="H197" s="292"/>
      <c r="I197" s="292"/>
      <c r="J197" s="292" t="s">
        <v>4</v>
      </c>
      <c r="K197" s="291" t="s">
        <v>1735</v>
      </c>
      <c r="L197" s="214" t="s">
        <v>37</v>
      </c>
      <c r="M197" s="223">
        <v>45012</v>
      </c>
      <c r="N197" s="220" t="s">
        <v>4986</v>
      </c>
      <c r="O197" s="223"/>
      <c r="P197" s="222"/>
      <c r="R197" t="s">
        <v>138</v>
      </c>
      <c r="AA197" s="236"/>
      <c r="AD197" s="233"/>
    </row>
    <row r="198" spans="1:30">
      <c r="A198" s="291">
        <f>COUNTA($E$3:E198)</f>
        <v>196</v>
      </c>
      <c r="B198" s="291" t="s">
        <v>4941</v>
      </c>
      <c r="C198" s="291" t="s">
        <v>41</v>
      </c>
      <c r="D198" s="291" t="s">
        <v>38</v>
      </c>
      <c r="E198" s="291" t="s">
        <v>1661</v>
      </c>
      <c r="F198" s="292">
        <v>45006</v>
      </c>
      <c r="G198" s="292"/>
      <c r="H198" s="292"/>
      <c r="I198" s="292"/>
      <c r="J198" s="292" t="s">
        <v>4</v>
      </c>
      <c r="K198" s="291" t="s">
        <v>2179</v>
      </c>
      <c r="L198" s="214" t="s">
        <v>1310</v>
      </c>
      <c r="M198" s="223">
        <v>45012</v>
      </c>
      <c r="N198" s="220" t="s">
        <v>4987</v>
      </c>
      <c r="O198" s="223"/>
      <c r="P198" s="222"/>
      <c r="R198" t="s">
        <v>138</v>
      </c>
      <c r="AA198" s="236"/>
      <c r="AD198" s="233"/>
    </row>
    <row r="199" spans="1:30">
      <c r="A199" s="291">
        <f>COUNTA($E$3:E199)</f>
        <v>197</v>
      </c>
      <c r="B199" s="291" t="s">
        <v>4943</v>
      </c>
      <c r="C199" s="291" t="s">
        <v>41</v>
      </c>
      <c r="D199" s="291" t="s">
        <v>34</v>
      </c>
      <c r="E199" s="291" t="s">
        <v>4822</v>
      </c>
      <c r="F199" s="292">
        <v>45006</v>
      </c>
      <c r="G199" s="292"/>
      <c r="H199" s="292"/>
      <c r="I199" s="292"/>
      <c r="J199" s="292" t="s">
        <v>4</v>
      </c>
      <c r="K199" s="291" t="s">
        <v>1735</v>
      </c>
      <c r="L199" s="214" t="s">
        <v>1310</v>
      </c>
      <c r="M199" s="223">
        <v>45012</v>
      </c>
      <c r="N199" s="220" t="s">
        <v>4987</v>
      </c>
      <c r="O199" s="223"/>
      <c r="P199" s="222"/>
      <c r="R199" t="s">
        <v>138</v>
      </c>
      <c r="AA199" s="236"/>
      <c r="AD199" s="233"/>
    </row>
    <row r="200" spans="1:30">
      <c r="A200" s="291">
        <f>COUNTA($E$3:E200)</f>
        <v>198</v>
      </c>
      <c r="B200" s="291" t="s">
        <v>4942</v>
      </c>
      <c r="C200" s="291" t="s">
        <v>41</v>
      </c>
      <c r="D200" s="291" t="s">
        <v>34</v>
      </c>
      <c r="E200" s="291" t="s">
        <v>3520</v>
      </c>
      <c r="F200" s="292">
        <v>45006</v>
      </c>
      <c r="G200" s="292"/>
      <c r="H200" s="292"/>
      <c r="I200" s="292"/>
      <c r="J200" s="292" t="s">
        <v>4</v>
      </c>
      <c r="K200" s="291" t="s">
        <v>1735</v>
      </c>
      <c r="L200" s="214" t="s">
        <v>1310</v>
      </c>
      <c r="M200" s="223">
        <v>45012</v>
      </c>
      <c r="N200" s="220" t="s">
        <v>4987</v>
      </c>
      <c r="O200" s="223"/>
      <c r="P200" s="222"/>
      <c r="R200" t="s">
        <v>138</v>
      </c>
      <c r="AA200" s="236"/>
      <c r="AD200" s="233"/>
    </row>
    <row r="201" spans="1:30">
      <c r="A201" s="291">
        <f>COUNTA($E$3:E201)</f>
        <v>199</v>
      </c>
      <c r="B201" s="291" t="s">
        <v>4918</v>
      </c>
      <c r="C201" s="291" t="s">
        <v>45</v>
      </c>
      <c r="D201" s="291" t="s">
        <v>62</v>
      </c>
      <c r="E201" s="291" t="s">
        <v>1185</v>
      </c>
      <c r="F201" s="292">
        <v>45001</v>
      </c>
      <c r="G201" s="292"/>
      <c r="H201" s="292"/>
      <c r="I201" s="292"/>
      <c r="J201" s="292" t="s">
        <v>4</v>
      </c>
      <c r="K201" s="291"/>
      <c r="L201" s="214" t="s">
        <v>1310</v>
      </c>
      <c r="M201" s="223">
        <v>45012</v>
      </c>
      <c r="N201" s="220" t="s">
        <v>5056</v>
      </c>
      <c r="O201" s="223">
        <v>45012</v>
      </c>
      <c r="P201" s="222"/>
      <c r="R201" t="s">
        <v>138</v>
      </c>
      <c r="AA201" s="236"/>
      <c r="AD201" s="233">
        <v>45012</v>
      </c>
    </row>
    <row r="202" spans="1:30">
      <c r="A202" s="291">
        <f>COUNTA($E$3:E202)</f>
        <v>200</v>
      </c>
      <c r="B202" s="291" t="s">
        <v>4907</v>
      </c>
      <c r="C202" s="291" t="s">
        <v>4908</v>
      </c>
      <c r="D202" s="291" t="s">
        <v>20</v>
      </c>
      <c r="E202" s="291" t="s">
        <v>2287</v>
      </c>
      <c r="F202" s="292">
        <v>45005</v>
      </c>
      <c r="G202" s="292"/>
      <c r="H202" s="292"/>
      <c r="I202" s="292"/>
      <c r="J202" s="292" t="s">
        <v>4</v>
      </c>
      <c r="K202" s="291" t="s">
        <v>1667</v>
      </c>
      <c r="L202" s="214" t="s">
        <v>24</v>
      </c>
      <c r="M202" s="223">
        <v>45012</v>
      </c>
      <c r="N202" s="220" t="s">
        <v>4985</v>
      </c>
      <c r="O202" s="223">
        <v>45083</v>
      </c>
      <c r="P202" s="222" t="s">
        <v>5600</v>
      </c>
      <c r="R202" t="s">
        <v>26</v>
      </c>
      <c r="AA202" s="236"/>
      <c r="AD202" s="233"/>
    </row>
    <row r="203" spans="1:30">
      <c r="A203" s="291">
        <f>COUNTA($E$3:E203)</f>
        <v>201</v>
      </c>
      <c r="B203" s="291" t="s">
        <v>4894</v>
      </c>
      <c r="C203" s="291" t="s">
        <v>1294</v>
      </c>
      <c r="D203" s="291" t="s">
        <v>1115</v>
      </c>
      <c r="E203" s="291" t="s">
        <v>1296</v>
      </c>
      <c r="F203" s="292">
        <v>44999.413391203707</v>
      </c>
      <c r="G203" s="292"/>
      <c r="H203" s="292"/>
      <c r="I203" s="292"/>
      <c r="J203" s="292" t="s">
        <v>3</v>
      </c>
      <c r="K203" s="291" t="s">
        <v>4895</v>
      </c>
      <c r="L203" s="214" t="s">
        <v>1309</v>
      </c>
      <c r="M203" s="223">
        <v>45006</v>
      </c>
      <c r="N203" s="220" t="s">
        <v>4893</v>
      </c>
      <c r="O203" s="223">
        <v>45083</v>
      </c>
      <c r="P203" s="222" t="s">
        <v>5600</v>
      </c>
      <c r="R203" t="s">
        <v>26</v>
      </c>
      <c r="AA203" s="236"/>
      <c r="AD203" s="233"/>
    </row>
    <row r="204" spans="1:30">
      <c r="A204" s="291">
        <f>COUNTA($E$3:E204)</f>
        <v>202</v>
      </c>
      <c r="B204" s="291" t="s">
        <v>4896</v>
      </c>
      <c r="C204" s="291" t="s">
        <v>45</v>
      </c>
      <c r="D204" s="291" t="s">
        <v>34</v>
      </c>
      <c r="E204" s="291" t="s">
        <v>1736</v>
      </c>
      <c r="F204" s="292">
        <v>45001.678668981483</v>
      </c>
      <c r="G204" s="292"/>
      <c r="H204" s="292"/>
      <c r="I204" s="292"/>
      <c r="J204" s="292" t="s">
        <v>4</v>
      </c>
      <c r="K204" s="291" t="s">
        <v>4897</v>
      </c>
      <c r="L204" s="214" t="s">
        <v>1311</v>
      </c>
      <c r="M204" s="223">
        <v>45006</v>
      </c>
      <c r="N204" s="220"/>
      <c r="O204" s="223"/>
      <c r="P204" s="222" t="s">
        <v>5053</v>
      </c>
      <c r="R204" t="s">
        <v>138</v>
      </c>
      <c r="AA204" s="236"/>
      <c r="AD204" s="233"/>
    </row>
    <row r="205" spans="1:30">
      <c r="A205" s="291">
        <f>COUNTA($E$3:E205)</f>
        <v>203</v>
      </c>
      <c r="B205" s="291" t="s">
        <v>4898</v>
      </c>
      <c r="C205" s="291" t="s">
        <v>4899</v>
      </c>
      <c r="D205" s="291" t="s">
        <v>49</v>
      </c>
      <c r="E205" s="291" t="s">
        <v>4900</v>
      </c>
      <c r="F205" s="292">
        <v>44998.414004629631</v>
      </c>
      <c r="G205" s="292"/>
      <c r="H205" s="292"/>
      <c r="I205" s="292"/>
      <c r="J205" s="292" t="s">
        <v>5</v>
      </c>
      <c r="K205" s="291" t="s">
        <v>4901</v>
      </c>
      <c r="L205" s="214" t="s">
        <v>297</v>
      </c>
      <c r="M205" s="223">
        <v>45006</v>
      </c>
      <c r="N205" s="220" t="s">
        <v>2687</v>
      </c>
      <c r="O205" s="223">
        <v>45083</v>
      </c>
      <c r="P205" s="222" t="s">
        <v>5600</v>
      </c>
      <c r="R205" t="s">
        <v>26</v>
      </c>
      <c r="AA205" s="236"/>
      <c r="AD205" s="233"/>
    </row>
    <row r="206" spans="1:30">
      <c r="A206" s="291">
        <f>COUNTA($E$3:E206)</f>
        <v>204</v>
      </c>
      <c r="B206" s="291" t="s">
        <v>4924</v>
      </c>
      <c r="C206" s="291" t="s">
        <v>2484</v>
      </c>
      <c r="D206" s="291" t="s">
        <v>20</v>
      </c>
      <c r="E206" s="291" t="s">
        <v>2485</v>
      </c>
      <c r="F206" s="292">
        <v>44994.764502314814</v>
      </c>
      <c r="G206" s="292"/>
      <c r="H206" s="292"/>
      <c r="I206" s="292"/>
      <c r="J206" s="292" t="s">
        <v>3</v>
      </c>
      <c r="K206" s="291" t="s">
        <v>4923</v>
      </c>
      <c r="L206" s="214" t="s">
        <v>1302</v>
      </c>
      <c r="M206" s="223">
        <v>44998</v>
      </c>
      <c r="N206" s="220" t="s">
        <v>5057</v>
      </c>
      <c r="O206" s="223">
        <v>45000</v>
      </c>
      <c r="P206" s="222"/>
      <c r="R206" t="s">
        <v>138</v>
      </c>
      <c r="AA206" s="236"/>
      <c r="AD206" s="233">
        <v>45000</v>
      </c>
    </row>
    <row r="207" spans="1:30">
      <c r="A207" s="291">
        <f>COUNTA($E$3:E207)</f>
        <v>205</v>
      </c>
      <c r="B207" s="291" t="s">
        <v>4925</v>
      </c>
      <c r="C207" s="291" t="s">
        <v>45</v>
      </c>
      <c r="D207" s="291" t="s">
        <v>1216</v>
      </c>
      <c r="E207" s="291" t="s">
        <v>2322</v>
      </c>
      <c r="F207" s="292">
        <v>44994.769270833334</v>
      </c>
      <c r="G207" s="292"/>
      <c r="H207" s="292"/>
      <c r="I207" s="292"/>
      <c r="J207" s="292" t="s">
        <v>4</v>
      </c>
      <c r="K207" s="291" t="s">
        <v>1500</v>
      </c>
      <c r="L207" s="214"/>
      <c r="M207" s="223">
        <v>44998</v>
      </c>
      <c r="N207" s="220" t="s">
        <v>2437</v>
      </c>
      <c r="O207" s="223"/>
      <c r="P207" s="222"/>
      <c r="R207" t="s">
        <v>138</v>
      </c>
      <c r="AA207" s="236"/>
      <c r="AD207" s="233"/>
    </row>
    <row r="208" spans="1:30">
      <c r="A208" s="291">
        <f>COUNTA($E$3:E208)</f>
        <v>206</v>
      </c>
      <c r="B208" s="291" t="s">
        <v>4926</v>
      </c>
      <c r="C208" s="291" t="s">
        <v>45</v>
      </c>
      <c r="D208" s="291" t="s">
        <v>42</v>
      </c>
      <c r="E208" s="291" t="s">
        <v>2834</v>
      </c>
      <c r="F208" s="292">
        <v>44993.425300925926</v>
      </c>
      <c r="G208" s="292"/>
      <c r="H208" s="292"/>
      <c r="I208" s="292"/>
      <c r="J208" s="292" t="s">
        <v>4</v>
      </c>
      <c r="K208" s="291" t="s">
        <v>1105</v>
      </c>
      <c r="L208" s="214" t="s">
        <v>1309</v>
      </c>
      <c r="M208" s="223">
        <v>44998</v>
      </c>
      <c r="N208" s="220" t="s">
        <v>2687</v>
      </c>
      <c r="O208" s="223">
        <v>45002</v>
      </c>
      <c r="P208" s="222"/>
      <c r="R208" t="s">
        <v>26</v>
      </c>
      <c r="AA208" s="236"/>
      <c r="AD208" s="233"/>
    </row>
    <row r="209" spans="1:30">
      <c r="A209" s="291">
        <f>COUNTA($E$3:E209)</f>
        <v>207</v>
      </c>
      <c r="B209" s="291" t="s">
        <v>4928</v>
      </c>
      <c r="C209" s="291" t="s">
        <v>45</v>
      </c>
      <c r="D209" s="291" t="s">
        <v>20</v>
      </c>
      <c r="E209" s="291" t="s">
        <v>1165</v>
      </c>
      <c r="F209" s="292">
        <v>44993.422453703701</v>
      </c>
      <c r="G209" s="292"/>
      <c r="H209" s="292"/>
      <c r="I209" s="292"/>
      <c r="J209" s="292" t="s">
        <v>4</v>
      </c>
      <c r="K209" s="291" t="s">
        <v>4927</v>
      </c>
      <c r="L209" s="214"/>
      <c r="M209" s="223">
        <v>44998</v>
      </c>
      <c r="N209" s="220" t="s">
        <v>2437</v>
      </c>
      <c r="O209" s="223">
        <v>45083</v>
      </c>
      <c r="P209" s="222" t="s">
        <v>5600</v>
      </c>
      <c r="R209" t="s">
        <v>26</v>
      </c>
      <c r="AA209" s="236"/>
      <c r="AD209" s="233"/>
    </row>
    <row r="210" spans="1:30">
      <c r="A210" s="291">
        <f>COUNTA($E$3:E210)</f>
        <v>208</v>
      </c>
      <c r="B210" s="291" t="s">
        <v>4930</v>
      </c>
      <c r="C210" s="291" t="s">
        <v>25</v>
      </c>
      <c r="D210" s="291" t="s">
        <v>62</v>
      </c>
      <c r="E210" s="291" t="s">
        <v>1273</v>
      </c>
      <c r="F210" s="292">
        <v>44992.704502314817</v>
      </c>
      <c r="G210" s="292"/>
      <c r="H210" s="292"/>
      <c r="I210" s="292"/>
      <c r="J210" s="292" t="s">
        <v>4</v>
      </c>
      <c r="K210" s="291" t="s">
        <v>4929</v>
      </c>
      <c r="L210" s="214" t="s">
        <v>1311</v>
      </c>
      <c r="M210" s="223">
        <v>44998</v>
      </c>
      <c r="N210" s="220" t="s">
        <v>4893</v>
      </c>
      <c r="O210" s="223"/>
      <c r="P210" s="222"/>
      <c r="R210" t="s">
        <v>138</v>
      </c>
      <c r="AA210" s="236"/>
      <c r="AD210" s="233"/>
    </row>
    <row r="211" spans="1:30">
      <c r="A211" s="291">
        <f>COUNTA($E$3:E211)</f>
        <v>209</v>
      </c>
      <c r="B211" s="291" t="s">
        <v>4931</v>
      </c>
      <c r="C211" s="291" t="s">
        <v>1118</v>
      </c>
      <c r="D211" s="291" t="s">
        <v>20</v>
      </c>
      <c r="E211" s="291" t="s">
        <v>2870</v>
      </c>
      <c r="F211" s="292">
        <v>44992.696805555555</v>
      </c>
      <c r="G211" s="292"/>
      <c r="H211" s="292"/>
      <c r="I211" s="292"/>
      <c r="J211" s="292" t="s">
        <v>4</v>
      </c>
      <c r="K211" s="291" t="s">
        <v>1664</v>
      </c>
      <c r="L211" s="214" t="s">
        <v>1302</v>
      </c>
      <c r="M211" s="223">
        <v>44998</v>
      </c>
      <c r="N211" s="220" t="s">
        <v>4893</v>
      </c>
      <c r="O211" s="223">
        <v>45005</v>
      </c>
      <c r="P211" s="222"/>
      <c r="R211" t="s">
        <v>138</v>
      </c>
      <c r="AA211" s="236"/>
      <c r="AD211" s="233">
        <v>45005</v>
      </c>
    </row>
    <row r="212" spans="1:30">
      <c r="A212" s="291">
        <f>COUNTA($E$3:E212)</f>
        <v>210</v>
      </c>
      <c r="B212" s="291" t="s">
        <v>4932</v>
      </c>
      <c r="C212" s="291" t="s">
        <v>25</v>
      </c>
      <c r="D212" s="291" t="s">
        <v>38</v>
      </c>
      <c r="E212" s="291" t="s">
        <v>1697</v>
      </c>
      <c r="F212" s="292">
        <v>44987.690070879631</v>
      </c>
      <c r="G212" s="292"/>
      <c r="H212" s="292"/>
      <c r="I212" s="292"/>
      <c r="J212" s="292" t="s">
        <v>4</v>
      </c>
      <c r="K212" s="291"/>
      <c r="L212" s="214" t="s">
        <v>1311</v>
      </c>
      <c r="M212" s="223">
        <v>44998</v>
      </c>
      <c r="N212" s="220" t="s">
        <v>4893</v>
      </c>
      <c r="O212" s="223">
        <v>44998</v>
      </c>
      <c r="P212" s="222"/>
      <c r="R212" t="s">
        <v>138</v>
      </c>
      <c r="AA212" s="236"/>
      <c r="AD212" s="233">
        <v>44998</v>
      </c>
    </row>
    <row r="213" spans="1:30">
      <c r="A213" s="291">
        <f>COUNTA($E$3:E213)</f>
        <v>211</v>
      </c>
      <c r="B213" s="291" t="s">
        <v>4934</v>
      </c>
      <c r="C213" s="291" t="s">
        <v>25</v>
      </c>
      <c r="D213" s="291" t="s">
        <v>38</v>
      </c>
      <c r="E213" s="291" t="s">
        <v>4933</v>
      </c>
      <c r="F213" s="292">
        <v>44987.689588043984</v>
      </c>
      <c r="G213" s="292"/>
      <c r="H213" s="292"/>
      <c r="I213" s="292"/>
      <c r="J213" s="292" t="s">
        <v>4</v>
      </c>
      <c r="K213" s="291"/>
      <c r="L213" s="214" t="s">
        <v>1311</v>
      </c>
      <c r="M213" s="223">
        <v>44998</v>
      </c>
      <c r="N213" s="220" t="s">
        <v>4893</v>
      </c>
      <c r="O213" s="223">
        <v>44998</v>
      </c>
      <c r="P213" s="222"/>
      <c r="R213" t="s">
        <v>138</v>
      </c>
      <c r="AA213" s="236"/>
      <c r="AD213" s="233">
        <v>44998</v>
      </c>
    </row>
    <row r="214" spans="1:30">
      <c r="A214" s="291">
        <f>COUNTA($E$3:E214)</f>
        <v>212</v>
      </c>
      <c r="B214" s="291" t="s">
        <v>4520</v>
      </c>
      <c r="C214" s="291" t="s">
        <v>45</v>
      </c>
      <c r="D214" s="291" t="s">
        <v>1115</v>
      </c>
      <c r="E214" s="291" t="s">
        <v>1221</v>
      </c>
      <c r="F214" s="292">
        <v>44909</v>
      </c>
      <c r="G214" s="292">
        <v>44914</v>
      </c>
      <c r="H214" s="292"/>
      <c r="I214" s="292" t="s">
        <v>70</v>
      </c>
      <c r="J214" s="292" t="s">
        <v>4</v>
      </c>
      <c r="K214" s="291" t="s">
        <v>4935</v>
      </c>
      <c r="L214" s="214" t="s">
        <v>1309</v>
      </c>
      <c r="M214" s="223">
        <v>44998</v>
      </c>
      <c r="N214" s="220" t="s">
        <v>4936</v>
      </c>
      <c r="O214" s="223">
        <v>45083</v>
      </c>
      <c r="P214" s="222" t="s">
        <v>5600</v>
      </c>
      <c r="R214" t="s">
        <v>26</v>
      </c>
      <c r="AA214" s="236"/>
      <c r="AD214" s="233"/>
    </row>
    <row r="215" spans="1:30">
      <c r="A215" s="291">
        <f>COUNTA($E$3:E215)</f>
        <v>213</v>
      </c>
      <c r="B215" s="291" t="s">
        <v>4939</v>
      </c>
      <c r="C215" s="291" t="s">
        <v>45</v>
      </c>
      <c r="D215" s="291" t="s">
        <v>56</v>
      </c>
      <c r="E215" s="291" t="s">
        <v>4937</v>
      </c>
      <c r="F215" s="292">
        <v>44980</v>
      </c>
      <c r="G215" s="292">
        <v>45005</v>
      </c>
      <c r="H215" s="292"/>
      <c r="I215" s="292" t="s">
        <v>70</v>
      </c>
      <c r="J215" s="292" t="s">
        <v>5</v>
      </c>
      <c r="K215" s="291"/>
      <c r="L215" s="214" t="s">
        <v>22</v>
      </c>
      <c r="M215" s="223">
        <v>44998</v>
      </c>
      <c r="N215" s="220" t="s">
        <v>4938</v>
      </c>
      <c r="O215" s="223">
        <v>45083</v>
      </c>
      <c r="P215" s="222" t="s">
        <v>5600</v>
      </c>
      <c r="R215" t="s">
        <v>26</v>
      </c>
      <c r="AA215" s="236"/>
      <c r="AD215" s="233"/>
    </row>
    <row r="216" spans="1:30">
      <c r="A216" s="291">
        <f>COUNTA($E$3:E216)</f>
        <v>214</v>
      </c>
      <c r="B216" s="291" t="s">
        <v>4856</v>
      </c>
      <c r="C216" s="291" t="s">
        <v>2366</v>
      </c>
      <c r="D216" s="291" t="s">
        <v>2367</v>
      </c>
      <c r="E216" s="291" t="s">
        <v>2936</v>
      </c>
      <c r="F216" s="292">
        <v>44984</v>
      </c>
      <c r="G216" s="292"/>
      <c r="H216" s="292"/>
      <c r="I216" s="292"/>
      <c r="J216" s="292" t="s">
        <v>3</v>
      </c>
      <c r="K216" s="291" t="s">
        <v>1500</v>
      </c>
      <c r="L216" s="214" t="s">
        <v>24</v>
      </c>
      <c r="M216" s="223">
        <v>44991</v>
      </c>
      <c r="N216" s="220" t="s">
        <v>4875</v>
      </c>
      <c r="O216" s="223">
        <v>44985</v>
      </c>
      <c r="P216" s="222" t="s">
        <v>26</v>
      </c>
      <c r="R216" t="s">
        <v>26</v>
      </c>
      <c r="AA216" s="236"/>
      <c r="AD216" s="233"/>
    </row>
    <row r="217" spans="1:30">
      <c r="A217" s="291">
        <f>COUNTA($E$3:E217)</f>
        <v>215</v>
      </c>
      <c r="B217" s="291" t="s">
        <v>4852</v>
      </c>
      <c r="C217" s="291" t="s">
        <v>25</v>
      </c>
      <c r="D217" s="291" t="s">
        <v>34</v>
      </c>
      <c r="E217" s="291" t="s">
        <v>4853</v>
      </c>
      <c r="F217" s="292">
        <v>44984</v>
      </c>
      <c r="G217" s="292">
        <v>45005</v>
      </c>
      <c r="H217" s="292"/>
      <c r="I217" s="292"/>
      <c r="J217" s="292" t="s">
        <v>3</v>
      </c>
      <c r="K217" s="291" t="s">
        <v>4854</v>
      </c>
      <c r="L217" s="214" t="s">
        <v>1302</v>
      </c>
      <c r="M217" s="223">
        <v>44991</v>
      </c>
      <c r="N217" s="220"/>
      <c r="O217" s="223"/>
      <c r="P217" s="222"/>
      <c r="R217" t="s">
        <v>138</v>
      </c>
      <c r="AA217" s="236"/>
      <c r="AD217" s="233"/>
    </row>
    <row r="218" spans="1:30">
      <c r="A218" s="291">
        <f>COUNTA($E$3:E218)</f>
        <v>216</v>
      </c>
      <c r="B218" s="291" t="s">
        <v>4803</v>
      </c>
      <c r="C218" s="291" t="s">
        <v>4152</v>
      </c>
      <c r="D218" s="291" t="s">
        <v>20</v>
      </c>
      <c r="E218" s="291" t="s">
        <v>4804</v>
      </c>
      <c r="F218" s="292">
        <v>44973</v>
      </c>
      <c r="G218" s="292"/>
      <c r="H218" s="292"/>
      <c r="I218" s="292" t="s">
        <v>59</v>
      </c>
      <c r="J218" s="292" t="s">
        <v>3</v>
      </c>
      <c r="K218" s="291" t="s">
        <v>1891</v>
      </c>
      <c r="L218" s="214" t="s">
        <v>110</v>
      </c>
      <c r="M218" s="223">
        <v>44991</v>
      </c>
      <c r="N218" s="220" t="s">
        <v>4873</v>
      </c>
      <c r="O218" s="223">
        <v>45083</v>
      </c>
      <c r="P218" s="222" t="s">
        <v>5600</v>
      </c>
      <c r="R218" t="s">
        <v>26</v>
      </c>
      <c r="AA218" s="236"/>
      <c r="AD218" s="233"/>
    </row>
    <row r="219" spans="1:30">
      <c r="A219" s="291">
        <f>COUNTA($E$3:E219)</f>
        <v>217</v>
      </c>
      <c r="B219" s="291" t="s">
        <v>4677</v>
      </c>
      <c r="C219" s="291" t="s">
        <v>45</v>
      </c>
      <c r="D219" s="291" t="s">
        <v>60</v>
      </c>
      <c r="E219" s="291" t="s">
        <v>1244</v>
      </c>
      <c r="F219" s="292">
        <v>44931</v>
      </c>
      <c r="G219" s="292">
        <v>44938</v>
      </c>
      <c r="H219" s="292"/>
      <c r="I219" s="292" t="s">
        <v>70</v>
      </c>
      <c r="J219" s="292" t="s">
        <v>3</v>
      </c>
      <c r="K219" s="291" t="s">
        <v>4863</v>
      </c>
      <c r="L219" s="214" t="s">
        <v>297</v>
      </c>
      <c r="M219" s="223">
        <v>44991</v>
      </c>
      <c r="N219" s="220" t="s">
        <v>4879</v>
      </c>
      <c r="O219" s="223">
        <v>45083</v>
      </c>
      <c r="P219" s="222" t="s">
        <v>5600</v>
      </c>
      <c r="R219" t="s">
        <v>26</v>
      </c>
      <c r="AA219" s="236"/>
      <c r="AD219" s="233"/>
    </row>
    <row r="220" spans="1:30">
      <c r="A220" s="291">
        <f>COUNTA($E$3:E220)</f>
        <v>218</v>
      </c>
      <c r="B220" s="291" t="s">
        <v>4585</v>
      </c>
      <c r="C220" s="291" t="s">
        <v>1261</v>
      </c>
      <c r="D220" s="291" t="s">
        <v>35</v>
      </c>
      <c r="E220" s="291" t="s">
        <v>4586</v>
      </c>
      <c r="F220" s="292">
        <v>44917</v>
      </c>
      <c r="G220" s="292">
        <v>44918</v>
      </c>
      <c r="H220" s="292">
        <v>44942</v>
      </c>
      <c r="I220" s="292">
        <v>44932</v>
      </c>
      <c r="J220" s="292" t="s">
        <v>3</v>
      </c>
      <c r="K220" s="291" t="s">
        <v>21</v>
      </c>
      <c r="L220" s="214" t="s">
        <v>297</v>
      </c>
      <c r="M220" s="223">
        <v>44991</v>
      </c>
      <c r="N220" s="220" t="s">
        <v>4878</v>
      </c>
      <c r="O220" s="223">
        <v>44986</v>
      </c>
      <c r="P220" s="222" t="s">
        <v>26</v>
      </c>
      <c r="R220" t="s">
        <v>26</v>
      </c>
      <c r="AA220" s="236"/>
      <c r="AD220" s="233"/>
    </row>
    <row r="221" spans="1:30">
      <c r="A221" s="291">
        <f>COUNTA($E$3:E221)</f>
        <v>219</v>
      </c>
      <c r="B221" s="291" t="s">
        <v>4851</v>
      </c>
      <c r="C221" s="291" t="s">
        <v>25</v>
      </c>
      <c r="D221" s="291" t="s">
        <v>34</v>
      </c>
      <c r="E221" s="291" t="s">
        <v>2591</v>
      </c>
      <c r="F221" s="292">
        <v>44984</v>
      </c>
      <c r="G221" s="292"/>
      <c r="H221" s="292"/>
      <c r="I221" s="292"/>
      <c r="J221" s="292" t="s">
        <v>4</v>
      </c>
      <c r="K221" s="291"/>
      <c r="L221" s="214" t="s">
        <v>1114</v>
      </c>
      <c r="M221" s="223">
        <v>44991</v>
      </c>
      <c r="N221" s="220"/>
      <c r="O221" s="223">
        <v>44992</v>
      </c>
      <c r="P221" s="222"/>
      <c r="R221" t="s">
        <v>138</v>
      </c>
      <c r="AA221" s="236"/>
      <c r="AD221" s="233">
        <v>44992</v>
      </c>
    </row>
    <row r="222" spans="1:30">
      <c r="A222" s="291">
        <f>COUNTA($E$3:E222)</f>
        <v>220</v>
      </c>
      <c r="B222" s="291" t="s">
        <v>4846</v>
      </c>
      <c r="C222" s="291" t="s">
        <v>25</v>
      </c>
      <c r="D222" s="291" t="s">
        <v>34</v>
      </c>
      <c r="E222" s="291" t="s">
        <v>2812</v>
      </c>
      <c r="F222" s="292">
        <v>44984</v>
      </c>
      <c r="G222" s="292"/>
      <c r="H222" s="292"/>
      <c r="I222" s="292"/>
      <c r="J222" s="292" t="s">
        <v>4</v>
      </c>
      <c r="K222" s="291" t="s">
        <v>1227</v>
      </c>
      <c r="L222" s="214" t="s">
        <v>1302</v>
      </c>
      <c r="M222" s="223">
        <v>44991</v>
      </c>
      <c r="N222" s="220" t="s">
        <v>4874</v>
      </c>
      <c r="O222" s="223">
        <v>44987</v>
      </c>
      <c r="P222" s="222"/>
      <c r="R222" t="s">
        <v>138</v>
      </c>
      <c r="AA222" s="236"/>
      <c r="AD222" s="233">
        <v>44987</v>
      </c>
    </row>
    <row r="223" spans="1:30">
      <c r="A223" s="291">
        <f>COUNTA($E$3:E223)</f>
        <v>221</v>
      </c>
      <c r="B223" s="291" t="s">
        <v>4844</v>
      </c>
      <c r="C223" s="291" t="s">
        <v>25</v>
      </c>
      <c r="D223" s="291" t="s">
        <v>29</v>
      </c>
      <c r="E223" s="291" t="s">
        <v>310</v>
      </c>
      <c r="F223" s="292">
        <v>44984</v>
      </c>
      <c r="G223" s="292">
        <v>45005</v>
      </c>
      <c r="H223" s="292"/>
      <c r="I223" s="292">
        <v>45005</v>
      </c>
      <c r="J223" s="292" t="s">
        <v>4</v>
      </c>
      <c r="K223" s="291" t="s">
        <v>1681</v>
      </c>
      <c r="L223" s="214" t="s">
        <v>1310</v>
      </c>
      <c r="M223" s="223">
        <v>44991</v>
      </c>
      <c r="N223" s="220"/>
      <c r="O223" s="223">
        <v>44992</v>
      </c>
      <c r="P223" s="222"/>
      <c r="R223" t="s">
        <v>138</v>
      </c>
      <c r="AA223" s="236"/>
      <c r="AD223" s="233">
        <v>44992</v>
      </c>
    </row>
    <row r="224" spans="1:30">
      <c r="A224" s="291">
        <f>COUNTA($E$3:E224)</f>
        <v>222</v>
      </c>
      <c r="B224" s="291" t="s">
        <v>4823</v>
      </c>
      <c r="C224" s="291" t="s">
        <v>41</v>
      </c>
      <c r="D224" s="291" t="s">
        <v>34</v>
      </c>
      <c r="E224" s="291" t="s">
        <v>3397</v>
      </c>
      <c r="F224" s="292">
        <v>44978.567278553244</v>
      </c>
      <c r="G224" s="292"/>
      <c r="H224" s="292"/>
      <c r="I224" s="292"/>
      <c r="J224" s="292" t="s">
        <v>4</v>
      </c>
      <c r="K224" s="291" t="s">
        <v>1500</v>
      </c>
      <c r="L224" s="214" t="s">
        <v>1311</v>
      </c>
      <c r="M224" s="223">
        <v>44991</v>
      </c>
      <c r="N224" s="220" t="s">
        <v>4866</v>
      </c>
      <c r="O224" s="223">
        <v>45019</v>
      </c>
      <c r="P224" s="222"/>
      <c r="R224" t="s">
        <v>138</v>
      </c>
      <c r="AA224" s="236"/>
      <c r="AD224" s="233">
        <v>45019</v>
      </c>
    </row>
    <row r="225" spans="1:30">
      <c r="A225" s="291">
        <f>COUNTA($E$3:E225)</f>
        <v>223</v>
      </c>
      <c r="B225" s="291" t="s">
        <v>4801</v>
      </c>
      <c r="C225" s="291" t="s">
        <v>45</v>
      </c>
      <c r="D225" s="291" t="s">
        <v>1136</v>
      </c>
      <c r="E225" s="291" t="s">
        <v>1196</v>
      </c>
      <c r="F225" s="292">
        <v>44973</v>
      </c>
      <c r="G225" s="292"/>
      <c r="H225" s="292"/>
      <c r="I225" s="292" t="s">
        <v>59</v>
      </c>
      <c r="J225" s="292" t="s">
        <v>3</v>
      </c>
      <c r="K225" s="291" t="s">
        <v>4802</v>
      </c>
      <c r="L225" s="214" t="s">
        <v>1309</v>
      </c>
      <c r="M225" s="223">
        <v>44984</v>
      </c>
      <c r="N225" s="220" t="s">
        <v>4839</v>
      </c>
      <c r="O225" s="223">
        <v>45083</v>
      </c>
      <c r="P225" s="222" t="s">
        <v>5600</v>
      </c>
      <c r="R225" t="s">
        <v>26</v>
      </c>
      <c r="AA225" s="236"/>
      <c r="AD225" s="233"/>
    </row>
    <row r="226" spans="1:30">
      <c r="A226" s="291">
        <f>COUNTA($E$3:E226)</f>
        <v>224</v>
      </c>
      <c r="B226" s="291" t="s">
        <v>4722</v>
      </c>
      <c r="C226" s="291" t="s">
        <v>45</v>
      </c>
      <c r="D226" s="291" t="s">
        <v>53</v>
      </c>
      <c r="E226" s="291" t="s">
        <v>1100</v>
      </c>
      <c r="F226" s="292">
        <v>44957</v>
      </c>
      <c r="G226" s="292">
        <v>44963</v>
      </c>
      <c r="H226" s="292"/>
      <c r="I226" s="292" t="s">
        <v>70</v>
      </c>
      <c r="J226" s="292" t="s">
        <v>3</v>
      </c>
      <c r="K226" s="291" t="s">
        <v>4723</v>
      </c>
      <c r="L226" s="214" t="s">
        <v>1311</v>
      </c>
      <c r="M226" s="223">
        <v>44984</v>
      </c>
      <c r="N226" s="220"/>
      <c r="O226" s="223"/>
      <c r="P226" s="222" t="s">
        <v>5053</v>
      </c>
      <c r="R226" t="s">
        <v>138</v>
      </c>
      <c r="AA226" s="236"/>
      <c r="AD226" s="233"/>
    </row>
    <row r="227" spans="1:30">
      <c r="A227" s="291">
        <f>COUNTA($E$3:E227)</f>
        <v>225</v>
      </c>
      <c r="B227" s="291" t="s">
        <v>4692</v>
      </c>
      <c r="C227" s="291" t="s">
        <v>2371</v>
      </c>
      <c r="D227" s="291" t="s">
        <v>20</v>
      </c>
      <c r="E227" s="291" t="s">
        <v>2403</v>
      </c>
      <c r="F227" s="292">
        <v>44936</v>
      </c>
      <c r="G227" s="292"/>
      <c r="H227" s="292"/>
      <c r="I227" s="292" t="s">
        <v>59</v>
      </c>
      <c r="J227" s="292" t="s">
        <v>3</v>
      </c>
      <c r="K227" s="291"/>
      <c r="L227" s="214" t="s">
        <v>1302</v>
      </c>
      <c r="M227" s="223">
        <v>44984</v>
      </c>
      <c r="N227" s="220" t="s">
        <v>4830</v>
      </c>
      <c r="O227" s="223">
        <v>44977</v>
      </c>
      <c r="P227" s="222"/>
      <c r="R227" t="s">
        <v>138</v>
      </c>
      <c r="AA227" s="236"/>
      <c r="AD227" s="233">
        <v>44977</v>
      </c>
    </row>
    <row r="228" spans="1:30">
      <c r="A228" s="291">
        <f>COUNTA($E$3:E228)</f>
        <v>226</v>
      </c>
      <c r="B228" s="291" t="s">
        <v>4828</v>
      </c>
      <c r="C228" s="291" t="s">
        <v>45</v>
      </c>
      <c r="D228" s="291" t="s">
        <v>20</v>
      </c>
      <c r="E228" s="291" t="s">
        <v>3476</v>
      </c>
      <c r="F228" s="292">
        <v>44980.806960289352</v>
      </c>
      <c r="G228" s="292"/>
      <c r="H228" s="292"/>
      <c r="I228" s="292"/>
      <c r="J228" s="292" t="s">
        <v>4</v>
      </c>
      <c r="K228" s="291"/>
      <c r="L228" s="214" t="s">
        <v>2058</v>
      </c>
      <c r="M228" s="223">
        <v>44984</v>
      </c>
      <c r="N228" s="220" t="s">
        <v>4838</v>
      </c>
      <c r="O228" s="223">
        <v>45021</v>
      </c>
      <c r="P228" s="222" t="s">
        <v>26</v>
      </c>
      <c r="R228" t="s">
        <v>26</v>
      </c>
      <c r="AA228" s="236"/>
      <c r="AD228" s="233">
        <v>45021</v>
      </c>
    </row>
    <row r="229" spans="1:30">
      <c r="A229" s="291">
        <f>COUNTA($E$3:E229)</f>
        <v>227</v>
      </c>
      <c r="B229" s="291" t="s">
        <v>4827</v>
      </c>
      <c r="C229" s="291" t="s">
        <v>3795</v>
      </c>
      <c r="D229" s="291" t="s">
        <v>68</v>
      </c>
      <c r="E229" s="291" t="s">
        <v>4110</v>
      </c>
      <c r="F229" s="292">
        <v>44980</v>
      </c>
      <c r="G229" s="292"/>
      <c r="H229" s="292"/>
      <c r="I229" s="292"/>
      <c r="J229" s="292" t="s">
        <v>4</v>
      </c>
      <c r="K229" s="291"/>
      <c r="L229" s="214" t="s">
        <v>110</v>
      </c>
      <c r="M229" s="223">
        <v>44984</v>
      </c>
      <c r="N229" s="220" t="s">
        <v>4838</v>
      </c>
      <c r="O229" s="223">
        <v>45083</v>
      </c>
      <c r="P229" s="222" t="s">
        <v>5600</v>
      </c>
      <c r="R229" t="s">
        <v>26</v>
      </c>
      <c r="AA229" s="236"/>
      <c r="AD229" s="233"/>
    </row>
    <row r="230" spans="1:30">
      <c r="A230" s="291">
        <f>COUNTA($E$3:E230)</f>
        <v>228</v>
      </c>
      <c r="B230" s="291" t="s">
        <v>4824</v>
      </c>
      <c r="C230" s="291" t="s">
        <v>4825</v>
      </c>
      <c r="D230" s="291" t="s">
        <v>1137</v>
      </c>
      <c r="E230" s="291" t="s">
        <v>4826</v>
      </c>
      <c r="F230" s="292">
        <v>44980.757729942132</v>
      </c>
      <c r="G230" s="292"/>
      <c r="H230" s="292"/>
      <c r="I230" s="292"/>
      <c r="J230" s="292" t="s">
        <v>4</v>
      </c>
      <c r="K230" s="291"/>
      <c r="L230" s="214" t="s">
        <v>1310</v>
      </c>
      <c r="M230" s="223">
        <v>44984</v>
      </c>
      <c r="N230" s="220" t="s">
        <v>4832</v>
      </c>
      <c r="O230" s="223">
        <v>44981</v>
      </c>
      <c r="P230" s="222"/>
      <c r="R230" t="s">
        <v>138</v>
      </c>
      <c r="AA230" s="236"/>
      <c r="AD230" s="233">
        <v>44981</v>
      </c>
    </row>
    <row r="231" spans="1:30">
      <c r="A231" s="291">
        <f>COUNTA($E$3:E231)</f>
        <v>229</v>
      </c>
      <c r="B231" s="291" t="s">
        <v>4808</v>
      </c>
      <c r="C231" s="291" t="s">
        <v>41</v>
      </c>
      <c r="D231" s="291" t="s">
        <v>34</v>
      </c>
      <c r="E231" s="291" t="s">
        <v>4053</v>
      </c>
      <c r="F231" s="292">
        <v>44978.565821759257</v>
      </c>
      <c r="G231" s="292"/>
      <c r="H231" s="292"/>
      <c r="I231" s="292"/>
      <c r="J231" s="292" t="s">
        <v>4</v>
      </c>
      <c r="K231" s="291" t="s">
        <v>2179</v>
      </c>
      <c r="L231" s="214" t="s">
        <v>1311</v>
      </c>
      <c r="M231" s="223">
        <v>44984</v>
      </c>
      <c r="N231" s="220" t="s">
        <v>4832</v>
      </c>
      <c r="O231" s="223">
        <v>44985</v>
      </c>
      <c r="P231" s="222"/>
      <c r="R231" t="s">
        <v>138</v>
      </c>
      <c r="AA231" s="236"/>
      <c r="AD231" s="233">
        <v>44985</v>
      </c>
    </row>
    <row r="232" spans="1:30">
      <c r="A232" s="291">
        <f>COUNTA($E$3:E232)</f>
        <v>230</v>
      </c>
      <c r="B232" s="291" t="s">
        <v>4821</v>
      </c>
      <c r="C232" s="291" t="s">
        <v>41</v>
      </c>
      <c r="D232" s="291" t="s">
        <v>34</v>
      </c>
      <c r="E232" s="291" t="s">
        <v>4822</v>
      </c>
      <c r="F232" s="292">
        <v>44978.565375879632</v>
      </c>
      <c r="G232" s="292"/>
      <c r="H232" s="292"/>
      <c r="I232" s="292"/>
      <c r="J232" s="292" t="s">
        <v>4</v>
      </c>
      <c r="K232" s="291"/>
      <c r="L232" s="214" t="s">
        <v>1310</v>
      </c>
      <c r="M232" s="223">
        <v>44984</v>
      </c>
      <c r="N232" s="220" t="s">
        <v>4832</v>
      </c>
      <c r="O232" s="223">
        <v>44985</v>
      </c>
      <c r="P232" s="222"/>
      <c r="R232" t="s">
        <v>138</v>
      </c>
      <c r="AA232" s="236"/>
      <c r="AD232" s="233">
        <v>44985</v>
      </c>
    </row>
    <row r="233" spans="1:30">
      <c r="A233" s="291">
        <f>COUNTA($E$3:E233)</f>
        <v>231</v>
      </c>
      <c r="B233" s="291" t="s">
        <v>4807</v>
      </c>
      <c r="C233" s="291" t="s">
        <v>41</v>
      </c>
      <c r="D233" s="291" t="s">
        <v>34</v>
      </c>
      <c r="E233" s="291" t="s">
        <v>1303</v>
      </c>
      <c r="F233" s="292">
        <v>44978.564872685187</v>
      </c>
      <c r="G233" s="292"/>
      <c r="H233" s="292"/>
      <c r="I233" s="292"/>
      <c r="J233" s="292" t="s">
        <v>4</v>
      </c>
      <c r="K233" s="291" t="s">
        <v>1264</v>
      </c>
      <c r="L233" s="214" t="s">
        <v>1302</v>
      </c>
      <c r="M233" s="223">
        <v>44984</v>
      </c>
      <c r="N233" s="220" t="s">
        <v>4832</v>
      </c>
      <c r="O233" s="223">
        <v>44985</v>
      </c>
      <c r="P233" s="222"/>
      <c r="R233" t="s">
        <v>138</v>
      </c>
      <c r="AA233" s="236"/>
      <c r="AD233" s="233">
        <v>44985</v>
      </c>
    </row>
    <row r="234" spans="1:30">
      <c r="A234" s="291">
        <f>COUNTA($E$3:E234)</f>
        <v>232</v>
      </c>
      <c r="B234" s="291" t="s">
        <v>4806</v>
      </c>
      <c r="C234" s="291" t="s">
        <v>41</v>
      </c>
      <c r="D234" s="291" t="s">
        <v>34</v>
      </c>
      <c r="E234" s="291" t="s">
        <v>3518</v>
      </c>
      <c r="F234" s="292">
        <v>44978.563414351855</v>
      </c>
      <c r="G234" s="292"/>
      <c r="H234" s="292"/>
      <c r="I234" s="292"/>
      <c r="J234" s="292" t="s">
        <v>4</v>
      </c>
      <c r="K234" s="291" t="s">
        <v>2179</v>
      </c>
      <c r="L234" s="214" t="s">
        <v>1311</v>
      </c>
      <c r="M234" s="223">
        <v>44984</v>
      </c>
      <c r="N234" s="220" t="s">
        <v>4832</v>
      </c>
      <c r="O234" s="223">
        <v>44985</v>
      </c>
      <c r="P234" s="223"/>
      <c r="R234" t="s">
        <v>138</v>
      </c>
      <c r="AA234" s="236"/>
      <c r="AD234" s="233">
        <v>44985</v>
      </c>
    </row>
    <row r="235" spans="1:30">
      <c r="A235" s="291">
        <f>COUNTA($E$3:E235)</f>
        <v>233</v>
      </c>
      <c r="B235" s="291" t="s">
        <v>4820</v>
      </c>
      <c r="C235" s="291" t="s">
        <v>41</v>
      </c>
      <c r="D235" s="291" t="s">
        <v>34</v>
      </c>
      <c r="E235" s="291" t="s">
        <v>1134</v>
      </c>
      <c r="F235" s="292">
        <v>44978.562973425927</v>
      </c>
      <c r="G235" s="292"/>
      <c r="H235" s="292"/>
      <c r="I235" s="292"/>
      <c r="J235" s="292" t="s">
        <v>4</v>
      </c>
      <c r="K235" s="291"/>
      <c r="L235" s="214" t="s">
        <v>1310</v>
      </c>
      <c r="M235" s="223">
        <v>44984</v>
      </c>
      <c r="N235" s="220" t="s">
        <v>4832</v>
      </c>
      <c r="O235" s="223">
        <v>44985</v>
      </c>
      <c r="P235" s="222"/>
      <c r="R235" t="s">
        <v>138</v>
      </c>
      <c r="AA235" s="236"/>
      <c r="AD235" s="233">
        <v>44985</v>
      </c>
    </row>
    <row r="236" spans="1:30">
      <c r="A236" s="291">
        <f>COUNTA($E$3:E236)</f>
        <v>234</v>
      </c>
      <c r="B236" s="291" t="s">
        <v>4809</v>
      </c>
      <c r="C236" s="291" t="s">
        <v>41</v>
      </c>
      <c r="D236" s="291" t="s">
        <v>34</v>
      </c>
      <c r="E236" s="291" t="s">
        <v>4810</v>
      </c>
      <c r="F236" s="292">
        <v>44978.562407407408</v>
      </c>
      <c r="G236" s="292"/>
      <c r="H236" s="292"/>
      <c r="I236" s="292"/>
      <c r="J236" s="292" t="s">
        <v>4</v>
      </c>
      <c r="K236" s="291" t="s">
        <v>1500</v>
      </c>
      <c r="L236" s="214" t="s">
        <v>1302</v>
      </c>
      <c r="M236" s="223">
        <v>44984</v>
      </c>
      <c r="N236" s="220" t="s">
        <v>4841</v>
      </c>
      <c r="O236" s="223">
        <v>44985</v>
      </c>
      <c r="P236" s="223"/>
      <c r="R236" t="s">
        <v>138</v>
      </c>
      <c r="AA236" s="236"/>
      <c r="AD236" s="233">
        <v>44985</v>
      </c>
    </row>
    <row r="237" spans="1:30">
      <c r="A237" s="291">
        <f>COUNTA($E$3:E237)</f>
        <v>235</v>
      </c>
      <c r="B237" s="291" t="s">
        <v>4783</v>
      </c>
      <c r="C237" s="291" t="s">
        <v>45</v>
      </c>
      <c r="D237" s="291" t="s">
        <v>36</v>
      </c>
      <c r="E237" s="291" t="s">
        <v>3624</v>
      </c>
      <c r="F237" s="292">
        <v>44970.680092592593</v>
      </c>
      <c r="G237" s="292"/>
      <c r="H237" s="292"/>
      <c r="I237" s="292"/>
      <c r="J237" s="292" t="s">
        <v>4</v>
      </c>
      <c r="K237" s="291" t="s">
        <v>1500</v>
      </c>
      <c r="L237" s="214" t="s">
        <v>1302</v>
      </c>
      <c r="M237" s="223">
        <v>44984</v>
      </c>
      <c r="N237" s="220" t="s">
        <v>4831</v>
      </c>
      <c r="O237" s="223">
        <v>44984</v>
      </c>
      <c r="P237" s="223"/>
      <c r="R237" t="s">
        <v>138</v>
      </c>
      <c r="AA237" s="236"/>
      <c r="AD237" s="233">
        <v>44984</v>
      </c>
    </row>
    <row r="238" spans="1:30">
      <c r="A238" s="291">
        <f>COUNTA($E$3:E238)</f>
        <v>236</v>
      </c>
      <c r="B238" s="291" t="s">
        <v>4750</v>
      </c>
      <c r="C238" s="291" t="s">
        <v>41</v>
      </c>
      <c r="D238" s="291" t="s">
        <v>31</v>
      </c>
      <c r="E238" s="291" t="s">
        <v>4751</v>
      </c>
      <c r="F238" s="292">
        <v>44960</v>
      </c>
      <c r="G238" s="292">
        <v>44977</v>
      </c>
      <c r="H238" s="292"/>
      <c r="I238" s="292"/>
      <c r="J238" s="292" t="s">
        <v>5</v>
      </c>
      <c r="K238" s="291"/>
      <c r="L238" s="214" t="s">
        <v>1310</v>
      </c>
      <c r="M238" s="223">
        <v>44984</v>
      </c>
      <c r="N238" s="220" t="s">
        <v>5058</v>
      </c>
      <c r="O238" s="223">
        <v>45001</v>
      </c>
      <c r="P238" s="222"/>
      <c r="R238" t="s">
        <v>138</v>
      </c>
      <c r="AA238" s="236"/>
      <c r="AD238" s="233">
        <v>45001</v>
      </c>
    </row>
    <row r="239" spans="1:30">
      <c r="A239" s="291">
        <f>COUNTA($E$3:E239)</f>
        <v>237</v>
      </c>
      <c r="B239" s="291" t="s">
        <v>4781</v>
      </c>
      <c r="C239" s="291" t="s">
        <v>4195</v>
      </c>
      <c r="D239" s="291" t="s">
        <v>36</v>
      </c>
      <c r="E239" s="291" t="s">
        <v>4221</v>
      </c>
      <c r="F239" s="292">
        <v>44971.619085648148</v>
      </c>
      <c r="G239" s="292"/>
      <c r="H239" s="292"/>
      <c r="I239" s="292"/>
      <c r="J239" s="292" t="s">
        <v>3</v>
      </c>
      <c r="K239" s="291" t="s">
        <v>4782</v>
      </c>
      <c r="L239" s="214" t="s">
        <v>297</v>
      </c>
      <c r="M239" s="223">
        <v>44977</v>
      </c>
      <c r="N239" s="220" t="s">
        <v>4793</v>
      </c>
      <c r="O239" s="223">
        <v>45083</v>
      </c>
      <c r="P239" s="222" t="s">
        <v>5600</v>
      </c>
      <c r="R239" t="s">
        <v>26</v>
      </c>
      <c r="AA239" s="236"/>
      <c r="AD239" s="233"/>
    </row>
    <row r="240" spans="1:30">
      <c r="A240" s="291">
        <f>COUNTA($E$3:E240)</f>
        <v>238</v>
      </c>
      <c r="B240" s="291" t="s">
        <v>4768</v>
      </c>
      <c r="C240" s="291" t="s">
        <v>3795</v>
      </c>
      <c r="D240" s="291" t="s">
        <v>68</v>
      </c>
      <c r="E240" s="291" t="s">
        <v>2309</v>
      </c>
      <c r="F240" s="292">
        <v>44966</v>
      </c>
      <c r="G240" s="292"/>
      <c r="H240" s="292"/>
      <c r="I240" s="292"/>
      <c r="J240" s="292" t="s">
        <v>3</v>
      </c>
      <c r="K240" s="291" t="s">
        <v>4769</v>
      </c>
      <c r="L240" s="214" t="s">
        <v>24</v>
      </c>
      <c r="M240" s="223">
        <v>44977</v>
      </c>
      <c r="N240" s="220" t="s">
        <v>4775</v>
      </c>
      <c r="O240" s="223">
        <v>45083</v>
      </c>
      <c r="P240" s="222" t="s">
        <v>5600</v>
      </c>
      <c r="R240" t="s">
        <v>26</v>
      </c>
      <c r="AA240" s="236"/>
      <c r="AD240" s="233"/>
    </row>
    <row r="241" spans="1:30">
      <c r="A241" s="291">
        <f>COUNTA($E$3:E241)</f>
        <v>239</v>
      </c>
      <c r="B241" s="291" t="s">
        <v>4798</v>
      </c>
      <c r="C241" s="291" t="s">
        <v>45</v>
      </c>
      <c r="D241" s="291" t="s">
        <v>1095</v>
      </c>
      <c r="E241" s="291" t="s">
        <v>4445</v>
      </c>
      <c r="F241" s="292">
        <v>44973.782187500001</v>
      </c>
      <c r="G241" s="292"/>
      <c r="H241" s="292"/>
      <c r="I241" s="292"/>
      <c r="J241" s="292" t="s">
        <v>4</v>
      </c>
      <c r="K241" s="291" t="s">
        <v>4799</v>
      </c>
      <c r="L241" s="214"/>
      <c r="M241" s="223">
        <v>44977</v>
      </c>
      <c r="N241" s="220"/>
      <c r="O241" s="223">
        <v>45051</v>
      </c>
      <c r="P241" s="222" t="s">
        <v>5053</v>
      </c>
      <c r="R241" t="s">
        <v>138</v>
      </c>
      <c r="AA241" s="236"/>
      <c r="AD241" s="233">
        <v>45051</v>
      </c>
    </row>
    <row r="242" spans="1:30">
      <c r="A242" s="291">
        <f>COUNTA($E$3:E242)</f>
        <v>240</v>
      </c>
      <c r="B242" s="291" t="s">
        <v>4778</v>
      </c>
      <c r="C242" s="291" t="s">
        <v>41</v>
      </c>
      <c r="D242" s="291" t="s">
        <v>38</v>
      </c>
      <c r="E242" s="291" t="s">
        <v>4630</v>
      </c>
      <c r="F242" s="292">
        <v>44967.430194039349</v>
      </c>
      <c r="G242" s="292"/>
      <c r="H242" s="292"/>
      <c r="I242" s="292"/>
      <c r="J242" s="292" t="s">
        <v>4</v>
      </c>
      <c r="K242" s="291"/>
      <c r="L242" s="214" t="s">
        <v>1311</v>
      </c>
      <c r="M242" s="223">
        <v>44977</v>
      </c>
      <c r="N242" s="220" t="s">
        <v>4791</v>
      </c>
      <c r="O242" s="223">
        <v>44972</v>
      </c>
      <c r="P242" s="222"/>
      <c r="R242" t="s">
        <v>138</v>
      </c>
      <c r="AA242" s="236"/>
      <c r="AD242" s="233">
        <v>44972</v>
      </c>
    </row>
    <row r="243" spans="1:30">
      <c r="A243" s="291">
        <f>COUNTA($E$3:E243)</f>
        <v>241</v>
      </c>
      <c r="B243" s="291" t="s">
        <v>4776</v>
      </c>
      <c r="C243" s="291" t="s">
        <v>41</v>
      </c>
      <c r="D243" s="291" t="s">
        <v>34</v>
      </c>
      <c r="E243" s="291" t="s">
        <v>4777</v>
      </c>
      <c r="F243" s="292">
        <v>44967.42960797454</v>
      </c>
      <c r="G243" s="292"/>
      <c r="H243" s="292"/>
      <c r="I243" s="292"/>
      <c r="J243" s="292" t="s">
        <v>4</v>
      </c>
      <c r="K243" s="291"/>
      <c r="L243" s="214" t="s">
        <v>1311</v>
      </c>
      <c r="M243" s="223">
        <v>44977</v>
      </c>
      <c r="N243" s="220" t="s">
        <v>4791</v>
      </c>
      <c r="O243" s="223">
        <v>44972</v>
      </c>
      <c r="P243" s="222"/>
      <c r="R243" t="s">
        <v>138</v>
      </c>
      <c r="AA243" s="236"/>
      <c r="AD243" s="233">
        <v>44972</v>
      </c>
    </row>
    <row r="244" spans="1:30">
      <c r="A244" s="291">
        <f>COUNTA($E$3:E244)</f>
        <v>242</v>
      </c>
      <c r="B244" s="291" t="s">
        <v>4767</v>
      </c>
      <c r="C244" s="291" t="s">
        <v>3857</v>
      </c>
      <c r="D244" s="291" t="s">
        <v>111</v>
      </c>
      <c r="E244" s="291" t="s">
        <v>1281</v>
      </c>
      <c r="F244" s="292">
        <v>44965</v>
      </c>
      <c r="G244" s="292"/>
      <c r="H244" s="292"/>
      <c r="I244" s="292"/>
      <c r="J244" s="292" t="s">
        <v>4</v>
      </c>
      <c r="K244" s="291"/>
      <c r="L244" s="214" t="s">
        <v>37</v>
      </c>
      <c r="M244" s="223">
        <v>44977</v>
      </c>
      <c r="N244" s="220" t="s">
        <v>4792</v>
      </c>
      <c r="O244" s="223">
        <v>44977</v>
      </c>
      <c r="P244" s="222" t="s">
        <v>5053</v>
      </c>
      <c r="R244" t="s">
        <v>138</v>
      </c>
      <c r="AA244" s="236"/>
      <c r="AD244" s="233">
        <v>44977</v>
      </c>
    </row>
    <row r="245" spans="1:30">
      <c r="A245" s="291">
        <f>COUNTA($E$3:E245)</f>
        <v>243</v>
      </c>
      <c r="B245" s="291" t="s">
        <v>4766</v>
      </c>
      <c r="C245" s="291" t="s">
        <v>45</v>
      </c>
      <c r="D245" s="291" t="s">
        <v>53</v>
      </c>
      <c r="E245" s="291" t="s">
        <v>1155</v>
      </c>
      <c r="F245" s="292">
        <v>44972.646851562502</v>
      </c>
      <c r="G245" s="292"/>
      <c r="H245" s="292"/>
      <c r="I245" s="292"/>
      <c r="J245" s="292" t="s">
        <v>4</v>
      </c>
      <c r="K245" s="291"/>
      <c r="L245" s="214" t="s">
        <v>1311</v>
      </c>
      <c r="M245" s="223">
        <v>44977</v>
      </c>
      <c r="N245" s="220"/>
      <c r="O245" s="223"/>
      <c r="P245" s="222" t="s">
        <v>5053</v>
      </c>
      <c r="R245" t="s">
        <v>138</v>
      </c>
      <c r="AA245" s="236"/>
      <c r="AD245" s="233"/>
    </row>
    <row r="246" spans="1:30">
      <c r="A246" s="291">
        <f>COUNTA($E$3:E246)</f>
        <v>244</v>
      </c>
      <c r="B246" s="291" t="s">
        <v>4761</v>
      </c>
      <c r="C246" s="291" t="s">
        <v>3857</v>
      </c>
      <c r="D246" s="291" t="s">
        <v>23</v>
      </c>
      <c r="E246" s="291" t="s">
        <v>3725</v>
      </c>
      <c r="F246" s="292">
        <v>44965.761384722224</v>
      </c>
      <c r="G246" s="292"/>
      <c r="H246" s="292"/>
      <c r="I246" s="292"/>
      <c r="J246" s="292" t="s">
        <v>4</v>
      </c>
      <c r="K246" s="291"/>
      <c r="L246" s="214" t="s">
        <v>1310</v>
      </c>
      <c r="M246" s="223">
        <v>44977</v>
      </c>
      <c r="N246" s="220" t="s">
        <v>4791</v>
      </c>
      <c r="O246" s="223">
        <v>44973</v>
      </c>
      <c r="P246" s="222"/>
      <c r="R246" t="s">
        <v>138</v>
      </c>
      <c r="AA246" s="236"/>
      <c r="AD246" s="233">
        <v>44973</v>
      </c>
    </row>
    <row r="247" spans="1:30">
      <c r="A247" s="291">
        <f>COUNTA($E$3:E247)</f>
        <v>245</v>
      </c>
      <c r="B247" s="291" t="s">
        <v>4760</v>
      </c>
      <c r="C247" s="291" t="s">
        <v>1104</v>
      </c>
      <c r="D247" s="291" t="s">
        <v>1157</v>
      </c>
      <c r="E247" s="291" t="s">
        <v>4694</v>
      </c>
      <c r="F247" s="292">
        <v>44965.75728957176</v>
      </c>
      <c r="G247" s="292"/>
      <c r="H247" s="292"/>
      <c r="I247" s="292"/>
      <c r="J247" s="292" t="s">
        <v>4</v>
      </c>
      <c r="K247" s="291"/>
      <c r="L247" s="214" t="s">
        <v>1311</v>
      </c>
      <c r="M247" s="223">
        <v>44977</v>
      </c>
      <c r="N247" s="220" t="s">
        <v>4791</v>
      </c>
      <c r="O247" s="223">
        <v>44936</v>
      </c>
      <c r="P247" s="222"/>
      <c r="R247" t="s">
        <v>138</v>
      </c>
      <c r="AA247" s="236"/>
      <c r="AD247" s="233">
        <v>44936</v>
      </c>
    </row>
    <row r="248" spans="1:30">
      <c r="A248" s="291">
        <f>COUNTA($E$3:E248)</f>
        <v>246</v>
      </c>
      <c r="B248" s="291" t="s">
        <v>4740</v>
      </c>
      <c r="C248" s="291" t="s">
        <v>25</v>
      </c>
      <c r="D248" s="291" t="s">
        <v>1136</v>
      </c>
      <c r="E248" s="291" t="s">
        <v>4741</v>
      </c>
      <c r="F248" s="292">
        <v>44959</v>
      </c>
      <c r="G248" s="292">
        <v>44967</v>
      </c>
      <c r="H248" s="292"/>
      <c r="I248" s="292"/>
      <c r="J248" s="292" t="s">
        <v>4</v>
      </c>
      <c r="K248" s="291"/>
      <c r="L248" s="214"/>
      <c r="M248" s="223">
        <v>44977</v>
      </c>
      <c r="N248" s="220" t="s">
        <v>4805</v>
      </c>
      <c r="O248" s="223">
        <v>45021</v>
      </c>
      <c r="P248" s="222"/>
      <c r="R248" t="s">
        <v>138</v>
      </c>
      <c r="AA248" s="236"/>
      <c r="AD248" s="233">
        <v>45021</v>
      </c>
    </row>
    <row r="249" spans="1:30">
      <c r="A249" s="291">
        <f>COUNTA($E$3:E249)</f>
        <v>247</v>
      </c>
      <c r="B249" s="291" t="s">
        <v>4734</v>
      </c>
      <c r="C249" s="291" t="s">
        <v>45</v>
      </c>
      <c r="D249" s="291" t="s">
        <v>34</v>
      </c>
      <c r="E249" s="291" t="s">
        <v>4735</v>
      </c>
      <c r="F249" s="292">
        <v>44957</v>
      </c>
      <c r="G249" s="292"/>
      <c r="H249" s="292"/>
      <c r="I249" s="292" t="s">
        <v>59</v>
      </c>
      <c r="J249" s="292" t="s">
        <v>3</v>
      </c>
      <c r="K249" s="291"/>
      <c r="L249" s="214" t="s">
        <v>1302</v>
      </c>
      <c r="M249" s="223">
        <v>44970</v>
      </c>
      <c r="N249" s="220"/>
      <c r="O249" s="223"/>
      <c r="P249" s="222" t="s">
        <v>5053</v>
      </c>
      <c r="R249" t="s">
        <v>138</v>
      </c>
      <c r="AA249" s="236"/>
      <c r="AD249" s="233"/>
    </row>
    <row r="250" spans="1:30">
      <c r="A250" s="291">
        <f>COUNTA($E$3:E250)</f>
        <v>248</v>
      </c>
      <c r="B250" s="291" t="s">
        <v>4695</v>
      </c>
      <c r="C250" s="291" t="s">
        <v>1104</v>
      </c>
      <c r="D250" s="291" t="s">
        <v>1135</v>
      </c>
      <c r="E250" s="291" t="s">
        <v>4696</v>
      </c>
      <c r="F250" s="292">
        <v>44938</v>
      </c>
      <c r="G250" s="292"/>
      <c r="H250" s="292">
        <v>44963</v>
      </c>
      <c r="I250" s="292">
        <v>44942</v>
      </c>
      <c r="J250" s="292" t="s">
        <v>3</v>
      </c>
      <c r="K250" s="291"/>
      <c r="L250" s="214" t="s">
        <v>37</v>
      </c>
      <c r="M250" s="223">
        <v>44970</v>
      </c>
      <c r="N250" s="220" t="s">
        <v>4773</v>
      </c>
      <c r="O250" s="223">
        <v>44988</v>
      </c>
      <c r="P250" s="222"/>
      <c r="R250" t="s">
        <v>138</v>
      </c>
      <c r="AA250" s="236"/>
      <c r="AD250" s="233">
        <v>44988</v>
      </c>
    </row>
    <row r="251" spans="1:30">
      <c r="A251" s="291">
        <f>COUNTA($E$3:E251)</f>
        <v>249</v>
      </c>
      <c r="B251" s="291" t="s">
        <v>4676</v>
      </c>
      <c r="C251" s="291" t="s">
        <v>45</v>
      </c>
      <c r="D251" s="291" t="s">
        <v>38</v>
      </c>
      <c r="E251" s="291" t="s">
        <v>1057</v>
      </c>
      <c r="F251" s="292">
        <v>44932</v>
      </c>
      <c r="G251" s="292"/>
      <c r="H251" s="292"/>
      <c r="I251" s="292" t="s">
        <v>59</v>
      </c>
      <c r="J251" s="292" t="s">
        <v>3</v>
      </c>
      <c r="K251" s="291"/>
      <c r="L251" s="214" t="s">
        <v>110</v>
      </c>
      <c r="M251" s="223">
        <v>44970</v>
      </c>
      <c r="N251" s="220" t="s">
        <v>4770</v>
      </c>
      <c r="O251" s="223">
        <v>44966</v>
      </c>
      <c r="P251" s="222"/>
      <c r="R251" t="s">
        <v>26</v>
      </c>
      <c r="AA251" s="236"/>
      <c r="AD251" s="233">
        <v>44966</v>
      </c>
    </row>
    <row r="252" spans="1:30">
      <c r="A252" s="291">
        <f>COUNTA($E$3:E252)</f>
        <v>250</v>
      </c>
      <c r="B252" s="291" t="s">
        <v>4189</v>
      </c>
      <c r="C252" s="291" t="s">
        <v>1211</v>
      </c>
      <c r="D252" s="291" t="s">
        <v>40</v>
      </c>
      <c r="E252" s="291" t="s">
        <v>2605</v>
      </c>
      <c r="F252" s="292">
        <v>44852</v>
      </c>
      <c r="G252" s="292">
        <v>44858</v>
      </c>
      <c r="H252" s="292">
        <v>44963</v>
      </c>
      <c r="I252" s="292">
        <v>44858</v>
      </c>
      <c r="J252" s="292" t="s">
        <v>3</v>
      </c>
      <c r="K252" s="291" t="s">
        <v>2461</v>
      </c>
      <c r="L252" s="214" t="s">
        <v>28</v>
      </c>
      <c r="M252" s="223">
        <v>44970</v>
      </c>
      <c r="N252" s="220" t="s">
        <v>4771</v>
      </c>
      <c r="O252" s="223">
        <v>44970</v>
      </c>
      <c r="P252" s="223"/>
      <c r="R252" t="s">
        <v>26</v>
      </c>
      <c r="AA252" s="236"/>
      <c r="AD252" s="233">
        <v>44970</v>
      </c>
    </row>
    <row r="253" spans="1:30">
      <c r="A253" s="291">
        <f>COUNTA($E$3:E253)</f>
        <v>251</v>
      </c>
      <c r="B253" s="291" t="s">
        <v>4743</v>
      </c>
      <c r="C253" s="291" t="s">
        <v>25</v>
      </c>
      <c r="D253" s="291" t="s">
        <v>38</v>
      </c>
      <c r="E253" s="291" t="s">
        <v>3902</v>
      </c>
      <c r="F253" s="292">
        <v>44959</v>
      </c>
      <c r="G253" s="292"/>
      <c r="H253" s="292"/>
      <c r="I253" s="292"/>
      <c r="J253" s="292" t="s">
        <v>4</v>
      </c>
      <c r="K253" s="291"/>
      <c r="L253" s="214" t="s">
        <v>1101</v>
      </c>
      <c r="M253" s="223">
        <v>44970</v>
      </c>
      <c r="N253" s="220" t="s">
        <v>4774</v>
      </c>
      <c r="O253" s="223">
        <v>44965</v>
      </c>
      <c r="P253" s="222"/>
      <c r="R253" t="s">
        <v>138</v>
      </c>
      <c r="AA253" s="236"/>
      <c r="AD253" s="233">
        <v>44965</v>
      </c>
    </row>
    <row r="254" spans="1:30">
      <c r="A254" s="291">
        <f>COUNTA($E$3:E254)</f>
        <v>252</v>
      </c>
      <c r="B254" s="291" t="s">
        <v>4719</v>
      </c>
      <c r="C254" s="291" t="s">
        <v>41</v>
      </c>
      <c r="D254" s="291" t="s">
        <v>38</v>
      </c>
      <c r="E254" s="291" t="s">
        <v>1691</v>
      </c>
      <c r="F254" s="292">
        <v>44956.667164351849</v>
      </c>
      <c r="G254" s="292"/>
      <c r="H254" s="292"/>
      <c r="I254" s="292"/>
      <c r="J254" s="292" t="s">
        <v>4</v>
      </c>
      <c r="K254" s="291" t="s">
        <v>1500</v>
      </c>
      <c r="L254" s="214" t="s">
        <v>1310</v>
      </c>
      <c r="M254" s="223">
        <v>44970</v>
      </c>
      <c r="N254" s="220" t="s">
        <v>4758</v>
      </c>
      <c r="O254" s="223">
        <v>44960</v>
      </c>
      <c r="P254" s="222"/>
      <c r="R254" t="s">
        <v>138</v>
      </c>
      <c r="AA254" s="236"/>
      <c r="AD254" s="233">
        <v>44960</v>
      </c>
    </row>
    <row r="255" spans="1:30">
      <c r="A255" s="291">
        <f>COUNTA($E$3:E255)</f>
        <v>253</v>
      </c>
      <c r="B255" s="291" t="s">
        <v>4717</v>
      </c>
      <c r="C255" s="291" t="s">
        <v>41</v>
      </c>
      <c r="D255" s="291" t="s">
        <v>38</v>
      </c>
      <c r="E255" s="291" t="s">
        <v>4718</v>
      </c>
      <c r="F255" s="292">
        <v>44956.660393518519</v>
      </c>
      <c r="G255" s="292"/>
      <c r="H255" s="292"/>
      <c r="I255" s="292"/>
      <c r="J255" s="292" t="s">
        <v>4</v>
      </c>
      <c r="K255" s="291" t="s">
        <v>1500</v>
      </c>
      <c r="L255" s="214" t="s">
        <v>1302</v>
      </c>
      <c r="M255" s="223">
        <v>44970</v>
      </c>
      <c r="N255" s="220" t="s">
        <v>4758</v>
      </c>
      <c r="O255" s="223">
        <v>44963</v>
      </c>
      <c r="P255" s="222"/>
      <c r="R255" t="s">
        <v>138</v>
      </c>
      <c r="AA255" s="236"/>
      <c r="AD255" s="233">
        <v>44963</v>
      </c>
    </row>
    <row r="256" spans="1:30">
      <c r="A256" s="291">
        <f>COUNTA($E$3:E256)</f>
        <v>254</v>
      </c>
      <c r="B256" s="291" t="s">
        <v>4710</v>
      </c>
      <c r="C256" s="291" t="s">
        <v>1118</v>
      </c>
      <c r="D256" s="291" t="s">
        <v>62</v>
      </c>
      <c r="E256" s="291" t="s">
        <v>2647</v>
      </c>
      <c r="F256" s="292">
        <v>44943</v>
      </c>
      <c r="G256" s="292">
        <v>44956</v>
      </c>
      <c r="H256" s="292"/>
      <c r="I256" s="292"/>
      <c r="J256" s="292" t="s">
        <v>4</v>
      </c>
      <c r="K256" s="291" t="s">
        <v>1681</v>
      </c>
      <c r="L256" s="214" t="s">
        <v>1310</v>
      </c>
      <c r="M256" s="223">
        <v>44970</v>
      </c>
      <c r="N256" s="220">
        <v>44970</v>
      </c>
      <c r="O256" s="223">
        <v>44988</v>
      </c>
      <c r="P256" s="222"/>
      <c r="R256" t="s">
        <v>138</v>
      </c>
      <c r="AA256" s="236"/>
      <c r="AD256" s="233">
        <v>44988</v>
      </c>
    </row>
    <row r="257" spans="1:30">
      <c r="A257" s="291">
        <f>COUNTA($E$3:E257)</f>
        <v>255</v>
      </c>
      <c r="B257" s="291" t="s">
        <v>4666</v>
      </c>
      <c r="C257" s="291" t="s">
        <v>4667</v>
      </c>
      <c r="D257" s="291" t="s">
        <v>1151</v>
      </c>
      <c r="E257" s="291" t="s">
        <v>4656</v>
      </c>
      <c r="F257" s="292">
        <v>44931</v>
      </c>
      <c r="G257" s="292">
        <v>44935</v>
      </c>
      <c r="H257" s="292"/>
      <c r="I257" s="292">
        <v>44957</v>
      </c>
      <c r="J257" s="292" t="s">
        <v>4</v>
      </c>
      <c r="K257" s="291" t="s">
        <v>4654</v>
      </c>
      <c r="L257" s="214"/>
      <c r="M257" s="223">
        <v>44970</v>
      </c>
      <c r="N257" s="220" t="s">
        <v>4772</v>
      </c>
      <c r="O257" s="223">
        <v>44971</v>
      </c>
      <c r="P257" s="222"/>
      <c r="R257" t="s">
        <v>26</v>
      </c>
      <c r="AA257" s="236"/>
      <c r="AD257" s="233">
        <v>44971</v>
      </c>
    </row>
    <row r="258" spans="1:30">
      <c r="A258" s="291">
        <f>COUNTA($E$3:E258)</f>
        <v>256</v>
      </c>
      <c r="B258" s="291" t="s">
        <v>4745</v>
      </c>
      <c r="C258" s="291" t="s">
        <v>45</v>
      </c>
      <c r="D258" s="291" t="s">
        <v>49</v>
      </c>
      <c r="E258" s="291" t="s">
        <v>1805</v>
      </c>
      <c r="F258" s="292">
        <v>44959</v>
      </c>
      <c r="G258" s="292"/>
      <c r="H258" s="292"/>
      <c r="I258" s="292"/>
      <c r="J258" s="292" t="s">
        <v>5</v>
      </c>
      <c r="K258" s="291"/>
      <c r="L258" s="214" t="s">
        <v>1101</v>
      </c>
      <c r="M258" s="223">
        <v>44970</v>
      </c>
      <c r="N258" s="220" t="s">
        <v>4775</v>
      </c>
      <c r="O258" s="223">
        <v>44970</v>
      </c>
      <c r="P258" s="222"/>
      <c r="R258" t="s">
        <v>138</v>
      </c>
      <c r="AA258" s="236"/>
      <c r="AD258" s="233">
        <v>44970</v>
      </c>
    </row>
    <row r="259" spans="1:30">
      <c r="A259" s="291">
        <f>COUNTA($E$3:E259)</f>
        <v>257</v>
      </c>
      <c r="B259" s="291" t="s">
        <v>4678</v>
      </c>
      <c r="C259" s="291" t="s">
        <v>45</v>
      </c>
      <c r="D259" s="291" t="s">
        <v>55</v>
      </c>
      <c r="E259" s="291" t="s">
        <v>3769</v>
      </c>
      <c r="F259" s="292">
        <v>44932.481659074074</v>
      </c>
      <c r="G259" s="292"/>
      <c r="H259" s="292"/>
      <c r="I259" s="292"/>
      <c r="J259" s="292"/>
      <c r="K259" s="291"/>
      <c r="L259" s="214"/>
      <c r="M259" s="223">
        <v>44963</v>
      </c>
      <c r="N259" s="220" t="s">
        <v>2413</v>
      </c>
      <c r="O259" s="223">
        <v>44958</v>
      </c>
      <c r="P259" s="222"/>
      <c r="R259" t="s">
        <v>26</v>
      </c>
      <c r="AA259" s="236"/>
      <c r="AD259" s="233">
        <v>44958</v>
      </c>
    </row>
    <row r="260" spans="1:30">
      <c r="A260" s="291">
        <f>COUNTA($E$3:E260)</f>
        <v>258</v>
      </c>
      <c r="B260" s="291" t="s">
        <v>4733</v>
      </c>
      <c r="C260" s="291" t="s">
        <v>41</v>
      </c>
      <c r="D260" s="291" t="s">
        <v>34</v>
      </c>
      <c r="E260" s="291" t="s">
        <v>3404</v>
      </c>
      <c r="F260" s="292">
        <v>44956</v>
      </c>
      <c r="G260" s="292"/>
      <c r="H260" s="292"/>
      <c r="I260" s="292"/>
      <c r="J260" s="292" t="s">
        <v>4</v>
      </c>
      <c r="K260" s="291"/>
      <c r="L260" s="214" t="s">
        <v>1101</v>
      </c>
      <c r="M260" s="223">
        <v>44963</v>
      </c>
      <c r="N260" s="220" t="s">
        <v>4749</v>
      </c>
      <c r="O260" s="223"/>
      <c r="P260" s="223"/>
      <c r="R260" t="s">
        <v>138</v>
      </c>
      <c r="AA260" s="236"/>
      <c r="AD260" s="233"/>
    </row>
    <row r="261" spans="1:30">
      <c r="A261" s="291">
        <f>COUNTA($E$3:E261)</f>
        <v>259</v>
      </c>
      <c r="B261" s="291" t="s">
        <v>4732</v>
      </c>
      <c r="C261" s="291" t="s">
        <v>41</v>
      </c>
      <c r="D261" s="291" t="s">
        <v>34</v>
      </c>
      <c r="E261" s="291" t="s">
        <v>1263</v>
      </c>
      <c r="F261" s="292">
        <v>44957.712957187498</v>
      </c>
      <c r="G261" s="292"/>
      <c r="H261" s="292"/>
      <c r="I261" s="292"/>
      <c r="J261" s="292" t="s">
        <v>4</v>
      </c>
      <c r="K261" s="291"/>
      <c r="L261" s="214" t="s">
        <v>1310</v>
      </c>
      <c r="M261" s="223">
        <v>44963</v>
      </c>
      <c r="N261" s="220" t="s">
        <v>4747</v>
      </c>
      <c r="O261" s="223">
        <v>44960</v>
      </c>
      <c r="P261" s="222"/>
      <c r="R261" t="s">
        <v>138</v>
      </c>
      <c r="AA261" s="236"/>
      <c r="AD261" s="233">
        <v>44960</v>
      </c>
    </row>
    <row r="262" spans="1:30">
      <c r="A262" s="291">
        <f>COUNTA($E$3:E262)</f>
        <v>260</v>
      </c>
      <c r="B262" s="291" t="s">
        <v>4731</v>
      </c>
      <c r="C262" s="291" t="s">
        <v>41</v>
      </c>
      <c r="D262" s="291" t="s">
        <v>34</v>
      </c>
      <c r="E262" s="291" t="s">
        <v>1303</v>
      </c>
      <c r="F262" s="292">
        <v>44957.726764629631</v>
      </c>
      <c r="G262" s="292"/>
      <c r="H262" s="292"/>
      <c r="I262" s="292"/>
      <c r="J262" s="292" t="s">
        <v>4</v>
      </c>
      <c r="K262" s="291"/>
      <c r="L262" s="214" t="s">
        <v>1310</v>
      </c>
      <c r="M262" s="223">
        <v>44963</v>
      </c>
      <c r="N262" s="220" t="s">
        <v>4747</v>
      </c>
      <c r="O262" s="223">
        <v>44960</v>
      </c>
      <c r="P262" s="222"/>
      <c r="R262" t="s">
        <v>138</v>
      </c>
      <c r="AA262" s="236"/>
      <c r="AD262" s="233">
        <v>44960</v>
      </c>
    </row>
    <row r="263" spans="1:30">
      <c r="A263" s="291">
        <f>COUNTA($E$3:E263)</f>
        <v>261</v>
      </c>
      <c r="B263" s="291" t="s">
        <v>4724</v>
      </c>
      <c r="C263" s="291" t="s">
        <v>41</v>
      </c>
      <c r="D263" s="291" t="s">
        <v>34</v>
      </c>
      <c r="E263" s="291" t="s">
        <v>2660</v>
      </c>
      <c r="F263" s="292">
        <v>44956</v>
      </c>
      <c r="G263" s="292"/>
      <c r="H263" s="292"/>
      <c r="I263" s="292"/>
      <c r="J263" s="292" t="s">
        <v>4</v>
      </c>
      <c r="K263" s="291" t="s">
        <v>4725</v>
      </c>
      <c r="L263" s="214" t="s">
        <v>1132</v>
      </c>
      <c r="M263" s="223">
        <v>44963</v>
      </c>
      <c r="N263" s="220" t="s">
        <v>4737</v>
      </c>
      <c r="O263" s="223">
        <v>44965</v>
      </c>
      <c r="P263" s="223"/>
      <c r="R263" t="s">
        <v>138</v>
      </c>
      <c r="AA263" s="236"/>
      <c r="AD263" s="233">
        <v>44965</v>
      </c>
    </row>
    <row r="264" spans="1:30">
      <c r="A264" s="291">
        <f>COUNTA($E$3:E264)</f>
        <v>262</v>
      </c>
      <c r="B264" s="291" t="s">
        <v>4716</v>
      </c>
      <c r="C264" s="291" t="s">
        <v>41</v>
      </c>
      <c r="D264" s="291" t="s">
        <v>34</v>
      </c>
      <c r="E264" s="291" t="s">
        <v>3900</v>
      </c>
      <c r="F264" s="292">
        <v>44956</v>
      </c>
      <c r="G264" s="292"/>
      <c r="H264" s="292"/>
      <c r="I264" s="292"/>
      <c r="J264" s="292" t="s">
        <v>4</v>
      </c>
      <c r="K264" s="291" t="s">
        <v>1500</v>
      </c>
      <c r="L264" s="214" t="s">
        <v>1114</v>
      </c>
      <c r="M264" s="223">
        <v>44963</v>
      </c>
      <c r="N264" s="220" t="s">
        <v>4736</v>
      </c>
      <c r="O264" s="223">
        <v>44963</v>
      </c>
      <c r="P264" s="222"/>
      <c r="R264" t="s">
        <v>138</v>
      </c>
      <c r="AA264" s="236"/>
      <c r="AD264" s="233">
        <v>44963</v>
      </c>
    </row>
    <row r="265" spans="1:30">
      <c r="A265" s="291">
        <f>COUNTA($E$3:E265)</f>
        <v>263</v>
      </c>
      <c r="B265" s="291" t="s">
        <v>4603</v>
      </c>
      <c r="C265" s="291" t="s">
        <v>41</v>
      </c>
      <c r="D265" s="291" t="s">
        <v>38</v>
      </c>
      <c r="E265" s="291" t="s">
        <v>4604</v>
      </c>
      <c r="F265" s="292">
        <v>44918</v>
      </c>
      <c r="G265" s="292"/>
      <c r="H265" s="292"/>
      <c r="I265" s="292"/>
      <c r="J265" s="292" t="s">
        <v>4</v>
      </c>
      <c r="K265" s="291" t="s">
        <v>526</v>
      </c>
      <c r="L265" s="214" t="s">
        <v>1101</v>
      </c>
      <c r="M265" s="223">
        <v>44963</v>
      </c>
      <c r="N265" s="220"/>
      <c r="O265" s="223">
        <v>45051</v>
      </c>
      <c r="P265" s="222" t="s">
        <v>5053</v>
      </c>
      <c r="R265" t="s">
        <v>138</v>
      </c>
      <c r="AA265" s="236"/>
      <c r="AD265" s="233">
        <v>45051</v>
      </c>
    </row>
    <row r="266" spans="1:30">
      <c r="A266" s="291">
        <f>COUNTA($E$3:E266)</f>
        <v>264</v>
      </c>
      <c r="B266" s="291" t="s">
        <v>4729</v>
      </c>
      <c r="C266" s="291" t="s">
        <v>45</v>
      </c>
      <c r="D266" s="291" t="s">
        <v>49</v>
      </c>
      <c r="E266" s="291" t="s">
        <v>4730</v>
      </c>
      <c r="F266" s="292">
        <v>44956</v>
      </c>
      <c r="G266" s="292"/>
      <c r="H266" s="292"/>
      <c r="I266" s="292"/>
      <c r="J266" s="292" t="s">
        <v>5</v>
      </c>
      <c r="K266" s="291"/>
      <c r="L266" s="214" t="s">
        <v>134</v>
      </c>
      <c r="M266" s="223">
        <v>44963</v>
      </c>
      <c r="N266" s="220" t="s">
        <v>4748</v>
      </c>
      <c r="O266" s="223">
        <v>44963</v>
      </c>
      <c r="P266" s="223"/>
      <c r="R266" t="s">
        <v>138</v>
      </c>
      <c r="AA266" s="236"/>
      <c r="AD266" s="233">
        <v>44963</v>
      </c>
    </row>
    <row r="267" spans="1:30">
      <c r="A267" s="291">
        <f>COUNTA($E$3:E267)</f>
        <v>265</v>
      </c>
      <c r="B267" s="291" t="s">
        <v>4727</v>
      </c>
      <c r="C267" s="291" t="s">
        <v>41</v>
      </c>
      <c r="D267" s="291" t="s">
        <v>49</v>
      </c>
      <c r="E267" s="291" t="s">
        <v>4728</v>
      </c>
      <c r="F267" s="292">
        <v>44956.66407353009</v>
      </c>
      <c r="G267" s="292"/>
      <c r="H267" s="292"/>
      <c r="I267" s="292"/>
      <c r="J267" s="292" t="s">
        <v>5</v>
      </c>
      <c r="K267" s="291"/>
      <c r="L267" s="214" t="s">
        <v>1302</v>
      </c>
      <c r="M267" s="223">
        <v>44963</v>
      </c>
      <c r="N267" s="220" t="s">
        <v>4747</v>
      </c>
      <c r="O267" s="223">
        <v>44960</v>
      </c>
      <c r="P267" s="223"/>
      <c r="R267" t="s">
        <v>138</v>
      </c>
      <c r="AA267" s="236"/>
      <c r="AD267" s="233">
        <v>44960</v>
      </c>
    </row>
    <row r="268" spans="1:30">
      <c r="A268" s="291">
        <f>COUNTA($E$3:E268)</f>
        <v>266</v>
      </c>
      <c r="B268" s="291" t="s">
        <v>4726</v>
      </c>
      <c r="C268" s="291" t="s">
        <v>45</v>
      </c>
      <c r="D268" s="291" t="s">
        <v>56</v>
      </c>
      <c r="E268" s="291" t="s">
        <v>2043</v>
      </c>
      <c r="F268" s="292">
        <v>44956.661552349535</v>
      </c>
      <c r="G268" s="292"/>
      <c r="H268" s="292"/>
      <c r="I268" s="292"/>
      <c r="J268" s="292" t="s">
        <v>5</v>
      </c>
      <c r="K268" s="291"/>
      <c r="L268" s="214" t="s">
        <v>1302</v>
      </c>
      <c r="M268" s="223">
        <v>44963</v>
      </c>
      <c r="N268" s="220" t="s">
        <v>4747</v>
      </c>
      <c r="O268" s="223">
        <v>44963</v>
      </c>
      <c r="P268" s="222"/>
      <c r="R268" t="s">
        <v>138</v>
      </c>
      <c r="AA268" s="236"/>
      <c r="AD268" s="233">
        <v>44963</v>
      </c>
    </row>
    <row r="269" spans="1:30">
      <c r="A269" s="291">
        <f>COUNTA($E$3:E269)</f>
        <v>267</v>
      </c>
      <c r="B269" s="291" t="s">
        <v>4709</v>
      </c>
      <c r="C269" s="291" t="s">
        <v>45</v>
      </c>
      <c r="D269" s="291" t="s">
        <v>1137</v>
      </c>
      <c r="E269" s="291" t="s">
        <v>2674</v>
      </c>
      <c r="F269" s="292">
        <v>44943</v>
      </c>
      <c r="G269" s="292"/>
      <c r="H269" s="292"/>
      <c r="I269" s="292"/>
      <c r="J269" s="292" t="s">
        <v>4</v>
      </c>
      <c r="K269" s="291" t="s">
        <v>1500</v>
      </c>
      <c r="L269" s="214" t="s">
        <v>37</v>
      </c>
      <c r="M269" s="223">
        <v>44956</v>
      </c>
      <c r="N269" s="220"/>
      <c r="O269" s="223">
        <v>45021</v>
      </c>
      <c r="P269" s="222"/>
      <c r="R269" t="s">
        <v>138</v>
      </c>
      <c r="AA269" s="236"/>
      <c r="AD269" s="233">
        <v>45021</v>
      </c>
    </row>
    <row r="270" spans="1:30">
      <c r="A270" s="291">
        <f>COUNTA($E$3:E270)</f>
        <v>268</v>
      </c>
      <c r="B270" s="291" t="s">
        <v>4712</v>
      </c>
      <c r="C270" s="291" t="s">
        <v>4713</v>
      </c>
      <c r="D270" s="291" t="s">
        <v>53</v>
      </c>
      <c r="E270" s="291" t="s">
        <v>4715</v>
      </c>
      <c r="F270" s="292">
        <v>44942</v>
      </c>
      <c r="G270" s="292"/>
      <c r="H270" s="292"/>
      <c r="I270" s="292"/>
      <c r="J270" s="292" t="s">
        <v>4</v>
      </c>
      <c r="K270" s="291"/>
      <c r="L270" s="214" t="s">
        <v>24</v>
      </c>
      <c r="M270" s="223">
        <v>44956</v>
      </c>
      <c r="N270" s="220"/>
      <c r="O270" s="223">
        <v>44956</v>
      </c>
      <c r="P270" s="222"/>
      <c r="R270" t="s">
        <v>4714</v>
      </c>
      <c r="AA270" s="236"/>
      <c r="AD270" s="233">
        <v>44956</v>
      </c>
    </row>
    <row r="271" spans="1:30">
      <c r="A271" s="291">
        <f>COUNTA($E$3:E271)</f>
        <v>269</v>
      </c>
      <c r="B271" s="291" t="s">
        <v>4693</v>
      </c>
      <c r="C271" s="291" t="s">
        <v>1104</v>
      </c>
      <c r="D271" s="291" t="s">
        <v>1157</v>
      </c>
      <c r="E271" s="291" t="s">
        <v>4694</v>
      </c>
      <c r="F271" s="292">
        <v>44937</v>
      </c>
      <c r="G271" s="292"/>
      <c r="H271" s="292"/>
      <c r="I271" s="292"/>
      <c r="J271" s="292" t="s">
        <v>4</v>
      </c>
      <c r="K271" s="291"/>
      <c r="L271" s="214" t="s">
        <v>1310</v>
      </c>
      <c r="M271" s="223">
        <v>44956</v>
      </c>
      <c r="N271" s="220" t="s">
        <v>2473</v>
      </c>
      <c r="O271" s="223">
        <v>44967</v>
      </c>
      <c r="P271" s="222"/>
      <c r="R271" t="s">
        <v>138</v>
      </c>
      <c r="AA271" s="236"/>
      <c r="AD271" s="233">
        <v>44967</v>
      </c>
    </row>
    <row r="272" spans="1:30">
      <c r="A272" s="291">
        <f>COUNTA($E$3:E272)</f>
        <v>270</v>
      </c>
      <c r="B272" s="291" t="s">
        <v>4388</v>
      </c>
      <c r="C272" s="291" t="s">
        <v>2396</v>
      </c>
      <c r="D272" s="291" t="s">
        <v>60</v>
      </c>
      <c r="E272" s="291" t="s">
        <v>2723</v>
      </c>
      <c r="F272" s="292">
        <v>44880</v>
      </c>
      <c r="G272" s="292"/>
      <c r="H272" s="292"/>
      <c r="I272" s="292"/>
      <c r="J272" s="292" t="s">
        <v>4</v>
      </c>
      <c r="K272" s="291"/>
      <c r="L272" s="214" t="s">
        <v>1310</v>
      </c>
      <c r="M272" s="223">
        <v>44956</v>
      </c>
      <c r="N272" s="220" t="s">
        <v>4711</v>
      </c>
      <c r="O272" s="223">
        <v>44967</v>
      </c>
      <c r="P272" s="222"/>
      <c r="R272" t="s">
        <v>26</v>
      </c>
      <c r="AA272" s="236"/>
      <c r="AD272" s="233">
        <v>44967</v>
      </c>
    </row>
    <row r="273" spans="1:30">
      <c r="A273" s="291">
        <f>COUNTA($E$3:E273)</f>
        <v>271</v>
      </c>
      <c r="B273" s="291" t="s">
        <v>4638</v>
      </c>
      <c r="C273" s="291" t="s">
        <v>1261</v>
      </c>
      <c r="D273" s="291" t="s">
        <v>1157</v>
      </c>
      <c r="E273" s="291" t="s">
        <v>4639</v>
      </c>
      <c r="F273" s="292">
        <v>44924</v>
      </c>
      <c r="G273" s="292"/>
      <c r="H273" s="292"/>
      <c r="I273" s="292"/>
      <c r="J273" s="292" t="s">
        <v>3</v>
      </c>
      <c r="K273" s="291" t="s">
        <v>3279</v>
      </c>
      <c r="L273" s="214" t="s">
        <v>1309</v>
      </c>
      <c r="M273" s="223">
        <v>44942</v>
      </c>
      <c r="N273" s="220" t="s">
        <v>4704</v>
      </c>
      <c r="O273" s="223">
        <v>44936</v>
      </c>
      <c r="P273" s="222"/>
      <c r="R273" t="s">
        <v>26</v>
      </c>
      <c r="AA273" s="236"/>
      <c r="AD273" s="233">
        <v>44936</v>
      </c>
    </row>
    <row r="274" spans="1:30">
      <c r="A274" s="291">
        <f>COUNTA($E$3:E274)</f>
        <v>272</v>
      </c>
      <c r="B274" s="291" t="s">
        <v>4582</v>
      </c>
      <c r="C274" s="291" t="s">
        <v>4583</v>
      </c>
      <c r="D274" s="291" t="s">
        <v>68</v>
      </c>
      <c r="E274" s="291" t="s">
        <v>4584</v>
      </c>
      <c r="F274" s="292">
        <v>44916</v>
      </c>
      <c r="G274" s="292">
        <v>44918</v>
      </c>
      <c r="H274" s="292">
        <v>44942</v>
      </c>
      <c r="I274" s="292">
        <v>44923</v>
      </c>
      <c r="J274" s="292" t="s">
        <v>3</v>
      </c>
      <c r="K274" s="291" t="s">
        <v>4387</v>
      </c>
      <c r="L274" s="214" t="s">
        <v>1309</v>
      </c>
      <c r="M274" s="223">
        <v>44942</v>
      </c>
      <c r="N274" s="220" t="s">
        <v>4703</v>
      </c>
      <c r="O274" s="223">
        <v>44936</v>
      </c>
      <c r="P274" s="223"/>
      <c r="R274" t="s">
        <v>26</v>
      </c>
      <c r="AA274" s="236"/>
      <c r="AD274" s="233">
        <v>44936</v>
      </c>
    </row>
    <row r="275" spans="1:30">
      <c r="A275" s="291">
        <f>COUNTA($E$3:E275)</f>
        <v>273</v>
      </c>
      <c r="B275" s="291" t="s">
        <v>4685</v>
      </c>
      <c r="C275" s="291" t="s">
        <v>45</v>
      </c>
      <c r="D275" s="291" t="s">
        <v>1127</v>
      </c>
      <c r="E275" s="291" t="s">
        <v>4059</v>
      </c>
      <c r="F275" s="292">
        <v>44935</v>
      </c>
      <c r="G275" s="292"/>
      <c r="H275" s="292"/>
      <c r="I275" s="292"/>
      <c r="J275" s="292" t="s">
        <v>4</v>
      </c>
      <c r="K275" s="291" t="s">
        <v>1500</v>
      </c>
      <c r="L275" s="214" t="s">
        <v>37</v>
      </c>
      <c r="M275" s="223">
        <v>44942</v>
      </c>
      <c r="N275" s="220" t="s">
        <v>2437</v>
      </c>
      <c r="O275" s="223"/>
      <c r="P275" s="222"/>
      <c r="R275" t="s">
        <v>138</v>
      </c>
      <c r="AA275" s="236"/>
      <c r="AD275" s="233"/>
    </row>
    <row r="276" spans="1:30">
      <c r="A276" s="291">
        <f>COUNTA($E$3:E276)</f>
        <v>274</v>
      </c>
      <c r="B276" s="291" t="s">
        <v>4679</v>
      </c>
      <c r="C276" s="291" t="s">
        <v>117</v>
      </c>
      <c r="D276" s="291" t="s">
        <v>20</v>
      </c>
      <c r="E276" s="291" t="s">
        <v>4680</v>
      </c>
      <c r="F276" s="292">
        <v>44932.481659074074</v>
      </c>
      <c r="G276" s="292"/>
      <c r="H276" s="292"/>
      <c r="I276" s="292"/>
      <c r="J276" s="292" t="s">
        <v>4</v>
      </c>
      <c r="K276" s="291"/>
      <c r="L276" s="214" t="s">
        <v>1310</v>
      </c>
      <c r="M276" s="223">
        <v>44942</v>
      </c>
      <c r="N276" s="220" t="s">
        <v>4699</v>
      </c>
      <c r="O276" s="223">
        <v>44937</v>
      </c>
      <c r="P276" s="222"/>
      <c r="R276" t="s">
        <v>138</v>
      </c>
      <c r="AA276" s="236"/>
      <c r="AD276" s="233">
        <v>44937</v>
      </c>
    </row>
    <row r="277" spans="1:30">
      <c r="A277" s="291">
        <f>COUNTA($E$3:E277)</f>
        <v>275</v>
      </c>
      <c r="B277" s="291" t="s">
        <v>4673</v>
      </c>
      <c r="C277" s="291" t="s">
        <v>78</v>
      </c>
      <c r="D277" s="291" t="s">
        <v>1092</v>
      </c>
      <c r="E277" s="291" t="s">
        <v>2859</v>
      </c>
      <c r="F277" s="292">
        <v>44929.578914305559</v>
      </c>
      <c r="G277" s="292"/>
      <c r="H277" s="292"/>
      <c r="I277" s="292"/>
      <c r="J277" s="292" t="s">
        <v>4</v>
      </c>
      <c r="K277" s="291"/>
      <c r="L277" s="214" t="s">
        <v>1311</v>
      </c>
      <c r="M277" s="223">
        <v>44942</v>
      </c>
      <c r="N277" s="220" t="s">
        <v>4698</v>
      </c>
      <c r="O277" s="223">
        <v>44938</v>
      </c>
      <c r="P277" s="222"/>
      <c r="R277" t="s">
        <v>138</v>
      </c>
      <c r="AA277" s="236"/>
      <c r="AD277" s="233">
        <v>44938</v>
      </c>
    </row>
    <row r="278" spans="1:30">
      <c r="A278" s="291">
        <f>COUNTA($E$3:E278)</f>
        <v>276</v>
      </c>
      <c r="B278" s="291" t="s">
        <v>4551</v>
      </c>
      <c r="C278" s="291" t="s">
        <v>1104</v>
      </c>
      <c r="D278" s="291" t="s">
        <v>55</v>
      </c>
      <c r="E278" s="291" t="s">
        <v>4552</v>
      </c>
      <c r="F278" s="292">
        <v>44909</v>
      </c>
      <c r="G278" s="292"/>
      <c r="H278" s="292"/>
      <c r="I278" s="292"/>
      <c r="J278" s="292" t="s">
        <v>4</v>
      </c>
      <c r="K278" s="291" t="s">
        <v>1664</v>
      </c>
      <c r="L278" s="214" t="s">
        <v>1310</v>
      </c>
      <c r="M278" s="223">
        <v>44942</v>
      </c>
      <c r="N278" s="220" t="s">
        <v>5059</v>
      </c>
      <c r="O278" s="223">
        <v>44942</v>
      </c>
      <c r="P278" s="222"/>
      <c r="R278" t="s">
        <v>138</v>
      </c>
      <c r="AA278" s="236"/>
      <c r="AD278" s="233">
        <v>44942</v>
      </c>
    </row>
    <row r="279" spans="1:30">
      <c r="A279" s="291">
        <f>COUNTA($E$3:E279)</f>
        <v>277</v>
      </c>
      <c r="B279" s="291" t="s">
        <v>4397</v>
      </c>
      <c r="C279" s="291" t="s">
        <v>45</v>
      </c>
      <c r="D279" s="291" t="s">
        <v>29</v>
      </c>
      <c r="E279" s="291" t="s">
        <v>3612</v>
      </c>
      <c r="F279" s="292">
        <v>44883</v>
      </c>
      <c r="G279" s="292">
        <v>44893</v>
      </c>
      <c r="H279" s="292"/>
      <c r="I279" s="292"/>
      <c r="J279" s="292" t="s">
        <v>4</v>
      </c>
      <c r="K279" s="291" t="s">
        <v>1681</v>
      </c>
      <c r="L279" s="214" t="s">
        <v>1310</v>
      </c>
      <c r="M279" s="223">
        <v>44942</v>
      </c>
      <c r="N279" s="220" t="s">
        <v>4421</v>
      </c>
      <c r="O279" s="223">
        <v>44942</v>
      </c>
      <c r="P279" s="222" t="s">
        <v>5053</v>
      </c>
      <c r="R279" t="s">
        <v>138</v>
      </c>
      <c r="AA279" s="236"/>
      <c r="AD279" s="233">
        <v>44942</v>
      </c>
    </row>
    <row r="280" spans="1:30">
      <c r="A280" s="291">
        <f>COUNTA($E$3:E280)</f>
        <v>278</v>
      </c>
      <c r="B280" s="291" t="s">
        <v>4668</v>
      </c>
      <c r="C280" s="291" t="s">
        <v>44</v>
      </c>
      <c r="D280" s="291" t="s">
        <v>31</v>
      </c>
      <c r="E280" s="291" t="s">
        <v>4657</v>
      </c>
      <c r="F280" s="292">
        <v>44930.701492858796</v>
      </c>
      <c r="G280" s="292"/>
      <c r="H280" s="292"/>
      <c r="I280" s="292"/>
      <c r="J280" s="292" t="s">
        <v>5</v>
      </c>
      <c r="K280" s="291"/>
      <c r="L280" s="214" t="s">
        <v>1302</v>
      </c>
      <c r="M280" s="223">
        <v>44942</v>
      </c>
      <c r="N280" s="220" t="s">
        <v>4698</v>
      </c>
      <c r="O280" s="223">
        <v>44971</v>
      </c>
      <c r="P280" s="222"/>
      <c r="R280" t="s">
        <v>138</v>
      </c>
      <c r="AA280" s="236"/>
      <c r="AD280" s="233">
        <v>44971</v>
      </c>
    </row>
    <row r="281" spans="1:30">
      <c r="A281" s="291">
        <f>COUNTA($E$3:E281)</f>
        <v>279</v>
      </c>
      <c r="B281" s="291" t="s">
        <v>4675</v>
      </c>
      <c r="C281" s="291" t="s">
        <v>2802</v>
      </c>
      <c r="D281" s="291" t="s">
        <v>1151</v>
      </c>
      <c r="E281" s="291" t="s">
        <v>4660</v>
      </c>
      <c r="F281" s="292">
        <v>44931.652766203704</v>
      </c>
      <c r="G281" s="292"/>
      <c r="H281" s="292"/>
      <c r="I281" s="292"/>
      <c r="J281" s="292" t="s">
        <v>4</v>
      </c>
      <c r="K281" s="291"/>
      <c r="L281" s="214" t="s">
        <v>110</v>
      </c>
      <c r="M281" s="223">
        <v>44935</v>
      </c>
      <c r="N281" s="220" t="s">
        <v>4683</v>
      </c>
      <c r="O281" s="223">
        <v>44936</v>
      </c>
      <c r="P281" s="222"/>
      <c r="R281" t="s">
        <v>26</v>
      </c>
      <c r="AA281" s="236"/>
      <c r="AD281" s="233">
        <v>44936</v>
      </c>
    </row>
    <row r="282" spans="1:30">
      <c r="A282" s="291">
        <f>COUNTA($E$3:E282)</f>
        <v>280</v>
      </c>
      <c r="B282" s="291" t="s">
        <v>4674</v>
      </c>
      <c r="C282" s="291" t="s">
        <v>45</v>
      </c>
      <c r="D282" s="291" t="s">
        <v>42</v>
      </c>
      <c r="E282" s="291" t="s">
        <v>2834</v>
      </c>
      <c r="F282" s="292">
        <v>44931.652766203704</v>
      </c>
      <c r="G282" s="292"/>
      <c r="H282" s="292"/>
      <c r="I282" s="292"/>
      <c r="J282" s="292" t="s">
        <v>4</v>
      </c>
      <c r="K282" s="291"/>
      <c r="L282" s="214" t="s">
        <v>24</v>
      </c>
      <c r="M282" s="223">
        <v>44935</v>
      </c>
      <c r="N282" s="220" t="s">
        <v>2413</v>
      </c>
      <c r="O282" s="223">
        <v>44936</v>
      </c>
      <c r="P282" s="222"/>
      <c r="R282" t="s">
        <v>26</v>
      </c>
      <c r="AA282" s="236"/>
      <c r="AD282" s="233">
        <v>44936</v>
      </c>
    </row>
    <row r="283" spans="1:30">
      <c r="A283" s="291">
        <f>COUNTA($E$3:E283)</f>
        <v>281</v>
      </c>
      <c r="B283" s="291" t="s">
        <v>4424</v>
      </c>
      <c r="C283" s="291" t="s">
        <v>1767</v>
      </c>
      <c r="D283" s="291" t="s">
        <v>53</v>
      </c>
      <c r="E283" s="291" t="s">
        <v>1768</v>
      </c>
      <c r="F283" s="292">
        <v>44894</v>
      </c>
      <c r="G283" s="292">
        <v>44897</v>
      </c>
      <c r="H283" s="292">
        <v>44929</v>
      </c>
      <c r="I283" s="292">
        <v>44896</v>
      </c>
      <c r="J283" s="292" t="s">
        <v>3</v>
      </c>
      <c r="K283" s="291" t="s">
        <v>1738</v>
      </c>
      <c r="L283" s="214" t="s">
        <v>28</v>
      </c>
      <c r="M283" s="223">
        <v>44935</v>
      </c>
      <c r="N283" s="220" t="s">
        <v>4682</v>
      </c>
      <c r="O283" s="223">
        <v>44935</v>
      </c>
      <c r="P283" s="223"/>
      <c r="R283" t="s">
        <v>26</v>
      </c>
      <c r="AA283" s="236"/>
      <c r="AD283" s="233">
        <v>44935</v>
      </c>
    </row>
    <row r="284" spans="1:30">
      <c r="A284" s="291">
        <f>COUNTA($E$3:E284)</f>
        <v>282</v>
      </c>
      <c r="B284" s="291" t="s">
        <v>4273</v>
      </c>
      <c r="C284" s="291" t="s">
        <v>45</v>
      </c>
      <c r="D284" s="291" t="s">
        <v>20</v>
      </c>
      <c r="E284" s="291" t="s">
        <v>1165</v>
      </c>
      <c r="F284" s="292">
        <v>44865</v>
      </c>
      <c r="G284" s="292">
        <v>44879</v>
      </c>
      <c r="H284" s="292"/>
      <c r="I284" s="292"/>
      <c r="J284" s="292" t="s">
        <v>3</v>
      </c>
      <c r="K284" s="291" t="s">
        <v>2087</v>
      </c>
      <c r="L284" s="214" t="s">
        <v>110</v>
      </c>
      <c r="M284" s="223">
        <v>44935</v>
      </c>
      <c r="N284" s="220" t="s">
        <v>2433</v>
      </c>
      <c r="O284" s="223">
        <v>44936</v>
      </c>
      <c r="P284" s="223"/>
      <c r="R284" t="s">
        <v>26</v>
      </c>
      <c r="AA284" s="236"/>
      <c r="AD284" s="233">
        <v>44936</v>
      </c>
    </row>
    <row r="285" spans="1:30">
      <c r="A285" s="291">
        <f>COUNTA($E$3:E285)</f>
        <v>283</v>
      </c>
      <c r="B285" s="291" t="s">
        <v>4626</v>
      </c>
      <c r="C285" s="291" t="s">
        <v>2515</v>
      </c>
      <c r="D285" s="291" t="s">
        <v>1115</v>
      </c>
      <c r="E285" s="291" t="s">
        <v>1234</v>
      </c>
      <c r="F285" s="292">
        <v>44921</v>
      </c>
      <c r="G285" s="292"/>
      <c r="H285" s="292"/>
      <c r="I285" s="292"/>
      <c r="J285" s="292" t="s">
        <v>4</v>
      </c>
      <c r="K285" s="291" t="s">
        <v>1500</v>
      </c>
      <c r="L285" s="214" t="s">
        <v>1311</v>
      </c>
      <c r="M285" s="223">
        <v>44935</v>
      </c>
      <c r="N285" s="220"/>
      <c r="O285" s="223"/>
      <c r="P285" s="223" t="s">
        <v>5053</v>
      </c>
      <c r="R285" t="s">
        <v>138</v>
      </c>
      <c r="AA285" s="236"/>
      <c r="AD285" s="233"/>
    </row>
    <row r="286" spans="1:30">
      <c r="A286" s="291">
        <f>COUNTA($E$3:E286)</f>
        <v>284</v>
      </c>
      <c r="B286" s="291" t="s">
        <v>4625</v>
      </c>
      <c r="C286" s="291" t="s">
        <v>2515</v>
      </c>
      <c r="D286" s="291" t="s">
        <v>34</v>
      </c>
      <c r="E286" s="291" t="s">
        <v>1223</v>
      </c>
      <c r="F286" s="292">
        <v>44921</v>
      </c>
      <c r="G286" s="292"/>
      <c r="H286" s="292"/>
      <c r="I286" s="292"/>
      <c r="J286" s="292" t="s">
        <v>4</v>
      </c>
      <c r="K286" s="291" t="s">
        <v>1500</v>
      </c>
      <c r="L286" s="214" t="s">
        <v>1311</v>
      </c>
      <c r="M286" s="223">
        <v>44935</v>
      </c>
      <c r="N286" s="220"/>
      <c r="O286" s="223"/>
      <c r="P286" s="223" t="s">
        <v>5053</v>
      </c>
      <c r="R286" t="s">
        <v>138</v>
      </c>
      <c r="AA286" s="236"/>
      <c r="AD286" s="233"/>
    </row>
    <row r="287" spans="1:30">
      <c r="A287" s="291">
        <f>COUNTA($E$3:E287)</f>
        <v>285</v>
      </c>
      <c r="B287" s="291" t="s">
        <v>4615</v>
      </c>
      <c r="C287" s="291" t="s">
        <v>45</v>
      </c>
      <c r="D287" s="291" t="s">
        <v>27</v>
      </c>
      <c r="E287" s="291" t="s">
        <v>1056</v>
      </c>
      <c r="F287" s="292">
        <v>44918</v>
      </c>
      <c r="G287" s="292"/>
      <c r="H287" s="292"/>
      <c r="I287" s="292"/>
      <c r="J287" s="292" t="s">
        <v>4</v>
      </c>
      <c r="K287" s="291" t="s">
        <v>2179</v>
      </c>
      <c r="L287" s="214" t="s">
        <v>1311</v>
      </c>
      <c r="M287" s="223">
        <v>44935</v>
      </c>
      <c r="N287" s="220"/>
      <c r="O287" s="223"/>
      <c r="P287" s="222" t="s">
        <v>5053</v>
      </c>
      <c r="R287" t="s">
        <v>138</v>
      </c>
      <c r="AA287" s="236"/>
      <c r="AD287" s="233"/>
    </row>
    <row r="288" spans="1:30">
      <c r="A288" s="291">
        <f>COUNTA($E$3:E288)</f>
        <v>286</v>
      </c>
      <c r="B288" s="291" t="s">
        <v>4661</v>
      </c>
      <c r="C288" s="291" t="s">
        <v>48</v>
      </c>
      <c r="D288" s="291" t="s">
        <v>49</v>
      </c>
      <c r="E288" s="291" t="s">
        <v>182</v>
      </c>
      <c r="F288" s="292">
        <v>44929.575775462959</v>
      </c>
      <c r="G288" s="292"/>
      <c r="H288" s="292"/>
      <c r="I288" s="292"/>
      <c r="J288" s="292" t="s">
        <v>5</v>
      </c>
      <c r="K288" s="291" t="s">
        <v>4654</v>
      </c>
      <c r="L288" s="214" t="s">
        <v>1302</v>
      </c>
      <c r="M288" s="223">
        <v>44935</v>
      </c>
      <c r="N288" s="220" t="s">
        <v>4684</v>
      </c>
      <c r="O288" s="223">
        <v>44937</v>
      </c>
      <c r="P288" s="222"/>
      <c r="R288" t="s">
        <v>138</v>
      </c>
      <c r="AA288" s="236"/>
      <c r="AD288" s="233">
        <v>44937</v>
      </c>
    </row>
    <row r="289" spans="1:30">
      <c r="A289" s="291">
        <f>COUNTA($E$3:E289)</f>
        <v>287</v>
      </c>
      <c r="B289" s="291" t="s">
        <v>4662</v>
      </c>
      <c r="C289" s="291" t="s">
        <v>45</v>
      </c>
      <c r="D289" s="291" t="s">
        <v>49</v>
      </c>
      <c r="E289" s="291" t="s">
        <v>1805</v>
      </c>
      <c r="F289" s="292">
        <v>44929.574803240743</v>
      </c>
      <c r="G289" s="292"/>
      <c r="H289" s="292"/>
      <c r="I289" s="292"/>
      <c r="J289" s="292" t="s">
        <v>5</v>
      </c>
      <c r="K289" s="291" t="s">
        <v>4654</v>
      </c>
      <c r="L289" s="214" t="s">
        <v>1302</v>
      </c>
      <c r="M289" s="223">
        <v>44935</v>
      </c>
      <c r="N289" s="220" t="s">
        <v>4684</v>
      </c>
      <c r="O289" s="223">
        <v>44938</v>
      </c>
      <c r="P289" s="222"/>
      <c r="R289" t="s">
        <v>138</v>
      </c>
      <c r="AA289" s="236"/>
      <c r="AD289" s="233">
        <v>44938</v>
      </c>
    </row>
    <row r="290" spans="1:30">
      <c r="A290" s="291">
        <f>COUNTA($E$3:E290)</f>
        <v>288</v>
      </c>
      <c r="B290" s="291" t="s">
        <v>4573</v>
      </c>
      <c r="C290" s="291" t="s">
        <v>4571</v>
      </c>
      <c r="D290" s="291" t="s">
        <v>2885</v>
      </c>
      <c r="E290" s="291" t="s">
        <v>4574</v>
      </c>
      <c r="F290" s="292">
        <v>44911.689370057873</v>
      </c>
      <c r="G290" s="292"/>
      <c r="H290" s="292"/>
      <c r="I290" s="292"/>
      <c r="J290" s="292" t="s">
        <v>5</v>
      </c>
      <c r="K290" s="291" t="s">
        <v>1105</v>
      </c>
      <c r="L290" s="214" t="s">
        <v>297</v>
      </c>
      <c r="M290" s="223">
        <v>44935</v>
      </c>
      <c r="N290" s="220" t="s">
        <v>2413</v>
      </c>
      <c r="O290" s="223">
        <v>44958</v>
      </c>
      <c r="P290" s="222"/>
      <c r="R290" t="s">
        <v>26</v>
      </c>
      <c r="AA290" s="236"/>
      <c r="AD290" s="233">
        <v>44958</v>
      </c>
    </row>
    <row r="291" spans="1:30">
      <c r="A291" s="291">
        <f>COUNTA($E$3:E291)</f>
        <v>289</v>
      </c>
      <c r="B291" s="291" t="s">
        <v>4570</v>
      </c>
      <c r="C291" s="291" t="s">
        <v>4571</v>
      </c>
      <c r="D291" s="291" t="s">
        <v>2888</v>
      </c>
      <c r="E291" s="291" t="s">
        <v>4572</v>
      </c>
      <c r="F291" s="292">
        <v>44911.688787581021</v>
      </c>
      <c r="G291" s="292"/>
      <c r="H291" s="292"/>
      <c r="I291" s="292"/>
      <c r="J291" s="292" t="s">
        <v>5</v>
      </c>
      <c r="K291" s="291" t="s">
        <v>1105</v>
      </c>
      <c r="L291" s="214" t="s">
        <v>297</v>
      </c>
      <c r="M291" s="223">
        <v>44935</v>
      </c>
      <c r="N291" s="220" t="s">
        <v>2413</v>
      </c>
      <c r="O291" s="223">
        <v>44958</v>
      </c>
      <c r="P291" s="222"/>
      <c r="R291" t="s">
        <v>26</v>
      </c>
      <c r="AA291" s="236"/>
      <c r="AD291" s="233">
        <v>44958</v>
      </c>
    </row>
    <row r="292" spans="1:30">
      <c r="A292" s="291">
        <f>COUNTA($E$3:E292)</f>
        <v>290</v>
      </c>
      <c r="B292" s="291" t="s">
        <v>4201</v>
      </c>
      <c r="C292" s="291" t="s">
        <v>4202</v>
      </c>
      <c r="D292" s="291" t="s">
        <v>1095</v>
      </c>
      <c r="E292" s="291" t="s">
        <v>4203</v>
      </c>
      <c r="F292" s="292">
        <v>44852</v>
      </c>
      <c r="G292" s="292"/>
      <c r="H292" s="292"/>
      <c r="I292" s="292" t="s">
        <v>59</v>
      </c>
      <c r="J292" s="292" t="s">
        <v>3</v>
      </c>
      <c r="K292" s="291" t="s">
        <v>1500</v>
      </c>
      <c r="L292" s="214" t="s">
        <v>1310</v>
      </c>
      <c r="M292" s="223">
        <v>44929</v>
      </c>
      <c r="N292" s="220" t="s">
        <v>4648</v>
      </c>
      <c r="O292" s="223">
        <v>44966</v>
      </c>
      <c r="P292" s="223"/>
      <c r="R292" t="s">
        <v>138</v>
      </c>
      <c r="AA292" s="236"/>
      <c r="AD292" s="233">
        <v>44966</v>
      </c>
    </row>
    <row r="293" spans="1:30">
      <c r="A293" s="291">
        <f>COUNTA($E$3:E293)</f>
        <v>291</v>
      </c>
      <c r="B293" s="291" t="s">
        <v>4315</v>
      </c>
      <c r="C293" s="291" t="s">
        <v>45</v>
      </c>
      <c r="D293" s="291" t="s">
        <v>1127</v>
      </c>
      <c r="E293" s="291" t="s">
        <v>4346</v>
      </c>
      <c r="F293" s="292">
        <v>44876</v>
      </c>
      <c r="G293" s="292">
        <v>44879</v>
      </c>
      <c r="H293" s="292"/>
      <c r="I293" s="292" t="s">
        <v>70</v>
      </c>
      <c r="J293" s="292" t="s">
        <v>3</v>
      </c>
      <c r="K293" s="291" t="s">
        <v>2506</v>
      </c>
      <c r="L293" s="214" t="s">
        <v>297</v>
      </c>
      <c r="M293" s="223">
        <v>44929</v>
      </c>
      <c r="N293" s="220" t="s">
        <v>4650</v>
      </c>
      <c r="O293" s="223">
        <v>44929</v>
      </c>
      <c r="P293" s="222"/>
      <c r="R293" t="s">
        <v>26</v>
      </c>
      <c r="AA293" s="236"/>
      <c r="AD293" s="233">
        <v>44929</v>
      </c>
    </row>
    <row r="294" spans="1:30">
      <c r="A294" s="291">
        <f>COUNTA($E$3:E294)</f>
        <v>292</v>
      </c>
      <c r="B294" s="291" t="s">
        <v>4045</v>
      </c>
      <c r="C294" s="291" t="s">
        <v>45</v>
      </c>
      <c r="D294" s="291" t="s">
        <v>36</v>
      </c>
      <c r="E294" s="291" t="s">
        <v>4046</v>
      </c>
      <c r="F294" s="292">
        <v>44834</v>
      </c>
      <c r="G294" s="292">
        <v>44844</v>
      </c>
      <c r="H294" s="292"/>
      <c r="I294" s="292" t="s">
        <v>70</v>
      </c>
      <c r="J294" s="292" t="s">
        <v>3</v>
      </c>
      <c r="K294" s="291" t="s">
        <v>4123</v>
      </c>
      <c r="L294" s="214" t="s">
        <v>297</v>
      </c>
      <c r="M294" s="223">
        <v>44929</v>
      </c>
      <c r="N294" s="220" t="s">
        <v>4647</v>
      </c>
      <c r="O294" s="223">
        <v>44929</v>
      </c>
      <c r="P294" s="222"/>
      <c r="R294" t="s">
        <v>26</v>
      </c>
      <c r="AA294" s="236"/>
      <c r="AD294" s="233">
        <v>44929</v>
      </c>
    </row>
    <row r="295" spans="1:30">
      <c r="A295" s="291">
        <f>COUNTA($E$3:E295)</f>
        <v>293</v>
      </c>
      <c r="B295" s="291" t="s">
        <v>4620</v>
      </c>
      <c r="C295" s="291" t="s">
        <v>45</v>
      </c>
      <c r="D295" s="291" t="s">
        <v>34</v>
      </c>
      <c r="E295" s="291" t="s">
        <v>2996</v>
      </c>
      <c r="F295" s="292">
        <v>44921</v>
      </c>
      <c r="G295" s="292"/>
      <c r="H295" s="292"/>
      <c r="I295" s="292"/>
      <c r="J295" s="292" t="s">
        <v>3</v>
      </c>
      <c r="K295" s="291" t="s">
        <v>4621</v>
      </c>
      <c r="L295" s="214" t="s">
        <v>1309</v>
      </c>
      <c r="M295" s="223">
        <v>44929</v>
      </c>
      <c r="N295" s="220" t="s">
        <v>2393</v>
      </c>
      <c r="O295" s="223">
        <v>44929</v>
      </c>
      <c r="P295" s="222"/>
      <c r="R295" t="s">
        <v>26</v>
      </c>
      <c r="AA295" s="236"/>
      <c r="AD295" s="233">
        <v>44929</v>
      </c>
    </row>
    <row r="296" spans="1:30">
      <c r="A296" s="291">
        <f>COUNTA($E$3:E296)</f>
        <v>294</v>
      </c>
      <c r="B296" s="291" t="s">
        <v>4612</v>
      </c>
      <c r="C296" s="291" t="s">
        <v>41</v>
      </c>
      <c r="D296" s="291" t="s">
        <v>38</v>
      </c>
      <c r="E296" s="291" t="s">
        <v>1119</v>
      </c>
      <c r="F296" s="292">
        <v>44918</v>
      </c>
      <c r="G296" s="292"/>
      <c r="H296" s="292"/>
      <c r="I296" s="292"/>
      <c r="J296" s="292" t="s">
        <v>4</v>
      </c>
      <c r="K296" s="291" t="s">
        <v>1227</v>
      </c>
      <c r="L296" s="214" t="s">
        <v>1302</v>
      </c>
      <c r="M296" s="223">
        <v>44929</v>
      </c>
      <c r="N296" s="220" t="s">
        <v>4651</v>
      </c>
      <c r="O296" s="223">
        <v>44977</v>
      </c>
      <c r="P296" s="223"/>
      <c r="R296" t="s">
        <v>138</v>
      </c>
      <c r="AA296" s="236"/>
      <c r="AD296" s="233">
        <v>44977</v>
      </c>
    </row>
    <row r="297" spans="1:30">
      <c r="A297" s="291">
        <f>COUNTA($E$3:E297)</f>
        <v>295</v>
      </c>
      <c r="B297" s="291" t="s">
        <v>4545</v>
      </c>
      <c r="C297" s="291" t="s">
        <v>45</v>
      </c>
      <c r="D297" s="291" t="s">
        <v>55</v>
      </c>
      <c r="E297" s="291" t="s">
        <v>4546</v>
      </c>
      <c r="F297" s="292">
        <v>44909.773326377297</v>
      </c>
      <c r="G297" s="292"/>
      <c r="H297" s="292"/>
      <c r="I297" s="292"/>
      <c r="J297" s="292" t="s">
        <v>4</v>
      </c>
      <c r="K297" s="291" t="s">
        <v>1664</v>
      </c>
      <c r="L297" s="214" t="s">
        <v>1310</v>
      </c>
      <c r="M297" s="223">
        <v>44929</v>
      </c>
      <c r="N297" s="220"/>
      <c r="O297" s="223"/>
      <c r="P297" s="222" t="s">
        <v>5053</v>
      </c>
      <c r="R297" t="s">
        <v>138</v>
      </c>
      <c r="AA297" s="236"/>
      <c r="AD297" s="233"/>
    </row>
    <row r="298" spans="1:30">
      <c r="A298" s="291">
        <f>COUNTA($E$3:E298)</f>
        <v>296</v>
      </c>
      <c r="B298" s="291" t="s">
        <v>4601</v>
      </c>
      <c r="C298" s="291" t="s">
        <v>41</v>
      </c>
      <c r="D298" s="291" t="s">
        <v>34</v>
      </c>
      <c r="E298" s="291" t="s">
        <v>3514</v>
      </c>
      <c r="F298" s="292">
        <v>44918.725987048601</v>
      </c>
      <c r="G298" s="292"/>
      <c r="H298" s="292"/>
      <c r="I298" s="292"/>
      <c r="J298" s="292" t="s">
        <v>4</v>
      </c>
      <c r="K298" s="291" t="s">
        <v>2233</v>
      </c>
      <c r="L298" s="214" t="s">
        <v>1311</v>
      </c>
      <c r="M298" s="223">
        <v>44929</v>
      </c>
      <c r="N298" s="220" t="s">
        <v>2393</v>
      </c>
      <c r="O298" s="223">
        <v>45021</v>
      </c>
      <c r="P298" s="222"/>
      <c r="R298" t="s">
        <v>138</v>
      </c>
      <c r="AA298" s="236"/>
      <c r="AD298" s="233">
        <v>45021</v>
      </c>
    </row>
    <row r="299" spans="1:30">
      <c r="A299" s="291">
        <f>COUNTA($E$3:E299)</f>
        <v>297</v>
      </c>
      <c r="B299" s="291" t="s">
        <v>4608</v>
      </c>
      <c r="C299" s="291" t="s">
        <v>45</v>
      </c>
      <c r="D299" s="291" t="s">
        <v>1216</v>
      </c>
      <c r="E299" s="291" t="s">
        <v>3658</v>
      </c>
      <c r="F299" s="292">
        <v>44918.729610532399</v>
      </c>
      <c r="G299" s="292"/>
      <c r="H299" s="292"/>
      <c r="I299" s="292"/>
      <c r="J299" s="292" t="s">
        <v>4</v>
      </c>
      <c r="K299" s="291" t="s">
        <v>1500</v>
      </c>
      <c r="L299" s="214" t="s">
        <v>1311</v>
      </c>
      <c r="M299" s="223">
        <v>44929</v>
      </c>
      <c r="N299" s="220"/>
      <c r="O299" s="223"/>
      <c r="P299" s="222" t="s">
        <v>5053</v>
      </c>
      <c r="R299" t="s">
        <v>138</v>
      </c>
      <c r="AA299" s="236"/>
      <c r="AD299" s="233"/>
    </row>
    <row r="300" spans="1:30">
      <c r="A300" s="291">
        <f>COUNTA($E$3:E300)</f>
        <v>298</v>
      </c>
      <c r="B300" s="291" t="s">
        <v>4622</v>
      </c>
      <c r="C300" s="291" t="s">
        <v>1118</v>
      </c>
      <c r="D300" s="291" t="s">
        <v>1110</v>
      </c>
      <c r="E300" s="291" t="s">
        <v>2852</v>
      </c>
      <c r="F300" s="292">
        <v>44921</v>
      </c>
      <c r="G300" s="292"/>
      <c r="H300" s="292"/>
      <c r="I300" s="292"/>
      <c r="J300" s="292" t="s">
        <v>4</v>
      </c>
      <c r="K300" s="291" t="s">
        <v>1105</v>
      </c>
      <c r="L300" s="214" t="s">
        <v>1302</v>
      </c>
      <c r="M300" s="223">
        <v>44929</v>
      </c>
      <c r="N300" s="220"/>
      <c r="O300" s="223"/>
      <c r="P300" s="222" t="s">
        <v>5053</v>
      </c>
      <c r="R300" t="s">
        <v>138</v>
      </c>
      <c r="AA300" s="236"/>
      <c r="AD300" s="233"/>
    </row>
    <row r="301" spans="1:30">
      <c r="A301" s="291">
        <f>COUNTA($E$3:E301)</f>
        <v>299</v>
      </c>
      <c r="B301" s="291" t="s">
        <v>4623</v>
      </c>
      <c r="C301" s="291" t="s">
        <v>2510</v>
      </c>
      <c r="D301" s="291" t="s">
        <v>68</v>
      </c>
      <c r="E301" s="291" t="s">
        <v>4624</v>
      </c>
      <c r="F301" s="292">
        <v>44923</v>
      </c>
      <c r="G301" s="292"/>
      <c r="H301" s="292"/>
      <c r="I301" s="292"/>
      <c r="J301" s="292" t="s">
        <v>4</v>
      </c>
      <c r="K301" s="291" t="s">
        <v>3102</v>
      </c>
      <c r="L301" s="214" t="s">
        <v>1309</v>
      </c>
      <c r="M301" s="223">
        <v>44929</v>
      </c>
      <c r="N301" s="220" t="s">
        <v>2392</v>
      </c>
      <c r="O301" s="223">
        <v>44930</v>
      </c>
      <c r="P301" s="222"/>
      <c r="R301" t="s">
        <v>138</v>
      </c>
      <c r="AA301" s="236"/>
      <c r="AD301" s="233">
        <v>44930</v>
      </c>
    </row>
    <row r="302" spans="1:30">
      <c r="A302" s="291">
        <f>COUNTA($E$3:E302)</f>
        <v>300</v>
      </c>
      <c r="B302" s="291" t="s">
        <v>4627</v>
      </c>
      <c r="C302" s="291" t="s">
        <v>41</v>
      </c>
      <c r="D302" s="291" t="s">
        <v>38</v>
      </c>
      <c r="E302" s="291" t="s">
        <v>4628</v>
      </c>
      <c r="F302" s="292">
        <v>44921</v>
      </c>
      <c r="G302" s="292"/>
      <c r="H302" s="292"/>
      <c r="I302" s="292"/>
      <c r="J302" s="292" t="s">
        <v>4</v>
      </c>
      <c r="K302" s="291" t="s">
        <v>1664</v>
      </c>
      <c r="L302" s="214" t="s">
        <v>1302</v>
      </c>
      <c r="M302" s="223">
        <v>44929</v>
      </c>
      <c r="N302" s="220"/>
      <c r="O302" s="223"/>
      <c r="P302" s="222" t="s">
        <v>5053</v>
      </c>
      <c r="R302" t="s">
        <v>138</v>
      </c>
      <c r="AA302" s="236"/>
      <c r="AD302" s="233"/>
    </row>
    <row r="303" spans="1:30">
      <c r="A303" s="291">
        <f>COUNTA($E$3:E303)</f>
        <v>301</v>
      </c>
      <c r="B303" s="291" t="s">
        <v>4629</v>
      </c>
      <c r="C303" s="291" t="s">
        <v>41</v>
      </c>
      <c r="D303" s="291" t="s">
        <v>38</v>
      </c>
      <c r="E303" s="291" t="s">
        <v>4630</v>
      </c>
      <c r="F303" s="292">
        <v>44921</v>
      </c>
      <c r="G303" s="292"/>
      <c r="H303" s="292"/>
      <c r="I303" s="292"/>
      <c r="J303" s="292" t="s">
        <v>4</v>
      </c>
      <c r="K303" s="291" t="s">
        <v>1681</v>
      </c>
      <c r="L303" s="214" t="s">
        <v>1302</v>
      </c>
      <c r="M303" s="223">
        <v>44929</v>
      </c>
      <c r="N303" s="220" t="s">
        <v>2392</v>
      </c>
      <c r="O303" s="223">
        <v>44959</v>
      </c>
      <c r="P303" s="223"/>
      <c r="R303" t="s">
        <v>138</v>
      </c>
      <c r="AA303" s="236"/>
      <c r="AD303" s="233">
        <v>44959</v>
      </c>
    </row>
    <row r="304" spans="1:30">
      <c r="A304" s="291">
        <f>COUNTA($E$3:E304)</f>
        <v>302</v>
      </c>
      <c r="B304" s="291" t="s">
        <v>4631</v>
      </c>
      <c r="C304" s="291" t="s">
        <v>41</v>
      </c>
      <c r="D304" s="291" t="s">
        <v>34</v>
      </c>
      <c r="E304" s="291" t="s">
        <v>4632</v>
      </c>
      <c r="F304" s="292">
        <v>44921</v>
      </c>
      <c r="G304" s="292"/>
      <c r="H304" s="292"/>
      <c r="I304" s="292"/>
      <c r="J304" s="292" t="s">
        <v>4</v>
      </c>
      <c r="K304" s="291" t="s">
        <v>1500</v>
      </c>
      <c r="L304" s="214" t="s">
        <v>1302</v>
      </c>
      <c r="M304" s="223">
        <v>44929</v>
      </c>
      <c r="N304" s="220"/>
      <c r="O304" s="223"/>
      <c r="P304" s="222" t="s">
        <v>5053</v>
      </c>
      <c r="R304" t="s">
        <v>138</v>
      </c>
      <c r="AA304" s="236"/>
      <c r="AD304" s="233"/>
    </row>
    <row r="305" spans="1:30">
      <c r="A305" s="291">
        <f>COUNTA($E$3:E305)</f>
        <v>303</v>
      </c>
      <c r="B305" s="291" t="s">
        <v>4602</v>
      </c>
      <c r="C305" s="291" t="s">
        <v>41</v>
      </c>
      <c r="D305" s="291" t="s">
        <v>38</v>
      </c>
      <c r="E305" s="291" t="s">
        <v>1860</v>
      </c>
      <c r="F305" s="292">
        <v>44918.726548969898</v>
      </c>
      <c r="G305" s="292"/>
      <c r="H305" s="292"/>
      <c r="I305" s="292"/>
      <c r="J305" s="292" t="s">
        <v>4</v>
      </c>
      <c r="K305" s="291" t="s">
        <v>1227</v>
      </c>
      <c r="L305" s="214" t="s">
        <v>1310</v>
      </c>
      <c r="M305" s="223">
        <v>44929</v>
      </c>
      <c r="N305" s="220" t="s">
        <v>2392</v>
      </c>
      <c r="O305" s="223">
        <v>44977</v>
      </c>
      <c r="P305" s="223"/>
      <c r="R305" t="s">
        <v>138</v>
      </c>
      <c r="AA305" s="236"/>
      <c r="AD305" s="233">
        <v>44977</v>
      </c>
    </row>
    <row r="306" spans="1:30">
      <c r="A306" s="291">
        <f>COUNTA($E$3:E306)</f>
        <v>304</v>
      </c>
      <c r="B306" s="291" t="s">
        <v>4640</v>
      </c>
      <c r="C306" s="291" t="s">
        <v>2752</v>
      </c>
      <c r="D306" s="291" t="s">
        <v>1279</v>
      </c>
      <c r="E306" s="291" t="s">
        <v>4641</v>
      </c>
      <c r="F306" s="292">
        <v>44923</v>
      </c>
      <c r="G306" s="292"/>
      <c r="H306" s="292"/>
      <c r="I306" s="292"/>
      <c r="J306" s="292" t="s">
        <v>5</v>
      </c>
      <c r="K306" s="291" t="s">
        <v>2220</v>
      </c>
      <c r="L306" s="214" t="s">
        <v>2384</v>
      </c>
      <c r="M306" s="223">
        <v>44929</v>
      </c>
      <c r="N306" s="220" t="s">
        <v>2391</v>
      </c>
      <c r="O306" s="223">
        <v>45291</v>
      </c>
      <c r="P306" s="222"/>
      <c r="R306" t="s">
        <v>26</v>
      </c>
      <c r="AA306" s="236"/>
      <c r="AD306" s="233">
        <v>45291</v>
      </c>
    </row>
    <row r="307" spans="1:30">
      <c r="A307" s="291">
        <f>COUNTA($E$3:E307)</f>
        <v>305</v>
      </c>
      <c r="B307" s="291" t="s">
        <v>4589</v>
      </c>
      <c r="C307" s="291" t="s">
        <v>4590</v>
      </c>
      <c r="D307" s="291" t="s">
        <v>56</v>
      </c>
      <c r="E307" s="291" t="s">
        <v>4591</v>
      </c>
      <c r="F307" s="292">
        <v>44917</v>
      </c>
      <c r="G307" s="292"/>
      <c r="H307" s="292"/>
      <c r="I307" s="292"/>
      <c r="J307" s="292" t="s">
        <v>5</v>
      </c>
      <c r="K307" s="291" t="s">
        <v>1170</v>
      </c>
      <c r="L307" s="214" t="s">
        <v>1309</v>
      </c>
      <c r="M307" s="223">
        <v>44929</v>
      </c>
      <c r="N307" s="220" t="s">
        <v>4652</v>
      </c>
      <c r="O307" s="223">
        <v>45291</v>
      </c>
      <c r="P307" s="223"/>
      <c r="R307" t="s">
        <v>26</v>
      </c>
      <c r="AA307" s="236"/>
      <c r="AD307" s="233">
        <v>45291</v>
      </c>
    </row>
    <row r="308" spans="1:30">
      <c r="A308" s="291">
        <f>COUNTA($E$3:E308)</f>
        <v>306</v>
      </c>
      <c r="B308" s="291" t="s">
        <v>4232</v>
      </c>
      <c r="C308" s="291" t="s">
        <v>1118</v>
      </c>
      <c r="D308" s="291" t="s">
        <v>1110</v>
      </c>
      <c r="E308" s="291" t="s">
        <v>4233</v>
      </c>
      <c r="F308" s="292">
        <v>44860</v>
      </c>
      <c r="G308" s="292">
        <v>44872</v>
      </c>
      <c r="H308" s="292"/>
      <c r="I308" s="292"/>
      <c r="J308" s="292" t="s">
        <v>5</v>
      </c>
      <c r="K308" s="291" t="s">
        <v>1105</v>
      </c>
      <c r="L308" s="214" t="s">
        <v>1302</v>
      </c>
      <c r="M308" s="223">
        <v>44929</v>
      </c>
      <c r="N308" s="220" t="s">
        <v>4649</v>
      </c>
      <c r="O308" s="223">
        <v>44943</v>
      </c>
      <c r="P308" s="223"/>
      <c r="R308" t="s">
        <v>138</v>
      </c>
      <c r="AA308" s="236"/>
      <c r="AD308" s="233">
        <v>44943</v>
      </c>
    </row>
    <row r="309" spans="1:30">
      <c r="A309" s="291">
        <f>COUNTA($E$3:E309)</f>
        <v>307</v>
      </c>
      <c r="B309" s="291" t="s">
        <v>4635</v>
      </c>
      <c r="C309" s="291" t="s">
        <v>1118</v>
      </c>
      <c r="D309" s="291" t="s">
        <v>1110</v>
      </c>
      <c r="E309" s="291" t="s">
        <v>3870</v>
      </c>
      <c r="F309" s="292">
        <v>44923</v>
      </c>
      <c r="G309" s="292"/>
      <c r="H309" s="292"/>
      <c r="I309" s="292"/>
      <c r="J309" s="292" t="s">
        <v>5</v>
      </c>
      <c r="K309" s="291" t="s">
        <v>1105</v>
      </c>
      <c r="L309" s="214" t="s">
        <v>1302</v>
      </c>
      <c r="M309" s="223">
        <v>44929</v>
      </c>
      <c r="N309" s="220"/>
      <c r="O309" s="223"/>
      <c r="P309" s="222" t="s">
        <v>5053</v>
      </c>
      <c r="R309" t="s">
        <v>138</v>
      </c>
      <c r="AA309" s="236"/>
      <c r="AD309" s="233"/>
    </row>
    <row r="310" spans="1:30">
      <c r="A310" s="291">
        <f>COUNTA($E$3:E310)</f>
        <v>308</v>
      </c>
      <c r="B310" s="291" t="s">
        <v>4600</v>
      </c>
      <c r="C310" s="291" t="s">
        <v>1118</v>
      </c>
      <c r="D310" s="291" t="s">
        <v>20</v>
      </c>
      <c r="E310" s="291" t="s">
        <v>2868</v>
      </c>
      <c r="F310" s="292">
        <v>44918</v>
      </c>
      <c r="G310" s="292">
        <v>44921</v>
      </c>
      <c r="H310" s="292">
        <v>44921</v>
      </c>
      <c r="I310" s="292">
        <v>44921</v>
      </c>
      <c r="J310" s="292" t="s">
        <v>3</v>
      </c>
      <c r="K310" s="291" t="s">
        <v>1738</v>
      </c>
      <c r="L310" s="214" t="s">
        <v>1311</v>
      </c>
      <c r="M310" s="223">
        <v>44921</v>
      </c>
      <c r="N310" s="220"/>
      <c r="O310" s="223">
        <v>45021</v>
      </c>
      <c r="P310" s="223" t="s">
        <v>5053</v>
      </c>
      <c r="R310" t="s">
        <v>138</v>
      </c>
      <c r="AA310" s="236"/>
      <c r="AD310" s="233">
        <v>45021</v>
      </c>
    </row>
    <row r="311" spans="1:30">
      <c r="A311" s="291">
        <f>COUNTA($E$3:E311)</f>
        <v>309</v>
      </c>
      <c r="B311" s="291" t="s">
        <v>4599</v>
      </c>
      <c r="C311" s="291" t="s">
        <v>45</v>
      </c>
      <c r="D311" s="291" t="s">
        <v>36</v>
      </c>
      <c r="E311" s="291" t="s">
        <v>3624</v>
      </c>
      <c r="F311" s="292">
        <v>44917</v>
      </c>
      <c r="G311" s="292"/>
      <c r="H311" s="292"/>
      <c r="I311" s="292"/>
      <c r="J311" s="292" t="s">
        <v>3</v>
      </c>
      <c r="K311" s="291" t="s">
        <v>3783</v>
      </c>
      <c r="L311" s="214" t="s">
        <v>1310</v>
      </c>
      <c r="M311" s="223">
        <v>44921</v>
      </c>
      <c r="N311" s="220" t="s">
        <v>2347</v>
      </c>
      <c r="O311" s="223">
        <v>44959</v>
      </c>
      <c r="P311" s="222"/>
      <c r="R311" t="s">
        <v>138</v>
      </c>
      <c r="AA311" s="236"/>
      <c r="AD311" s="233">
        <v>44959</v>
      </c>
    </row>
    <row r="312" spans="1:30">
      <c r="A312" s="291">
        <f>COUNTA($E$3:E312)</f>
        <v>310</v>
      </c>
      <c r="B312" s="291" t="s">
        <v>4581</v>
      </c>
      <c r="C312" s="291" t="s">
        <v>45</v>
      </c>
      <c r="D312" s="291" t="s">
        <v>1136</v>
      </c>
      <c r="E312" s="291" t="s">
        <v>1196</v>
      </c>
      <c r="F312" s="292">
        <v>44916</v>
      </c>
      <c r="G312" s="292"/>
      <c r="H312" s="292"/>
      <c r="I312" s="292"/>
      <c r="J312" s="292" t="s">
        <v>3</v>
      </c>
      <c r="K312" s="291" t="s">
        <v>2691</v>
      </c>
      <c r="L312" s="214"/>
      <c r="M312" s="223">
        <v>44921</v>
      </c>
      <c r="N312" s="220" t="s">
        <v>4598</v>
      </c>
      <c r="O312" s="223">
        <v>44927</v>
      </c>
      <c r="P312" s="222"/>
      <c r="R312" t="s">
        <v>26</v>
      </c>
      <c r="AA312" s="236"/>
      <c r="AD312" s="233">
        <v>44927</v>
      </c>
    </row>
    <row r="313" spans="1:30">
      <c r="A313" s="291">
        <f>COUNTA($E$3:E313)</f>
        <v>311</v>
      </c>
      <c r="B313" s="291" t="s">
        <v>4218</v>
      </c>
      <c r="C313" s="291" t="s">
        <v>4195</v>
      </c>
      <c r="D313" s="291" t="s">
        <v>20</v>
      </c>
      <c r="E313" s="291" t="s">
        <v>4219</v>
      </c>
      <c r="F313" s="292">
        <v>44860</v>
      </c>
      <c r="G313" s="292">
        <v>44862</v>
      </c>
      <c r="H313" s="292"/>
      <c r="I313" s="292">
        <v>44861</v>
      </c>
      <c r="J313" s="292" t="s">
        <v>3</v>
      </c>
      <c r="K313" s="291" t="s">
        <v>4220</v>
      </c>
      <c r="L313" s="214"/>
      <c r="M313" s="223">
        <v>44921</v>
      </c>
      <c r="N313" s="220" t="s">
        <v>4597</v>
      </c>
      <c r="O313" s="223">
        <v>44921</v>
      </c>
      <c r="P313" s="223"/>
      <c r="R313" t="s">
        <v>26</v>
      </c>
      <c r="AA313" s="236"/>
      <c r="AD313" s="233">
        <v>44921</v>
      </c>
    </row>
    <row r="314" spans="1:30">
      <c r="A314" s="291">
        <f>COUNTA($E$3:E314)</f>
        <v>312</v>
      </c>
      <c r="B314" s="291" t="s">
        <v>4592</v>
      </c>
      <c r="C314" s="291" t="s">
        <v>41</v>
      </c>
      <c r="D314" s="291" t="s">
        <v>34</v>
      </c>
      <c r="E314" s="291" t="s">
        <v>4593</v>
      </c>
      <c r="F314" s="292">
        <v>44917</v>
      </c>
      <c r="G314" s="292"/>
      <c r="H314" s="292"/>
      <c r="I314" s="292"/>
      <c r="J314" s="292" t="s">
        <v>4</v>
      </c>
      <c r="K314" s="291" t="s">
        <v>1500</v>
      </c>
      <c r="L314" s="214" t="s">
        <v>1302</v>
      </c>
      <c r="M314" s="223">
        <v>44921</v>
      </c>
      <c r="N314" s="220"/>
      <c r="O314" s="223"/>
      <c r="P314" s="222" t="s">
        <v>5053</v>
      </c>
      <c r="R314" t="s">
        <v>138</v>
      </c>
      <c r="AA314" s="236"/>
      <c r="AD314" s="233"/>
    </row>
    <row r="315" spans="1:30">
      <c r="A315" s="291">
        <f>COUNTA($E$3:E315)</f>
        <v>313</v>
      </c>
      <c r="B315" s="291" t="s">
        <v>4553</v>
      </c>
      <c r="C315" s="291" t="s">
        <v>3857</v>
      </c>
      <c r="D315" s="291" t="s">
        <v>23</v>
      </c>
      <c r="E315" s="291" t="s">
        <v>3725</v>
      </c>
      <c r="F315" s="292">
        <v>44909.789760624997</v>
      </c>
      <c r="G315" s="292"/>
      <c r="H315" s="292"/>
      <c r="I315" s="292"/>
      <c r="J315" s="292" t="s">
        <v>4</v>
      </c>
      <c r="K315" s="291" t="s">
        <v>21</v>
      </c>
      <c r="L315" s="214" t="s">
        <v>1310</v>
      </c>
      <c r="M315" s="223">
        <v>44921</v>
      </c>
      <c r="N315" s="220" t="s">
        <v>2347</v>
      </c>
      <c r="O315" s="223">
        <v>44937</v>
      </c>
      <c r="P315" s="222"/>
      <c r="R315" t="s">
        <v>138</v>
      </c>
      <c r="AA315" s="236"/>
      <c r="AD315" s="233">
        <v>44937</v>
      </c>
    </row>
    <row r="316" spans="1:30">
      <c r="A316" s="291">
        <f>COUNTA($E$3:E316)</f>
        <v>314</v>
      </c>
      <c r="B316" s="291" t="s">
        <v>4528</v>
      </c>
      <c r="C316" s="291" t="s">
        <v>25</v>
      </c>
      <c r="D316" s="291" t="s">
        <v>2777</v>
      </c>
      <c r="E316" s="291" t="s">
        <v>4529</v>
      </c>
      <c r="F316" s="292">
        <v>44909</v>
      </c>
      <c r="G316" s="292"/>
      <c r="H316" s="292"/>
      <c r="I316" s="292"/>
      <c r="J316" s="292" t="s">
        <v>4</v>
      </c>
      <c r="K316" s="291" t="s">
        <v>1765</v>
      </c>
      <c r="L316" s="214" t="s">
        <v>1310</v>
      </c>
      <c r="M316" s="223">
        <v>44921</v>
      </c>
      <c r="N316" s="220"/>
      <c r="O316" s="223"/>
      <c r="P316" s="222" t="s">
        <v>5053</v>
      </c>
      <c r="R316" t="s">
        <v>138</v>
      </c>
      <c r="AA316" s="236"/>
      <c r="AD316" s="233"/>
    </row>
    <row r="317" spans="1:30">
      <c r="A317" s="291">
        <f>COUNTA($E$3:E317)</f>
        <v>315</v>
      </c>
      <c r="B317" s="291" t="s">
        <v>4459</v>
      </c>
      <c r="C317" s="291" t="s">
        <v>4460</v>
      </c>
      <c r="D317" s="291" t="s">
        <v>111</v>
      </c>
      <c r="E317" s="291" t="s">
        <v>4461</v>
      </c>
      <c r="F317" s="292">
        <v>44901</v>
      </c>
      <c r="G317" s="292">
        <v>44909</v>
      </c>
      <c r="H317" s="292">
        <v>44921</v>
      </c>
      <c r="I317" s="292">
        <v>44909</v>
      </c>
      <c r="J317" s="292" t="s">
        <v>4</v>
      </c>
      <c r="K317" s="291" t="s">
        <v>1951</v>
      </c>
      <c r="L317" s="214" t="s">
        <v>134</v>
      </c>
      <c r="M317" s="223">
        <v>44921</v>
      </c>
      <c r="N317" s="220"/>
      <c r="O317" s="223"/>
      <c r="P317" s="222"/>
      <c r="R317" t="s">
        <v>138</v>
      </c>
      <c r="AA317" s="236"/>
      <c r="AD317" s="233"/>
    </row>
    <row r="318" spans="1:30">
      <c r="A318" s="291">
        <f>COUNTA($E$3:E318)</f>
        <v>316</v>
      </c>
      <c r="B318" s="291" t="s">
        <v>4330</v>
      </c>
      <c r="C318" s="291" t="s">
        <v>45</v>
      </c>
      <c r="D318" s="291" t="s">
        <v>55</v>
      </c>
      <c r="E318" s="291" t="s">
        <v>3050</v>
      </c>
      <c r="F318" s="292">
        <v>44875</v>
      </c>
      <c r="G318" s="292">
        <v>44883</v>
      </c>
      <c r="H318" s="292"/>
      <c r="I318" s="292" t="s">
        <v>70</v>
      </c>
      <c r="J318" s="292" t="s">
        <v>4</v>
      </c>
      <c r="K318" s="291" t="s">
        <v>1500</v>
      </c>
      <c r="L318" s="214" t="s">
        <v>1310</v>
      </c>
      <c r="M318" s="223">
        <v>44921</v>
      </c>
      <c r="N318" s="220" t="s">
        <v>4616</v>
      </c>
      <c r="O318" s="223">
        <v>44921</v>
      </c>
      <c r="P318" s="222"/>
      <c r="R318" t="s">
        <v>138</v>
      </c>
      <c r="AA318" s="236"/>
      <c r="AD318" s="233">
        <v>44921</v>
      </c>
    </row>
    <row r="319" spans="1:30">
      <c r="A319" s="291">
        <f>COUNTA($E$3:E319)</f>
        <v>317</v>
      </c>
      <c r="B319" s="291" t="s">
        <v>4093</v>
      </c>
      <c r="C319" s="291" t="s">
        <v>45</v>
      </c>
      <c r="D319" s="291" t="s">
        <v>1127</v>
      </c>
      <c r="E319" s="291" t="s">
        <v>1243</v>
      </c>
      <c r="F319" s="292">
        <v>44838</v>
      </c>
      <c r="G319" s="292">
        <v>44846</v>
      </c>
      <c r="H319" s="292"/>
      <c r="I319" s="292" t="s">
        <v>70</v>
      </c>
      <c r="J319" s="292" t="s">
        <v>4</v>
      </c>
      <c r="K319" s="291" t="s">
        <v>1667</v>
      </c>
      <c r="L319" s="214" t="s">
        <v>1310</v>
      </c>
      <c r="M319" s="223">
        <v>44921</v>
      </c>
      <c r="N319" s="220"/>
      <c r="O319" s="223"/>
      <c r="P319" s="222" t="s">
        <v>5053</v>
      </c>
      <c r="R319" t="s">
        <v>138</v>
      </c>
      <c r="AA319" s="236"/>
      <c r="AD319" s="233"/>
    </row>
    <row r="320" spans="1:30">
      <c r="A320" s="291">
        <f>COUNTA($E$3:E320)</f>
        <v>318</v>
      </c>
      <c r="B320" s="291" t="s">
        <v>4188</v>
      </c>
      <c r="C320" s="291" t="s">
        <v>2396</v>
      </c>
      <c r="D320" s="291" t="s">
        <v>1279</v>
      </c>
      <c r="E320" s="291" t="s">
        <v>4199</v>
      </c>
      <c r="F320" s="292">
        <v>44851</v>
      </c>
      <c r="G320" s="292">
        <v>44858</v>
      </c>
      <c r="H320" s="292"/>
      <c r="I320" s="292">
        <v>44858</v>
      </c>
      <c r="J320" s="292" t="s">
        <v>5</v>
      </c>
      <c r="K320" s="291" t="s">
        <v>1722</v>
      </c>
      <c r="L320" s="214" t="s">
        <v>28</v>
      </c>
      <c r="M320" s="223">
        <v>44921</v>
      </c>
      <c r="N320" s="220" t="s">
        <v>4596</v>
      </c>
      <c r="O320" s="223">
        <v>44927</v>
      </c>
      <c r="P320" s="223"/>
      <c r="R320" t="s">
        <v>26</v>
      </c>
      <c r="AA320" s="236"/>
      <c r="AD320" s="233">
        <v>44927</v>
      </c>
    </row>
    <row r="321" spans="1:30">
      <c r="A321" s="291">
        <f>COUNTA($E$3:E321)</f>
        <v>319</v>
      </c>
      <c r="B321" s="291" t="s">
        <v>4499</v>
      </c>
      <c r="C321" s="291" t="s">
        <v>41</v>
      </c>
      <c r="D321" s="291" t="s">
        <v>34</v>
      </c>
      <c r="E321" s="291" t="s">
        <v>1684</v>
      </c>
      <c r="F321" s="292">
        <v>44907</v>
      </c>
      <c r="G321" s="292"/>
      <c r="H321" s="292"/>
      <c r="I321" s="292"/>
      <c r="J321" s="292" t="s">
        <v>3</v>
      </c>
      <c r="K321" s="291" t="s">
        <v>21</v>
      </c>
      <c r="L321" s="214" t="s">
        <v>1132</v>
      </c>
      <c r="M321" s="223">
        <v>44914</v>
      </c>
      <c r="N321" s="220" t="s">
        <v>2327</v>
      </c>
      <c r="O321" s="223">
        <v>44907</v>
      </c>
      <c r="P321" s="223"/>
      <c r="R321" t="s">
        <v>138</v>
      </c>
      <c r="AA321" s="236"/>
      <c r="AD321" s="233">
        <v>44907</v>
      </c>
    </row>
    <row r="322" spans="1:30">
      <c r="A322" s="291">
        <f>COUNTA($E$3:E322)</f>
        <v>320</v>
      </c>
      <c r="B322" s="291" t="s">
        <v>3858</v>
      </c>
      <c r="C322" s="291" t="s">
        <v>3859</v>
      </c>
      <c r="D322" s="291" t="s">
        <v>3860</v>
      </c>
      <c r="E322" s="291" t="s">
        <v>3861</v>
      </c>
      <c r="F322" s="292">
        <v>44803</v>
      </c>
      <c r="G322" s="292">
        <v>44809</v>
      </c>
      <c r="H322" s="292">
        <v>44803</v>
      </c>
      <c r="I322" s="292">
        <v>44803</v>
      </c>
      <c r="J322" s="292" t="s">
        <v>3</v>
      </c>
      <c r="K322" s="291" t="s">
        <v>3862</v>
      </c>
      <c r="L322" s="214" t="s">
        <v>1310</v>
      </c>
      <c r="M322" s="223">
        <v>44902</v>
      </c>
      <c r="N322" s="220"/>
      <c r="O322" s="223">
        <v>44985</v>
      </c>
      <c r="P322" s="222"/>
      <c r="R322" t="s">
        <v>138</v>
      </c>
      <c r="AA322" s="236"/>
      <c r="AD322" s="233">
        <v>44985</v>
      </c>
    </row>
    <row r="323" spans="1:30">
      <c r="A323" s="291">
        <f>COUNTA($E$3:E323)</f>
        <v>321</v>
      </c>
      <c r="B323" s="291" t="s">
        <v>4527</v>
      </c>
      <c r="C323" s="291" t="s">
        <v>45</v>
      </c>
      <c r="D323" s="291" t="s">
        <v>1115</v>
      </c>
      <c r="E323" s="291" t="s">
        <v>4285</v>
      </c>
      <c r="F323" s="292">
        <v>44909</v>
      </c>
      <c r="G323" s="292"/>
      <c r="H323" s="292"/>
      <c r="I323" s="292"/>
      <c r="J323" s="292" t="s">
        <v>4</v>
      </c>
      <c r="K323" s="291" t="s">
        <v>1665</v>
      </c>
      <c r="L323" s="214" t="s">
        <v>1289</v>
      </c>
      <c r="M323" s="223">
        <v>44914</v>
      </c>
      <c r="N323" s="220" t="s">
        <v>4544</v>
      </c>
      <c r="O323" s="223">
        <v>44967</v>
      </c>
      <c r="P323" s="222"/>
      <c r="R323" t="s">
        <v>138</v>
      </c>
      <c r="AA323" s="236"/>
      <c r="AD323" s="233">
        <v>44967</v>
      </c>
    </row>
    <row r="324" spans="1:30">
      <c r="A324" s="291">
        <f>COUNTA($E$3:E324)</f>
        <v>322</v>
      </c>
      <c r="B324" s="291" t="s">
        <v>4564</v>
      </c>
      <c r="C324" s="291" t="s">
        <v>1118</v>
      </c>
      <c r="D324" s="291" t="s">
        <v>20</v>
      </c>
      <c r="E324" s="291" t="s">
        <v>2870</v>
      </c>
      <c r="F324" s="292">
        <v>44910</v>
      </c>
      <c r="G324" s="292"/>
      <c r="H324" s="292"/>
      <c r="I324" s="292"/>
      <c r="J324" s="292" t="s">
        <v>3</v>
      </c>
      <c r="K324" s="291" t="s">
        <v>1687</v>
      </c>
      <c r="L324" s="214" t="s">
        <v>1114</v>
      </c>
      <c r="M324" s="223">
        <v>44914</v>
      </c>
      <c r="N324" s="220" t="s">
        <v>2377</v>
      </c>
      <c r="O324" s="223">
        <v>45005</v>
      </c>
      <c r="P324" s="222" t="s">
        <v>5053</v>
      </c>
      <c r="R324" t="s">
        <v>138</v>
      </c>
      <c r="AA324" s="236"/>
      <c r="AD324" s="233">
        <v>45005</v>
      </c>
    </row>
    <row r="325" spans="1:30">
      <c r="A325" s="291">
        <f>COUNTA($E$3:E325)</f>
        <v>323</v>
      </c>
      <c r="B325" s="291" t="s">
        <v>4489</v>
      </c>
      <c r="C325" s="291" t="s">
        <v>25</v>
      </c>
      <c r="D325" s="291" t="s">
        <v>34</v>
      </c>
      <c r="E325" s="291" t="s">
        <v>2670</v>
      </c>
      <c r="F325" s="292">
        <v>44904.746386990701</v>
      </c>
      <c r="G325" s="292"/>
      <c r="H325" s="292"/>
      <c r="I325" s="292"/>
      <c r="J325" s="292" t="s">
        <v>3</v>
      </c>
      <c r="K325" s="291" t="s">
        <v>1677</v>
      </c>
      <c r="L325" s="214" t="s">
        <v>297</v>
      </c>
      <c r="M325" s="223">
        <v>44914</v>
      </c>
      <c r="N325" s="220" t="s">
        <v>4578</v>
      </c>
      <c r="O325" s="223">
        <v>44927</v>
      </c>
      <c r="P325" s="222"/>
      <c r="R325" t="s">
        <v>26</v>
      </c>
      <c r="AA325" s="236"/>
      <c r="AD325" s="233">
        <v>44927</v>
      </c>
    </row>
    <row r="326" spans="1:30">
      <c r="A326" s="291">
        <f>COUNTA($E$3:E326)</f>
        <v>324</v>
      </c>
      <c r="B326" s="291" t="s">
        <v>4487</v>
      </c>
      <c r="C326" s="291" t="s">
        <v>25</v>
      </c>
      <c r="D326" s="291" t="s">
        <v>1181</v>
      </c>
      <c r="E326" s="291" t="s">
        <v>3731</v>
      </c>
      <c r="F326" s="292">
        <v>44904.7452631829</v>
      </c>
      <c r="G326" s="292"/>
      <c r="H326" s="292"/>
      <c r="I326" s="292"/>
      <c r="J326" s="292" t="s">
        <v>3</v>
      </c>
      <c r="K326" s="291" t="s">
        <v>4488</v>
      </c>
      <c r="L326" s="214"/>
      <c r="M326" s="223">
        <v>44914</v>
      </c>
      <c r="N326" s="220" t="s">
        <v>4578</v>
      </c>
      <c r="O326" s="223">
        <v>44927</v>
      </c>
      <c r="P326" s="223"/>
      <c r="R326" t="s">
        <v>26</v>
      </c>
      <c r="AA326" s="236"/>
      <c r="AD326" s="233">
        <v>44927</v>
      </c>
    </row>
    <row r="327" spans="1:30">
      <c r="A327" s="291">
        <f>COUNTA($E$3:E327)</f>
        <v>325</v>
      </c>
      <c r="B327" s="291" t="s">
        <v>4463</v>
      </c>
      <c r="C327" s="291" t="s">
        <v>25</v>
      </c>
      <c r="D327" s="291" t="s">
        <v>34</v>
      </c>
      <c r="E327" s="291" t="s">
        <v>1904</v>
      </c>
      <c r="F327" s="292">
        <v>44901</v>
      </c>
      <c r="G327" s="292"/>
      <c r="H327" s="292"/>
      <c r="I327" s="292"/>
      <c r="J327" s="292" t="s">
        <v>3</v>
      </c>
      <c r="K327" s="291" t="s">
        <v>1952</v>
      </c>
      <c r="L327" s="214"/>
      <c r="M327" s="223">
        <v>44914</v>
      </c>
      <c r="N327" s="220" t="s">
        <v>4578</v>
      </c>
      <c r="O327" s="223">
        <v>44927</v>
      </c>
      <c r="P327" s="222"/>
      <c r="R327" t="s">
        <v>26</v>
      </c>
      <c r="AA327" s="236"/>
      <c r="AD327" s="233">
        <v>44927</v>
      </c>
    </row>
    <row r="328" spans="1:30">
      <c r="A328" s="291">
        <f>COUNTA($E$3:E328)</f>
        <v>326</v>
      </c>
      <c r="B328" s="291" t="s">
        <v>4411</v>
      </c>
      <c r="C328" s="291" t="s">
        <v>1183</v>
      </c>
      <c r="D328" s="291" t="s">
        <v>60</v>
      </c>
      <c r="E328" s="291" t="s">
        <v>4412</v>
      </c>
      <c r="F328" s="292">
        <v>44889</v>
      </c>
      <c r="G328" s="292">
        <v>44893</v>
      </c>
      <c r="H328" s="292"/>
      <c r="I328" s="292">
        <v>44893</v>
      </c>
      <c r="J328" s="292" t="s">
        <v>3</v>
      </c>
      <c r="K328" s="291" t="s">
        <v>4413</v>
      </c>
      <c r="L328" s="214" t="s">
        <v>1309</v>
      </c>
      <c r="M328" s="223">
        <v>44914</v>
      </c>
      <c r="N328" s="220" t="s">
        <v>1774</v>
      </c>
      <c r="O328" s="223">
        <v>44907</v>
      </c>
      <c r="P328" s="222"/>
      <c r="R328" t="s">
        <v>26</v>
      </c>
      <c r="AA328" s="236"/>
      <c r="AD328" s="233">
        <v>44907</v>
      </c>
    </row>
    <row r="329" spans="1:30">
      <c r="A329" s="291">
        <f>COUNTA($E$3:E329)</f>
        <v>327</v>
      </c>
      <c r="B329" s="291" t="s">
        <v>4410</v>
      </c>
      <c r="C329" s="291" t="s">
        <v>41</v>
      </c>
      <c r="D329" s="291" t="s">
        <v>38</v>
      </c>
      <c r="E329" s="291" t="s">
        <v>3395</v>
      </c>
      <c r="F329" s="292">
        <v>44888</v>
      </c>
      <c r="G329" s="292"/>
      <c r="H329" s="292"/>
      <c r="I329" s="292"/>
      <c r="J329" s="292" t="s">
        <v>3</v>
      </c>
      <c r="K329" s="291" t="s">
        <v>1672</v>
      </c>
      <c r="L329" s="214" t="s">
        <v>1309</v>
      </c>
      <c r="M329" s="223">
        <v>44914</v>
      </c>
      <c r="N329" s="220" t="s">
        <v>4563</v>
      </c>
      <c r="O329" s="223">
        <v>44927</v>
      </c>
      <c r="P329" s="222"/>
      <c r="R329" t="s">
        <v>26</v>
      </c>
      <c r="AA329" s="236"/>
      <c r="AD329" s="233">
        <v>44927</v>
      </c>
    </row>
    <row r="330" spans="1:30">
      <c r="A330" s="291">
        <f>COUNTA($E$3:E330)</f>
        <v>328</v>
      </c>
      <c r="B330" s="291" t="s">
        <v>4500</v>
      </c>
      <c r="C330" s="291" t="s">
        <v>41</v>
      </c>
      <c r="D330" s="291" t="s">
        <v>34</v>
      </c>
      <c r="E330" s="291" t="s">
        <v>1304</v>
      </c>
      <c r="F330" s="292">
        <v>44907</v>
      </c>
      <c r="G330" s="292"/>
      <c r="H330" s="292"/>
      <c r="I330" s="292"/>
      <c r="J330" s="292" t="s">
        <v>4</v>
      </c>
      <c r="K330" s="291" t="s">
        <v>1227</v>
      </c>
      <c r="L330" s="214" t="s">
        <v>1132</v>
      </c>
      <c r="M330" s="223">
        <v>44914</v>
      </c>
      <c r="N330" s="220" t="s">
        <v>2327</v>
      </c>
      <c r="O330" s="223">
        <v>44907</v>
      </c>
      <c r="P330" s="222"/>
      <c r="R330" t="s">
        <v>138</v>
      </c>
      <c r="AA330" s="236"/>
      <c r="AD330" s="233">
        <v>44907</v>
      </c>
    </row>
    <row r="331" spans="1:30">
      <c r="A331" s="291">
        <f>COUNTA($E$3:E331)</f>
        <v>329</v>
      </c>
      <c r="B331" s="291" t="s">
        <v>4427</v>
      </c>
      <c r="C331" s="291" t="s">
        <v>25</v>
      </c>
      <c r="D331" s="291" t="s">
        <v>34</v>
      </c>
      <c r="E331" s="291" t="s">
        <v>2591</v>
      </c>
      <c r="F331" s="292">
        <v>44896</v>
      </c>
      <c r="G331" s="292"/>
      <c r="H331" s="292"/>
      <c r="I331" s="292"/>
      <c r="J331" s="292" t="s">
        <v>4</v>
      </c>
      <c r="K331" s="291" t="s">
        <v>1738</v>
      </c>
      <c r="L331" s="214" t="s">
        <v>37</v>
      </c>
      <c r="M331" s="223">
        <v>44914</v>
      </c>
      <c r="N331" s="220" t="s">
        <v>4543</v>
      </c>
      <c r="O331" s="223">
        <v>44908</v>
      </c>
      <c r="P331" s="222"/>
      <c r="R331" t="s">
        <v>138</v>
      </c>
      <c r="AA331" s="236"/>
      <c r="AD331" s="233">
        <v>44908</v>
      </c>
    </row>
    <row r="332" spans="1:30">
      <c r="A332" s="291">
        <f>COUNTA($E$3:E332)</f>
        <v>330</v>
      </c>
      <c r="B332" s="291" t="s">
        <v>4472</v>
      </c>
      <c r="C332" s="291" t="s">
        <v>45</v>
      </c>
      <c r="D332" s="291" t="s">
        <v>2155</v>
      </c>
      <c r="E332" s="291" t="s">
        <v>2156</v>
      </c>
      <c r="F332" s="292">
        <v>44902.664705474497</v>
      </c>
      <c r="G332" s="292"/>
      <c r="H332" s="292"/>
      <c r="I332" s="292"/>
      <c r="J332" s="292"/>
      <c r="K332" s="291"/>
      <c r="L332" s="214"/>
      <c r="M332" s="223">
        <v>44906</v>
      </c>
      <c r="N332" s="220" t="s">
        <v>2294</v>
      </c>
      <c r="O332" s="223">
        <v>44927</v>
      </c>
      <c r="P332" s="222"/>
      <c r="R332" t="s">
        <v>26</v>
      </c>
      <c r="AA332" s="236"/>
      <c r="AD332" s="233">
        <v>44927</v>
      </c>
    </row>
    <row r="333" spans="1:30">
      <c r="A333" s="291">
        <f>COUNTA($E$3:E333)</f>
        <v>331</v>
      </c>
      <c r="B333" s="291" t="s">
        <v>4391</v>
      </c>
      <c r="C333" s="291" t="s">
        <v>112</v>
      </c>
      <c r="D333" s="291" t="s">
        <v>1136</v>
      </c>
      <c r="E333" s="291" t="s">
        <v>4392</v>
      </c>
      <c r="F333" s="292">
        <v>44880</v>
      </c>
      <c r="G333" s="292">
        <v>44883</v>
      </c>
      <c r="H333" s="292"/>
      <c r="I333" s="292">
        <v>44886</v>
      </c>
      <c r="J333" s="292" t="s">
        <v>3</v>
      </c>
      <c r="K333" s="291" t="s">
        <v>1694</v>
      </c>
      <c r="L333" s="214"/>
      <c r="M333" s="223">
        <v>44906</v>
      </c>
      <c r="N333" s="220" t="s">
        <v>4491</v>
      </c>
      <c r="O333" s="223">
        <v>44903</v>
      </c>
      <c r="P333" s="222"/>
      <c r="R333" t="s">
        <v>26</v>
      </c>
      <c r="AA333" s="236"/>
      <c r="AD333" s="233">
        <v>44903</v>
      </c>
    </row>
    <row r="334" spans="1:30">
      <c r="A334" s="291">
        <f>COUNTA($E$3:E334)</f>
        <v>332</v>
      </c>
      <c r="B334" s="291" t="s">
        <v>4479</v>
      </c>
      <c r="C334" s="291" t="s">
        <v>45</v>
      </c>
      <c r="D334" s="291" t="s">
        <v>49</v>
      </c>
      <c r="E334" s="291" t="s">
        <v>4480</v>
      </c>
      <c r="F334" s="292"/>
      <c r="G334" s="292"/>
      <c r="H334" s="292"/>
      <c r="I334" s="292"/>
      <c r="J334" s="292" t="s">
        <v>4</v>
      </c>
      <c r="K334" s="291" t="s">
        <v>1765</v>
      </c>
      <c r="L334" s="214" t="s">
        <v>1289</v>
      </c>
      <c r="M334" s="223">
        <v>44906</v>
      </c>
      <c r="N334" s="220"/>
      <c r="O334" s="223"/>
      <c r="P334" s="222" t="s">
        <v>5053</v>
      </c>
      <c r="R334" t="s">
        <v>138</v>
      </c>
      <c r="AA334" s="236"/>
      <c r="AD334" s="233"/>
    </row>
    <row r="335" spans="1:30">
      <c r="A335" s="291">
        <f>COUNTA($E$3:E335)</f>
        <v>333</v>
      </c>
      <c r="B335" s="291" t="s">
        <v>4478</v>
      </c>
      <c r="C335" s="291" t="s">
        <v>45</v>
      </c>
      <c r="D335" s="291" t="s">
        <v>49</v>
      </c>
      <c r="E335" s="291" t="s">
        <v>1972</v>
      </c>
      <c r="F335" s="292"/>
      <c r="G335" s="292"/>
      <c r="H335" s="292"/>
      <c r="I335" s="292"/>
      <c r="J335" s="292" t="s">
        <v>4</v>
      </c>
      <c r="K335" s="291" t="s">
        <v>1765</v>
      </c>
      <c r="L335" s="214" t="s">
        <v>1289</v>
      </c>
      <c r="M335" s="223">
        <v>44906</v>
      </c>
      <c r="N335" s="220"/>
      <c r="O335" s="223"/>
      <c r="P335" s="222" t="s">
        <v>5053</v>
      </c>
      <c r="R335" t="s">
        <v>138</v>
      </c>
      <c r="AA335" s="236"/>
      <c r="AD335" s="233"/>
    </row>
    <row r="336" spans="1:30">
      <c r="A336" s="291">
        <f>COUNTA($E$3:E336)</f>
        <v>334</v>
      </c>
      <c r="B336" s="291" t="s">
        <v>4438</v>
      </c>
      <c r="C336" s="291" t="s">
        <v>41</v>
      </c>
      <c r="D336" s="291" t="s">
        <v>34</v>
      </c>
      <c r="E336" s="291" t="s">
        <v>1199</v>
      </c>
      <c r="F336" s="292">
        <v>44895.566954236099</v>
      </c>
      <c r="G336" s="292"/>
      <c r="H336" s="292"/>
      <c r="I336" s="292"/>
      <c r="J336" s="292" t="s">
        <v>4</v>
      </c>
      <c r="K336" s="291" t="s">
        <v>1735</v>
      </c>
      <c r="L336" s="214" t="s">
        <v>1310</v>
      </c>
      <c r="M336" s="223">
        <v>44906</v>
      </c>
      <c r="N336" s="220" t="s">
        <v>2293</v>
      </c>
      <c r="O336" s="223">
        <v>44960</v>
      </c>
      <c r="P336" s="223"/>
      <c r="R336" t="s">
        <v>138</v>
      </c>
      <c r="AA336" s="236"/>
      <c r="AD336" s="233">
        <v>44960</v>
      </c>
    </row>
    <row r="337" spans="1:30">
      <c r="A337" s="291">
        <f>COUNTA($E$3:E337)</f>
        <v>335</v>
      </c>
      <c r="B337" s="291" t="s">
        <v>3890</v>
      </c>
      <c r="C337" s="291" t="s">
        <v>25</v>
      </c>
      <c r="D337" s="291" t="s">
        <v>1092</v>
      </c>
      <c r="E337" s="291" t="s">
        <v>1890</v>
      </c>
      <c r="F337" s="292">
        <v>44802</v>
      </c>
      <c r="G337" s="292"/>
      <c r="H337" s="292"/>
      <c r="I337" s="292"/>
      <c r="J337" s="292" t="s">
        <v>4</v>
      </c>
      <c r="K337" s="291" t="s">
        <v>21</v>
      </c>
      <c r="L337" s="214"/>
      <c r="M337" s="223">
        <v>44900</v>
      </c>
      <c r="N337" s="220" t="s">
        <v>3972</v>
      </c>
      <c r="O337" s="223">
        <v>44818</v>
      </c>
      <c r="P337" s="222"/>
      <c r="R337" t="s">
        <v>138</v>
      </c>
      <c r="AA337" s="236"/>
      <c r="AD337" s="233">
        <v>44818</v>
      </c>
    </row>
    <row r="338" spans="1:30">
      <c r="A338" s="291">
        <f>COUNTA($E$3:E338)</f>
        <v>336</v>
      </c>
      <c r="B338" s="291" t="s">
        <v>3770</v>
      </c>
      <c r="C338" s="291" t="s">
        <v>3795</v>
      </c>
      <c r="D338" s="291" t="s">
        <v>42</v>
      </c>
      <c r="E338" s="291" t="s">
        <v>3771</v>
      </c>
      <c r="F338" s="292">
        <v>44783</v>
      </c>
      <c r="G338" s="292">
        <v>44785</v>
      </c>
      <c r="H338" s="292"/>
      <c r="I338" s="292"/>
      <c r="J338" s="292" t="s">
        <v>3</v>
      </c>
      <c r="K338" s="291" t="s">
        <v>4426</v>
      </c>
      <c r="L338" s="214"/>
      <c r="M338" s="223">
        <v>44893</v>
      </c>
      <c r="N338" s="220"/>
      <c r="O338" s="223">
        <v>44895</v>
      </c>
      <c r="P338" s="222"/>
      <c r="R338" t="s">
        <v>26</v>
      </c>
      <c r="AA338" s="236"/>
      <c r="AD338" s="233">
        <v>44895</v>
      </c>
    </row>
    <row r="339" spans="1:30">
      <c r="A339" s="291">
        <f>COUNTA($E$3:E339)</f>
        <v>337</v>
      </c>
      <c r="B339" s="291" t="s">
        <v>4009</v>
      </c>
      <c r="C339" s="291" t="s">
        <v>3795</v>
      </c>
      <c r="D339" s="291" t="s">
        <v>42</v>
      </c>
      <c r="E339" s="291" t="s">
        <v>4010</v>
      </c>
      <c r="F339" s="292">
        <v>44826</v>
      </c>
      <c r="G339" s="292">
        <v>44827</v>
      </c>
      <c r="H339" s="292">
        <v>44844</v>
      </c>
      <c r="I339" s="292">
        <v>44833</v>
      </c>
      <c r="J339" s="292" t="s">
        <v>3</v>
      </c>
      <c r="K339" s="291" t="s">
        <v>1662</v>
      </c>
      <c r="L339" s="214"/>
      <c r="M339" s="223">
        <v>44893</v>
      </c>
      <c r="N339" s="220" t="s">
        <v>4416</v>
      </c>
      <c r="O339" s="223">
        <v>44895</v>
      </c>
      <c r="P339" s="222"/>
      <c r="R339" t="s">
        <v>26</v>
      </c>
      <c r="AA339" s="236"/>
      <c r="AD339" s="233">
        <v>44895</v>
      </c>
    </row>
    <row r="340" spans="1:30">
      <c r="A340" s="291">
        <f>COUNTA($E$3:E340)</f>
        <v>338</v>
      </c>
      <c r="B340" s="291" t="s">
        <v>3934</v>
      </c>
      <c r="C340" s="291" t="s">
        <v>44</v>
      </c>
      <c r="D340" s="291" t="s">
        <v>55</v>
      </c>
      <c r="E340" s="291" t="s">
        <v>3935</v>
      </c>
      <c r="F340" s="292">
        <v>44812</v>
      </c>
      <c r="G340" s="292"/>
      <c r="H340" s="292"/>
      <c r="I340" s="292" t="s">
        <v>70</v>
      </c>
      <c r="J340" s="292" t="s">
        <v>3</v>
      </c>
      <c r="K340" s="291" t="s">
        <v>3945</v>
      </c>
      <c r="L340" s="214" t="s">
        <v>1310</v>
      </c>
      <c r="M340" s="223">
        <v>44893</v>
      </c>
      <c r="N340" s="220" t="s">
        <v>4415</v>
      </c>
      <c r="O340" s="223">
        <v>44972</v>
      </c>
      <c r="P340" s="222"/>
      <c r="R340" t="s">
        <v>138</v>
      </c>
      <c r="AA340" s="236"/>
      <c r="AD340" s="233">
        <v>44972</v>
      </c>
    </row>
    <row r="341" spans="1:30">
      <c r="A341" s="291">
        <f>COUNTA($E$3:E341)</f>
        <v>339</v>
      </c>
      <c r="B341" s="291" t="s">
        <v>4406</v>
      </c>
      <c r="C341" s="291" t="s">
        <v>1248</v>
      </c>
      <c r="D341" s="291" t="s">
        <v>62</v>
      </c>
      <c r="E341" s="291" t="s">
        <v>1249</v>
      </c>
      <c r="F341" s="292">
        <v>44888</v>
      </c>
      <c r="G341" s="292"/>
      <c r="H341" s="292"/>
      <c r="I341" s="292"/>
      <c r="J341" s="292" t="s">
        <v>4</v>
      </c>
      <c r="K341" s="291" t="s">
        <v>1500</v>
      </c>
      <c r="L341" s="214" t="s">
        <v>2058</v>
      </c>
      <c r="M341" s="223">
        <v>44893</v>
      </c>
      <c r="N341" s="220" t="s">
        <v>4418</v>
      </c>
      <c r="O341" s="223">
        <v>44907</v>
      </c>
      <c r="P341" s="222"/>
      <c r="R341" t="s">
        <v>26</v>
      </c>
      <c r="AA341" s="236"/>
      <c r="AD341" s="233">
        <v>44907</v>
      </c>
    </row>
    <row r="342" spans="1:30">
      <c r="A342" s="291">
        <f>COUNTA($E$3:E342)</f>
        <v>340</v>
      </c>
      <c r="B342" s="291" t="s">
        <v>4091</v>
      </c>
      <c r="C342" s="291" t="s">
        <v>25</v>
      </c>
      <c r="D342" s="291" t="s">
        <v>38</v>
      </c>
      <c r="E342" s="291" t="s">
        <v>2085</v>
      </c>
      <c r="F342" s="292">
        <v>44838</v>
      </c>
      <c r="G342" s="292"/>
      <c r="H342" s="292"/>
      <c r="I342" s="292" t="s">
        <v>70</v>
      </c>
      <c r="J342" s="292" t="s">
        <v>4</v>
      </c>
      <c r="K342" s="291" t="s">
        <v>4092</v>
      </c>
      <c r="L342" s="214" t="s">
        <v>1310</v>
      </c>
      <c r="M342" s="223">
        <v>44893</v>
      </c>
      <c r="N342" s="220" t="s">
        <v>4417</v>
      </c>
      <c r="O342" s="223">
        <v>44907</v>
      </c>
      <c r="P342" s="223"/>
      <c r="R342" t="s">
        <v>138</v>
      </c>
      <c r="AA342" s="236"/>
      <c r="AD342" s="233">
        <v>44907</v>
      </c>
    </row>
    <row r="343" spans="1:30">
      <c r="A343" s="291">
        <f>COUNTA($E$3:E343)</f>
        <v>341</v>
      </c>
      <c r="B343" s="291" t="s">
        <v>4352</v>
      </c>
      <c r="C343" s="291" t="s">
        <v>45</v>
      </c>
      <c r="D343" s="291" t="s">
        <v>36</v>
      </c>
      <c r="E343" s="291" t="s">
        <v>2721</v>
      </c>
      <c r="F343" s="292">
        <v>44880</v>
      </c>
      <c r="G343" s="292"/>
      <c r="H343" s="292"/>
      <c r="I343" s="292"/>
      <c r="J343" s="292" t="s">
        <v>3</v>
      </c>
      <c r="K343" s="291" t="s">
        <v>4387</v>
      </c>
      <c r="L343" s="214" t="s">
        <v>297</v>
      </c>
      <c r="M343" s="223">
        <v>44886</v>
      </c>
      <c r="N343" s="220" t="s">
        <v>2244</v>
      </c>
      <c r="O343" s="223">
        <v>44927</v>
      </c>
      <c r="P343" s="222"/>
      <c r="R343" t="s">
        <v>26</v>
      </c>
      <c r="AA343" s="236"/>
      <c r="AD343" s="233">
        <v>44927</v>
      </c>
    </row>
    <row r="344" spans="1:30">
      <c r="A344" s="291">
        <f>COUNTA($E$3:E344)</f>
        <v>342</v>
      </c>
      <c r="B344" s="291" t="s">
        <v>3775</v>
      </c>
      <c r="C344" s="291" t="s">
        <v>2396</v>
      </c>
      <c r="D344" s="291" t="s">
        <v>1157</v>
      </c>
      <c r="E344" s="291" t="s">
        <v>1175</v>
      </c>
      <c r="F344" s="292">
        <v>44782</v>
      </c>
      <c r="G344" s="292">
        <v>44785</v>
      </c>
      <c r="H344" s="292"/>
      <c r="I344" s="292">
        <v>44783</v>
      </c>
      <c r="J344" s="292" t="s">
        <v>3</v>
      </c>
      <c r="K344" s="291" t="s">
        <v>3776</v>
      </c>
      <c r="L344" s="214" t="s">
        <v>297</v>
      </c>
      <c r="M344" s="223">
        <v>44886</v>
      </c>
      <c r="N344" s="220" t="s">
        <v>4354</v>
      </c>
      <c r="O344" s="223">
        <v>44876</v>
      </c>
      <c r="P344" s="222"/>
      <c r="R344" t="s">
        <v>26</v>
      </c>
      <c r="AA344" s="236"/>
      <c r="AD344" s="233">
        <v>44876</v>
      </c>
    </row>
    <row r="345" spans="1:30">
      <c r="A345" s="291">
        <f>COUNTA($E$3:E345)</f>
        <v>343</v>
      </c>
      <c r="B345" s="291" t="s">
        <v>4389</v>
      </c>
      <c r="C345" s="291" t="s">
        <v>45</v>
      </c>
      <c r="D345" s="291" t="s">
        <v>34</v>
      </c>
      <c r="E345" s="291" t="s">
        <v>4390</v>
      </c>
      <c r="F345" s="292">
        <v>44880</v>
      </c>
      <c r="G345" s="292"/>
      <c r="H345" s="292"/>
      <c r="I345" s="292"/>
      <c r="J345" s="292" t="s">
        <v>4</v>
      </c>
      <c r="K345" s="291" t="s">
        <v>1665</v>
      </c>
      <c r="L345" s="214" t="s">
        <v>1311</v>
      </c>
      <c r="M345" s="223">
        <v>44886</v>
      </c>
      <c r="N345" s="220" t="s">
        <v>2244</v>
      </c>
      <c r="O345" s="223">
        <v>45051</v>
      </c>
      <c r="P345" s="222"/>
      <c r="R345" t="s">
        <v>138</v>
      </c>
      <c r="AA345" s="236"/>
      <c r="AD345" s="233">
        <v>45051</v>
      </c>
    </row>
    <row r="346" spans="1:30">
      <c r="A346" s="291">
        <f>COUNTA($E$3:E346)</f>
        <v>344</v>
      </c>
      <c r="B346" s="291" t="s">
        <v>4353</v>
      </c>
      <c r="C346" s="291" t="s">
        <v>48</v>
      </c>
      <c r="D346" s="291" t="s">
        <v>2967</v>
      </c>
      <c r="E346" s="291" t="s">
        <v>172</v>
      </c>
      <c r="F346" s="292">
        <v>44879</v>
      </c>
      <c r="G346" s="292"/>
      <c r="H346" s="292"/>
      <c r="I346" s="292"/>
      <c r="J346" s="292" t="s">
        <v>4</v>
      </c>
      <c r="K346" s="291" t="s">
        <v>21</v>
      </c>
      <c r="L346" s="214" t="s">
        <v>1310</v>
      </c>
      <c r="M346" s="223">
        <v>44886</v>
      </c>
      <c r="N346" s="220" t="s">
        <v>2244</v>
      </c>
      <c r="O346" s="223">
        <v>45017</v>
      </c>
      <c r="P346" s="222"/>
      <c r="R346" t="s">
        <v>138</v>
      </c>
      <c r="AA346" s="236"/>
      <c r="AD346" s="233">
        <v>45017</v>
      </c>
    </row>
    <row r="347" spans="1:30">
      <c r="A347" s="291">
        <f>COUNTA($E$3:E347)</f>
        <v>345</v>
      </c>
      <c r="B347" s="291" t="s">
        <v>4274</v>
      </c>
      <c r="C347" s="291" t="s">
        <v>1246</v>
      </c>
      <c r="D347" s="291" t="s">
        <v>1821</v>
      </c>
      <c r="E347" s="291" t="s">
        <v>4288</v>
      </c>
      <c r="F347" s="292">
        <v>44865</v>
      </c>
      <c r="G347" s="292">
        <v>44872</v>
      </c>
      <c r="H347" s="292"/>
      <c r="I347" s="292">
        <v>44867</v>
      </c>
      <c r="J347" s="292" t="s">
        <v>4</v>
      </c>
      <c r="K347" s="291" t="s">
        <v>526</v>
      </c>
      <c r="L347" s="214" t="s">
        <v>1309</v>
      </c>
      <c r="M347" s="223">
        <v>44886</v>
      </c>
      <c r="N347" s="220" t="s">
        <v>2240</v>
      </c>
      <c r="O347" s="223">
        <v>44876</v>
      </c>
      <c r="P347" s="222"/>
      <c r="R347" t="s">
        <v>26</v>
      </c>
      <c r="AA347" s="236"/>
      <c r="AD347" s="233">
        <v>44876</v>
      </c>
    </row>
    <row r="348" spans="1:30">
      <c r="A348" s="291">
        <f>COUNTA($E$3:E348)</f>
        <v>346</v>
      </c>
      <c r="B348" s="291" t="s">
        <v>4339</v>
      </c>
      <c r="C348" s="291" t="s">
        <v>4331</v>
      </c>
      <c r="D348" s="291" t="s">
        <v>4340</v>
      </c>
      <c r="E348" s="291" t="s">
        <v>4341</v>
      </c>
      <c r="F348" s="292">
        <v>44874</v>
      </c>
      <c r="G348" s="292"/>
      <c r="H348" s="292"/>
      <c r="I348" s="292"/>
      <c r="J348" s="292" t="s">
        <v>5</v>
      </c>
      <c r="K348" s="291" t="s">
        <v>3471</v>
      </c>
      <c r="L348" s="214"/>
      <c r="M348" s="223">
        <v>44886</v>
      </c>
      <c r="N348" s="220" t="s">
        <v>4396</v>
      </c>
      <c r="O348" s="223">
        <v>44876</v>
      </c>
      <c r="P348" s="222"/>
      <c r="R348" t="s">
        <v>26</v>
      </c>
      <c r="AA348" s="236"/>
      <c r="AD348" s="233">
        <v>44876</v>
      </c>
    </row>
    <row r="349" spans="1:30">
      <c r="A349" s="291">
        <f>COUNTA($E$3:E349)</f>
        <v>347</v>
      </c>
      <c r="B349" s="291" t="s">
        <v>4308</v>
      </c>
      <c r="C349" s="291" t="s">
        <v>25</v>
      </c>
      <c r="D349" s="291" t="s">
        <v>62</v>
      </c>
      <c r="E349" s="291" t="s">
        <v>1273</v>
      </c>
      <c r="F349" s="292">
        <v>44873</v>
      </c>
      <c r="G349" s="292"/>
      <c r="H349" s="292"/>
      <c r="I349" s="292"/>
      <c r="J349" s="292" t="s">
        <v>3</v>
      </c>
      <c r="K349" s="291" t="s">
        <v>1672</v>
      </c>
      <c r="L349" s="214" t="s">
        <v>1302</v>
      </c>
      <c r="M349" s="223">
        <v>44879</v>
      </c>
      <c r="N349" s="220" t="s">
        <v>2193</v>
      </c>
      <c r="O349" s="223">
        <v>44988</v>
      </c>
      <c r="P349" s="222" t="s">
        <v>5053</v>
      </c>
      <c r="R349" t="s">
        <v>138</v>
      </c>
      <c r="AA349" s="236"/>
      <c r="AD349" s="233">
        <v>44988</v>
      </c>
    </row>
    <row r="350" spans="1:30">
      <c r="A350" s="291">
        <f>COUNTA($E$3:E350)</f>
        <v>348</v>
      </c>
      <c r="B350" s="291" t="s">
        <v>4297</v>
      </c>
      <c r="C350" s="291" t="s">
        <v>45</v>
      </c>
      <c r="D350" s="291" t="s">
        <v>1115</v>
      </c>
      <c r="E350" s="291" t="s">
        <v>1120</v>
      </c>
      <c r="F350" s="292">
        <v>44872</v>
      </c>
      <c r="G350" s="292"/>
      <c r="H350" s="292"/>
      <c r="I350" s="292"/>
      <c r="J350" s="292" t="s">
        <v>3</v>
      </c>
      <c r="K350" s="291" t="s">
        <v>1500</v>
      </c>
      <c r="L350" s="214"/>
      <c r="M350" s="223">
        <v>44879</v>
      </c>
      <c r="N350" s="220"/>
      <c r="O350" s="223"/>
      <c r="P350" s="222" t="s">
        <v>5053</v>
      </c>
      <c r="R350" t="s">
        <v>138</v>
      </c>
      <c r="AA350" s="236"/>
      <c r="AD350" s="233"/>
    </row>
    <row r="351" spans="1:30">
      <c r="A351" s="291">
        <f>COUNTA($E$3:E351)</f>
        <v>349</v>
      </c>
      <c r="B351" s="291" t="s">
        <v>4294</v>
      </c>
      <c r="C351" s="291" t="s">
        <v>41</v>
      </c>
      <c r="D351" s="291" t="s">
        <v>34</v>
      </c>
      <c r="E351" s="291" t="s">
        <v>3406</v>
      </c>
      <c r="F351" s="292">
        <v>44867</v>
      </c>
      <c r="G351" s="292"/>
      <c r="H351" s="292"/>
      <c r="I351" s="292"/>
      <c r="J351" s="292" t="s">
        <v>3</v>
      </c>
      <c r="K351" s="291" t="s">
        <v>4296</v>
      </c>
      <c r="L351" s="214" t="s">
        <v>1310</v>
      </c>
      <c r="M351" s="223">
        <v>44879</v>
      </c>
      <c r="N351" s="220" t="s">
        <v>2193</v>
      </c>
      <c r="O351" s="223">
        <v>45021</v>
      </c>
      <c r="P351" s="222" t="s">
        <v>5053</v>
      </c>
      <c r="R351" t="s">
        <v>138</v>
      </c>
      <c r="AA351" s="236"/>
      <c r="AD351" s="233">
        <v>45021</v>
      </c>
    </row>
    <row r="352" spans="1:30">
      <c r="A352" s="291">
        <f>COUNTA($E$3:E352)</f>
        <v>350</v>
      </c>
      <c r="B352" s="291" t="s">
        <v>4321</v>
      </c>
      <c r="C352" s="291" t="s">
        <v>48</v>
      </c>
      <c r="D352" s="291" t="s">
        <v>49</v>
      </c>
      <c r="E352" s="291" t="s">
        <v>187</v>
      </c>
      <c r="F352" s="292">
        <v>44873</v>
      </c>
      <c r="G352" s="292"/>
      <c r="H352" s="292"/>
      <c r="I352" s="292"/>
      <c r="J352" s="292" t="s">
        <v>4</v>
      </c>
      <c r="K352" s="291" t="s">
        <v>2220</v>
      </c>
      <c r="L352" s="214" t="s">
        <v>37</v>
      </c>
      <c r="M352" s="223">
        <v>44879</v>
      </c>
      <c r="N352" s="220" t="s">
        <v>4349</v>
      </c>
      <c r="O352" s="223">
        <v>44967</v>
      </c>
      <c r="P352" s="222"/>
      <c r="R352" t="s">
        <v>138</v>
      </c>
      <c r="AA352" s="236"/>
      <c r="AD352" s="233">
        <v>44967</v>
      </c>
    </row>
    <row r="353" spans="1:30">
      <c r="A353" s="291">
        <f>COUNTA($E$3:E353)</f>
        <v>351</v>
      </c>
      <c r="B353" s="291" t="s">
        <v>4319</v>
      </c>
      <c r="C353" s="291" t="s">
        <v>48</v>
      </c>
      <c r="D353" s="291" t="s">
        <v>49</v>
      </c>
      <c r="E353" s="291" t="s">
        <v>185</v>
      </c>
      <c r="F353" s="292">
        <v>44873</v>
      </c>
      <c r="G353" s="292"/>
      <c r="H353" s="292"/>
      <c r="I353" s="292"/>
      <c r="J353" s="292" t="s">
        <v>4</v>
      </c>
      <c r="K353" s="291" t="s">
        <v>1765</v>
      </c>
      <c r="L353" s="214" t="s">
        <v>1310</v>
      </c>
      <c r="M353" s="223">
        <v>44879</v>
      </c>
      <c r="N353" s="220" t="s">
        <v>2193</v>
      </c>
      <c r="O353" s="223">
        <v>44907</v>
      </c>
      <c r="P353" s="223"/>
      <c r="R353" t="s">
        <v>138</v>
      </c>
      <c r="AA353" s="236"/>
      <c r="AD353" s="233">
        <v>44907</v>
      </c>
    </row>
    <row r="354" spans="1:30">
      <c r="A354" s="291">
        <f>COUNTA($E$3:E354)</f>
        <v>352</v>
      </c>
      <c r="B354" s="291" t="s">
        <v>4320</v>
      </c>
      <c r="C354" s="291" t="s">
        <v>2457</v>
      </c>
      <c r="D354" s="291" t="s">
        <v>34</v>
      </c>
      <c r="E354" s="291" t="s">
        <v>4328</v>
      </c>
      <c r="F354" s="292">
        <v>44872</v>
      </c>
      <c r="G354" s="292"/>
      <c r="H354" s="292"/>
      <c r="I354" s="292"/>
      <c r="J354" s="292" t="s">
        <v>4</v>
      </c>
      <c r="K354" s="291" t="s">
        <v>4329</v>
      </c>
      <c r="L354" s="214"/>
      <c r="M354" s="223">
        <v>44879</v>
      </c>
      <c r="N354" s="220" t="s">
        <v>4351</v>
      </c>
      <c r="O354" s="223">
        <v>44909</v>
      </c>
      <c r="P354" s="222"/>
      <c r="R354" t="s">
        <v>138</v>
      </c>
      <c r="AA354" s="236"/>
      <c r="AD354" s="233">
        <v>44909</v>
      </c>
    </row>
    <row r="355" spans="1:30">
      <c r="A355" s="291">
        <f>COUNTA($E$3:E355)</f>
        <v>353</v>
      </c>
      <c r="B355" s="291" t="s">
        <v>4298</v>
      </c>
      <c r="C355" s="291" t="s">
        <v>2371</v>
      </c>
      <c r="D355" s="291" t="s">
        <v>20</v>
      </c>
      <c r="E355" s="291" t="s">
        <v>2403</v>
      </c>
      <c r="F355" s="292">
        <v>44872</v>
      </c>
      <c r="G355" s="292"/>
      <c r="H355" s="292"/>
      <c r="I355" s="292"/>
      <c r="J355" s="292" t="s">
        <v>4</v>
      </c>
      <c r="K355" s="291" t="s">
        <v>1870</v>
      </c>
      <c r="L355" s="214"/>
      <c r="M355" s="223">
        <v>44879</v>
      </c>
      <c r="N355" s="220" t="s">
        <v>4351</v>
      </c>
      <c r="O355" s="223">
        <v>44881</v>
      </c>
      <c r="P355" s="222"/>
      <c r="R355" t="s">
        <v>138</v>
      </c>
      <c r="AA355" s="236"/>
      <c r="AD355" s="233">
        <v>44881</v>
      </c>
    </row>
    <row r="356" spans="1:30">
      <c r="A356" s="291">
        <f>COUNTA($E$3:E356)</f>
        <v>354</v>
      </c>
      <c r="B356" s="291" t="s">
        <v>4284</v>
      </c>
      <c r="C356" s="291" t="s">
        <v>25</v>
      </c>
      <c r="D356" s="291" t="s">
        <v>34</v>
      </c>
      <c r="E356" s="291" t="s">
        <v>3059</v>
      </c>
      <c r="F356" s="292">
        <v>44865.5704249884</v>
      </c>
      <c r="G356" s="292"/>
      <c r="H356" s="292"/>
      <c r="I356" s="292"/>
      <c r="J356" s="292" t="s">
        <v>4</v>
      </c>
      <c r="K356" s="291" t="s">
        <v>3158</v>
      </c>
      <c r="L356" s="214" t="s">
        <v>1310</v>
      </c>
      <c r="M356" s="223">
        <v>44879</v>
      </c>
      <c r="N356" s="220" t="s">
        <v>4324</v>
      </c>
      <c r="O356" s="223">
        <v>44879</v>
      </c>
      <c r="P356" s="222"/>
      <c r="R356" t="s">
        <v>138</v>
      </c>
      <c r="AA356" s="236"/>
      <c r="AD356" s="233">
        <v>44879</v>
      </c>
    </row>
    <row r="357" spans="1:30">
      <c r="A357" s="291">
        <f>COUNTA($E$3:E357)</f>
        <v>355</v>
      </c>
      <c r="B357" s="291" t="s">
        <v>4278</v>
      </c>
      <c r="C357" s="291" t="s">
        <v>4283</v>
      </c>
      <c r="D357" s="291" t="s">
        <v>42</v>
      </c>
      <c r="E357" s="291" t="s">
        <v>3779</v>
      </c>
      <c r="F357" s="292">
        <v>44865.755362916701</v>
      </c>
      <c r="G357" s="292"/>
      <c r="H357" s="292"/>
      <c r="I357" s="292"/>
      <c r="J357" s="292" t="s">
        <v>4</v>
      </c>
      <c r="K357" s="291" t="s">
        <v>21</v>
      </c>
      <c r="L357" s="214" t="s">
        <v>1302</v>
      </c>
      <c r="M357" s="223">
        <v>44879</v>
      </c>
      <c r="N357" s="220" t="s">
        <v>4324</v>
      </c>
      <c r="O357" s="223">
        <v>44868</v>
      </c>
      <c r="P357" s="222"/>
      <c r="R357" t="s">
        <v>138</v>
      </c>
      <c r="AA357" s="236"/>
      <c r="AD357" s="233">
        <v>44868</v>
      </c>
    </row>
    <row r="358" spans="1:30">
      <c r="A358" s="291">
        <f>COUNTA($E$3:E358)</f>
        <v>356</v>
      </c>
      <c r="B358" s="291" t="s">
        <v>4244</v>
      </c>
      <c r="C358" s="291" t="s">
        <v>3322</v>
      </c>
      <c r="D358" s="291" t="s">
        <v>40</v>
      </c>
      <c r="E358" s="291" t="s">
        <v>3553</v>
      </c>
      <c r="F358" s="292">
        <v>44861</v>
      </c>
      <c r="G358" s="292"/>
      <c r="H358" s="292"/>
      <c r="I358" s="292"/>
      <c r="J358" s="292" t="s">
        <v>4</v>
      </c>
      <c r="K358" s="291" t="s">
        <v>21</v>
      </c>
      <c r="L358" s="214" t="s">
        <v>1302</v>
      </c>
      <c r="M358" s="223">
        <v>44879</v>
      </c>
      <c r="N358" s="220" t="s">
        <v>2193</v>
      </c>
      <c r="O358" s="223">
        <v>44879</v>
      </c>
      <c r="P358" s="222"/>
      <c r="R358" t="s">
        <v>138</v>
      </c>
      <c r="AA358" s="236"/>
      <c r="AD358" s="233">
        <v>44879</v>
      </c>
    </row>
    <row r="359" spans="1:30">
      <c r="A359" s="291">
        <f>COUNTA($E$3:E359)</f>
        <v>357</v>
      </c>
      <c r="B359" s="291" t="s">
        <v>4206</v>
      </c>
      <c r="C359" s="291" t="s">
        <v>25</v>
      </c>
      <c r="D359" s="291" t="s">
        <v>34</v>
      </c>
      <c r="E359" s="291" t="s">
        <v>2049</v>
      </c>
      <c r="F359" s="292">
        <v>44854.566905312502</v>
      </c>
      <c r="G359" s="292"/>
      <c r="H359" s="292"/>
      <c r="I359" s="292"/>
      <c r="J359" s="292" t="s">
        <v>4</v>
      </c>
      <c r="K359" s="291" t="s">
        <v>2567</v>
      </c>
      <c r="L359" s="214"/>
      <c r="M359" s="223">
        <v>44879</v>
      </c>
      <c r="N359" s="220" t="s">
        <v>4350</v>
      </c>
      <c r="O359" s="223">
        <v>44872</v>
      </c>
      <c r="P359" s="222"/>
      <c r="R359" t="s">
        <v>138</v>
      </c>
      <c r="AA359" s="236"/>
      <c r="AD359" s="233">
        <v>44872</v>
      </c>
    </row>
    <row r="360" spans="1:30">
      <c r="A360" s="291">
        <f>COUNTA($E$3:E360)</f>
        <v>358</v>
      </c>
      <c r="B360" s="291" t="s">
        <v>4309</v>
      </c>
      <c r="C360" s="291" t="s">
        <v>1177</v>
      </c>
      <c r="D360" s="291" t="s">
        <v>1178</v>
      </c>
      <c r="E360" s="291" t="s">
        <v>1179</v>
      </c>
      <c r="F360" s="292">
        <v>44872</v>
      </c>
      <c r="G360" s="292"/>
      <c r="H360" s="292"/>
      <c r="I360" s="292"/>
      <c r="J360" s="292" t="s">
        <v>5</v>
      </c>
      <c r="K360" s="291" t="s">
        <v>1795</v>
      </c>
      <c r="L360" s="214" t="s">
        <v>1310</v>
      </c>
      <c r="M360" s="223">
        <v>44879</v>
      </c>
      <c r="N360" s="220"/>
      <c r="O360" s="223"/>
      <c r="P360" s="223" t="s">
        <v>5053</v>
      </c>
      <c r="R360" t="s">
        <v>138</v>
      </c>
      <c r="AA360" s="236"/>
      <c r="AD360" s="233"/>
    </row>
    <row r="361" spans="1:30">
      <c r="A361" s="291">
        <f>COUNTA($E$3:E361)</f>
        <v>359</v>
      </c>
      <c r="B361" s="291" t="s">
        <v>4272</v>
      </c>
      <c r="C361" s="291" t="s">
        <v>1212</v>
      </c>
      <c r="D361" s="291" t="s">
        <v>42</v>
      </c>
      <c r="E361" s="291" t="s">
        <v>1237</v>
      </c>
      <c r="F361" s="292">
        <v>44866</v>
      </c>
      <c r="G361" s="292"/>
      <c r="H361" s="292"/>
      <c r="I361" s="292"/>
      <c r="J361" s="292" t="s">
        <v>3</v>
      </c>
      <c r="K361" s="291" t="s">
        <v>2461</v>
      </c>
      <c r="L361" s="214" t="s">
        <v>24</v>
      </c>
      <c r="M361" s="223">
        <v>44872</v>
      </c>
      <c r="N361" s="220" t="s">
        <v>4295</v>
      </c>
      <c r="O361" s="223">
        <v>44866</v>
      </c>
      <c r="P361" s="223"/>
      <c r="R361" t="s">
        <v>26</v>
      </c>
      <c r="AA361" s="236"/>
      <c r="AD361" s="233">
        <v>44866</v>
      </c>
    </row>
    <row r="362" spans="1:30">
      <c r="A362" s="291">
        <f>COUNTA($E$3:E362)</f>
        <v>360</v>
      </c>
      <c r="B362" s="291" t="s">
        <v>4276</v>
      </c>
      <c r="C362" s="291" t="s">
        <v>45</v>
      </c>
      <c r="D362" s="291" t="s">
        <v>20</v>
      </c>
      <c r="E362" s="291" t="s">
        <v>3991</v>
      </c>
      <c r="F362" s="292">
        <v>44867.484780092593</v>
      </c>
      <c r="G362" s="292"/>
      <c r="H362" s="292"/>
      <c r="I362" s="292"/>
      <c r="J362" s="292" t="s">
        <v>3</v>
      </c>
      <c r="K362" s="291" t="s">
        <v>4291</v>
      </c>
      <c r="L362" s="214" t="s">
        <v>22</v>
      </c>
      <c r="M362" s="223">
        <v>44872</v>
      </c>
      <c r="N362" s="220" t="s">
        <v>2163</v>
      </c>
      <c r="O362" s="223">
        <v>44872</v>
      </c>
      <c r="P362" s="223"/>
      <c r="R362" t="s">
        <v>26</v>
      </c>
      <c r="AA362" s="236"/>
      <c r="AD362" s="233">
        <v>44872</v>
      </c>
    </row>
    <row r="363" spans="1:30">
      <c r="A363" s="291">
        <f>COUNTA($E$3:E363)</f>
        <v>361</v>
      </c>
      <c r="B363" s="291" t="s">
        <v>4109</v>
      </c>
      <c r="C363" s="291" t="s">
        <v>3795</v>
      </c>
      <c r="D363" s="291" t="s">
        <v>68</v>
      </c>
      <c r="E363" s="291" t="s">
        <v>4110</v>
      </c>
      <c r="F363" s="292">
        <v>44841</v>
      </c>
      <c r="G363" s="292">
        <v>44851</v>
      </c>
      <c r="H363" s="292">
        <v>44872</v>
      </c>
      <c r="I363" s="292">
        <v>44848</v>
      </c>
      <c r="J363" s="292" t="s">
        <v>3</v>
      </c>
      <c r="K363" s="291" t="s">
        <v>3102</v>
      </c>
      <c r="L363" s="214" t="s">
        <v>1309</v>
      </c>
      <c r="M363" s="223">
        <v>44872</v>
      </c>
      <c r="N363" s="220" t="s">
        <v>4305</v>
      </c>
      <c r="O363" s="223">
        <v>44872</v>
      </c>
      <c r="P363" s="222"/>
      <c r="R363" t="s">
        <v>26</v>
      </c>
      <c r="AA363" s="236"/>
      <c r="AD363" s="233">
        <v>44872</v>
      </c>
    </row>
    <row r="364" spans="1:30">
      <c r="A364" s="291">
        <f>COUNTA($E$3:E364)</f>
        <v>362</v>
      </c>
      <c r="B364" s="291" t="s">
        <v>4277</v>
      </c>
      <c r="C364" s="291" t="s">
        <v>45</v>
      </c>
      <c r="D364" s="291" t="s">
        <v>1115</v>
      </c>
      <c r="E364" s="291" t="s">
        <v>4285</v>
      </c>
      <c r="F364" s="292">
        <v>44867</v>
      </c>
      <c r="G364" s="292"/>
      <c r="H364" s="292"/>
      <c r="I364" s="292"/>
      <c r="J364" s="292" t="s">
        <v>4</v>
      </c>
      <c r="K364" s="291" t="s">
        <v>3504</v>
      </c>
      <c r="L364" s="214" t="s">
        <v>24</v>
      </c>
      <c r="M364" s="223">
        <v>44872</v>
      </c>
      <c r="N364" s="220" t="s">
        <v>2160</v>
      </c>
      <c r="O364" s="223">
        <v>44872</v>
      </c>
      <c r="P364" s="222"/>
      <c r="R364" t="s">
        <v>26</v>
      </c>
      <c r="AA364" s="236"/>
      <c r="AD364" s="233">
        <v>44872</v>
      </c>
    </row>
    <row r="365" spans="1:30">
      <c r="A365" s="291">
        <f>COUNTA($E$3:E365)</f>
        <v>363</v>
      </c>
      <c r="B365" s="291" t="s">
        <v>4251</v>
      </c>
      <c r="C365" s="291" t="s">
        <v>45</v>
      </c>
      <c r="D365" s="291" t="s">
        <v>1216</v>
      </c>
      <c r="E365" s="291" t="s">
        <v>3658</v>
      </c>
      <c r="F365" s="292">
        <v>44862</v>
      </c>
      <c r="G365" s="292"/>
      <c r="H365" s="292"/>
      <c r="I365" s="292"/>
      <c r="J365" s="292" t="s">
        <v>4</v>
      </c>
      <c r="K365" s="291" t="s">
        <v>4252</v>
      </c>
      <c r="L365" s="214" t="s">
        <v>1302</v>
      </c>
      <c r="M365" s="223">
        <v>44872</v>
      </c>
      <c r="N365" s="220" t="s">
        <v>4282</v>
      </c>
      <c r="O365" s="223">
        <v>44907</v>
      </c>
      <c r="P365" s="222"/>
      <c r="R365" t="s">
        <v>138</v>
      </c>
      <c r="AA365" s="236"/>
      <c r="AD365" s="233">
        <v>44907</v>
      </c>
    </row>
    <row r="366" spans="1:30">
      <c r="A366" s="291">
        <f>COUNTA($E$3:E366)</f>
        <v>364</v>
      </c>
      <c r="B366" s="291" t="s">
        <v>4243</v>
      </c>
      <c r="C366" s="291" t="s">
        <v>3325</v>
      </c>
      <c r="D366" s="291" t="s">
        <v>1115</v>
      </c>
      <c r="E366" s="291" t="s">
        <v>3326</v>
      </c>
      <c r="F366" s="292">
        <v>44861</v>
      </c>
      <c r="G366" s="292"/>
      <c r="H366" s="292"/>
      <c r="I366" s="292"/>
      <c r="J366" s="292" t="s">
        <v>4</v>
      </c>
      <c r="K366" s="291" t="s">
        <v>1500</v>
      </c>
      <c r="L366" s="214" t="s">
        <v>1311</v>
      </c>
      <c r="M366" s="223">
        <v>44872</v>
      </c>
      <c r="N366" s="220" t="s">
        <v>2160</v>
      </c>
      <c r="O366" s="223">
        <v>44872</v>
      </c>
      <c r="P366" s="222"/>
      <c r="R366" t="s">
        <v>138</v>
      </c>
      <c r="AA366" s="236"/>
      <c r="AD366" s="233">
        <v>44872</v>
      </c>
    </row>
    <row r="367" spans="1:30">
      <c r="A367" s="291">
        <f>COUNTA($E$3:E367)</f>
        <v>365</v>
      </c>
      <c r="B367" s="291" t="s">
        <v>4231</v>
      </c>
      <c r="C367" s="291" t="s">
        <v>45</v>
      </c>
      <c r="D367" s="291" t="s">
        <v>34</v>
      </c>
      <c r="E367" s="291" t="s">
        <v>1671</v>
      </c>
      <c r="F367" s="292">
        <v>44860</v>
      </c>
      <c r="G367" s="292"/>
      <c r="H367" s="292"/>
      <c r="I367" s="292"/>
      <c r="J367" s="292" t="s">
        <v>4</v>
      </c>
      <c r="K367" s="291" t="s">
        <v>1738</v>
      </c>
      <c r="L367" s="214" t="s">
        <v>1192</v>
      </c>
      <c r="M367" s="223">
        <v>44872</v>
      </c>
      <c r="N367" s="220" t="s">
        <v>4301</v>
      </c>
      <c r="O367" s="223">
        <v>44867</v>
      </c>
      <c r="P367" s="222"/>
      <c r="R367" t="s">
        <v>138</v>
      </c>
      <c r="AA367" s="236"/>
      <c r="AD367" s="233">
        <v>44867</v>
      </c>
    </row>
    <row r="368" spans="1:30">
      <c r="A368" s="291">
        <f>COUNTA($E$3:E368)</f>
        <v>366</v>
      </c>
      <c r="B368" s="291" t="s">
        <v>4217</v>
      </c>
      <c r="C368" s="291" t="s">
        <v>1767</v>
      </c>
      <c r="D368" s="291" t="s">
        <v>53</v>
      </c>
      <c r="E368" s="291" t="s">
        <v>1768</v>
      </c>
      <c r="F368" s="292">
        <v>44858</v>
      </c>
      <c r="G368" s="292"/>
      <c r="H368" s="292"/>
      <c r="I368" s="292"/>
      <c r="J368" s="292" t="s">
        <v>4</v>
      </c>
      <c r="K368" s="291" t="s">
        <v>2461</v>
      </c>
      <c r="L368" s="214" t="s">
        <v>24</v>
      </c>
      <c r="M368" s="223">
        <v>44872</v>
      </c>
      <c r="N368" s="220"/>
      <c r="O368" s="223">
        <v>44858</v>
      </c>
      <c r="P368" s="223"/>
      <c r="R368" t="s">
        <v>26</v>
      </c>
      <c r="AA368" s="236"/>
      <c r="AD368" s="233">
        <v>44858</v>
      </c>
    </row>
    <row r="369" spans="1:30">
      <c r="A369" s="291">
        <f>COUNTA($E$3:E369)</f>
        <v>367</v>
      </c>
      <c r="B369" s="291" t="s">
        <v>3959</v>
      </c>
      <c r="C369" s="291" t="s">
        <v>295</v>
      </c>
      <c r="D369" s="291" t="s">
        <v>38</v>
      </c>
      <c r="E369" s="291" t="s">
        <v>1265</v>
      </c>
      <c r="F369" s="292">
        <v>44818</v>
      </c>
      <c r="G369" s="292">
        <v>44833</v>
      </c>
      <c r="H369" s="292"/>
      <c r="I369" s="292" t="s">
        <v>70</v>
      </c>
      <c r="J369" s="292" t="s">
        <v>4</v>
      </c>
      <c r="K369" s="291" t="s">
        <v>4071</v>
      </c>
      <c r="L369" s="214" t="s">
        <v>28</v>
      </c>
      <c r="M369" s="223">
        <v>44872</v>
      </c>
      <c r="N369" s="220" t="s">
        <v>4304</v>
      </c>
      <c r="O369" s="223">
        <v>44883</v>
      </c>
      <c r="P369" s="222"/>
      <c r="R369" t="s">
        <v>26</v>
      </c>
      <c r="AA369" s="236"/>
      <c r="AD369" s="233">
        <v>44883</v>
      </c>
    </row>
    <row r="370" spans="1:30">
      <c r="A370" s="291">
        <f>COUNTA($E$3:E370)</f>
        <v>368</v>
      </c>
      <c r="B370" s="291" t="s">
        <v>4212</v>
      </c>
      <c r="C370" s="291" t="s">
        <v>25</v>
      </c>
      <c r="D370" s="291" t="s">
        <v>34</v>
      </c>
      <c r="E370" s="291" t="s">
        <v>3343</v>
      </c>
      <c r="F370" s="292"/>
      <c r="G370" s="292"/>
      <c r="H370" s="292">
        <v>44858</v>
      </c>
      <c r="I370" s="292" t="s">
        <v>1738</v>
      </c>
      <c r="J370" s="292" t="s">
        <v>3</v>
      </c>
      <c r="K370" s="291" t="s">
        <v>1738</v>
      </c>
      <c r="L370" s="214" t="s">
        <v>1310</v>
      </c>
      <c r="M370" s="223">
        <v>44865</v>
      </c>
      <c r="N370" s="220"/>
      <c r="O370" s="223"/>
      <c r="P370" s="222" t="s">
        <v>5053</v>
      </c>
      <c r="R370" t="s">
        <v>138</v>
      </c>
      <c r="AA370" s="236"/>
      <c r="AD370" s="233"/>
    </row>
    <row r="371" spans="1:30">
      <c r="A371" s="291">
        <f>COUNTA($E$3:E371)</f>
        <v>369</v>
      </c>
      <c r="B371" s="291" t="s">
        <v>4204</v>
      </c>
      <c r="C371" s="291" t="s">
        <v>25</v>
      </c>
      <c r="D371" s="291" t="s">
        <v>36</v>
      </c>
      <c r="E371" s="291" t="s">
        <v>1670</v>
      </c>
      <c r="F371" s="292">
        <v>44854</v>
      </c>
      <c r="G371" s="292"/>
      <c r="H371" s="292"/>
      <c r="I371" s="292"/>
      <c r="J371" s="292" t="s">
        <v>3</v>
      </c>
      <c r="K371" s="291" t="s">
        <v>369</v>
      </c>
      <c r="L371" s="214" t="s">
        <v>1311</v>
      </c>
      <c r="M371" s="223">
        <v>44865</v>
      </c>
      <c r="N371" s="220" t="s">
        <v>4249</v>
      </c>
      <c r="O371" s="223">
        <v>44967</v>
      </c>
      <c r="P371" s="222"/>
      <c r="R371" t="s">
        <v>138</v>
      </c>
      <c r="AA371" s="236"/>
      <c r="AD371" s="233">
        <v>44967</v>
      </c>
    </row>
    <row r="372" spans="1:30">
      <c r="A372" s="291">
        <f>COUNTA($E$3:E372)</f>
        <v>370</v>
      </c>
      <c r="B372" s="291" t="s">
        <v>4194</v>
      </c>
      <c r="C372" s="291" t="s">
        <v>25</v>
      </c>
      <c r="D372" s="291" t="s">
        <v>34</v>
      </c>
      <c r="E372" s="291" t="s">
        <v>2081</v>
      </c>
      <c r="F372" s="292">
        <v>44853</v>
      </c>
      <c r="G372" s="292"/>
      <c r="H372" s="292"/>
      <c r="I372" s="292"/>
      <c r="J372" s="292" t="s">
        <v>3</v>
      </c>
      <c r="K372" s="291" t="s">
        <v>1686</v>
      </c>
      <c r="L372" s="214" t="s">
        <v>1311</v>
      </c>
      <c r="M372" s="223">
        <v>44865</v>
      </c>
      <c r="N372" s="220" t="s">
        <v>4248</v>
      </c>
      <c r="O372" s="223">
        <v>44959</v>
      </c>
      <c r="P372" s="222"/>
      <c r="R372" t="s">
        <v>138</v>
      </c>
      <c r="AA372" s="236"/>
      <c r="AD372" s="233">
        <v>44959</v>
      </c>
    </row>
    <row r="373" spans="1:30">
      <c r="A373" s="291">
        <f>COUNTA($E$3:E373)</f>
        <v>371</v>
      </c>
      <c r="B373" s="291" t="s">
        <v>4087</v>
      </c>
      <c r="C373" s="291" t="s">
        <v>41</v>
      </c>
      <c r="D373" s="291" t="s">
        <v>34</v>
      </c>
      <c r="E373" s="291" t="s">
        <v>3407</v>
      </c>
      <c r="F373" s="292">
        <v>44837</v>
      </c>
      <c r="G373" s="292"/>
      <c r="H373" s="292"/>
      <c r="I373" s="292"/>
      <c r="J373" s="292" t="s">
        <v>3</v>
      </c>
      <c r="K373" s="291" t="s">
        <v>3279</v>
      </c>
      <c r="L373" s="214" t="s">
        <v>1302</v>
      </c>
      <c r="M373" s="223">
        <v>44865</v>
      </c>
      <c r="N373" s="220" t="s">
        <v>4247</v>
      </c>
      <c r="O373" s="223">
        <v>44907</v>
      </c>
      <c r="P373" s="223"/>
      <c r="R373" t="s">
        <v>138</v>
      </c>
      <c r="AA373" s="236"/>
      <c r="AD373" s="233">
        <v>44907</v>
      </c>
    </row>
    <row r="374" spans="1:30">
      <c r="A374" s="291">
        <f>COUNTA($E$3:E374)</f>
        <v>372</v>
      </c>
      <c r="B374" s="291" t="s">
        <v>4067</v>
      </c>
      <c r="C374" s="291" t="s">
        <v>2752</v>
      </c>
      <c r="D374" s="291" t="s">
        <v>35</v>
      </c>
      <c r="E374" s="291" t="s">
        <v>4068</v>
      </c>
      <c r="F374" s="292">
        <v>44833</v>
      </c>
      <c r="G374" s="292">
        <v>44837</v>
      </c>
      <c r="H374" s="292">
        <v>44852</v>
      </c>
      <c r="I374" s="292">
        <v>44852</v>
      </c>
      <c r="J374" s="292" t="s">
        <v>3</v>
      </c>
      <c r="K374" s="291" t="s">
        <v>2713</v>
      </c>
      <c r="L374" s="214" t="s">
        <v>297</v>
      </c>
      <c r="M374" s="223">
        <v>44865</v>
      </c>
      <c r="N374" s="220" t="s">
        <v>4246</v>
      </c>
      <c r="O374" s="223">
        <v>44872</v>
      </c>
      <c r="P374" s="222"/>
      <c r="R374" t="s">
        <v>26</v>
      </c>
      <c r="AA374" s="236"/>
      <c r="AD374" s="233">
        <v>44872</v>
      </c>
    </row>
    <row r="375" spans="1:30">
      <c r="A375" s="291">
        <f>COUNTA($E$3:E375)</f>
        <v>373</v>
      </c>
      <c r="B375" s="291" t="s">
        <v>3899</v>
      </c>
      <c r="C375" s="291" t="s">
        <v>41</v>
      </c>
      <c r="D375" s="291" t="s">
        <v>34</v>
      </c>
      <c r="E375" s="291" t="s">
        <v>3900</v>
      </c>
      <c r="F375" s="292">
        <v>44804</v>
      </c>
      <c r="G375" s="292"/>
      <c r="H375" s="292"/>
      <c r="I375" s="292" t="s">
        <v>59</v>
      </c>
      <c r="J375" s="292" t="s">
        <v>3</v>
      </c>
      <c r="K375" s="291" t="s">
        <v>1500</v>
      </c>
      <c r="L375" s="214" t="s">
        <v>1309</v>
      </c>
      <c r="M375" s="223">
        <v>44865</v>
      </c>
      <c r="N375" s="220" t="s">
        <v>4255</v>
      </c>
      <c r="O375" s="223">
        <v>44867</v>
      </c>
      <c r="P375" s="223"/>
      <c r="R375" t="s">
        <v>138</v>
      </c>
      <c r="AA375" s="236"/>
      <c r="AD375" s="233">
        <v>44867</v>
      </c>
    </row>
    <row r="376" spans="1:30">
      <c r="A376" s="291">
        <f>COUNTA($E$3:E376)</f>
        <v>374</v>
      </c>
      <c r="B376" s="291" t="s">
        <v>3753</v>
      </c>
      <c r="C376" s="291" t="s">
        <v>41</v>
      </c>
      <c r="D376" s="291" t="s">
        <v>34</v>
      </c>
      <c r="E376" s="291" t="s">
        <v>3754</v>
      </c>
      <c r="F376" s="292">
        <v>44777</v>
      </c>
      <c r="G376" s="292"/>
      <c r="H376" s="292">
        <v>44783</v>
      </c>
      <c r="I376" s="292" t="s">
        <v>59</v>
      </c>
      <c r="J376" s="292" t="s">
        <v>3</v>
      </c>
      <c r="K376" s="291" t="s">
        <v>1500</v>
      </c>
      <c r="L376" s="214" t="s">
        <v>1309</v>
      </c>
      <c r="M376" s="223">
        <v>44865</v>
      </c>
      <c r="N376" s="220" t="s">
        <v>4254</v>
      </c>
      <c r="O376" s="223">
        <v>44867</v>
      </c>
      <c r="P376" s="222"/>
      <c r="R376" t="s">
        <v>138</v>
      </c>
      <c r="AA376" s="236"/>
      <c r="AD376" s="233">
        <v>44867</v>
      </c>
    </row>
    <row r="377" spans="1:30">
      <c r="A377" s="291">
        <f>COUNTA($E$3:E377)</f>
        <v>375</v>
      </c>
      <c r="B377" s="291" t="s">
        <v>4245</v>
      </c>
      <c r="C377" s="291" t="s">
        <v>3857</v>
      </c>
      <c r="D377" s="291" t="s">
        <v>23</v>
      </c>
      <c r="E377" s="291" t="s">
        <v>3725</v>
      </c>
      <c r="F377" s="292">
        <v>44861</v>
      </c>
      <c r="G377" s="292"/>
      <c r="H377" s="292"/>
      <c r="I377" s="292"/>
      <c r="J377" s="292" t="s">
        <v>4</v>
      </c>
      <c r="K377" s="291" t="s">
        <v>1227</v>
      </c>
      <c r="L377" s="214" t="s">
        <v>1302</v>
      </c>
      <c r="M377" s="223">
        <v>44865</v>
      </c>
      <c r="N377" s="220" t="s">
        <v>4257</v>
      </c>
      <c r="O377" s="223">
        <v>44907</v>
      </c>
      <c r="P377" s="222"/>
      <c r="R377" t="s">
        <v>138</v>
      </c>
      <c r="AA377" s="236"/>
      <c r="AD377" s="233">
        <v>44907</v>
      </c>
    </row>
    <row r="378" spans="1:30">
      <c r="A378" s="291">
        <f>COUNTA($E$3:E378)</f>
        <v>376</v>
      </c>
      <c r="B378" s="291" t="s">
        <v>4216</v>
      </c>
      <c r="C378" s="291" t="s">
        <v>1183</v>
      </c>
      <c r="D378" s="291" t="s">
        <v>23</v>
      </c>
      <c r="E378" s="291" t="s">
        <v>3749</v>
      </c>
      <c r="F378" s="292">
        <v>44858</v>
      </c>
      <c r="G378" s="292"/>
      <c r="H378" s="292"/>
      <c r="I378" s="292"/>
      <c r="J378" s="292" t="s">
        <v>4</v>
      </c>
      <c r="K378" s="291" t="s">
        <v>21</v>
      </c>
      <c r="L378" s="214"/>
      <c r="M378" s="223">
        <v>44865</v>
      </c>
      <c r="N378" s="220" t="s">
        <v>4256</v>
      </c>
      <c r="O378" s="223">
        <v>44864</v>
      </c>
      <c r="P378" s="223"/>
      <c r="R378" t="s">
        <v>26</v>
      </c>
      <c r="AA378" s="236"/>
      <c r="AD378" s="233">
        <v>44864</v>
      </c>
    </row>
    <row r="379" spans="1:30">
      <c r="A379" s="291">
        <f>COUNTA($E$3:E379)</f>
        <v>377</v>
      </c>
      <c r="B379" s="291" t="s">
        <v>4205</v>
      </c>
      <c r="C379" s="291" t="s">
        <v>25</v>
      </c>
      <c r="D379" s="291" t="s">
        <v>38</v>
      </c>
      <c r="E379" s="291" t="s">
        <v>2231</v>
      </c>
      <c r="F379" s="292">
        <v>44854.566400000003</v>
      </c>
      <c r="G379" s="292"/>
      <c r="H379" s="292"/>
      <c r="I379" s="292"/>
      <c r="J379" s="292" t="s">
        <v>4</v>
      </c>
      <c r="K379" s="291" t="s">
        <v>1681</v>
      </c>
      <c r="L379" s="214" t="s">
        <v>1311</v>
      </c>
      <c r="M379" s="223">
        <v>44865</v>
      </c>
      <c r="N379" s="220" t="s">
        <v>4258</v>
      </c>
      <c r="O379" s="223">
        <v>44865</v>
      </c>
      <c r="P379" s="222"/>
      <c r="R379" t="s">
        <v>138</v>
      </c>
      <c r="AA379" s="236"/>
      <c r="AD379" s="233">
        <v>44865</v>
      </c>
    </row>
    <row r="380" spans="1:30">
      <c r="A380" s="291">
        <f>COUNTA($E$3:E380)</f>
        <v>378</v>
      </c>
      <c r="B380" s="291" t="s">
        <v>3911</v>
      </c>
      <c r="C380" s="291" t="s">
        <v>45</v>
      </c>
      <c r="D380" s="291" t="s">
        <v>1193</v>
      </c>
      <c r="E380" s="291" t="s">
        <v>3912</v>
      </c>
      <c r="F380" s="292">
        <v>44809</v>
      </c>
      <c r="G380" s="292"/>
      <c r="H380" s="292"/>
      <c r="I380" s="292" t="s">
        <v>59</v>
      </c>
      <c r="J380" s="292" t="s">
        <v>5</v>
      </c>
      <c r="K380" s="291" t="s">
        <v>1105</v>
      </c>
      <c r="L380" s="214" t="s">
        <v>297</v>
      </c>
      <c r="M380" s="223">
        <v>44865</v>
      </c>
      <c r="N380" s="220" t="s">
        <v>4247</v>
      </c>
      <c r="O380" s="223">
        <v>44861</v>
      </c>
      <c r="P380" s="222"/>
      <c r="R380" t="s">
        <v>26</v>
      </c>
      <c r="AA380" s="236"/>
      <c r="AD380" s="233">
        <v>44861</v>
      </c>
    </row>
    <row r="381" spans="1:30">
      <c r="A381" s="291">
        <f>COUNTA($E$3:E381)</f>
        <v>379</v>
      </c>
      <c r="B381" s="291" t="s">
        <v>4165</v>
      </c>
      <c r="C381" s="291" t="s">
        <v>45</v>
      </c>
      <c r="D381" s="291" t="s">
        <v>1193</v>
      </c>
      <c r="E381" s="291" t="s">
        <v>1299</v>
      </c>
      <c r="F381" s="292">
        <v>44846.77511574074</v>
      </c>
      <c r="G381" s="292"/>
      <c r="H381" s="292"/>
      <c r="I381" s="292"/>
      <c r="J381" s="292" t="s">
        <v>1122</v>
      </c>
      <c r="K381" s="291" t="s">
        <v>2220</v>
      </c>
      <c r="L381" s="214" t="s">
        <v>1310</v>
      </c>
      <c r="M381" s="223">
        <v>44858</v>
      </c>
      <c r="N381" s="220" t="s">
        <v>4210</v>
      </c>
      <c r="O381" s="223">
        <v>44865</v>
      </c>
      <c r="P381" s="222"/>
      <c r="R381" t="s">
        <v>138</v>
      </c>
      <c r="AA381" s="236"/>
      <c r="AD381" s="233">
        <v>44865</v>
      </c>
    </row>
    <row r="382" spans="1:30">
      <c r="A382" s="291">
        <f>COUNTA($E$3:E382)</f>
        <v>380</v>
      </c>
      <c r="B382" s="291" t="s">
        <v>4155</v>
      </c>
      <c r="C382" s="291" t="s">
        <v>45</v>
      </c>
      <c r="D382" s="291" t="s">
        <v>1151</v>
      </c>
      <c r="E382" s="291" t="s">
        <v>1152</v>
      </c>
      <c r="F382" s="292">
        <v>44846</v>
      </c>
      <c r="G382" s="292"/>
      <c r="H382" s="292"/>
      <c r="I382" s="292"/>
      <c r="J382" s="292" t="s">
        <v>1122</v>
      </c>
      <c r="K382" s="291" t="s">
        <v>21</v>
      </c>
      <c r="L382" s="214" t="s">
        <v>1289</v>
      </c>
      <c r="M382" s="223">
        <v>44858</v>
      </c>
      <c r="N382" s="220"/>
      <c r="O382" s="223"/>
      <c r="P382" s="223" t="s">
        <v>5053</v>
      </c>
      <c r="R382" t="s">
        <v>138</v>
      </c>
      <c r="AA382" s="236"/>
      <c r="AD382" s="233"/>
    </row>
    <row r="383" spans="1:30">
      <c r="A383" s="291">
        <f>COUNTA($E$3:E383)</f>
        <v>381</v>
      </c>
      <c r="B383" s="291" t="s">
        <v>4154</v>
      </c>
      <c r="C383" s="291" t="s">
        <v>45</v>
      </c>
      <c r="D383" s="291" t="s">
        <v>1136</v>
      </c>
      <c r="E383" s="291" t="s">
        <v>4261</v>
      </c>
      <c r="F383" s="292">
        <v>44846</v>
      </c>
      <c r="G383" s="292"/>
      <c r="H383" s="292"/>
      <c r="I383" s="292"/>
      <c r="J383" s="292" t="s">
        <v>1122</v>
      </c>
      <c r="K383" s="291" t="s">
        <v>1665</v>
      </c>
      <c r="L383" s="214" t="s">
        <v>1289</v>
      </c>
      <c r="M383" s="223">
        <v>44858</v>
      </c>
      <c r="N383" s="220"/>
      <c r="O383" s="223"/>
      <c r="P383" s="223" t="s">
        <v>5053</v>
      </c>
      <c r="R383" t="s">
        <v>138</v>
      </c>
      <c r="AA383" s="236"/>
      <c r="AD383" s="233"/>
    </row>
    <row r="384" spans="1:30">
      <c r="A384" s="291">
        <f>COUNTA($E$3:E384)</f>
        <v>382</v>
      </c>
      <c r="B384" s="291" t="s">
        <v>4187</v>
      </c>
      <c r="C384" s="291" t="s">
        <v>25</v>
      </c>
      <c r="D384" s="291" t="s">
        <v>34</v>
      </c>
      <c r="E384" s="291" t="s">
        <v>2591</v>
      </c>
      <c r="F384" s="292"/>
      <c r="G384" s="292"/>
      <c r="H384" s="292"/>
      <c r="I384" s="292"/>
      <c r="J384" s="292" t="s">
        <v>3</v>
      </c>
      <c r="K384" s="291" t="s">
        <v>369</v>
      </c>
      <c r="L384" s="214" t="s">
        <v>1302</v>
      </c>
      <c r="M384" s="223">
        <v>44858</v>
      </c>
      <c r="N384" s="220" t="s">
        <v>4210</v>
      </c>
      <c r="O384" s="223">
        <v>44907</v>
      </c>
      <c r="P384" s="222"/>
      <c r="R384" t="s">
        <v>138</v>
      </c>
      <c r="AA384" s="236"/>
      <c r="AD384" s="233">
        <v>44907</v>
      </c>
    </row>
    <row r="385" spans="1:30">
      <c r="A385" s="291">
        <f>COUNTA($E$3:E385)</f>
        <v>383</v>
      </c>
      <c r="B385" s="291" t="s">
        <v>4393</v>
      </c>
      <c r="C385" s="291" t="s">
        <v>45</v>
      </c>
      <c r="D385" s="291" t="s">
        <v>38</v>
      </c>
      <c r="E385" s="291" t="s">
        <v>1057</v>
      </c>
      <c r="F385" s="292">
        <v>44882</v>
      </c>
      <c r="G385" s="292"/>
      <c r="H385" s="292"/>
      <c r="I385" s="292"/>
      <c r="J385" s="292" t="s">
        <v>3</v>
      </c>
      <c r="K385" s="291" t="s">
        <v>3279</v>
      </c>
      <c r="L385" s="214"/>
      <c r="M385" s="223">
        <v>44893</v>
      </c>
      <c r="N385" s="220" t="s">
        <v>4419</v>
      </c>
      <c r="O385" s="223">
        <v>44893</v>
      </c>
      <c r="P385" s="223"/>
      <c r="R385" t="s">
        <v>26</v>
      </c>
      <c r="AA385" s="236"/>
      <c r="AD385" s="233">
        <v>44893</v>
      </c>
    </row>
    <row r="386" spans="1:30">
      <c r="A386" s="291">
        <f>COUNTA($E$3:E386)</f>
        <v>384</v>
      </c>
      <c r="B386" s="291" t="s">
        <v>4139</v>
      </c>
      <c r="C386" s="291" t="s">
        <v>45</v>
      </c>
      <c r="D386" s="291" t="s">
        <v>35</v>
      </c>
      <c r="E386" s="291" t="s">
        <v>3137</v>
      </c>
      <c r="F386" s="292">
        <v>44844</v>
      </c>
      <c r="G386" s="292">
        <v>44851</v>
      </c>
      <c r="H386" s="292"/>
      <c r="I386" s="292" t="s">
        <v>70</v>
      </c>
      <c r="J386" s="292" t="s">
        <v>3</v>
      </c>
      <c r="K386" s="291" t="s">
        <v>21</v>
      </c>
      <c r="L386" s="214" t="s">
        <v>297</v>
      </c>
      <c r="M386" s="223">
        <v>44858</v>
      </c>
      <c r="N386" s="220" t="s">
        <v>4262</v>
      </c>
      <c r="O386" s="223">
        <v>44851</v>
      </c>
      <c r="P386" s="223"/>
      <c r="R386" t="s">
        <v>26</v>
      </c>
      <c r="AA386" s="236"/>
      <c r="AD386" s="233">
        <v>44851</v>
      </c>
    </row>
    <row r="387" spans="1:30">
      <c r="A387" s="291">
        <f>COUNTA($E$3:E387)</f>
        <v>385</v>
      </c>
      <c r="B387" s="291" t="s">
        <v>4095</v>
      </c>
      <c r="C387" s="291" t="s">
        <v>45</v>
      </c>
      <c r="D387" s="291" t="s">
        <v>34</v>
      </c>
      <c r="E387" s="291" t="s">
        <v>3008</v>
      </c>
      <c r="F387" s="292">
        <v>44839</v>
      </c>
      <c r="G387" s="292">
        <v>44844</v>
      </c>
      <c r="H387" s="292"/>
      <c r="I387" s="292" t="s">
        <v>70</v>
      </c>
      <c r="J387" s="292" t="s">
        <v>3</v>
      </c>
      <c r="K387" s="291" t="s">
        <v>21</v>
      </c>
      <c r="L387" s="214" t="s">
        <v>2058</v>
      </c>
      <c r="M387" s="223">
        <v>44858</v>
      </c>
      <c r="N387" s="220" t="s">
        <v>4263</v>
      </c>
      <c r="O387" s="223">
        <v>44844</v>
      </c>
      <c r="P387" s="223"/>
      <c r="R387" t="s">
        <v>26</v>
      </c>
      <c r="AA387" s="236"/>
      <c r="AD387" s="233">
        <v>44844</v>
      </c>
    </row>
    <row r="388" spans="1:30">
      <c r="A388" s="291">
        <f>COUNTA($E$3:E388)</f>
        <v>386</v>
      </c>
      <c r="B388" s="291" t="s">
        <v>4264</v>
      </c>
      <c r="C388" s="291" t="s">
        <v>45</v>
      </c>
      <c r="D388" s="291" t="s">
        <v>55</v>
      </c>
      <c r="E388" s="291" t="s">
        <v>3050</v>
      </c>
      <c r="F388" s="292">
        <v>44846.777743055558</v>
      </c>
      <c r="G388" s="292"/>
      <c r="H388" s="292"/>
      <c r="I388" s="292"/>
      <c r="J388" s="292" t="s">
        <v>4</v>
      </c>
      <c r="K388" s="291" t="s">
        <v>1664</v>
      </c>
      <c r="L388" s="214" t="s">
        <v>1302</v>
      </c>
      <c r="M388" s="223">
        <v>44858</v>
      </c>
      <c r="N388" s="220" t="s">
        <v>4265</v>
      </c>
      <c r="O388" s="223">
        <v>44843</v>
      </c>
      <c r="P388" s="223"/>
      <c r="R388" t="s">
        <v>138</v>
      </c>
      <c r="AA388" s="236"/>
      <c r="AD388" s="233">
        <v>44843</v>
      </c>
    </row>
    <row r="389" spans="1:30">
      <c r="A389" s="291">
        <f>COUNTA($E$3:E389)</f>
        <v>387</v>
      </c>
      <c r="B389" s="291" t="s">
        <v>4159</v>
      </c>
      <c r="C389" s="291" t="s">
        <v>41</v>
      </c>
      <c r="D389" s="291" t="s">
        <v>34</v>
      </c>
      <c r="E389" s="291" t="s">
        <v>3514</v>
      </c>
      <c r="F389" s="292">
        <v>44846.770451388889</v>
      </c>
      <c r="G389" s="292"/>
      <c r="H389" s="292"/>
      <c r="I389" s="292"/>
      <c r="J389" s="292" t="s">
        <v>4</v>
      </c>
      <c r="K389" s="291" t="s">
        <v>2235</v>
      </c>
      <c r="L389" s="214" t="s">
        <v>1311</v>
      </c>
      <c r="M389" s="223">
        <v>44858</v>
      </c>
      <c r="N389" s="220" t="s">
        <v>4266</v>
      </c>
      <c r="O389" s="223">
        <v>44866</v>
      </c>
      <c r="P389" s="222"/>
      <c r="R389" t="s">
        <v>138</v>
      </c>
      <c r="AA389" s="236"/>
      <c r="AD389" s="233">
        <v>44866</v>
      </c>
    </row>
    <row r="390" spans="1:30">
      <c r="A390" s="291">
        <f>COUNTA($E$3:E390)</f>
        <v>388</v>
      </c>
      <c r="B390" s="291" t="s">
        <v>4158</v>
      </c>
      <c r="C390" s="291" t="s">
        <v>41</v>
      </c>
      <c r="D390" s="291" t="s">
        <v>34</v>
      </c>
      <c r="E390" s="291" t="s">
        <v>3518</v>
      </c>
      <c r="F390" s="292">
        <v>44846.769733796296</v>
      </c>
      <c r="G390" s="292"/>
      <c r="H390" s="292"/>
      <c r="I390" s="292"/>
      <c r="J390" s="292" t="s">
        <v>4</v>
      </c>
      <c r="K390" s="291" t="s">
        <v>2235</v>
      </c>
      <c r="L390" s="214" t="s">
        <v>1310</v>
      </c>
      <c r="M390" s="223">
        <v>44858</v>
      </c>
      <c r="N390" s="220" t="s">
        <v>4193</v>
      </c>
      <c r="O390" s="223">
        <v>44866</v>
      </c>
      <c r="P390" s="223"/>
      <c r="R390" t="s">
        <v>138</v>
      </c>
      <c r="AA390" s="236"/>
      <c r="AD390" s="233">
        <v>44866</v>
      </c>
    </row>
    <row r="391" spans="1:30">
      <c r="A391" s="291">
        <f>COUNTA($E$3:E391)</f>
        <v>389</v>
      </c>
      <c r="B391" s="291" t="s">
        <v>4144</v>
      </c>
      <c r="C391" s="291" t="s">
        <v>45</v>
      </c>
      <c r="D391" s="291" t="s">
        <v>34</v>
      </c>
      <c r="E391" s="291" t="s">
        <v>1736</v>
      </c>
      <c r="F391" s="292">
        <v>44845.702280092592</v>
      </c>
      <c r="G391" s="292"/>
      <c r="H391" s="292"/>
      <c r="I391" s="292"/>
      <c r="J391" s="292" t="s">
        <v>4</v>
      </c>
      <c r="K391" s="291" t="s">
        <v>2567</v>
      </c>
      <c r="L391" s="214" t="s">
        <v>1310</v>
      </c>
      <c r="M391" s="223">
        <v>44858</v>
      </c>
      <c r="N391" s="220" t="s">
        <v>4267</v>
      </c>
      <c r="O391" s="223">
        <v>44866</v>
      </c>
      <c r="P391" s="223"/>
      <c r="R391" t="s">
        <v>138</v>
      </c>
      <c r="AA391" s="236"/>
      <c r="AD391" s="233">
        <v>44866</v>
      </c>
    </row>
    <row r="392" spans="1:30">
      <c r="A392" s="291">
        <f>COUNTA($E$3:E392)</f>
        <v>390</v>
      </c>
      <c r="B392" s="291" t="s">
        <v>4192</v>
      </c>
      <c r="C392" s="291" t="s">
        <v>2396</v>
      </c>
      <c r="D392" s="291" t="s">
        <v>1138</v>
      </c>
      <c r="E392" s="291" t="s">
        <v>4200</v>
      </c>
      <c r="F392" s="292"/>
      <c r="G392" s="292"/>
      <c r="H392" s="292"/>
      <c r="I392" s="292"/>
      <c r="J392" s="292" t="s">
        <v>5</v>
      </c>
      <c r="K392" s="291" t="s">
        <v>1722</v>
      </c>
      <c r="L392" s="214" t="s">
        <v>297</v>
      </c>
      <c r="M392" s="223">
        <v>44858</v>
      </c>
      <c r="N392" s="220" t="s">
        <v>4193</v>
      </c>
      <c r="O392" s="223">
        <v>44876</v>
      </c>
      <c r="P392" s="223"/>
      <c r="R392" t="s">
        <v>26</v>
      </c>
      <c r="AA392" s="236"/>
      <c r="AD392" s="233">
        <v>44876</v>
      </c>
    </row>
    <row r="393" spans="1:30">
      <c r="A393" s="291">
        <f>COUNTA($E$3:E393)</f>
        <v>391</v>
      </c>
      <c r="B393" s="291" t="s">
        <v>4122</v>
      </c>
      <c r="C393" s="291" t="s">
        <v>44</v>
      </c>
      <c r="D393" s="291" t="s">
        <v>34</v>
      </c>
      <c r="E393" s="291" t="s">
        <v>1660</v>
      </c>
      <c r="F393" s="292">
        <v>44841.474330543999</v>
      </c>
      <c r="G393" s="292"/>
      <c r="H393" s="292"/>
      <c r="I393" s="292"/>
      <c r="J393" s="292"/>
      <c r="K393" s="291"/>
      <c r="L393" s="214"/>
      <c r="M393" s="223">
        <v>44851</v>
      </c>
      <c r="N393" s="220" t="s">
        <v>4181</v>
      </c>
      <c r="O393" s="223">
        <v>44840</v>
      </c>
      <c r="P393" s="223"/>
      <c r="R393" t="s">
        <v>138</v>
      </c>
      <c r="AA393" s="236"/>
      <c r="AD393" s="233">
        <v>44840</v>
      </c>
    </row>
    <row r="394" spans="1:30">
      <c r="A394" s="291">
        <f>COUNTA($E$3:E394)</f>
        <v>392</v>
      </c>
      <c r="B394" s="291" t="s">
        <v>4167</v>
      </c>
      <c r="C394" s="291" t="s">
        <v>45</v>
      </c>
      <c r="D394" s="291" t="s">
        <v>1138</v>
      </c>
      <c r="E394" s="291" t="s">
        <v>3129</v>
      </c>
      <c r="F394" s="292">
        <v>44846</v>
      </c>
      <c r="G394" s="292">
        <v>44851</v>
      </c>
      <c r="H394" s="292"/>
      <c r="I394" s="292" t="s">
        <v>70</v>
      </c>
      <c r="J394" s="292" t="s">
        <v>1122</v>
      </c>
      <c r="K394" s="291" t="s">
        <v>2220</v>
      </c>
      <c r="L394" s="214" t="s">
        <v>37</v>
      </c>
      <c r="M394" s="223">
        <v>44851</v>
      </c>
      <c r="N394" s="220" t="s">
        <v>4184</v>
      </c>
      <c r="O394" s="223">
        <v>44862</v>
      </c>
      <c r="P394" s="223"/>
      <c r="R394" t="s">
        <v>138</v>
      </c>
      <c r="AA394" s="236"/>
      <c r="AD394" s="233">
        <v>44862</v>
      </c>
    </row>
    <row r="395" spans="1:30">
      <c r="A395" s="291">
        <f>COUNTA($E$3:E395)</f>
        <v>393</v>
      </c>
      <c r="B395" s="291" t="s">
        <v>4166</v>
      </c>
      <c r="C395" s="291" t="s">
        <v>45</v>
      </c>
      <c r="D395" s="291" t="s">
        <v>1279</v>
      </c>
      <c r="E395" s="291" t="s">
        <v>3135</v>
      </c>
      <c r="F395" s="292">
        <v>44846</v>
      </c>
      <c r="G395" s="292">
        <v>44851</v>
      </c>
      <c r="H395" s="292"/>
      <c r="I395" s="292" t="s">
        <v>70</v>
      </c>
      <c r="J395" s="292" t="s">
        <v>1122</v>
      </c>
      <c r="K395" s="291" t="s">
        <v>2220</v>
      </c>
      <c r="L395" s="214" t="s">
        <v>37</v>
      </c>
      <c r="M395" s="223">
        <v>44851</v>
      </c>
      <c r="N395" s="220" t="s">
        <v>4184</v>
      </c>
      <c r="O395" s="223">
        <v>44862</v>
      </c>
      <c r="P395" s="222"/>
      <c r="R395" t="s">
        <v>138</v>
      </c>
      <c r="AA395" s="236"/>
      <c r="AD395" s="233">
        <v>44862</v>
      </c>
    </row>
    <row r="396" spans="1:30">
      <c r="A396" s="291">
        <f>COUNTA($E$3:E396)</f>
        <v>394</v>
      </c>
      <c r="B396" s="291" t="s">
        <v>4140</v>
      </c>
      <c r="C396" s="291" t="s">
        <v>3548</v>
      </c>
      <c r="D396" s="291" t="s">
        <v>35</v>
      </c>
      <c r="E396" s="291" t="s">
        <v>3549</v>
      </c>
      <c r="F396" s="292">
        <v>44844</v>
      </c>
      <c r="G396" s="292"/>
      <c r="H396" s="292"/>
      <c r="I396" s="292"/>
      <c r="J396" s="292" t="s">
        <v>3</v>
      </c>
      <c r="K396" s="291" t="s">
        <v>21</v>
      </c>
      <c r="L396" s="214" t="s">
        <v>297</v>
      </c>
      <c r="M396" s="223">
        <v>44851</v>
      </c>
      <c r="N396" s="220" t="s">
        <v>4180</v>
      </c>
      <c r="O396" s="223">
        <v>44847</v>
      </c>
      <c r="P396" s="223"/>
      <c r="R396" t="s">
        <v>26</v>
      </c>
      <c r="AA396" s="236"/>
      <c r="AD396" s="233">
        <v>44847</v>
      </c>
    </row>
    <row r="397" spans="1:30">
      <c r="A397" s="291">
        <f>COUNTA($E$3:E397)</f>
        <v>395</v>
      </c>
      <c r="B397" s="291" t="s">
        <v>4105</v>
      </c>
      <c r="C397" s="291" t="s">
        <v>45</v>
      </c>
      <c r="D397" s="291" t="s">
        <v>1127</v>
      </c>
      <c r="E397" s="291" t="s">
        <v>4059</v>
      </c>
      <c r="F397" s="292">
        <v>44840</v>
      </c>
      <c r="G397" s="292"/>
      <c r="H397" s="292"/>
      <c r="I397" s="292"/>
      <c r="J397" s="292" t="s">
        <v>3</v>
      </c>
      <c r="K397" s="291" t="s">
        <v>4106</v>
      </c>
      <c r="L397" s="214" t="s">
        <v>1302</v>
      </c>
      <c r="M397" s="223">
        <v>44851</v>
      </c>
      <c r="N397" s="220"/>
      <c r="O397" s="223">
        <v>44858</v>
      </c>
      <c r="P397" s="222"/>
      <c r="R397" t="s">
        <v>138</v>
      </c>
      <c r="AA397" s="236"/>
      <c r="AD397" s="233">
        <v>44858</v>
      </c>
    </row>
    <row r="398" spans="1:30">
      <c r="A398" s="291">
        <f>COUNTA($E$3:E398)</f>
        <v>396</v>
      </c>
      <c r="B398" s="291" t="s">
        <v>4096</v>
      </c>
      <c r="C398" s="291" t="s">
        <v>45</v>
      </c>
      <c r="D398" s="291" t="s">
        <v>60</v>
      </c>
      <c r="E398" s="291" t="s">
        <v>3094</v>
      </c>
      <c r="F398" s="292">
        <v>44841</v>
      </c>
      <c r="G398" s="292">
        <v>44851</v>
      </c>
      <c r="H398" s="292"/>
      <c r="I398" s="292" t="s">
        <v>70</v>
      </c>
      <c r="J398" s="292" t="s">
        <v>3</v>
      </c>
      <c r="K398" s="291" t="s">
        <v>4097</v>
      </c>
      <c r="L398" s="214" t="s">
        <v>1302</v>
      </c>
      <c r="M398" s="223">
        <v>44851</v>
      </c>
      <c r="N398" s="220" t="s">
        <v>4183</v>
      </c>
      <c r="O398" s="223">
        <v>45051</v>
      </c>
      <c r="P398" s="222"/>
      <c r="R398" t="s">
        <v>138</v>
      </c>
      <c r="AA398" s="236"/>
      <c r="AD398" s="233">
        <v>45051</v>
      </c>
    </row>
    <row r="399" spans="1:30">
      <c r="A399" s="291">
        <f>COUNTA($E$3:E399)</f>
        <v>397</v>
      </c>
      <c r="B399" s="291" t="s">
        <v>4141</v>
      </c>
      <c r="C399" s="291" t="s">
        <v>45</v>
      </c>
      <c r="D399" s="291" t="s">
        <v>111</v>
      </c>
      <c r="E399" s="291" t="s">
        <v>4142</v>
      </c>
      <c r="F399" s="292">
        <v>44845</v>
      </c>
      <c r="G399" s="292"/>
      <c r="H399" s="292"/>
      <c r="I399" s="292"/>
      <c r="J399" s="292" t="s">
        <v>4</v>
      </c>
      <c r="K399" s="291" t="s">
        <v>1500</v>
      </c>
      <c r="L399" s="214" t="s">
        <v>1302</v>
      </c>
      <c r="M399" s="223">
        <v>44851</v>
      </c>
      <c r="N399" s="220"/>
      <c r="O399" s="223"/>
      <c r="P399" s="222" t="s">
        <v>5053</v>
      </c>
      <c r="R399" t="s">
        <v>138</v>
      </c>
      <c r="AA399" s="236"/>
      <c r="AD399" s="233"/>
    </row>
    <row r="400" spans="1:30">
      <c r="A400" s="291">
        <f>COUNTA($E$3:E400)</f>
        <v>398</v>
      </c>
      <c r="B400" s="291" t="s">
        <v>4117</v>
      </c>
      <c r="C400" s="291" t="s">
        <v>25</v>
      </c>
      <c r="D400" s="291" t="s">
        <v>29</v>
      </c>
      <c r="E400" s="291" t="s">
        <v>310</v>
      </c>
      <c r="F400" s="292">
        <v>44841.470636388898</v>
      </c>
      <c r="G400" s="292"/>
      <c r="H400" s="292"/>
      <c r="I400" s="292"/>
      <c r="J400" s="292" t="s">
        <v>4</v>
      </c>
      <c r="K400" s="291" t="s">
        <v>1735</v>
      </c>
      <c r="L400" s="214" t="s">
        <v>1311</v>
      </c>
      <c r="M400" s="223">
        <v>44851</v>
      </c>
      <c r="N400" s="220" t="s">
        <v>4178</v>
      </c>
      <c r="O400" s="223">
        <v>44854</v>
      </c>
      <c r="P400" s="222"/>
      <c r="R400" t="s">
        <v>138</v>
      </c>
      <c r="AA400" s="236"/>
      <c r="AD400" s="233">
        <v>44854</v>
      </c>
    </row>
    <row r="401" spans="1:30">
      <c r="A401" s="291">
        <f>COUNTA($E$3:E401)</f>
        <v>399</v>
      </c>
      <c r="B401" s="291" t="s">
        <v>4103</v>
      </c>
      <c r="C401" s="291" t="s">
        <v>45</v>
      </c>
      <c r="D401" s="291" t="s">
        <v>20</v>
      </c>
      <c r="E401" s="291" t="s">
        <v>1200</v>
      </c>
      <c r="F401" s="292">
        <v>44839</v>
      </c>
      <c r="G401" s="292"/>
      <c r="H401" s="292"/>
      <c r="I401" s="292"/>
      <c r="J401" s="292" t="s">
        <v>4</v>
      </c>
      <c r="K401" s="291" t="s">
        <v>3158</v>
      </c>
      <c r="L401" s="214" t="s">
        <v>37</v>
      </c>
      <c r="M401" s="223">
        <v>44851</v>
      </c>
      <c r="N401" s="220" t="s">
        <v>4179</v>
      </c>
      <c r="O401" s="223">
        <v>44845</v>
      </c>
      <c r="P401" s="222"/>
      <c r="R401" t="s">
        <v>138</v>
      </c>
      <c r="AA401" s="236"/>
      <c r="AD401" s="233">
        <v>44845</v>
      </c>
    </row>
    <row r="402" spans="1:30">
      <c r="A402" s="291">
        <f>COUNTA($E$3:E402)</f>
        <v>400</v>
      </c>
      <c r="B402" s="291" t="s">
        <v>4101</v>
      </c>
      <c r="C402" s="291" t="s">
        <v>3932</v>
      </c>
      <c r="D402" s="291" t="s">
        <v>60</v>
      </c>
      <c r="E402" s="291" t="s">
        <v>3933</v>
      </c>
      <c r="F402" s="292">
        <v>44839.811130439797</v>
      </c>
      <c r="G402" s="292"/>
      <c r="H402" s="292"/>
      <c r="I402" s="292"/>
      <c r="J402" s="292" t="s">
        <v>4</v>
      </c>
      <c r="K402" s="291" t="s">
        <v>1658</v>
      </c>
      <c r="L402" s="214" t="s">
        <v>1310</v>
      </c>
      <c r="M402" s="223">
        <v>44851</v>
      </c>
      <c r="N402" s="220" t="s">
        <v>4178</v>
      </c>
      <c r="O402" s="223">
        <v>44846</v>
      </c>
      <c r="P402" s="223"/>
      <c r="R402" t="s">
        <v>138</v>
      </c>
      <c r="AA402" s="236"/>
      <c r="AD402" s="233">
        <v>44846</v>
      </c>
    </row>
    <row r="403" spans="1:30">
      <c r="A403" s="291">
        <f>COUNTA($E$3:E403)</f>
        <v>401</v>
      </c>
      <c r="B403" s="291" t="s">
        <v>3852</v>
      </c>
      <c r="C403" s="291" t="s">
        <v>44</v>
      </c>
      <c r="D403" s="291" t="s">
        <v>60</v>
      </c>
      <c r="E403" s="291" t="s">
        <v>3853</v>
      </c>
      <c r="F403" s="292">
        <v>44797</v>
      </c>
      <c r="G403" s="292"/>
      <c r="H403" s="292"/>
      <c r="I403" s="292"/>
      <c r="J403" s="292" t="s">
        <v>4</v>
      </c>
      <c r="K403" s="291" t="s">
        <v>2179</v>
      </c>
      <c r="L403" s="214" t="s">
        <v>1289</v>
      </c>
      <c r="M403" s="223">
        <v>44851</v>
      </c>
      <c r="N403" s="220" t="s">
        <v>4176</v>
      </c>
      <c r="O403" s="223">
        <v>44861</v>
      </c>
      <c r="P403" s="223"/>
      <c r="R403" t="s">
        <v>138</v>
      </c>
      <c r="AA403" s="236"/>
      <c r="AD403" s="233">
        <v>44861</v>
      </c>
    </row>
    <row r="404" spans="1:30">
      <c r="A404" s="291">
        <f>COUNTA($E$3:E404)</f>
        <v>402</v>
      </c>
      <c r="B404" s="291" t="s">
        <v>4104</v>
      </c>
      <c r="C404" s="291" t="s">
        <v>41</v>
      </c>
      <c r="D404" s="291" t="s">
        <v>38</v>
      </c>
      <c r="E404" s="291" t="s">
        <v>3399</v>
      </c>
      <c r="F404" s="292">
        <v>44839</v>
      </c>
      <c r="G404" s="292"/>
      <c r="H404" s="292"/>
      <c r="I404" s="292"/>
      <c r="J404" s="292" t="s">
        <v>3</v>
      </c>
      <c r="K404" s="291" t="s">
        <v>3600</v>
      </c>
      <c r="L404" s="214" t="s">
        <v>37</v>
      </c>
      <c r="M404" s="223">
        <v>44844</v>
      </c>
      <c r="N404" s="220"/>
      <c r="O404" s="223">
        <v>44846</v>
      </c>
      <c r="P404" s="223"/>
      <c r="R404" t="s">
        <v>138</v>
      </c>
      <c r="AA404" s="236"/>
      <c r="AD404" s="233">
        <v>44846</v>
      </c>
    </row>
    <row r="405" spans="1:30">
      <c r="A405" s="291">
        <f>COUNTA($E$3:E405)</f>
        <v>403</v>
      </c>
      <c r="B405" s="291" t="s">
        <v>4094</v>
      </c>
      <c r="C405" s="291" t="s">
        <v>1180</v>
      </c>
      <c r="D405" s="291" t="s">
        <v>42</v>
      </c>
      <c r="E405" s="291" t="s">
        <v>2948</v>
      </c>
      <c r="F405" s="292">
        <v>44844</v>
      </c>
      <c r="G405" s="292"/>
      <c r="H405" s="292"/>
      <c r="I405" s="292"/>
      <c r="J405" s="292" t="s">
        <v>3</v>
      </c>
      <c r="K405" s="291" t="s">
        <v>2949</v>
      </c>
      <c r="L405" s="214"/>
      <c r="M405" s="223">
        <v>44844</v>
      </c>
      <c r="N405" s="220" t="s">
        <v>4137</v>
      </c>
      <c r="O405" s="223">
        <v>44849</v>
      </c>
      <c r="P405" s="223"/>
      <c r="R405" t="s">
        <v>26</v>
      </c>
      <c r="AA405" s="236"/>
      <c r="AD405" s="233">
        <v>44849</v>
      </c>
    </row>
    <row r="406" spans="1:30">
      <c r="A406" s="291">
        <f>COUNTA($E$3:E406)</f>
        <v>404</v>
      </c>
      <c r="B406" s="291" t="s">
        <v>4085</v>
      </c>
      <c r="C406" s="291" t="s">
        <v>2448</v>
      </c>
      <c r="D406" s="291" t="s">
        <v>29</v>
      </c>
      <c r="E406" s="291" t="s">
        <v>2466</v>
      </c>
      <c r="F406" s="292">
        <v>44837</v>
      </c>
      <c r="G406" s="292"/>
      <c r="H406" s="292"/>
      <c r="I406" s="292"/>
      <c r="J406" s="292" t="s">
        <v>3</v>
      </c>
      <c r="K406" s="291" t="s">
        <v>4086</v>
      </c>
      <c r="L406" s="214" t="s">
        <v>1309</v>
      </c>
      <c r="M406" s="223">
        <v>44844</v>
      </c>
      <c r="N406" s="220" t="s">
        <v>4130</v>
      </c>
      <c r="O406" s="223">
        <v>44844</v>
      </c>
      <c r="P406" s="223"/>
      <c r="R406" t="s">
        <v>26</v>
      </c>
      <c r="AA406" s="236"/>
      <c r="AD406" s="233">
        <v>44844</v>
      </c>
    </row>
    <row r="407" spans="1:30">
      <c r="A407" s="291">
        <f>COUNTA($E$3:E407)</f>
        <v>405</v>
      </c>
      <c r="B407" s="291" t="s">
        <v>4058</v>
      </c>
      <c r="C407" s="291" t="s">
        <v>45</v>
      </c>
      <c r="D407" s="291" t="s">
        <v>1127</v>
      </c>
      <c r="E407" s="291" t="s">
        <v>4059</v>
      </c>
      <c r="F407" s="292">
        <v>44832.583428854203</v>
      </c>
      <c r="G407" s="292"/>
      <c r="H407" s="292"/>
      <c r="I407" s="292"/>
      <c r="J407" s="292" t="s">
        <v>3</v>
      </c>
      <c r="K407" s="291" t="s">
        <v>4106</v>
      </c>
      <c r="L407" s="214"/>
      <c r="M407" s="223">
        <v>44844</v>
      </c>
      <c r="N407" s="220"/>
      <c r="O407" s="223">
        <v>44844</v>
      </c>
      <c r="P407" s="223"/>
      <c r="R407" t="s">
        <v>138</v>
      </c>
      <c r="AA407" s="236"/>
      <c r="AD407" s="233">
        <v>44844</v>
      </c>
    </row>
    <row r="408" spans="1:30">
      <c r="A408" s="291">
        <f>COUNTA($E$3:E408)</f>
        <v>406</v>
      </c>
      <c r="B408" s="291" t="s">
        <v>3964</v>
      </c>
      <c r="C408" s="291" t="s">
        <v>45</v>
      </c>
      <c r="D408" s="291" t="s">
        <v>38</v>
      </c>
      <c r="E408" s="291" t="s">
        <v>3965</v>
      </c>
      <c r="F408" s="292">
        <v>44819</v>
      </c>
      <c r="G408" s="292">
        <v>44833</v>
      </c>
      <c r="H408" s="292"/>
      <c r="I408" s="292" t="s">
        <v>70</v>
      </c>
      <c r="J408" s="292" t="s">
        <v>3</v>
      </c>
      <c r="K408" s="291" t="s">
        <v>21</v>
      </c>
      <c r="L408" s="214" t="s">
        <v>297</v>
      </c>
      <c r="M408" s="223">
        <v>44844</v>
      </c>
      <c r="N408" s="220" t="s">
        <v>4129</v>
      </c>
      <c r="O408" s="223">
        <v>44833</v>
      </c>
      <c r="P408" s="223"/>
      <c r="R408" t="s">
        <v>26</v>
      </c>
      <c r="AA408" s="236"/>
      <c r="AD408" s="233">
        <v>44833</v>
      </c>
    </row>
    <row r="409" spans="1:30">
      <c r="A409" s="291">
        <f>COUNTA($E$3:E409)</f>
        <v>407</v>
      </c>
      <c r="B409" s="291" t="s">
        <v>3743</v>
      </c>
      <c r="C409" s="291" t="s">
        <v>2959</v>
      </c>
      <c r="D409" s="291" t="s">
        <v>1157</v>
      </c>
      <c r="E409" s="291" t="s">
        <v>3744</v>
      </c>
      <c r="F409" s="292">
        <v>44777</v>
      </c>
      <c r="G409" s="292">
        <v>44785</v>
      </c>
      <c r="H409" s="292"/>
      <c r="I409" s="292">
        <v>44785</v>
      </c>
      <c r="J409" s="292" t="s">
        <v>3</v>
      </c>
      <c r="K409" s="291" t="s">
        <v>369</v>
      </c>
      <c r="L409" s="214" t="s">
        <v>1302</v>
      </c>
      <c r="M409" s="223">
        <v>44844</v>
      </c>
      <c r="N409" s="220" t="s">
        <v>4128</v>
      </c>
      <c r="O409" s="223"/>
      <c r="P409" s="222"/>
      <c r="R409" t="s">
        <v>138</v>
      </c>
      <c r="AA409" s="236"/>
      <c r="AD409" s="233"/>
    </row>
    <row r="410" spans="1:30">
      <c r="A410" s="291">
        <f>COUNTA($E$3:E410)</f>
        <v>408</v>
      </c>
      <c r="B410" s="291" t="s">
        <v>4100</v>
      </c>
      <c r="C410" s="291" t="s">
        <v>41</v>
      </c>
      <c r="D410" s="291" t="s">
        <v>34</v>
      </c>
      <c r="E410" s="291" t="s">
        <v>2584</v>
      </c>
      <c r="F410" s="292">
        <v>44839</v>
      </c>
      <c r="G410" s="292"/>
      <c r="H410" s="292"/>
      <c r="I410" s="292"/>
      <c r="J410" s="292" t="s">
        <v>4</v>
      </c>
      <c r="K410" s="291" t="s">
        <v>1227</v>
      </c>
      <c r="L410" s="214" t="s">
        <v>37</v>
      </c>
      <c r="M410" s="223">
        <v>44844</v>
      </c>
      <c r="N410" s="220"/>
      <c r="O410" s="223"/>
      <c r="P410" s="222" t="s">
        <v>5053</v>
      </c>
      <c r="R410" t="s">
        <v>138</v>
      </c>
      <c r="AA410" s="236"/>
      <c r="AD410" s="233"/>
    </row>
    <row r="411" spans="1:30">
      <c r="A411" s="291">
        <f>COUNTA($E$3:E411)</f>
        <v>409</v>
      </c>
      <c r="B411" s="291" t="s">
        <v>4098</v>
      </c>
      <c r="C411" s="291" t="s">
        <v>3932</v>
      </c>
      <c r="D411" s="291" t="s">
        <v>1135</v>
      </c>
      <c r="E411" s="291" t="s">
        <v>4099</v>
      </c>
      <c r="F411" s="292">
        <v>44839</v>
      </c>
      <c r="G411" s="292">
        <v>44844</v>
      </c>
      <c r="H411" s="292">
        <v>44844</v>
      </c>
      <c r="I411" s="292">
        <v>44844</v>
      </c>
      <c r="J411" s="292" t="s">
        <v>4</v>
      </c>
      <c r="K411" s="291" t="s">
        <v>1658</v>
      </c>
      <c r="L411" s="214" t="s">
        <v>1310</v>
      </c>
      <c r="M411" s="223">
        <v>44844</v>
      </c>
      <c r="N411" s="220" t="s">
        <v>4132</v>
      </c>
      <c r="O411" s="223">
        <v>44844</v>
      </c>
      <c r="P411" s="222"/>
      <c r="R411" t="s">
        <v>138</v>
      </c>
      <c r="AA411" s="236"/>
      <c r="AD411" s="233">
        <v>44844</v>
      </c>
    </row>
    <row r="412" spans="1:30">
      <c r="A412" s="291">
        <f>COUNTA($E$3:E412)</f>
        <v>410</v>
      </c>
      <c r="B412" s="291" t="s">
        <v>4088</v>
      </c>
      <c r="C412" s="291" t="s">
        <v>4089</v>
      </c>
      <c r="D412" s="291" t="s">
        <v>34</v>
      </c>
      <c r="E412" s="291" t="s">
        <v>4090</v>
      </c>
      <c r="F412" s="292">
        <v>44838</v>
      </c>
      <c r="G412" s="292"/>
      <c r="H412" s="292"/>
      <c r="I412" s="292"/>
      <c r="J412" s="292" t="s">
        <v>4</v>
      </c>
      <c r="K412" s="291" t="s">
        <v>3504</v>
      </c>
      <c r="L412" s="214" t="s">
        <v>1309</v>
      </c>
      <c r="M412" s="223">
        <v>44844</v>
      </c>
      <c r="N412" s="220" t="s">
        <v>4130</v>
      </c>
      <c r="O412" s="223">
        <v>44840</v>
      </c>
      <c r="P412" s="222"/>
      <c r="R412" t="s">
        <v>26</v>
      </c>
      <c r="AA412" s="236"/>
      <c r="AD412" s="233">
        <v>44840</v>
      </c>
    </row>
    <row r="413" spans="1:30">
      <c r="A413" s="291">
        <f>COUNTA($E$3:E413)</f>
        <v>411</v>
      </c>
      <c r="B413" s="291" t="s">
        <v>3544</v>
      </c>
      <c r="C413" s="291" t="s">
        <v>2457</v>
      </c>
      <c r="D413" s="291" t="s">
        <v>23</v>
      </c>
      <c r="E413" s="291" t="s">
        <v>3551</v>
      </c>
      <c r="F413" s="292">
        <v>44754</v>
      </c>
      <c r="G413" s="292">
        <v>44764</v>
      </c>
      <c r="H413" s="292"/>
      <c r="I413" s="292">
        <v>44764</v>
      </c>
      <c r="J413" s="292" t="s">
        <v>4</v>
      </c>
      <c r="K413" s="291" t="s">
        <v>1735</v>
      </c>
      <c r="L413" s="214" t="s">
        <v>1302</v>
      </c>
      <c r="M413" s="223">
        <v>44844</v>
      </c>
      <c r="N413" s="220" t="s">
        <v>4127</v>
      </c>
      <c r="O413" s="223">
        <v>44841</v>
      </c>
      <c r="P413" s="222"/>
      <c r="R413" t="s">
        <v>138</v>
      </c>
      <c r="AA413" s="236"/>
      <c r="AD413" s="233">
        <v>44841</v>
      </c>
    </row>
    <row r="414" spans="1:30">
      <c r="A414" s="291">
        <f>COUNTA($E$3:E414)</f>
        <v>412</v>
      </c>
      <c r="B414" s="291" t="s">
        <v>3357</v>
      </c>
      <c r="C414" s="291" t="s">
        <v>3350</v>
      </c>
      <c r="D414" s="291" t="s">
        <v>31</v>
      </c>
      <c r="E414" s="291" t="s">
        <v>3358</v>
      </c>
      <c r="F414" s="292">
        <v>44735</v>
      </c>
      <c r="G414" s="292">
        <v>44738</v>
      </c>
      <c r="H414" s="292"/>
      <c r="I414" s="292">
        <v>44741</v>
      </c>
      <c r="J414" s="292" t="s">
        <v>5</v>
      </c>
      <c r="K414" s="291" t="s">
        <v>1105</v>
      </c>
      <c r="L414" s="214" t="s">
        <v>297</v>
      </c>
      <c r="M414" s="223">
        <v>44844</v>
      </c>
      <c r="N414" s="220" t="s">
        <v>4126</v>
      </c>
      <c r="O414" s="223">
        <v>44827</v>
      </c>
      <c r="P414" s="222"/>
      <c r="R414" t="s">
        <v>26</v>
      </c>
      <c r="AA414" s="236"/>
      <c r="AD414" s="233">
        <v>44827</v>
      </c>
    </row>
    <row r="415" spans="1:30">
      <c r="A415" s="291">
        <f>COUNTA($E$3:E415)</f>
        <v>413</v>
      </c>
      <c r="B415" s="291" t="s">
        <v>3355</v>
      </c>
      <c r="C415" s="291" t="s">
        <v>3350</v>
      </c>
      <c r="D415" s="291" t="s">
        <v>49</v>
      </c>
      <c r="E415" s="291" t="s">
        <v>3356</v>
      </c>
      <c r="F415" s="292">
        <v>44735</v>
      </c>
      <c r="G415" s="292">
        <v>44738</v>
      </c>
      <c r="H415" s="292">
        <v>44783</v>
      </c>
      <c r="I415" s="292">
        <v>44741</v>
      </c>
      <c r="J415" s="292" t="s">
        <v>5</v>
      </c>
      <c r="K415" s="291" t="s">
        <v>3370</v>
      </c>
      <c r="L415" s="214" t="s">
        <v>28</v>
      </c>
      <c r="M415" s="223">
        <v>44844</v>
      </c>
      <c r="N415" s="220" t="s">
        <v>4125</v>
      </c>
      <c r="O415" s="223">
        <v>44827</v>
      </c>
      <c r="P415" s="222"/>
      <c r="R415" t="s">
        <v>26</v>
      </c>
      <c r="AA415" s="236"/>
      <c r="AD415" s="233">
        <v>44827</v>
      </c>
    </row>
    <row r="416" spans="1:30">
      <c r="A416" s="291">
        <f>COUNTA($E$3:E416)</f>
        <v>414</v>
      </c>
      <c r="B416" s="291" t="s">
        <v>4035</v>
      </c>
      <c r="C416" s="291" t="s">
        <v>41</v>
      </c>
      <c r="D416" s="291" t="s">
        <v>34</v>
      </c>
      <c r="E416" s="291" t="s">
        <v>3403</v>
      </c>
      <c r="F416" s="292">
        <v>44827</v>
      </c>
      <c r="G416" s="292"/>
      <c r="H416" s="292"/>
      <c r="I416" s="292"/>
      <c r="J416" s="292" t="s">
        <v>3</v>
      </c>
      <c r="K416" s="291" t="s">
        <v>4036</v>
      </c>
      <c r="L416" s="214" t="s">
        <v>1311</v>
      </c>
      <c r="M416" s="223">
        <v>44837</v>
      </c>
      <c r="N416" s="220" t="s">
        <v>4080</v>
      </c>
      <c r="O416" s="223">
        <v>44907</v>
      </c>
      <c r="P416" s="222"/>
      <c r="R416" t="s">
        <v>138</v>
      </c>
      <c r="AA416" s="236"/>
      <c r="AD416" s="233">
        <v>44907</v>
      </c>
    </row>
    <row r="417" spans="1:30">
      <c r="A417" s="291">
        <f>COUNTA($E$3:E417)</f>
        <v>415</v>
      </c>
      <c r="B417" s="291" t="s">
        <v>4021</v>
      </c>
      <c r="C417" s="291" t="s">
        <v>41</v>
      </c>
      <c r="D417" s="291" t="s">
        <v>34</v>
      </c>
      <c r="E417" s="291" t="s">
        <v>3404</v>
      </c>
      <c r="F417" s="292">
        <v>44826</v>
      </c>
      <c r="G417" s="292"/>
      <c r="H417" s="292"/>
      <c r="I417" s="292"/>
      <c r="J417" s="292" t="s">
        <v>3</v>
      </c>
      <c r="K417" s="291" t="s">
        <v>1686</v>
      </c>
      <c r="L417" s="214" t="s">
        <v>1302</v>
      </c>
      <c r="M417" s="223">
        <v>44837</v>
      </c>
      <c r="N417" s="220" t="s">
        <v>4078</v>
      </c>
      <c r="O417" s="223">
        <v>44967</v>
      </c>
      <c r="P417" s="222"/>
      <c r="R417" t="s">
        <v>138</v>
      </c>
      <c r="AA417" s="236"/>
      <c r="AD417" s="233">
        <v>44967</v>
      </c>
    </row>
    <row r="418" spans="1:30">
      <c r="A418" s="291">
        <f>COUNTA($E$3:E418)</f>
        <v>416</v>
      </c>
      <c r="B418" s="291" t="s">
        <v>3931</v>
      </c>
      <c r="C418" s="291" t="s">
        <v>3932</v>
      </c>
      <c r="D418" s="291" t="s">
        <v>60</v>
      </c>
      <c r="E418" s="291" t="s">
        <v>3933</v>
      </c>
      <c r="F418" s="292">
        <v>44812</v>
      </c>
      <c r="G418" s="292"/>
      <c r="H418" s="292"/>
      <c r="I418" s="292" t="s">
        <v>59</v>
      </c>
      <c r="J418" s="292" t="s">
        <v>3</v>
      </c>
      <c r="K418" s="291" t="s">
        <v>3967</v>
      </c>
      <c r="L418" s="214"/>
      <c r="M418" s="223">
        <v>44837</v>
      </c>
      <c r="N418" s="220" t="s">
        <v>4079</v>
      </c>
      <c r="O418" s="223">
        <v>44844</v>
      </c>
      <c r="P418" s="222"/>
      <c r="R418" t="s">
        <v>138</v>
      </c>
      <c r="AA418" s="236"/>
      <c r="AD418" s="233">
        <v>44844</v>
      </c>
    </row>
    <row r="419" spans="1:30">
      <c r="A419" s="291">
        <f>COUNTA($E$3:E419)</f>
        <v>417</v>
      </c>
      <c r="B419" s="291" t="s">
        <v>3918</v>
      </c>
      <c r="C419" s="291" t="s">
        <v>1131</v>
      </c>
      <c r="D419" s="291" t="s">
        <v>68</v>
      </c>
      <c r="E419" s="291" t="s">
        <v>3713</v>
      </c>
      <c r="F419" s="292">
        <v>44810</v>
      </c>
      <c r="G419" s="292">
        <v>44819</v>
      </c>
      <c r="H419" s="292"/>
      <c r="I419" s="292">
        <v>44816</v>
      </c>
      <c r="J419" s="292" t="s">
        <v>3</v>
      </c>
      <c r="K419" s="291" t="s">
        <v>1762</v>
      </c>
      <c r="L419" s="214" t="s">
        <v>1310</v>
      </c>
      <c r="M419" s="223">
        <v>44837</v>
      </c>
      <c r="N419" s="220" t="s">
        <v>4077</v>
      </c>
      <c r="O419" s="223">
        <v>44832</v>
      </c>
      <c r="P419" s="223"/>
      <c r="R419" t="s">
        <v>138</v>
      </c>
      <c r="AA419" s="236"/>
      <c r="AD419" s="233">
        <v>44832</v>
      </c>
    </row>
    <row r="420" spans="1:30">
      <c r="A420" s="291">
        <f>COUNTA($E$3:E420)</f>
        <v>418</v>
      </c>
      <c r="B420" s="291" t="s">
        <v>3581</v>
      </c>
      <c r="C420" s="291" t="s">
        <v>3493</v>
      </c>
      <c r="D420" s="291" t="s">
        <v>3566</v>
      </c>
      <c r="E420" s="291" t="s">
        <v>3582</v>
      </c>
      <c r="F420" s="292">
        <v>44762</v>
      </c>
      <c r="G420" s="292">
        <v>44770</v>
      </c>
      <c r="H420" s="292"/>
      <c r="I420" s="292">
        <v>44769</v>
      </c>
      <c r="J420" s="292" t="s">
        <v>3</v>
      </c>
      <c r="K420" s="291" t="s">
        <v>1951</v>
      </c>
      <c r="L420" s="214"/>
      <c r="M420" s="223">
        <v>44837</v>
      </c>
      <c r="N420" s="220" t="s">
        <v>4084</v>
      </c>
      <c r="O420" s="223">
        <v>44762</v>
      </c>
      <c r="P420" s="222"/>
      <c r="R420" t="s">
        <v>26</v>
      </c>
      <c r="AA420" s="236"/>
      <c r="AD420" s="233">
        <v>44762</v>
      </c>
    </row>
    <row r="421" spans="1:30">
      <c r="A421" s="291">
        <f>COUNTA($E$3:E421)</f>
        <v>419</v>
      </c>
      <c r="B421" s="291" t="s">
        <v>4070</v>
      </c>
      <c r="C421" s="291" t="s">
        <v>3857</v>
      </c>
      <c r="D421" s="291" t="s">
        <v>23</v>
      </c>
      <c r="E421" s="291" t="s">
        <v>3725</v>
      </c>
      <c r="F421" s="292">
        <v>44833</v>
      </c>
      <c r="G421" s="292"/>
      <c r="H421" s="292"/>
      <c r="I421" s="292"/>
      <c r="J421" s="292" t="s">
        <v>4</v>
      </c>
      <c r="K421" s="291" t="s">
        <v>1227</v>
      </c>
      <c r="L421" s="214"/>
      <c r="M421" s="223">
        <v>44837</v>
      </c>
      <c r="N421" s="220" t="s">
        <v>4082</v>
      </c>
      <c r="O421" s="223">
        <v>44833</v>
      </c>
      <c r="P421" s="222"/>
      <c r="R421" t="s">
        <v>138</v>
      </c>
      <c r="AA421" s="236"/>
      <c r="AD421" s="233">
        <v>44833</v>
      </c>
    </row>
    <row r="422" spans="1:30">
      <c r="A422" s="291">
        <f>COUNTA($E$3:E422)</f>
        <v>420</v>
      </c>
      <c r="B422" s="291" t="s">
        <v>4069</v>
      </c>
      <c r="C422" s="291" t="s">
        <v>3857</v>
      </c>
      <c r="D422" s="291" t="s">
        <v>111</v>
      </c>
      <c r="E422" s="291" t="s">
        <v>1281</v>
      </c>
      <c r="F422" s="292">
        <v>44833</v>
      </c>
      <c r="G422" s="292"/>
      <c r="H422" s="292"/>
      <c r="I422" s="292"/>
      <c r="J422" s="292" t="s">
        <v>4</v>
      </c>
      <c r="K422" s="291" t="s">
        <v>1227</v>
      </c>
      <c r="L422" s="214"/>
      <c r="M422" s="223">
        <v>44837</v>
      </c>
      <c r="N422" s="220" t="s">
        <v>4082</v>
      </c>
      <c r="O422" s="223">
        <v>44833</v>
      </c>
      <c r="P422" s="222"/>
      <c r="R422" t="s">
        <v>138</v>
      </c>
      <c r="AA422" s="236"/>
      <c r="AD422" s="233">
        <v>44833</v>
      </c>
    </row>
    <row r="423" spans="1:30">
      <c r="A423" s="291">
        <f>COUNTA($E$3:E423)</f>
        <v>421</v>
      </c>
      <c r="B423" s="291" t="s">
        <v>4052</v>
      </c>
      <c r="C423" s="291" t="s">
        <v>41</v>
      </c>
      <c r="D423" s="291" t="s">
        <v>34</v>
      </c>
      <c r="E423" s="291" t="s">
        <v>4053</v>
      </c>
      <c r="F423" s="292">
        <v>44832.467793645803</v>
      </c>
      <c r="G423" s="292"/>
      <c r="H423" s="292"/>
      <c r="I423" s="292"/>
      <c r="J423" s="292" t="s">
        <v>4</v>
      </c>
      <c r="K423" s="291" t="s">
        <v>2506</v>
      </c>
      <c r="L423" s="214"/>
      <c r="M423" s="223">
        <v>44837</v>
      </c>
      <c r="N423" s="220" t="s">
        <v>4079</v>
      </c>
      <c r="O423" s="223">
        <v>44844</v>
      </c>
      <c r="P423" s="223"/>
      <c r="R423" t="s">
        <v>138</v>
      </c>
      <c r="AA423" s="236"/>
      <c r="AD423" s="233">
        <v>44844</v>
      </c>
    </row>
    <row r="424" spans="1:30">
      <c r="A424" s="291">
        <f>COUNTA($E$3:E424)</f>
        <v>422</v>
      </c>
      <c r="B424" s="291" t="s">
        <v>4049</v>
      </c>
      <c r="C424" s="291" t="s">
        <v>45</v>
      </c>
      <c r="D424" s="291" t="s">
        <v>1151</v>
      </c>
      <c r="E424" s="291" t="s">
        <v>1152</v>
      </c>
      <c r="F424" s="292">
        <v>44831.782583090302</v>
      </c>
      <c r="G424" s="292"/>
      <c r="H424" s="292"/>
      <c r="I424" s="292"/>
      <c r="J424" s="292" t="s">
        <v>4</v>
      </c>
      <c r="K424" s="291" t="s">
        <v>1500</v>
      </c>
      <c r="L424" s="214" t="s">
        <v>1310</v>
      </c>
      <c r="M424" s="223">
        <v>44837</v>
      </c>
      <c r="N424" s="220" t="s">
        <v>4073</v>
      </c>
      <c r="O424" s="223">
        <v>44831</v>
      </c>
      <c r="P424" s="223"/>
      <c r="R424" t="s">
        <v>138</v>
      </c>
      <c r="AA424" s="236"/>
      <c r="AD424" s="233">
        <v>44831</v>
      </c>
    </row>
    <row r="425" spans="1:30">
      <c r="A425" s="291">
        <f>COUNTA($E$3:E425)</f>
        <v>423</v>
      </c>
      <c r="B425" s="291" t="s">
        <v>4048</v>
      </c>
      <c r="C425" s="291" t="s">
        <v>44</v>
      </c>
      <c r="D425" s="291" t="s">
        <v>55</v>
      </c>
      <c r="E425" s="291" t="s">
        <v>1709</v>
      </c>
      <c r="F425" s="292">
        <v>44831.782280983804</v>
      </c>
      <c r="G425" s="292"/>
      <c r="H425" s="292"/>
      <c r="I425" s="292"/>
      <c r="J425" s="292" t="s">
        <v>4</v>
      </c>
      <c r="K425" s="291" t="s">
        <v>1500</v>
      </c>
      <c r="L425" s="214" t="s">
        <v>1310</v>
      </c>
      <c r="M425" s="223">
        <v>44837</v>
      </c>
      <c r="N425" s="220" t="s">
        <v>4073</v>
      </c>
      <c r="O425" s="223">
        <v>44831</v>
      </c>
      <c r="P425" s="223"/>
      <c r="R425" t="s">
        <v>138</v>
      </c>
      <c r="AA425" s="236"/>
      <c r="AD425" s="233">
        <v>44831</v>
      </c>
    </row>
    <row r="426" spans="1:30">
      <c r="A426" s="291">
        <f>COUNTA($E$3:E426)</f>
        <v>424</v>
      </c>
      <c r="B426" s="291" t="s">
        <v>4047</v>
      </c>
      <c r="C426" s="291" t="s">
        <v>45</v>
      </c>
      <c r="D426" s="291" t="s">
        <v>55</v>
      </c>
      <c r="E426" s="291" t="s">
        <v>3050</v>
      </c>
      <c r="F426" s="292">
        <v>44831</v>
      </c>
      <c r="G426" s="292"/>
      <c r="H426" s="292"/>
      <c r="I426" s="292"/>
      <c r="J426" s="292" t="s">
        <v>4</v>
      </c>
      <c r="K426" s="291" t="s">
        <v>1500</v>
      </c>
      <c r="L426" s="214"/>
      <c r="M426" s="223">
        <v>44837</v>
      </c>
      <c r="N426" s="220" t="s">
        <v>4081</v>
      </c>
      <c r="O426" s="223">
        <v>44831</v>
      </c>
      <c r="P426" s="223"/>
      <c r="R426" t="s">
        <v>138</v>
      </c>
      <c r="AA426" s="236"/>
      <c r="AD426" s="233">
        <v>44831</v>
      </c>
    </row>
    <row r="427" spans="1:30">
      <c r="A427" s="291">
        <f>COUNTA($E$3:E427)</f>
        <v>425</v>
      </c>
      <c r="B427" s="291" t="s">
        <v>4022</v>
      </c>
      <c r="C427" s="291" t="s">
        <v>3322</v>
      </c>
      <c r="D427" s="291" t="s">
        <v>40</v>
      </c>
      <c r="E427" s="291" t="s">
        <v>3553</v>
      </c>
      <c r="F427" s="292">
        <v>44826.541712812497</v>
      </c>
      <c r="G427" s="292"/>
      <c r="H427" s="292"/>
      <c r="I427" s="292"/>
      <c r="J427" s="292" t="s">
        <v>4</v>
      </c>
      <c r="K427" s="291" t="s">
        <v>21</v>
      </c>
      <c r="L427" s="214" t="s">
        <v>1302</v>
      </c>
      <c r="M427" s="223">
        <v>44837</v>
      </c>
      <c r="N427" s="220" t="s">
        <v>4079</v>
      </c>
      <c r="O427" s="223">
        <v>44844</v>
      </c>
      <c r="P427" s="222"/>
      <c r="R427" t="s">
        <v>138</v>
      </c>
      <c r="AA427" s="236"/>
      <c r="AD427" s="233">
        <v>44844</v>
      </c>
    </row>
    <row r="428" spans="1:30">
      <c r="A428" s="291">
        <f>COUNTA($E$3:E428)</f>
        <v>426</v>
      </c>
      <c r="B428" s="291" t="s">
        <v>3958</v>
      </c>
      <c r="C428" s="291" t="s">
        <v>45</v>
      </c>
      <c r="D428" s="291" t="s">
        <v>38</v>
      </c>
      <c r="E428" s="291" t="s">
        <v>1057</v>
      </c>
      <c r="F428" s="292">
        <v>44820</v>
      </c>
      <c r="G428" s="292">
        <v>44831</v>
      </c>
      <c r="H428" s="292"/>
      <c r="I428" s="292" t="s">
        <v>70</v>
      </c>
      <c r="J428" s="292" t="s">
        <v>4</v>
      </c>
      <c r="K428" s="291" t="s">
        <v>1735</v>
      </c>
      <c r="L428" s="214" t="s">
        <v>22</v>
      </c>
      <c r="M428" s="223">
        <v>44837</v>
      </c>
      <c r="N428" s="220" t="s">
        <v>4043</v>
      </c>
      <c r="O428" s="223">
        <v>44841</v>
      </c>
      <c r="P428" s="222"/>
      <c r="R428" t="s">
        <v>26</v>
      </c>
      <c r="AA428" s="236"/>
      <c r="AD428" s="233">
        <v>44841</v>
      </c>
    </row>
    <row r="429" spans="1:30">
      <c r="A429" s="291">
        <f>COUNTA($E$3:E429)</f>
        <v>427</v>
      </c>
      <c r="B429" s="291" t="s">
        <v>3469</v>
      </c>
      <c r="C429" s="291" t="s">
        <v>2448</v>
      </c>
      <c r="D429" s="291" t="s">
        <v>49</v>
      </c>
      <c r="E429" s="291" t="s">
        <v>3470</v>
      </c>
      <c r="F429" s="292">
        <v>44743</v>
      </c>
      <c r="G429" s="292">
        <v>44748</v>
      </c>
      <c r="H429" s="292">
        <v>44830</v>
      </c>
      <c r="I429" s="292">
        <v>44755</v>
      </c>
      <c r="J429" s="292" t="s">
        <v>5</v>
      </c>
      <c r="K429" s="291" t="s">
        <v>3471</v>
      </c>
      <c r="L429" s="214" t="s">
        <v>297</v>
      </c>
      <c r="M429" s="223">
        <v>44837</v>
      </c>
      <c r="N429" s="220" t="s">
        <v>4083</v>
      </c>
      <c r="O429" s="223">
        <v>44844</v>
      </c>
      <c r="P429" s="222"/>
      <c r="R429" t="s">
        <v>26</v>
      </c>
      <c r="AA429" s="236"/>
      <c r="AD429" s="233">
        <v>44844</v>
      </c>
    </row>
    <row r="430" spans="1:30">
      <c r="A430" s="291">
        <f>COUNTA($E$3:E430)</f>
        <v>428</v>
      </c>
      <c r="B430" s="291" t="s">
        <v>3953</v>
      </c>
      <c r="C430" s="291" t="s">
        <v>45</v>
      </c>
      <c r="D430" s="291" t="s">
        <v>20</v>
      </c>
      <c r="E430" s="291" t="s">
        <v>1200</v>
      </c>
      <c r="F430" s="292">
        <v>44817.452291666668</v>
      </c>
      <c r="G430" s="292"/>
      <c r="H430" s="292"/>
      <c r="I430" s="292"/>
      <c r="J430" s="292" t="s">
        <v>1122</v>
      </c>
      <c r="K430" s="291"/>
      <c r="L430" s="214"/>
      <c r="M430" s="223">
        <v>44830</v>
      </c>
      <c r="N430" s="220" t="s">
        <v>3971</v>
      </c>
      <c r="O430" s="223">
        <v>44827</v>
      </c>
      <c r="P430" s="222"/>
      <c r="R430" t="s">
        <v>26</v>
      </c>
      <c r="AA430" s="236"/>
      <c r="AD430" s="233">
        <v>44827</v>
      </c>
    </row>
    <row r="431" spans="1:30">
      <c r="A431" s="291">
        <f>COUNTA($E$3:E431)</f>
        <v>429</v>
      </c>
      <c r="B431" s="291" t="s">
        <v>4032</v>
      </c>
      <c r="C431" s="291" t="s">
        <v>41</v>
      </c>
      <c r="D431" s="291" t="s">
        <v>34</v>
      </c>
      <c r="E431" s="291" t="s">
        <v>3394</v>
      </c>
      <c r="F431" s="292">
        <v>44826</v>
      </c>
      <c r="G431" s="292"/>
      <c r="H431" s="292"/>
      <c r="I431" s="292"/>
      <c r="J431" s="292" t="s">
        <v>3</v>
      </c>
      <c r="K431" s="291" t="s">
        <v>4033</v>
      </c>
      <c r="L431" s="214" t="s">
        <v>37</v>
      </c>
      <c r="M431" s="223">
        <v>44830</v>
      </c>
      <c r="N431" s="220"/>
      <c r="O431" s="223">
        <v>45051</v>
      </c>
      <c r="P431" s="222" t="s">
        <v>5053</v>
      </c>
      <c r="R431" t="s">
        <v>138</v>
      </c>
      <c r="AA431" s="236"/>
      <c r="AD431" s="233">
        <v>45051</v>
      </c>
    </row>
    <row r="432" spans="1:30">
      <c r="A432" s="291">
        <f>COUNTA($E$3:E432)</f>
        <v>430</v>
      </c>
      <c r="B432" s="291" t="s">
        <v>3955</v>
      </c>
      <c r="C432" s="291" t="s">
        <v>25</v>
      </c>
      <c r="D432" s="291" t="s">
        <v>27</v>
      </c>
      <c r="E432" s="291" t="s">
        <v>1942</v>
      </c>
      <c r="F432" s="292">
        <v>44819</v>
      </c>
      <c r="G432" s="292"/>
      <c r="H432" s="292"/>
      <c r="I432" s="292"/>
      <c r="J432" s="292" t="s">
        <v>3</v>
      </c>
      <c r="K432" s="291" t="s">
        <v>2089</v>
      </c>
      <c r="L432" s="214" t="s">
        <v>297</v>
      </c>
      <c r="M432" s="223">
        <v>44830</v>
      </c>
      <c r="N432" s="220" t="s">
        <v>4028</v>
      </c>
      <c r="O432" s="223">
        <v>44988</v>
      </c>
      <c r="P432" s="222" t="s">
        <v>5053</v>
      </c>
      <c r="R432" t="s">
        <v>138</v>
      </c>
      <c r="AA432" s="236"/>
      <c r="AD432" s="233">
        <v>44988</v>
      </c>
    </row>
    <row r="433" spans="1:30">
      <c r="A433" s="291">
        <f>COUNTA($E$3:E433)</f>
        <v>431</v>
      </c>
      <c r="B433" s="291" t="s">
        <v>3952</v>
      </c>
      <c r="C433" s="291" t="s">
        <v>69</v>
      </c>
      <c r="D433" s="291" t="s">
        <v>1115</v>
      </c>
      <c r="E433" s="291" t="s">
        <v>2446</v>
      </c>
      <c r="F433" s="292">
        <v>44817</v>
      </c>
      <c r="G433" s="292"/>
      <c r="H433" s="292"/>
      <c r="I433" s="292"/>
      <c r="J433" s="292" t="s">
        <v>3</v>
      </c>
      <c r="K433" s="291" t="s">
        <v>1500</v>
      </c>
      <c r="L433" s="214"/>
      <c r="M433" s="223">
        <v>44830</v>
      </c>
      <c r="N433" s="220" t="s">
        <v>3976</v>
      </c>
      <c r="O433" s="223">
        <v>44827</v>
      </c>
      <c r="P433" s="222"/>
      <c r="R433" t="s">
        <v>26</v>
      </c>
      <c r="AA433" s="236"/>
      <c r="AD433" s="233">
        <v>44827</v>
      </c>
    </row>
    <row r="434" spans="1:30">
      <c r="A434" s="291">
        <f>COUNTA($E$3:E434)</f>
        <v>432</v>
      </c>
      <c r="B434" s="291" t="s">
        <v>4015</v>
      </c>
      <c r="C434" s="291" t="s">
        <v>48</v>
      </c>
      <c r="D434" s="291" t="s">
        <v>49</v>
      </c>
      <c r="E434" s="291" t="s">
        <v>182</v>
      </c>
      <c r="F434" s="292">
        <v>44826</v>
      </c>
      <c r="G434" s="292">
        <v>44830</v>
      </c>
      <c r="H434" s="292"/>
      <c r="I434" s="292" t="s">
        <v>70</v>
      </c>
      <c r="J434" s="292" t="s">
        <v>4</v>
      </c>
      <c r="K434" s="291" t="s">
        <v>1654</v>
      </c>
      <c r="L434" s="214" t="s">
        <v>134</v>
      </c>
      <c r="M434" s="223">
        <v>44830</v>
      </c>
      <c r="N434" s="220" t="s">
        <v>4039</v>
      </c>
      <c r="O434" s="223">
        <v>44831</v>
      </c>
      <c r="P434" s="223"/>
      <c r="R434" t="s">
        <v>138</v>
      </c>
      <c r="AA434" s="236"/>
      <c r="AD434" s="233">
        <v>44831</v>
      </c>
    </row>
    <row r="435" spans="1:30">
      <c r="A435" s="291">
        <f>COUNTA($E$3:E435)</f>
        <v>433</v>
      </c>
      <c r="B435" s="291" t="s">
        <v>4011</v>
      </c>
      <c r="C435" s="291" t="s">
        <v>1767</v>
      </c>
      <c r="D435" s="291" t="s">
        <v>53</v>
      </c>
      <c r="E435" s="291" t="s">
        <v>1768</v>
      </c>
      <c r="F435" s="292">
        <v>44824</v>
      </c>
      <c r="G435" s="292"/>
      <c r="H435" s="292"/>
      <c r="I435" s="292"/>
      <c r="J435" s="292" t="s">
        <v>4</v>
      </c>
      <c r="K435" s="291" t="s">
        <v>1667</v>
      </c>
      <c r="L435" s="214" t="s">
        <v>24</v>
      </c>
      <c r="M435" s="223">
        <v>44830</v>
      </c>
      <c r="N435" s="220" t="s">
        <v>4030</v>
      </c>
      <c r="O435" s="223">
        <v>44827</v>
      </c>
      <c r="P435" s="222"/>
      <c r="R435" t="s">
        <v>26</v>
      </c>
      <c r="AA435" s="236"/>
      <c r="AD435" s="233">
        <v>44827</v>
      </c>
    </row>
    <row r="436" spans="1:30">
      <c r="A436" s="291">
        <f>COUNTA($E$3:E436)</f>
        <v>434</v>
      </c>
      <c r="B436" s="291" t="s">
        <v>3999</v>
      </c>
      <c r="C436" s="291" t="s">
        <v>2752</v>
      </c>
      <c r="D436" s="291" t="s">
        <v>60</v>
      </c>
      <c r="E436" s="291" t="s">
        <v>4000</v>
      </c>
      <c r="F436" s="292">
        <v>44823</v>
      </c>
      <c r="G436" s="292"/>
      <c r="H436" s="292"/>
      <c r="I436" s="292"/>
      <c r="J436" s="292" t="s">
        <v>4</v>
      </c>
      <c r="K436" s="291" t="s">
        <v>1500</v>
      </c>
      <c r="L436" s="214" t="s">
        <v>22</v>
      </c>
      <c r="M436" s="223">
        <v>44830</v>
      </c>
      <c r="N436" s="220" t="s">
        <v>4038</v>
      </c>
      <c r="O436" s="223">
        <v>44824</v>
      </c>
      <c r="P436" s="222"/>
      <c r="R436" t="s">
        <v>26</v>
      </c>
      <c r="AA436" s="236"/>
      <c r="AD436" s="233">
        <v>44824</v>
      </c>
    </row>
    <row r="437" spans="1:30">
      <c r="A437" s="291">
        <f>COUNTA($E$3:E437)</f>
        <v>435</v>
      </c>
      <c r="B437" s="291" t="s">
        <v>3961</v>
      </c>
      <c r="C437" s="291" t="s">
        <v>45</v>
      </c>
      <c r="D437" s="291" t="s">
        <v>1216</v>
      </c>
      <c r="E437" s="291" t="s">
        <v>2322</v>
      </c>
      <c r="F437" s="292">
        <v>44818.693276099497</v>
      </c>
      <c r="G437" s="292"/>
      <c r="H437" s="292"/>
      <c r="I437" s="292"/>
      <c r="J437" s="292" t="s">
        <v>4</v>
      </c>
      <c r="K437" s="291" t="s">
        <v>1681</v>
      </c>
      <c r="L437" s="214" t="s">
        <v>1309</v>
      </c>
      <c r="M437" s="223">
        <v>44830</v>
      </c>
      <c r="N437" s="220" t="s">
        <v>4029</v>
      </c>
      <c r="O437" s="223">
        <v>44825</v>
      </c>
      <c r="P437" s="223"/>
      <c r="R437" t="s">
        <v>26</v>
      </c>
      <c r="AA437" s="236"/>
      <c r="AD437" s="233">
        <v>44825</v>
      </c>
    </row>
    <row r="438" spans="1:30">
      <c r="A438" s="291">
        <f>COUNTA($E$3:E438)</f>
        <v>436</v>
      </c>
      <c r="B438" s="291" t="s">
        <v>3943</v>
      </c>
      <c r="C438" s="291" t="s">
        <v>1294</v>
      </c>
      <c r="D438" s="291" t="s">
        <v>20</v>
      </c>
      <c r="E438" s="291" t="s">
        <v>2798</v>
      </c>
      <c r="F438" s="292">
        <v>44813.515660543999</v>
      </c>
      <c r="G438" s="292"/>
      <c r="H438" s="292"/>
      <c r="I438" s="292"/>
      <c r="J438" s="292" t="s">
        <v>4</v>
      </c>
      <c r="K438" s="291" t="s">
        <v>1500</v>
      </c>
      <c r="L438" s="214" t="s">
        <v>1310</v>
      </c>
      <c r="M438" s="223">
        <v>44830</v>
      </c>
      <c r="N438" s="220" t="s">
        <v>4037</v>
      </c>
      <c r="O438" s="223">
        <v>44824</v>
      </c>
      <c r="P438" s="223"/>
      <c r="R438" t="s">
        <v>138</v>
      </c>
      <c r="AA438" s="236"/>
      <c r="AD438" s="233">
        <v>44824</v>
      </c>
    </row>
    <row r="439" spans="1:30">
      <c r="A439" s="291">
        <f>COUNTA($E$3:E439)</f>
        <v>437</v>
      </c>
      <c r="B439" s="291" t="s">
        <v>3901</v>
      </c>
      <c r="C439" s="291" t="s">
        <v>25</v>
      </c>
      <c r="D439" s="291" t="s">
        <v>38</v>
      </c>
      <c r="E439" s="291" t="s">
        <v>3902</v>
      </c>
      <c r="F439" s="292">
        <v>44804</v>
      </c>
      <c r="G439" s="292"/>
      <c r="H439" s="292"/>
      <c r="I439" s="292" t="s">
        <v>59</v>
      </c>
      <c r="J439" s="292" t="s">
        <v>4</v>
      </c>
      <c r="K439" s="291" t="s">
        <v>526</v>
      </c>
      <c r="L439" s="214" t="s">
        <v>1310</v>
      </c>
      <c r="M439" s="223">
        <v>44830</v>
      </c>
      <c r="N439" s="220" t="s">
        <v>4027</v>
      </c>
      <c r="O439" s="223">
        <v>44834</v>
      </c>
      <c r="P439" s="223"/>
      <c r="R439" t="s">
        <v>138</v>
      </c>
      <c r="AA439" s="236"/>
      <c r="AD439" s="233">
        <v>44834</v>
      </c>
    </row>
    <row r="440" spans="1:30">
      <c r="A440" s="291">
        <f>COUNTA($E$3:E440)</f>
        <v>438</v>
      </c>
      <c r="B440" s="291" t="s">
        <v>3575</v>
      </c>
      <c r="C440" s="291" t="s">
        <v>3576</v>
      </c>
      <c r="D440" s="291" t="s">
        <v>56</v>
      </c>
      <c r="E440" s="291" t="s">
        <v>3577</v>
      </c>
      <c r="F440" s="292">
        <v>44760</v>
      </c>
      <c r="G440" s="292">
        <v>44770</v>
      </c>
      <c r="H440" s="292"/>
      <c r="I440" s="292">
        <v>44764</v>
      </c>
      <c r="J440" s="292" t="s">
        <v>5</v>
      </c>
      <c r="K440" s="291" t="s">
        <v>3578</v>
      </c>
      <c r="L440" s="214" t="s">
        <v>297</v>
      </c>
      <c r="M440" s="223">
        <v>44830</v>
      </c>
      <c r="N440" s="220" t="s">
        <v>4026</v>
      </c>
      <c r="O440" s="223">
        <v>44830</v>
      </c>
      <c r="P440" s="223"/>
      <c r="R440" t="s">
        <v>26</v>
      </c>
      <c r="AA440" s="236"/>
      <c r="AD440" s="233">
        <v>44830</v>
      </c>
    </row>
    <row r="441" spans="1:30">
      <c r="A441" s="291">
        <f>COUNTA($E$3:E441)</f>
        <v>439</v>
      </c>
      <c r="B441" s="291" t="s">
        <v>3547</v>
      </c>
      <c r="C441" s="291" t="s">
        <v>3548</v>
      </c>
      <c r="D441" s="291" t="s">
        <v>35</v>
      </c>
      <c r="E441" s="291" t="s">
        <v>3549</v>
      </c>
      <c r="F441" s="292">
        <v>44756</v>
      </c>
      <c r="G441" s="292">
        <v>44764</v>
      </c>
      <c r="H441" s="292"/>
      <c r="I441" s="292">
        <v>44764</v>
      </c>
      <c r="J441" s="292" t="s">
        <v>3</v>
      </c>
      <c r="K441" s="291" t="s">
        <v>3588</v>
      </c>
      <c r="L441" s="214" t="s">
        <v>28</v>
      </c>
      <c r="M441" s="223">
        <v>44824</v>
      </c>
      <c r="N441" s="220" t="s">
        <v>3969</v>
      </c>
      <c r="O441" s="223">
        <v>44802</v>
      </c>
      <c r="P441" s="223"/>
      <c r="R441" t="s">
        <v>26</v>
      </c>
      <c r="AA441" s="236"/>
      <c r="AD441" s="233">
        <v>44802</v>
      </c>
    </row>
    <row r="442" spans="1:30">
      <c r="A442" s="291">
        <f>COUNTA($E$3:E442)</f>
        <v>440</v>
      </c>
      <c r="B442" s="291" t="s">
        <v>3260</v>
      </c>
      <c r="C442" s="291" t="s">
        <v>311</v>
      </c>
      <c r="D442" s="291" t="s">
        <v>20</v>
      </c>
      <c r="E442" s="291" t="s">
        <v>1061</v>
      </c>
      <c r="F442" s="292">
        <v>44721</v>
      </c>
      <c r="G442" s="292">
        <v>44728</v>
      </c>
      <c r="H442" s="292"/>
      <c r="I442" s="292">
        <v>42908</v>
      </c>
      <c r="J442" s="292" t="s">
        <v>3</v>
      </c>
      <c r="K442" s="291" t="s">
        <v>3293</v>
      </c>
      <c r="L442" s="214" t="s">
        <v>1309</v>
      </c>
      <c r="M442" s="223">
        <v>44823</v>
      </c>
      <c r="N442" s="220" t="s">
        <v>3968</v>
      </c>
      <c r="O442" s="223">
        <v>44811</v>
      </c>
      <c r="P442" s="223"/>
      <c r="R442" t="s">
        <v>26</v>
      </c>
      <c r="AA442" s="236"/>
      <c r="AD442" s="233">
        <v>44811</v>
      </c>
    </row>
    <row r="443" spans="1:30">
      <c r="A443" s="291">
        <f>COUNTA($E$3:E443)</f>
        <v>441</v>
      </c>
      <c r="B443" s="291" t="s">
        <v>3962</v>
      </c>
      <c r="C443" s="291" t="s">
        <v>2396</v>
      </c>
      <c r="D443" s="291" t="s">
        <v>53</v>
      </c>
      <c r="E443" s="291" t="s">
        <v>1187</v>
      </c>
      <c r="F443" s="292">
        <v>44819.725578078702</v>
      </c>
      <c r="G443" s="292"/>
      <c r="H443" s="292"/>
      <c r="I443" s="292"/>
      <c r="J443" s="292" t="s">
        <v>4</v>
      </c>
      <c r="K443" s="291" t="s">
        <v>3975</v>
      </c>
      <c r="L443" s="214" t="s">
        <v>24</v>
      </c>
      <c r="M443" s="223">
        <v>44823</v>
      </c>
      <c r="N443" s="220" t="s">
        <v>3972</v>
      </c>
      <c r="O443" s="223">
        <v>44819</v>
      </c>
      <c r="P443" s="223"/>
      <c r="R443" t="s">
        <v>26</v>
      </c>
      <c r="AA443" s="236"/>
      <c r="AD443" s="233">
        <v>44819</v>
      </c>
    </row>
    <row r="444" spans="1:30">
      <c r="A444" s="291">
        <f>COUNTA($E$3:E444)</f>
        <v>442</v>
      </c>
      <c r="B444" s="291" t="s">
        <v>3957</v>
      </c>
      <c r="C444" s="291" t="s">
        <v>45</v>
      </c>
      <c r="D444" s="291" t="s">
        <v>34</v>
      </c>
      <c r="E444" s="291" t="s">
        <v>1737</v>
      </c>
      <c r="F444" s="292">
        <v>44819</v>
      </c>
      <c r="G444" s="292"/>
      <c r="H444" s="292"/>
      <c r="I444" s="292"/>
      <c r="J444" s="292" t="s">
        <v>4</v>
      </c>
      <c r="K444" s="291" t="s">
        <v>1664</v>
      </c>
      <c r="L444" s="214" t="s">
        <v>1302</v>
      </c>
      <c r="M444" s="223">
        <v>44823</v>
      </c>
      <c r="N444" s="220" t="s">
        <v>3976</v>
      </c>
      <c r="O444" s="223"/>
      <c r="P444" s="223"/>
      <c r="R444" t="s">
        <v>138</v>
      </c>
      <c r="AA444" s="236"/>
      <c r="AD444" s="233"/>
    </row>
    <row r="445" spans="1:30">
      <c r="A445" s="291">
        <f>COUNTA($E$3:E445)</f>
        <v>443</v>
      </c>
      <c r="B445" s="291" t="s">
        <v>3956</v>
      </c>
      <c r="C445" s="291" t="s">
        <v>61</v>
      </c>
      <c r="D445" s="291" t="s">
        <v>1115</v>
      </c>
      <c r="E445" s="291" t="s">
        <v>2925</v>
      </c>
      <c r="F445" s="292">
        <v>44818</v>
      </c>
      <c r="G445" s="292"/>
      <c r="H445" s="292"/>
      <c r="I445" s="292"/>
      <c r="J445" s="292" t="s">
        <v>4</v>
      </c>
      <c r="K445" s="291" t="s">
        <v>1681</v>
      </c>
      <c r="L445" s="214" t="s">
        <v>297</v>
      </c>
      <c r="M445" s="223">
        <v>44823</v>
      </c>
      <c r="N445" s="220" t="s">
        <v>3973</v>
      </c>
      <c r="O445" s="223">
        <v>44820</v>
      </c>
      <c r="P445" s="223"/>
      <c r="R445" t="s">
        <v>26</v>
      </c>
      <c r="AA445" s="236"/>
      <c r="AD445" s="233">
        <v>44820</v>
      </c>
    </row>
    <row r="446" spans="1:30">
      <c r="A446" s="291">
        <f>COUNTA($E$3:E446)</f>
        <v>444</v>
      </c>
      <c r="B446" s="291" t="s">
        <v>3954</v>
      </c>
      <c r="C446" s="291" t="s">
        <v>25</v>
      </c>
      <c r="D446" s="291" t="s">
        <v>38</v>
      </c>
      <c r="E446" s="291" t="s">
        <v>1800</v>
      </c>
      <c r="F446" s="292">
        <v>44819</v>
      </c>
      <c r="G446" s="292"/>
      <c r="H446" s="292"/>
      <c r="I446" s="292"/>
      <c r="J446" s="292" t="s">
        <v>4</v>
      </c>
      <c r="K446" s="291" t="s">
        <v>1658</v>
      </c>
      <c r="L446" s="214" t="s">
        <v>2058</v>
      </c>
      <c r="M446" s="223">
        <v>44823</v>
      </c>
      <c r="N446" s="220" t="s">
        <v>3972</v>
      </c>
      <c r="O446" s="223">
        <v>45021</v>
      </c>
      <c r="P446" s="223" t="s">
        <v>5053</v>
      </c>
      <c r="R446" t="s">
        <v>138</v>
      </c>
      <c r="AA446" s="236"/>
      <c r="AD446" s="233">
        <v>45021</v>
      </c>
    </row>
    <row r="447" spans="1:30">
      <c r="A447" s="291">
        <f>COUNTA($E$3:E447)</f>
        <v>445</v>
      </c>
      <c r="B447" s="291" t="s">
        <v>3930</v>
      </c>
      <c r="C447" s="291" t="s">
        <v>41</v>
      </c>
      <c r="D447" s="291" t="s">
        <v>34</v>
      </c>
      <c r="E447" s="291" t="s">
        <v>3065</v>
      </c>
      <c r="F447" s="292">
        <v>44812.5459670255</v>
      </c>
      <c r="G447" s="292"/>
      <c r="H447" s="292"/>
      <c r="I447" s="292"/>
      <c r="J447" s="292" t="s">
        <v>4</v>
      </c>
      <c r="K447" s="291" t="s">
        <v>1500</v>
      </c>
      <c r="L447" s="214" t="s">
        <v>1311</v>
      </c>
      <c r="M447" s="223">
        <v>44823</v>
      </c>
      <c r="N447" s="220" t="s">
        <v>3971</v>
      </c>
      <c r="O447" s="223">
        <v>44827</v>
      </c>
      <c r="P447" s="223"/>
      <c r="R447" t="s">
        <v>138</v>
      </c>
      <c r="AA447" s="236"/>
      <c r="AD447" s="233">
        <v>44827</v>
      </c>
    </row>
    <row r="448" spans="1:30">
      <c r="A448" s="291">
        <f>COUNTA($E$3:E448)</f>
        <v>446</v>
      </c>
      <c r="B448" s="291" t="s">
        <v>3929</v>
      </c>
      <c r="C448" s="291" t="s">
        <v>41</v>
      </c>
      <c r="D448" s="291" t="s">
        <v>34</v>
      </c>
      <c r="E448" s="291" t="s">
        <v>3514</v>
      </c>
      <c r="F448" s="292">
        <v>44812.5447856713</v>
      </c>
      <c r="G448" s="292"/>
      <c r="H448" s="292"/>
      <c r="I448" s="292"/>
      <c r="J448" s="292" t="s">
        <v>4</v>
      </c>
      <c r="K448" s="291" t="s">
        <v>1735</v>
      </c>
      <c r="L448" s="214" t="s">
        <v>1311</v>
      </c>
      <c r="M448" s="223">
        <v>44823</v>
      </c>
      <c r="N448" s="220" t="s">
        <v>3971</v>
      </c>
      <c r="O448" s="223">
        <v>44827</v>
      </c>
      <c r="P448" s="223"/>
      <c r="R448" t="s">
        <v>138</v>
      </c>
      <c r="AA448" s="236"/>
      <c r="AD448" s="233">
        <v>44827</v>
      </c>
    </row>
    <row r="449" spans="1:30">
      <c r="A449" s="291">
        <f>COUNTA($E$3:E449)</f>
        <v>447</v>
      </c>
      <c r="B449" s="291" t="s">
        <v>3920</v>
      </c>
      <c r="C449" s="291" t="s">
        <v>41</v>
      </c>
      <c r="D449" s="291" t="s">
        <v>34</v>
      </c>
      <c r="E449" s="291" t="s">
        <v>2584</v>
      </c>
      <c r="F449" s="292">
        <v>44811</v>
      </c>
      <c r="G449" s="292">
        <v>44813</v>
      </c>
      <c r="H449" s="292"/>
      <c r="I449" s="292">
        <v>44813</v>
      </c>
      <c r="J449" s="292" t="s">
        <v>4</v>
      </c>
      <c r="K449" s="291" t="s">
        <v>3944</v>
      </c>
      <c r="L449" s="214" t="s">
        <v>1101</v>
      </c>
      <c r="M449" s="223">
        <v>44823</v>
      </c>
      <c r="N449" s="220"/>
      <c r="O449" s="223">
        <v>44844</v>
      </c>
      <c r="P449" s="223"/>
      <c r="R449" t="s">
        <v>138</v>
      </c>
      <c r="AA449" s="236"/>
      <c r="AD449" s="233">
        <v>44844</v>
      </c>
    </row>
    <row r="450" spans="1:30">
      <c r="A450" s="291">
        <f>COUNTA($E$3:E450)</f>
        <v>448</v>
      </c>
      <c r="B450" s="291" t="s">
        <v>3896</v>
      </c>
      <c r="C450" s="291" t="s">
        <v>2396</v>
      </c>
      <c r="D450" s="291" t="s">
        <v>38</v>
      </c>
      <c r="E450" s="291" t="s">
        <v>2676</v>
      </c>
      <c r="F450" s="292">
        <v>44802.833935185183</v>
      </c>
      <c r="G450" s="292"/>
      <c r="H450" s="292"/>
      <c r="I450" s="292"/>
      <c r="J450" s="292" t="s">
        <v>4</v>
      </c>
      <c r="K450" s="291" t="s">
        <v>3966</v>
      </c>
      <c r="L450" s="214" t="s">
        <v>2058</v>
      </c>
      <c r="M450" s="223">
        <v>44823</v>
      </c>
      <c r="N450" s="220" t="s">
        <v>3973</v>
      </c>
      <c r="O450" s="223">
        <v>44824</v>
      </c>
      <c r="P450" s="223"/>
      <c r="R450" t="s">
        <v>138</v>
      </c>
      <c r="AA450" s="236"/>
      <c r="AD450" s="233">
        <v>44824</v>
      </c>
    </row>
    <row r="451" spans="1:30">
      <c r="A451" s="291">
        <f>COUNTA($E$3:E451)</f>
        <v>449</v>
      </c>
      <c r="B451" s="291" t="s">
        <v>3828</v>
      </c>
      <c r="C451" s="291" t="s">
        <v>112</v>
      </c>
      <c r="D451" s="291" t="s">
        <v>35</v>
      </c>
      <c r="E451" s="291" t="s">
        <v>3829</v>
      </c>
      <c r="F451" s="292">
        <v>44792</v>
      </c>
      <c r="G451" s="292">
        <v>44795</v>
      </c>
      <c r="H451" s="292"/>
      <c r="I451" s="292">
        <v>44795</v>
      </c>
      <c r="J451" s="292" t="s">
        <v>4</v>
      </c>
      <c r="K451" s="291" t="s">
        <v>1735</v>
      </c>
      <c r="L451" s="214" t="s">
        <v>1309</v>
      </c>
      <c r="M451" s="223">
        <v>44823</v>
      </c>
      <c r="N451" s="220" t="s">
        <v>3970</v>
      </c>
      <c r="O451" s="223">
        <v>44819</v>
      </c>
      <c r="P451" s="223"/>
      <c r="R451" t="s">
        <v>26</v>
      </c>
      <c r="AA451" s="236"/>
      <c r="AD451" s="233">
        <v>44819</v>
      </c>
    </row>
    <row r="452" spans="1:30">
      <c r="A452" s="291">
        <f>COUNTA($E$3:E452)</f>
        <v>450</v>
      </c>
      <c r="B452" s="291" t="s">
        <v>3891</v>
      </c>
      <c r="C452" s="291" t="s">
        <v>45</v>
      </c>
      <c r="D452" s="291" t="s">
        <v>1136</v>
      </c>
      <c r="E452" s="291" t="s">
        <v>1197</v>
      </c>
      <c r="F452" s="292">
        <v>44802</v>
      </c>
      <c r="G452" s="292"/>
      <c r="H452" s="292"/>
      <c r="I452" s="292"/>
      <c r="J452" s="292" t="s">
        <v>1122</v>
      </c>
      <c r="K452" s="291" t="s">
        <v>1665</v>
      </c>
      <c r="L452" s="214"/>
      <c r="M452" s="223">
        <v>44816</v>
      </c>
      <c r="N452" s="220" t="s">
        <v>3942</v>
      </c>
      <c r="O452" s="223">
        <v>44812</v>
      </c>
      <c r="P452" s="223"/>
      <c r="R452" t="s">
        <v>26</v>
      </c>
      <c r="AA452" s="236"/>
      <c r="AD452" s="233">
        <v>44812</v>
      </c>
    </row>
    <row r="453" spans="1:30">
      <c r="A453" s="291">
        <f>COUNTA($E$3:E453)</f>
        <v>451</v>
      </c>
      <c r="B453" s="291" t="s">
        <v>3919</v>
      </c>
      <c r="C453" s="291" t="s">
        <v>45</v>
      </c>
      <c r="D453" s="291" t="s">
        <v>53</v>
      </c>
      <c r="E453" s="291" t="s">
        <v>1100</v>
      </c>
      <c r="F453" s="292">
        <v>44811</v>
      </c>
      <c r="G453" s="292"/>
      <c r="H453" s="292"/>
      <c r="I453" s="292"/>
      <c r="J453" s="292" t="s">
        <v>3</v>
      </c>
      <c r="K453" s="291" t="s">
        <v>1677</v>
      </c>
      <c r="L453" s="214"/>
      <c r="M453" s="223">
        <v>44816</v>
      </c>
      <c r="N453" s="220" t="s">
        <v>3948</v>
      </c>
      <c r="O453" s="223">
        <v>44811</v>
      </c>
      <c r="P453" s="223"/>
      <c r="R453" t="s">
        <v>26</v>
      </c>
      <c r="AA453" s="236"/>
      <c r="AD453" s="233">
        <v>44811</v>
      </c>
    </row>
    <row r="454" spans="1:30">
      <c r="A454" s="291">
        <f>COUNTA($E$3:E454)</f>
        <v>452</v>
      </c>
      <c r="B454" s="291" t="s">
        <v>3778</v>
      </c>
      <c r="C454" s="291" t="s">
        <v>3820</v>
      </c>
      <c r="D454" s="291" t="s">
        <v>42</v>
      </c>
      <c r="E454" s="291" t="s">
        <v>3779</v>
      </c>
      <c r="F454" s="292">
        <v>44783</v>
      </c>
      <c r="G454" s="292">
        <v>44791</v>
      </c>
      <c r="H454" s="292"/>
      <c r="I454" s="292">
        <v>44792</v>
      </c>
      <c r="J454" s="292" t="s">
        <v>3</v>
      </c>
      <c r="K454" s="291" t="s">
        <v>3819</v>
      </c>
      <c r="L454" t="s">
        <v>1302</v>
      </c>
      <c r="M454" s="20">
        <v>44816</v>
      </c>
      <c r="N454" t="s">
        <v>3940</v>
      </c>
      <c r="O454" s="223">
        <v>44817</v>
      </c>
      <c r="P454" s="223"/>
      <c r="R454" t="s">
        <v>138</v>
      </c>
      <c r="AA454" s="236"/>
      <c r="AD454" s="233">
        <v>44817</v>
      </c>
    </row>
    <row r="455" spans="1:30">
      <c r="A455" s="291">
        <f>COUNTA($E$3:E455)</f>
        <v>453</v>
      </c>
      <c r="B455" s="291" t="s">
        <v>3302</v>
      </c>
      <c r="C455" s="291" t="s">
        <v>2793</v>
      </c>
      <c r="D455" s="291" t="s">
        <v>20</v>
      </c>
      <c r="E455" s="291" t="s">
        <v>3303</v>
      </c>
      <c r="F455" s="292">
        <v>44729</v>
      </c>
      <c r="G455" s="292">
        <v>44745</v>
      </c>
      <c r="H455" s="292">
        <v>44792</v>
      </c>
      <c r="I455" s="292">
        <v>44753</v>
      </c>
      <c r="J455" s="292" t="s">
        <v>3</v>
      </c>
      <c r="K455" s="291" t="s">
        <v>3359</v>
      </c>
      <c r="L455" t="s">
        <v>1310</v>
      </c>
      <c r="M455" s="20">
        <v>44816</v>
      </c>
      <c r="N455" t="s">
        <v>3939</v>
      </c>
      <c r="O455" s="223">
        <v>44817</v>
      </c>
      <c r="P455" s="223"/>
      <c r="R455" t="s">
        <v>138</v>
      </c>
      <c r="AA455" s="236"/>
      <c r="AD455" s="233">
        <v>44817</v>
      </c>
    </row>
    <row r="456" spans="1:30">
      <c r="A456" s="291">
        <f>COUNTA($E$3:E456)</f>
        <v>454</v>
      </c>
      <c r="B456" s="291" t="s">
        <v>3172</v>
      </c>
      <c r="C456" s="291" t="s">
        <v>45</v>
      </c>
      <c r="D456" s="291" t="s">
        <v>1181</v>
      </c>
      <c r="E456" s="291" t="s">
        <v>3173</v>
      </c>
      <c r="F456" s="292">
        <v>44711</v>
      </c>
      <c r="G456" s="292">
        <v>44728</v>
      </c>
      <c r="H456" s="292"/>
      <c r="I456" s="292" t="s">
        <v>70</v>
      </c>
      <c r="J456" s="292" t="s">
        <v>3</v>
      </c>
      <c r="K456" s="291" t="s">
        <v>3267</v>
      </c>
      <c r="M456" s="20">
        <v>44816</v>
      </c>
      <c r="N456" t="s">
        <v>3949</v>
      </c>
      <c r="O456" s="223">
        <v>44813</v>
      </c>
      <c r="P456" s="223"/>
      <c r="R456" t="s">
        <v>26</v>
      </c>
      <c r="AA456" s="236"/>
      <c r="AD456" s="233">
        <v>44813</v>
      </c>
    </row>
    <row r="457" spans="1:30">
      <c r="A457" s="291">
        <f>COUNTA($E$3:E457)</f>
        <v>455</v>
      </c>
      <c r="B457" s="291" t="s">
        <v>3143</v>
      </c>
      <c r="C457" s="291" t="s">
        <v>2396</v>
      </c>
      <c r="D457" s="291" t="s">
        <v>34</v>
      </c>
      <c r="E457" s="291" t="s">
        <v>2132</v>
      </c>
      <c r="F457" s="292">
        <v>44704</v>
      </c>
      <c r="G457" s="292">
        <v>44708</v>
      </c>
      <c r="H457" s="292"/>
      <c r="I457" s="292">
        <v>44714</v>
      </c>
      <c r="J457" s="292" t="s">
        <v>3</v>
      </c>
      <c r="K457" s="291" t="s">
        <v>2691</v>
      </c>
      <c r="M457" s="20">
        <v>44816</v>
      </c>
      <c r="N457" t="s">
        <v>3950</v>
      </c>
      <c r="O457" s="223">
        <v>44816</v>
      </c>
      <c r="P457" s="223"/>
      <c r="R457" t="s">
        <v>26</v>
      </c>
      <c r="AA457" s="236"/>
      <c r="AD457" s="233">
        <v>44816</v>
      </c>
    </row>
    <row r="458" spans="1:30">
      <c r="A458" s="291">
        <f>COUNTA($E$3:E458)</f>
        <v>456</v>
      </c>
      <c r="B458" s="291" t="s">
        <v>3122</v>
      </c>
      <c r="C458" s="291" t="s">
        <v>1780</v>
      </c>
      <c r="D458" s="291" t="s">
        <v>23</v>
      </c>
      <c r="E458" s="291" t="s">
        <v>1781</v>
      </c>
      <c r="F458" s="292">
        <v>44704</v>
      </c>
      <c r="G458" s="292">
        <v>44708</v>
      </c>
      <c r="H458" s="292"/>
      <c r="I458" s="292">
        <v>44714</v>
      </c>
      <c r="J458" s="292" t="s">
        <v>3</v>
      </c>
      <c r="K458" s="291" t="s">
        <v>3123</v>
      </c>
      <c r="M458" s="20">
        <v>44816</v>
      </c>
      <c r="N458" t="s">
        <v>3950</v>
      </c>
      <c r="O458" s="223">
        <v>44816</v>
      </c>
      <c r="P458" s="223"/>
      <c r="R458" t="s">
        <v>26</v>
      </c>
      <c r="AA458" s="236"/>
      <c r="AD458" s="233">
        <v>44816</v>
      </c>
    </row>
    <row r="459" spans="1:30">
      <c r="A459" s="291">
        <f>COUNTA($E$3:E459)</f>
        <v>457</v>
      </c>
      <c r="B459" s="291" t="s">
        <v>3917</v>
      </c>
      <c r="C459" s="291" t="s">
        <v>45</v>
      </c>
      <c r="D459" s="291" t="s">
        <v>1151</v>
      </c>
      <c r="E459" s="291" t="s">
        <v>3142</v>
      </c>
      <c r="F459" s="292">
        <v>44810</v>
      </c>
      <c r="G459" s="292"/>
      <c r="H459" s="292"/>
      <c r="I459" s="292"/>
      <c r="J459" s="292" t="s">
        <v>4</v>
      </c>
      <c r="K459" s="291" t="s">
        <v>1664</v>
      </c>
      <c r="L459" t="s">
        <v>297</v>
      </c>
      <c r="M459" s="20">
        <v>44816</v>
      </c>
      <c r="N459" t="s">
        <v>3942</v>
      </c>
      <c r="O459" s="223">
        <v>44812</v>
      </c>
      <c r="P459" s="223"/>
      <c r="R459" t="s">
        <v>26</v>
      </c>
      <c r="AA459" s="236"/>
      <c r="AD459" s="233">
        <v>44812</v>
      </c>
    </row>
    <row r="460" spans="1:30">
      <c r="A460" s="291">
        <f>COUNTA($E$3:E460)</f>
        <v>458</v>
      </c>
      <c r="B460" s="291" t="s">
        <v>3910</v>
      </c>
      <c r="C460" s="291" t="s">
        <v>25</v>
      </c>
      <c r="D460" s="291" t="s">
        <v>38</v>
      </c>
      <c r="E460" s="291" t="s">
        <v>1697</v>
      </c>
      <c r="F460" s="292">
        <v>44809</v>
      </c>
      <c r="G460" s="292"/>
      <c r="H460" s="292"/>
      <c r="I460" s="292"/>
      <c r="J460" s="292" t="s">
        <v>4</v>
      </c>
      <c r="K460" s="291" t="s">
        <v>1735</v>
      </c>
      <c r="L460" t="s">
        <v>1302</v>
      </c>
      <c r="M460" s="20">
        <v>44816</v>
      </c>
      <c r="N460" t="s">
        <v>3942</v>
      </c>
      <c r="O460" s="223">
        <v>44818</v>
      </c>
      <c r="P460" s="223"/>
      <c r="R460" t="s">
        <v>138</v>
      </c>
      <c r="AA460" s="236"/>
      <c r="AD460" s="233">
        <v>44818</v>
      </c>
    </row>
    <row r="461" spans="1:30">
      <c r="A461" s="291">
        <f>COUNTA($E$3:E461)</f>
        <v>459</v>
      </c>
      <c r="B461" s="291" t="s">
        <v>3884</v>
      </c>
      <c r="C461" s="291" t="s">
        <v>45</v>
      </c>
      <c r="D461" s="291" t="s">
        <v>2565</v>
      </c>
      <c r="E461" s="291" t="s">
        <v>3893</v>
      </c>
      <c r="F461" s="292">
        <v>44802</v>
      </c>
      <c r="G461" s="292"/>
      <c r="H461" s="292"/>
      <c r="I461" s="292"/>
      <c r="J461" s="292" t="s">
        <v>1122</v>
      </c>
      <c r="K461" s="291" t="s">
        <v>1665</v>
      </c>
      <c r="L461" t="s">
        <v>2058</v>
      </c>
      <c r="M461" s="20">
        <v>44809</v>
      </c>
      <c r="N461" t="s">
        <v>3887</v>
      </c>
      <c r="O461" s="223">
        <v>44804</v>
      </c>
      <c r="P461" s="223"/>
      <c r="R461" t="s">
        <v>26</v>
      </c>
      <c r="AA461" s="236"/>
      <c r="AD461" s="233">
        <v>44804</v>
      </c>
    </row>
    <row r="462" spans="1:30">
      <c r="A462" s="291">
        <f>COUNTA($E$3:E462)</f>
        <v>460</v>
      </c>
      <c r="B462" s="291" t="s">
        <v>3886</v>
      </c>
      <c r="C462" s="291" t="s">
        <v>3897</v>
      </c>
      <c r="D462" s="291" t="s">
        <v>42</v>
      </c>
      <c r="E462" s="291" t="s">
        <v>3898</v>
      </c>
      <c r="F462" s="292">
        <v>44802</v>
      </c>
      <c r="G462" s="292"/>
      <c r="H462" s="292"/>
      <c r="I462" s="292"/>
      <c r="J462" s="292" t="s">
        <v>4</v>
      </c>
      <c r="K462" s="291" t="s">
        <v>21</v>
      </c>
      <c r="L462" t="s">
        <v>37</v>
      </c>
      <c r="M462" s="20">
        <v>44809</v>
      </c>
      <c r="N462" t="s">
        <v>3908</v>
      </c>
      <c r="O462" s="223">
        <v>44809</v>
      </c>
      <c r="P462" s="223"/>
      <c r="R462" t="s">
        <v>138</v>
      </c>
      <c r="AA462" s="236"/>
      <c r="AD462" s="233">
        <v>44809</v>
      </c>
    </row>
    <row r="463" spans="1:30">
      <c r="A463" s="291">
        <f>COUNTA($E$3:E463)</f>
        <v>461</v>
      </c>
      <c r="B463" s="291" t="s">
        <v>3881</v>
      </c>
      <c r="C463" s="291" t="s">
        <v>2396</v>
      </c>
      <c r="D463" s="291" t="s">
        <v>60</v>
      </c>
      <c r="E463" s="291" t="s">
        <v>2723</v>
      </c>
      <c r="F463" s="292">
        <v>44802</v>
      </c>
      <c r="G463" s="292"/>
      <c r="H463" s="292"/>
      <c r="I463" s="292"/>
      <c r="J463" s="292" t="s">
        <v>4</v>
      </c>
      <c r="K463" s="291" t="s">
        <v>1664</v>
      </c>
      <c r="L463" t="s">
        <v>1309</v>
      </c>
      <c r="M463" s="20">
        <v>44809</v>
      </c>
      <c r="N463" t="s">
        <v>3907</v>
      </c>
      <c r="O463" s="223">
        <v>44802</v>
      </c>
      <c r="P463" s="223"/>
      <c r="R463" t="s">
        <v>26</v>
      </c>
      <c r="AA463" s="236"/>
      <c r="AD463" s="233">
        <v>44802</v>
      </c>
    </row>
    <row r="464" spans="1:30">
      <c r="A464" s="291">
        <f>COUNTA($E$3:E464)</f>
        <v>462</v>
      </c>
      <c r="B464" s="291" t="s">
        <v>3885</v>
      </c>
      <c r="C464" s="291" t="s">
        <v>45</v>
      </c>
      <c r="D464" s="291" t="s">
        <v>60</v>
      </c>
      <c r="E464" s="291" t="s">
        <v>3894</v>
      </c>
      <c r="F464" s="292">
        <v>44802</v>
      </c>
      <c r="G464" s="292"/>
      <c r="H464" s="292"/>
      <c r="I464" s="292"/>
      <c r="J464" s="292" t="s">
        <v>4</v>
      </c>
      <c r="K464" s="291" t="s">
        <v>1664</v>
      </c>
      <c r="L464" t="s">
        <v>297</v>
      </c>
      <c r="M464" s="20">
        <v>44809</v>
      </c>
      <c r="N464" t="s">
        <v>3887</v>
      </c>
      <c r="O464" s="223">
        <v>44804</v>
      </c>
      <c r="P464" s="223"/>
      <c r="R464" t="s">
        <v>26</v>
      </c>
      <c r="AA464" s="236"/>
      <c r="AD464" s="233">
        <v>44804</v>
      </c>
    </row>
    <row r="465" spans="1:30">
      <c r="A465" s="291">
        <f>COUNTA($E$3:E465)</f>
        <v>463</v>
      </c>
      <c r="B465" s="291" t="s">
        <v>3854</v>
      </c>
      <c r="C465" s="291" t="s">
        <v>44</v>
      </c>
      <c r="D465" s="291" t="s">
        <v>34</v>
      </c>
      <c r="E465" s="291" t="s">
        <v>1660</v>
      </c>
      <c r="F465" s="292">
        <v>44797.684392000003</v>
      </c>
      <c r="G465" s="292"/>
      <c r="H465" s="292"/>
      <c r="I465" s="292"/>
      <c r="J465" s="292" t="s">
        <v>4</v>
      </c>
      <c r="K465" s="291" t="s">
        <v>1500</v>
      </c>
      <c r="L465" t="s">
        <v>1310</v>
      </c>
      <c r="M465" s="20">
        <v>44809</v>
      </c>
      <c r="N465" t="s">
        <v>3887</v>
      </c>
      <c r="O465" s="223">
        <v>44844</v>
      </c>
      <c r="P465" s="223"/>
      <c r="R465" t="s">
        <v>138</v>
      </c>
      <c r="AA465" s="236"/>
      <c r="AD465" s="233">
        <v>44844</v>
      </c>
    </row>
    <row r="466" spans="1:30">
      <c r="A466" s="291">
        <f>COUNTA($E$3:E466)</f>
        <v>464</v>
      </c>
      <c r="B466" s="291" t="s">
        <v>3848</v>
      </c>
      <c r="C466" s="291" t="s">
        <v>1881</v>
      </c>
      <c r="D466" s="291" t="s">
        <v>20</v>
      </c>
      <c r="E466" s="291" t="s">
        <v>1882</v>
      </c>
      <c r="F466" s="292">
        <v>44797.580871999999</v>
      </c>
      <c r="G466" s="292"/>
      <c r="H466" s="292"/>
      <c r="I466" s="292"/>
      <c r="J466" s="292" t="s">
        <v>4</v>
      </c>
      <c r="K466" s="291" t="s">
        <v>1500</v>
      </c>
      <c r="L466" t="s">
        <v>1310</v>
      </c>
      <c r="M466" s="20">
        <v>44809</v>
      </c>
      <c r="N466" t="s">
        <v>3887</v>
      </c>
      <c r="O466" s="223">
        <v>44839</v>
      </c>
      <c r="P466" s="223"/>
      <c r="R466" t="s">
        <v>138</v>
      </c>
      <c r="AA466" s="236"/>
      <c r="AD466" s="233">
        <v>44839</v>
      </c>
    </row>
    <row r="467" spans="1:30">
      <c r="A467" s="291">
        <f>COUNTA($E$3:E467)</f>
        <v>465</v>
      </c>
      <c r="B467" s="291" t="s">
        <v>3844</v>
      </c>
      <c r="C467" s="291" t="s">
        <v>45</v>
      </c>
      <c r="D467" s="291" t="s">
        <v>3845</v>
      </c>
      <c r="E467" s="291" t="s">
        <v>3846</v>
      </c>
      <c r="F467" s="292">
        <v>44795</v>
      </c>
      <c r="G467" s="292"/>
      <c r="H467" s="292"/>
      <c r="I467" s="292"/>
      <c r="J467" s="292" t="s">
        <v>4</v>
      </c>
      <c r="K467" s="291" t="s">
        <v>3879</v>
      </c>
      <c r="L467" t="s">
        <v>1192</v>
      </c>
      <c r="M467" s="20">
        <v>44809</v>
      </c>
      <c r="N467" t="s">
        <v>3888</v>
      </c>
      <c r="O467" s="223">
        <v>44809</v>
      </c>
      <c r="P467" s="223"/>
      <c r="R467" t="s">
        <v>138</v>
      </c>
      <c r="AA467" s="236"/>
      <c r="AD467" s="233">
        <v>44809</v>
      </c>
    </row>
    <row r="468" spans="1:30">
      <c r="A468" s="291">
        <f>COUNTA($E$3:E468)</f>
        <v>466</v>
      </c>
      <c r="B468" s="291" t="s">
        <v>3849</v>
      </c>
      <c r="C468" s="291" t="s">
        <v>1118</v>
      </c>
      <c r="D468" s="291" t="s">
        <v>49</v>
      </c>
      <c r="E468" s="291" t="s">
        <v>2854</v>
      </c>
      <c r="F468" s="292">
        <v>44797</v>
      </c>
      <c r="G468" s="292"/>
      <c r="H468" s="292"/>
      <c r="I468" s="292"/>
      <c r="J468" s="292" t="s">
        <v>5</v>
      </c>
      <c r="K468" s="291" t="s">
        <v>1105</v>
      </c>
      <c r="L468" t="s">
        <v>1311</v>
      </c>
      <c r="M468" s="20">
        <v>44802</v>
      </c>
      <c r="N468" t="s">
        <v>3865</v>
      </c>
      <c r="O468" s="223">
        <v>44839</v>
      </c>
      <c r="P468" s="223"/>
      <c r="R468" t="s">
        <v>138</v>
      </c>
      <c r="AA468" s="236"/>
      <c r="AD468" s="233">
        <v>44839</v>
      </c>
    </row>
    <row r="469" spans="1:30">
      <c r="A469" s="291">
        <f>COUNTA($E$3:E469)</f>
        <v>467</v>
      </c>
      <c r="B469" s="291" t="s">
        <v>3856</v>
      </c>
      <c r="C469" s="291" t="s">
        <v>3857</v>
      </c>
      <c r="D469" s="291" t="s">
        <v>23</v>
      </c>
      <c r="E469" s="291" t="s">
        <v>3725</v>
      </c>
      <c r="F469" s="292">
        <v>44797</v>
      </c>
      <c r="G469" s="292"/>
      <c r="H469" s="292"/>
      <c r="I469" s="292"/>
      <c r="J469" s="292" t="s">
        <v>3</v>
      </c>
      <c r="K469" s="291" t="s">
        <v>1679</v>
      </c>
      <c r="M469" s="20">
        <v>44802</v>
      </c>
      <c r="N469" t="s">
        <v>3877</v>
      </c>
      <c r="O469" s="223">
        <v>44797</v>
      </c>
      <c r="P469" s="223"/>
      <c r="R469" t="s">
        <v>138</v>
      </c>
      <c r="AA469" s="236"/>
      <c r="AD469" s="233">
        <v>44797</v>
      </c>
    </row>
    <row r="470" spans="1:30">
      <c r="A470" s="291">
        <f>COUNTA($E$3:E470)</f>
        <v>468</v>
      </c>
      <c r="B470" s="291" t="s">
        <v>3822</v>
      </c>
      <c r="C470" s="291" t="s">
        <v>1294</v>
      </c>
      <c r="D470" s="291" t="s">
        <v>20</v>
      </c>
      <c r="E470" s="291" t="s">
        <v>3823</v>
      </c>
      <c r="F470" s="292">
        <v>44792.4600310069</v>
      </c>
      <c r="G470" s="292"/>
      <c r="H470" s="292"/>
      <c r="I470" s="292"/>
      <c r="J470" s="292" t="s">
        <v>3</v>
      </c>
      <c r="K470" s="291" t="s">
        <v>3864</v>
      </c>
      <c r="M470" s="20">
        <v>44802</v>
      </c>
      <c r="N470" t="s">
        <v>2980</v>
      </c>
      <c r="O470" s="223">
        <v>44809</v>
      </c>
      <c r="P470" s="223"/>
      <c r="R470" t="s">
        <v>138</v>
      </c>
      <c r="AA470" s="236"/>
      <c r="AD470" s="233">
        <v>44809</v>
      </c>
    </row>
    <row r="471" spans="1:30">
      <c r="A471" s="291">
        <f>COUNTA($E$3:E471)</f>
        <v>469</v>
      </c>
      <c r="B471" s="291" t="s">
        <v>3777</v>
      </c>
      <c r="C471" s="291" t="s">
        <v>45</v>
      </c>
      <c r="D471" s="291" t="s">
        <v>53</v>
      </c>
      <c r="E471" s="291" t="s">
        <v>2745</v>
      </c>
      <c r="F471" s="292">
        <v>44783</v>
      </c>
      <c r="G471" s="292">
        <v>44785</v>
      </c>
      <c r="H471" s="292"/>
      <c r="I471" s="292" t="s">
        <v>70</v>
      </c>
      <c r="J471" s="292" t="s">
        <v>3</v>
      </c>
      <c r="K471" s="291" t="s">
        <v>1679</v>
      </c>
      <c r="M471" s="20">
        <v>44802</v>
      </c>
      <c r="N471" t="s">
        <v>3865</v>
      </c>
      <c r="O471" s="223">
        <v>44798</v>
      </c>
      <c r="R471" t="s">
        <v>26</v>
      </c>
      <c r="AA471" s="236"/>
      <c r="AD471" s="233">
        <v>44798</v>
      </c>
    </row>
    <row r="472" spans="1:30">
      <c r="A472" s="291">
        <f>COUNTA($E$3:E472)</f>
        <v>470</v>
      </c>
      <c r="B472" s="291" t="s">
        <v>3611</v>
      </c>
      <c r="C472" s="291" t="s">
        <v>45</v>
      </c>
      <c r="D472" s="291" t="s">
        <v>29</v>
      </c>
      <c r="E472" s="291" t="s">
        <v>3612</v>
      </c>
      <c r="F472" s="292">
        <v>44768</v>
      </c>
      <c r="G472" s="292">
        <v>44781</v>
      </c>
      <c r="H472" s="292">
        <v>44784</v>
      </c>
      <c r="I472" s="292" t="s">
        <v>70</v>
      </c>
      <c r="J472" s="292" t="s">
        <v>3</v>
      </c>
      <c r="K472" s="291" t="s">
        <v>3663</v>
      </c>
      <c r="M472" s="20">
        <v>44802</v>
      </c>
      <c r="N472" t="s">
        <v>3867</v>
      </c>
      <c r="O472" s="223">
        <v>44797</v>
      </c>
      <c r="R472" t="s">
        <v>138</v>
      </c>
      <c r="AA472" s="236"/>
      <c r="AD472" s="233">
        <v>44797</v>
      </c>
    </row>
    <row r="473" spans="1:30">
      <c r="A473" s="291">
        <f>COUNTA($E$3:E473)</f>
        <v>471</v>
      </c>
      <c r="B473" s="291" t="s">
        <v>3542</v>
      </c>
      <c r="C473" s="291" t="s">
        <v>1212</v>
      </c>
      <c r="D473" s="291" t="s">
        <v>42</v>
      </c>
      <c r="E473" s="291" t="s">
        <v>3554</v>
      </c>
      <c r="F473" s="292">
        <v>44755</v>
      </c>
      <c r="G473" s="292">
        <v>44756</v>
      </c>
      <c r="H473" s="292">
        <v>44792</v>
      </c>
      <c r="I473" s="292">
        <v>44760</v>
      </c>
      <c r="J473" s="292" t="s">
        <v>3</v>
      </c>
      <c r="K473" s="291" t="s">
        <v>3555</v>
      </c>
      <c r="M473" s="20">
        <v>44802</v>
      </c>
      <c r="N473" t="s">
        <v>3874</v>
      </c>
      <c r="O473" s="223">
        <v>44803</v>
      </c>
      <c r="R473" t="s">
        <v>26</v>
      </c>
      <c r="AA473" s="236"/>
      <c r="AD473" s="233">
        <v>44803</v>
      </c>
    </row>
    <row r="474" spans="1:30">
      <c r="A474" s="291">
        <f>COUNTA($E$3:E474)</f>
        <v>472</v>
      </c>
      <c r="B474" s="291" t="s">
        <v>3552</v>
      </c>
      <c r="C474" s="291" t="s">
        <v>3322</v>
      </c>
      <c r="D474" s="291" t="s">
        <v>40</v>
      </c>
      <c r="E474" s="291" t="s">
        <v>3553</v>
      </c>
      <c r="F474" s="292">
        <v>44754</v>
      </c>
      <c r="G474" s="292">
        <v>44764</v>
      </c>
      <c r="H474" s="292">
        <v>44792</v>
      </c>
      <c r="I474" s="292">
        <v>44768</v>
      </c>
      <c r="J474" s="292" t="s">
        <v>3</v>
      </c>
      <c r="K474" s="291" t="s">
        <v>1686</v>
      </c>
      <c r="M474" s="20">
        <v>44802</v>
      </c>
      <c r="N474" t="s">
        <v>3873</v>
      </c>
      <c r="O474" s="223">
        <v>44813</v>
      </c>
      <c r="R474" t="s">
        <v>138</v>
      </c>
      <c r="AA474" s="236"/>
      <c r="AD474" s="233">
        <v>44813</v>
      </c>
    </row>
    <row r="475" spans="1:30">
      <c r="A475" s="291">
        <f>COUNTA($E$3:E475)</f>
        <v>473</v>
      </c>
      <c r="B475" s="291" t="s">
        <v>3840</v>
      </c>
      <c r="C475" s="291" t="s">
        <v>25</v>
      </c>
      <c r="D475" s="291" t="s">
        <v>27</v>
      </c>
      <c r="E475" s="291" t="s">
        <v>1668</v>
      </c>
      <c r="F475" s="292">
        <v>44795</v>
      </c>
      <c r="G475" s="292"/>
      <c r="H475" s="292"/>
      <c r="I475" s="292"/>
      <c r="J475" s="292" t="s">
        <v>4</v>
      </c>
      <c r="K475" s="291" t="s">
        <v>1500</v>
      </c>
      <c r="L475" t="s">
        <v>1311</v>
      </c>
      <c r="M475" s="20">
        <v>44802</v>
      </c>
      <c r="N475" t="s">
        <v>3867</v>
      </c>
      <c r="O475" s="223">
        <v>44797</v>
      </c>
      <c r="R475" t="s">
        <v>138</v>
      </c>
      <c r="AA475" s="236"/>
      <c r="AD475" s="233">
        <v>44797</v>
      </c>
    </row>
    <row r="476" spans="1:30">
      <c r="A476" s="291">
        <f>COUNTA($E$3:E476)</f>
        <v>474</v>
      </c>
      <c r="B476" s="291" t="s">
        <v>3836</v>
      </c>
      <c r="C476" s="291" t="s">
        <v>45</v>
      </c>
      <c r="D476" s="291" t="s">
        <v>34</v>
      </c>
      <c r="E476" s="291" t="s">
        <v>3008</v>
      </c>
      <c r="F476" s="292">
        <v>44795</v>
      </c>
      <c r="G476" s="292"/>
      <c r="H476" s="292"/>
      <c r="I476" s="292"/>
      <c r="J476" s="292" t="s">
        <v>4</v>
      </c>
      <c r="K476" s="291" t="s">
        <v>1500</v>
      </c>
      <c r="L476" t="s">
        <v>1309</v>
      </c>
      <c r="M476" s="20">
        <v>44802</v>
      </c>
      <c r="N476" t="s">
        <v>3866</v>
      </c>
      <c r="O476" s="223">
        <v>44844</v>
      </c>
      <c r="R476" t="s">
        <v>26</v>
      </c>
      <c r="AA476" s="236"/>
      <c r="AD476" s="233">
        <v>44844</v>
      </c>
    </row>
    <row r="477" spans="1:30">
      <c r="A477" s="291">
        <f>COUNTA($E$3:E477)</f>
        <v>475</v>
      </c>
      <c r="B477" s="291" t="s">
        <v>3835</v>
      </c>
      <c r="C477" s="291" t="s">
        <v>45</v>
      </c>
      <c r="D477" s="291" t="s">
        <v>1115</v>
      </c>
      <c r="E477" s="291" t="s">
        <v>1221</v>
      </c>
      <c r="F477" s="292">
        <v>44795</v>
      </c>
      <c r="G477" s="292"/>
      <c r="H477" s="292"/>
      <c r="I477" s="292"/>
      <c r="J477" s="292" t="s">
        <v>4</v>
      </c>
      <c r="K477" s="291" t="s">
        <v>1227</v>
      </c>
      <c r="L477" t="s">
        <v>110</v>
      </c>
      <c r="M477" s="20">
        <v>44802</v>
      </c>
      <c r="N477" t="s">
        <v>3865</v>
      </c>
      <c r="O477" s="223">
        <v>44798</v>
      </c>
      <c r="R477" t="s">
        <v>26</v>
      </c>
      <c r="AA477" s="236"/>
      <c r="AD477" s="233">
        <v>44798</v>
      </c>
    </row>
    <row r="478" spans="1:30">
      <c r="A478" s="291">
        <f>COUNTA($E$3:E478)</f>
        <v>476</v>
      </c>
      <c r="B478" s="291" t="s">
        <v>3827</v>
      </c>
      <c r="C478" s="291" t="s">
        <v>1767</v>
      </c>
      <c r="D478" s="291" t="s">
        <v>53</v>
      </c>
      <c r="E478" s="291" t="s">
        <v>1768</v>
      </c>
      <c r="F478" s="292">
        <v>44792.689569398099</v>
      </c>
      <c r="G478" s="292"/>
      <c r="H478" s="292"/>
      <c r="I478" s="292"/>
      <c r="J478" s="292" t="s">
        <v>4</v>
      </c>
      <c r="K478" s="291" t="s">
        <v>3871</v>
      </c>
      <c r="M478" s="20">
        <v>44802</v>
      </c>
      <c r="N478" t="s">
        <v>3876</v>
      </c>
      <c r="O478" s="223">
        <v>44832</v>
      </c>
      <c r="R478" t="s">
        <v>26</v>
      </c>
      <c r="AA478" s="236"/>
      <c r="AD478" s="233">
        <v>44832</v>
      </c>
    </row>
    <row r="479" spans="1:30">
      <c r="A479" s="291">
        <f>COUNTA($E$3:E479)</f>
        <v>477</v>
      </c>
      <c r="B479" s="291" t="s">
        <v>3812</v>
      </c>
      <c r="C479" s="291" t="s">
        <v>25</v>
      </c>
      <c r="D479" s="291" t="s">
        <v>34</v>
      </c>
      <c r="E479" s="291" t="s">
        <v>2666</v>
      </c>
      <c r="F479" s="292">
        <v>44790.8249084954</v>
      </c>
      <c r="G479" s="292"/>
      <c r="H479" s="292"/>
      <c r="I479" s="292"/>
      <c r="J479" s="292" t="s">
        <v>4</v>
      </c>
      <c r="K479" s="291" t="s">
        <v>3863</v>
      </c>
      <c r="M479" s="20">
        <v>44802</v>
      </c>
      <c r="N479" t="s">
        <v>3865</v>
      </c>
      <c r="O479" s="223">
        <v>44802</v>
      </c>
      <c r="R479" t="s">
        <v>138</v>
      </c>
      <c r="AA479" s="236"/>
      <c r="AD479" s="233">
        <v>44802</v>
      </c>
    </row>
    <row r="480" spans="1:30">
      <c r="A480" s="291">
        <f>COUNTA($E$3:E480)</f>
        <v>478</v>
      </c>
      <c r="B480" s="291" t="s">
        <v>3811</v>
      </c>
      <c r="C480" s="291" t="s">
        <v>25</v>
      </c>
      <c r="D480" s="291" t="s">
        <v>34</v>
      </c>
      <c r="E480" s="291" t="s">
        <v>2049</v>
      </c>
      <c r="F480" s="292">
        <v>44790.4673330324</v>
      </c>
      <c r="G480" s="292"/>
      <c r="H480" s="292"/>
      <c r="I480" s="292"/>
      <c r="J480" s="292" t="s">
        <v>4</v>
      </c>
      <c r="K480" s="291" t="s">
        <v>2461</v>
      </c>
      <c r="L480" t="s">
        <v>1310</v>
      </c>
      <c r="M480" s="20">
        <v>44802</v>
      </c>
      <c r="N480" t="s">
        <v>3865</v>
      </c>
      <c r="O480" s="223">
        <v>44802</v>
      </c>
      <c r="R480" t="s">
        <v>138</v>
      </c>
      <c r="AA480" s="236"/>
      <c r="AD480" s="233">
        <v>44802</v>
      </c>
    </row>
    <row r="481" spans="1:30">
      <c r="A481" s="291">
        <f>COUNTA($E$3:E481)</f>
        <v>479</v>
      </c>
      <c r="B481" s="291" t="s">
        <v>3661</v>
      </c>
      <c r="C481" s="291" t="s">
        <v>1268</v>
      </c>
      <c r="D481" s="291" t="s">
        <v>133</v>
      </c>
      <c r="E481" s="291" t="s">
        <v>132</v>
      </c>
      <c r="F481" s="292">
        <v>44775</v>
      </c>
      <c r="G481" s="292"/>
      <c r="H481" s="292">
        <v>44784</v>
      </c>
      <c r="I481" s="292"/>
      <c r="J481" s="292" t="s">
        <v>4</v>
      </c>
      <c r="K481" s="291" t="s">
        <v>1681</v>
      </c>
      <c r="M481" s="20">
        <v>44802</v>
      </c>
      <c r="N481" t="s">
        <v>3875</v>
      </c>
      <c r="O481" s="223">
        <v>44797</v>
      </c>
      <c r="R481" t="s">
        <v>138</v>
      </c>
      <c r="AA481" s="236"/>
      <c r="AD481" s="233">
        <v>44797</v>
      </c>
    </row>
    <row r="482" spans="1:30">
      <c r="A482" s="291">
        <f>COUNTA($E$3:E482)</f>
        <v>480</v>
      </c>
      <c r="B482" s="291" t="s">
        <v>3818</v>
      </c>
      <c r="C482" s="291" t="s">
        <v>45</v>
      </c>
      <c r="D482" s="291" t="s">
        <v>60</v>
      </c>
      <c r="E482" s="291" t="s">
        <v>3094</v>
      </c>
      <c r="F482" s="292">
        <v>44790</v>
      </c>
      <c r="G482" s="292"/>
      <c r="H482" s="292"/>
      <c r="I482" s="292"/>
      <c r="J482" s="292"/>
      <c r="K482" s="291"/>
      <c r="M482" s="20">
        <v>44795</v>
      </c>
      <c r="N482" t="s">
        <v>3834</v>
      </c>
      <c r="O482" s="223">
        <v>44795</v>
      </c>
      <c r="R482" t="s">
        <v>26</v>
      </c>
      <c r="AA482" s="236"/>
      <c r="AD482" s="233">
        <v>44795</v>
      </c>
    </row>
    <row r="483" spans="1:30">
      <c r="A483" s="291">
        <f>COUNTA($E$3:E483)</f>
        <v>481</v>
      </c>
      <c r="B483" s="291" t="s">
        <v>3817</v>
      </c>
      <c r="C483" s="291" t="s">
        <v>45</v>
      </c>
      <c r="D483" s="291" t="s">
        <v>1136</v>
      </c>
      <c r="E483" s="291" t="s">
        <v>1150</v>
      </c>
      <c r="F483" s="292">
        <v>44790</v>
      </c>
      <c r="G483" s="292"/>
      <c r="H483" s="292"/>
      <c r="I483" s="292"/>
      <c r="J483" s="292" t="s">
        <v>1122</v>
      </c>
      <c r="K483" s="291" t="s">
        <v>1665</v>
      </c>
      <c r="M483" s="20">
        <v>44795</v>
      </c>
      <c r="N483" t="s">
        <v>3833</v>
      </c>
      <c r="O483" s="223">
        <v>44795</v>
      </c>
      <c r="R483" t="s">
        <v>26</v>
      </c>
      <c r="AA483" s="236"/>
      <c r="AD483" s="233">
        <v>44795</v>
      </c>
    </row>
    <row r="484" spans="1:30">
      <c r="A484" s="291">
        <f>COUNTA($E$3:E484)</f>
        <v>482</v>
      </c>
      <c r="B484" s="291" t="s">
        <v>3755</v>
      </c>
      <c r="C484" s="291" t="s">
        <v>45</v>
      </c>
      <c r="D484" s="291" t="s">
        <v>1137</v>
      </c>
      <c r="E484" s="291" t="s">
        <v>3028</v>
      </c>
      <c r="F484" s="292">
        <v>44778.4730280324</v>
      </c>
      <c r="G484" s="292"/>
      <c r="H484" s="292"/>
      <c r="I484" s="292"/>
      <c r="J484" s="292" t="s">
        <v>3</v>
      </c>
      <c r="K484" s="291" t="s">
        <v>2461</v>
      </c>
      <c r="L484" t="s">
        <v>24</v>
      </c>
      <c r="M484" s="20">
        <v>44795</v>
      </c>
      <c r="O484" s="223"/>
      <c r="P484" t="s">
        <v>5053</v>
      </c>
      <c r="R484" t="s">
        <v>138</v>
      </c>
      <c r="AA484" s="236"/>
      <c r="AD484" s="233"/>
    </row>
    <row r="485" spans="1:30">
      <c r="A485" s="291">
        <f>COUNTA($E$3:E485)</f>
        <v>483</v>
      </c>
      <c r="B485" s="291" t="s">
        <v>3644</v>
      </c>
      <c r="C485" s="291" t="s">
        <v>3645</v>
      </c>
      <c r="D485" s="291" t="s">
        <v>55</v>
      </c>
      <c r="E485" s="291" t="s">
        <v>3646</v>
      </c>
      <c r="F485" s="292">
        <v>44764</v>
      </c>
      <c r="G485" s="292">
        <v>44781</v>
      </c>
      <c r="H485" s="292"/>
      <c r="I485" s="292">
        <v>44781</v>
      </c>
      <c r="J485" s="292" t="s">
        <v>3</v>
      </c>
      <c r="K485" s="291" t="s">
        <v>1947</v>
      </c>
      <c r="L485" t="s">
        <v>297</v>
      </c>
      <c r="M485" s="20">
        <v>44795</v>
      </c>
      <c r="N485" t="s">
        <v>3830</v>
      </c>
      <c r="O485" s="223">
        <v>44795</v>
      </c>
      <c r="R485" t="s">
        <v>26</v>
      </c>
      <c r="AA485" s="236"/>
      <c r="AD485" s="233">
        <v>44795</v>
      </c>
    </row>
    <row r="486" spans="1:30">
      <c r="A486" s="291">
        <f>COUNTA($E$3:E486)</f>
        <v>484</v>
      </c>
      <c r="B486" s="291" t="s">
        <v>3824</v>
      </c>
      <c r="C486" s="291" t="s">
        <v>45</v>
      </c>
      <c r="D486" s="291" t="s">
        <v>35</v>
      </c>
      <c r="E486" s="291" t="s">
        <v>3137</v>
      </c>
      <c r="F486" s="292">
        <v>44792</v>
      </c>
      <c r="G486" s="292"/>
      <c r="H486" s="292"/>
      <c r="I486" s="292"/>
      <c r="J486" s="292" t="s">
        <v>4</v>
      </c>
      <c r="K486" s="291" t="s">
        <v>1105</v>
      </c>
      <c r="L486" t="s">
        <v>2058</v>
      </c>
      <c r="M486" s="20">
        <v>44795</v>
      </c>
      <c r="N486" t="s">
        <v>3831</v>
      </c>
      <c r="O486" s="223">
        <v>44844</v>
      </c>
      <c r="R486" t="s">
        <v>26</v>
      </c>
      <c r="AA486" s="236"/>
      <c r="AD486" s="233">
        <v>44844</v>
      </c>
    </row>
    <row r="487" spans="1:30">
      <c r="A487" s="291">
        <f>COUNTA($E$3:E487)</f>
        <v>485</v>
      </c>
      <c r="B487" s="291" t="s">
        <v>3801</v>
      </c>
      <c r="C487" s="291" t="s">
        <v>1212</v>
      </c>
      <c r="D487" s="291" t="s">
        <v>42</v>
      </c>
      <c r="E487" s="291" t="s">
        <v>1237</v>
      </c>
      <c r="F487" s="292">
        <v>44785</v>
      </c>
      <c r="G487" s="292"/>
      <c r="H487" s="292"/>
      <c r="I487" s="292"/>
      <c r="J487" s="292" t="s">
        <v>4</v>
      </c>
      <c r="K487" s="291" t="s">
        <v>3802</v>
      </c>
      <c r="M487" s="20">
        <v>44795</v>
      </c>
      <c r="N487" t="s">
        <v>3832</v>
      </c>
      <c r="O487" s="223">
        <v>44803</v>
      </c>
      <c r="R487" t="s">
        <v>138</v>
      </c>
      <c r="AA487" s="236"/>
      <c r="AD487" s="233">
        <v>44803</v>
      </c>
    </row>
    <row r="488" spans="1:30">
      <c r="A488" s="291">
        <f>COUNTA($E$3:E488)</f>
        <v>486</v>
      </c>
      <c r="B488" s="291" t="s">
        <v>3765</v>
      </c>
      <c r="C488" s="291" t="s">
        <v>41</v>
      </c>
      <c r="D488" s="291" t="s">
        <v>38</v>
      </c>
      <c r="E488" s="291" t="s">
        <v>1823</v>
      </c>
      <c r="F488" s="292">
        <v>44781</v>
      </c>
      <c r="G488" s="292"/>
      <c r="H488" s="292"/>
      <c r="I488" s="292"/>
      <c r="J488" s="292" t="s">
        <v>3</v>
      </c>
      <c r="K488" s="291" t="s">
        <v>21</v>
      </c>
      <c r="L488" t="s">
        <v>134</v>
      </c>
      <c r="M488" s="20">
        <v>44788</v>
      </c>
      <c r="O488" s="223">
        <v>45051</v>
      </c>
      <c r="P488" t="s">
        <v>5053</v>
      </c>
      <c r="R488" t="s">
        <v>138</v>
      </c>
      <c r="AA488" s="236"/>
      <c r="AD488" s="233">
        <v>45051</v>
      </c>
    </row>
    <row r="489" spans="1:30">
      <c r="A489" s="291">
        <f>COUNTA($E$3:E489)</f>
        <v>487</v>
      </c>
      <c r="B489" s="291" t="s">
        <v>3621</v>
      </c>
      <c r="C489" s="291" t="s">
        <v>45</v>
      </c>
      <c r="D489" s="291" t="s">
        <v>36</v>
      </c>
      <c r="E489" s="291" t="s">
        <v>2721</v>
      </c>
      <c r="F489" s="292">
        <v>44769</v>
      </c>
      <c r="G489" s="292">
        <v>44771</v>
      </c>
      <c r="H489" s="292"/>
      <c r="I489" s="292" t="s">
        <v>70</v>
      </c>
      <c r="J489" s="292" t="s">
        <v>3</v>
      </c>
      <c r="K489" s="291" t="s">
        <v>3622</v>
      </c>
      <c r="L489" t="s">
        <v>297</v>
      </c>
      <c r="M489" s="20">
        <v>44788</v>
      </c>
      <c r="N489" t="s">
        <v>3784</v>
      </c>
      <c r="O489" s="223">
        <v>44788</v>
      </c>
      <c r="R489" t="s">
        <v>26</v>
      </c>
      <c r="AA489" s="236"/>
      <c r="AD489" s="233">
        <v>44788</v>
      </c>
    </row>
    <row r="490" spans="1:30">
      <c r="A490" s="291">
        <f>COUNTA($E$3:E490)</f>
        <v>488</v>
      </c>
      <c r="B490" s="291" t="s">
        <v>3596</v>
      </c>
      <c r="C490" s="291" t="s">
        <v>1125</v>
      </c>
      <c r="D490" s="291" t="s">
        <v>20</v>
      </c>
      <c r="E490" s="291" t="s">
        <v>3597</v>
      </c>
      <c r="F490" s="292">
        <v>44764</v>
      </c>
      <c r="G490" s="292"/>
      <c r="H490" s="292"/>
      <c r="I490" s="292" t="s">
        <v>59</v>
      </c>
      <c r="J490" s="292" t="s">
        <v>3</v>
      </c>
      <c r="K490" s="291" t="s">
        <v>21</v>
      </c>
      <c r="L490" t="s">
        <v>297</v>
      </c>
      <c r="M490" s="20">
        <v>44788</v>
      </c>
      <c r="N490" t="s">
        <v>3787</v>
      </c>
      <c r="O490" s="223">
        <v>44788</v>
      </c>
      <c r="R490" t="s">
        <v>26</v>
      </c>
      <c r="AA490" s="236"/>
      <c r="AD490" s="233">
        <v>44788</v>
      </c>
    </row>
    <row r="491" spans="1:30">
      <c r="A491" s="291">
        <f>COUNTA($E$3:E491)</f>
        <v>489</v>
      </c>
      <c r="B491" s="291" t="s">
        <v>3521</v>
      </c>
      <c r="C491" s="291" t="s">
        <v>41</v>
      </c>
      <c r="D491" s="291" t="s">
        <v>38</v>
      </c>
      <c r="E491" s="291" t="s">
        <v>1119</v>
      </c>
      <c r="F491" s="292">
        <v>44754.6527670949</v>
      </c>
      <c r="G491" s="292"/>
      <c r="H491" s="292"/>
      <c r="I491" s="292"/>
      <c r="J491" s="292" t="s">
        <v>3</v>
      </c>
      <c r="K491" s="291" t="s">
        <v>21</v>
      </c>
      <c r="L491" t="s">
        <v>1289</v>
      </c>
      <c r="M491" s="20">
        <v>44788</v>
      </c>
      <c r="N491" t="s">
        <v>3786</v>
      </c>
      <c r="O491" s="223">
        <v>44827</v>
      </c>
      <c r="R491" t="s">
        <v>138</v>
      </c>
      <c r="AA491" s="236"/>
      <c r="AD491" s="233">
        <v>44827</v>
      </c>
    </row>
    <row r="492" spans="1:30">
      <c r="A492" s="291">
        <f>COUNTA($E$3:E492)</f>
        <v>490</v>
      </c>
      <c r="B492" s="291" t="s">
        <v>3181</v>
      </c>
      <c r="C492" s="291" t="s">
        <v>25</v>
      </c>
      <c r="D492" s="291" t="s">
        <v>38</v>
      </c>
      <c r="E492" s="291" t="s">
        <v>3182</v>
      </c>
      <c r="F492" s="292">
        <v>44713</v>
      </c>
      <c r="G492" s="292"/>
      <c r="H492" s="292"/>
      <c r="I492" s="292" t="s">
        <v>59</v>
      </c>
      <c r="J492" s="292" t="s">
        <v>3</v>
      </c>
      <c r="K492" s="291" t="s">
        <v>1672</v>
      </c>
      <c r="L492" t="s">
        <v>1311</v>
      </c>
      <c r="M492" s="20">
        <v>44788</v>
      </c>
      <c r="N492" t="s">
        <v>3793</v>
      </c>
      <c r="O492" s="223">
        <v>44795</v>
      </c>
      <c r="R492" t="s">
        <v>138</v>
      </c>
      <c r="AA492" s="236"/>
      <c r="AD492" s="233">
        <v>44795</v>
      </c>
    </row>
    <row r="493" spans="1:30">
      <c r="A493" s="291">
        <f>COUNTA($E$3:E493)</f>
        <v>491</v>
      </c>
      <c r="B493" s="291" t="s">
        <v>3774</v>
      </c>
      <c r="C493" s="291" t="s">
        <v>2396</v>
      </c>
      <c r="D493" s="291" t="s">
        <v>1135</v>
      </c>
      <c r="E493" s="291" t="s">
        <v>1653</v>
      </c>
      <c r="F493" s="292">
        <v>44782</v>
      </c>
      <c r="G493" s="292"/>
      <c r="H493" s="292"/>
      <c r="I493" s="292"/>
      <c r="J493" s="292" t="s">
        <v>4</v>
      </c>
      <c r="K493" s="291" t="s">
        <v>3504</v>
      </c>
      <c r="L493" t="s">
        <v>1309</v>
      </c>
      <c r="M493" s="20">
        <v>44788</v>
      </c>
      <c r="N493" t="s">
        <v>3787</v>
      </c>
      <c r="O493" s="223">
        <v>44784</v>
      </c>
      <c r="R493" t="s">
        <v>26</v>
      </c>
      <c r="AA493" s="236"/>
      <c r="AD493" s="233">
        <v>44784</v>
      </c>
    </row>
    <row r="494" spans="1:30">
      <c r="A494" s="291">
        <f>COUNTA($E$3:E494)</f>
        <v>492</v>
      </c>
      <c r="B494" s="291" t="s">
        <v>3768</v>
      </c>
      <c r="C494" s="291" t="s">
        <v>45</v>
      </c>
      <c r="D494" s="291" t="s">
        <v>55</v>
      </c>
      <c r="E494" s="291" t="s">
        <v>3769</v>
      </c>
      <c r="F494" s="292">
        <v>44782</v>
      </c>
      <c r="G494" s="292"/>
      <c r="H494" s="292"/>
      <c r="I494" s="292"/>
      <c r="J494" s="292" t="s">
        <v>4</v>
      </c>
      <c r="K494" s="291" t="s">
        <v>471</v>
      </c>
      <c r="L494" t="s">
        <v>2058</v>
      </c>
      <c r="M494" s="20">
        <v>44788</v>
      </c>
      <c r="N494" t="s">
        <v>3787</v>
      </c>
      <c r="O494" s="223">
        <v>44788</v>
      </c>
      <c r="R494" t="s">
        <v>26</v>
      </c>
      <c r="AA494" s="236"/>
      <c r="AD494" s="233">
        <v>44788</v>
      </c>
    </row>
    <row r="495" spans="1:30">
      <c r="A495" s="291">
        <f>COUNTA($E$3:E495)</f>
        <v>493</v>
      </c>
      <c r="B495" s="291" t="s">
        <v>3766</v>
      </c>
      <c r="C495" s="291" t="s">
        <v>2793</v>
      </c>
      <c r="D495" s="291" t="s">
        <v>34</v>
      </c>
      <c r="E495" s="291" t="s">
        <v>3767</v>
      </c>
      <c r="F495" s="292">
        <v>44781</v>
      </c>
      <c r="G495" s="292"/>
      <c r="H495" s="292"/>
      <c r="I495" s="292"/>
      <c r="J495" s="292" t="s">
        <v>4</v>
      </c>
      <c r="K495" s="291" t="s">
        <v>2179</v>
      </c>
      <c r="L495" t="s">
        <v>134</v>
      </c>
      <c r="M495" s="20">
        <v>44788</v>
      </c>
      <c r="N495" t="s">
        <v>3909</v>
      </c>
      <c r="O495" s="223">
        <v>44789</v>
      </c>
      <c r="R495" t="s">
        <v>138</v>
      </c>
      <c r="AA495" s="236"/>
      <c r="AD495" s="233">
        <v>44789</v>
      </c>
    </row>
    <row r="496" spans="1:30">
      <c r="A496" s="291">
        <f>COUNTA($E$3:E496)</f>
        <v>494</v>
      </c>
      <c r="B496" s="291" t="s">
        <v>3752</v>
      </c>
      <c r="C496" s="291" t="s">
        <v>45</v>
      </c>
      <c r="D496" s="291" t="s">
        <v>55</v>
      </c>
      <c r="E496" s="291" t="s">
        <v>3050</v>
      </c>
      <c r="F496" s="292">
        <v>44777.755847685199</v>
      </c>
      <c r="G496" s="292"/>
      <c r="H496" s="292"/>
      <c r="I496" s="292"/>
      <c r="J496" s="292" t="s">
        <v>4</v>
      </c>
      <c r="K496" s="291" t="s">
        <v>1692</v>
      </c>
      <c r="L496" t="s">
        <v>1310</v>
      </c>
      <c r="M496" s="20">
        <v>44788</v>
      </c>
      <c r="N496" t="s">
        <v>3784</v>
      </c>
      <c r="O496" s="223">
        <v>44788</v>
      </c>
      <c r="R496" t="s">
        <v>138</v>
      </c>
      <c r="AA496" s="236"/>
      <c r="AD496" s="233">
        <v>44788</v>
      </c>
    </row>
    <row r="497" spans="1:30">
      <c r="A497" s="291">
        <f>COUNTA($E$3:E497)</f>
        <v>495</v>
      </c>
      <c r="B497" s="291" t="s">
        <v>3751</v>
      </c>
      <c r="C497" s="291" t="s">
        <v>44</v>
      </c>
      <c r="D497" s="291" t="s">
        <v>55</v>
      </c>
      <c r="E497" s="291" t="s">
        <v>1709</v>
      </c>
      <c r="F497" s="292">
        <v>44777</v>
      </c>
      <c r="G497" s="292"/>
      <c r="H497" s="292"/>
      <c r="I497" s="292"/>
      <c r="J497" s="292" t="s">
        <v>4</v>
      </c>
      <c r="K497" s="291" t="s">
        <v>1664</v>
      </c>
      <c r="L497" t="s">
        <v>37</v>
      </c>
      <c r="M497" s="20">
        <v>44788</v>
      </c>
      <c r="N497" t="s">
        <v>3788</v>
      </c>
      <c r="O497" s="223">
        <v>44788</v>
      </c>
      <c r="R497" t="s">
        <v>138</v>
      </c>
      <c r="AA497" s="236"/>
      <c r="AD497" s="233">
        <v>44788</v>
      </c>
    </row>
    <row r="498" spans="1:30">
      <c r="A498" s="291">
        <f>COUNTA($E$3:E498)</f>
        <v>496</v>
      </c>
      <c r="B498" s="291" t="s">
        <v>3748</v>
      </c>
      <c r="C498" s="291" t="s">
        <v>1183</v>
      </c>
      <c r="D498" s="291" t="s">
        <v>23</v>
      </c>
      <c r="E498" s="291" t="s">
        <v>3749</v>
      </c>
      <c r="F498" s="292">
        <v>44777</v>
      </c>
      <c r="G498" s="292">
        <v>44781</v>
      </c>
      <c r="H498" s="292"/>
      <c r="I498" s="292">
        <v>44777</v>
      </c>
      <c r="J498" s="292" t="s">
        <v>4</v>
      </c>
      <c r="K498" s="291" t="s">
        <v>1951</v>
      </c>
      <c r="L498" t="s">
        <v>1309</v>
      </c>
      <c r="M498" s="20">
        <v>44788</v>
      </c>
      <c r="N498" t="s">
        <v>3789</v>
      </c>
      <c r="O498" s="223">
        <v>44788</v>
      </c>
      <c r="R498" t="s">
        <v>26</v>
      </c>
      <c r="AA498" s="236"/>
      <c r="AD498" s="233">
        <v>44788</v>
      </c>
    </row>
    <row r="499" spans="1:30">
      <c r="A499" s="291">
        <f>COUNTA($E$3:E499)</f>
        <v>497</v>
      </c>
      <c r="B499" s="291" t="s">
        <v>3745</v>
      </c>
      <c r="C499" s="291" t="s">
        <v>45</v>
      </c>
      <c r="D499" s="291" t="s">
        <v>1115</v>
      </c>
      <c r="E499" s="291" t="s">
        <v>3746</v>
      </c>
      <c r="F499" s="292">
        <v>44784.675908969897</v>
      </c>
      <c r="G499" s="292"/>
      <c r="H499" s="292"/>
      <c r="I499" s="292"/>
      <c r="J499" s="292" t="s">
        <v>4</v>
      </c>
      <c r="K499" s="291" t="s">
        <v>3747</v>
      </c>
      <c r="L499" t="s">
        <v>1309</v>
      </c>
      <c r="M499" s="20">
        <v>44788</v>
      </c>
      <c r="N499" t="s">
        <v>3787</v>
      </c>
      <c r="O499" s="223">
        <v>44788</v>
      </c>
      <c r="R499" t="s">
        <v>26</v>
      </c>
      <c r="AA499" s="236"/>
      <c r="AD499" s="233">
        <v>44788</v>
      </c>
    </row>
    <row r="500" spans="1:30">
      <c r="A500" s="291">
        <f>COUNTA($E$3:E500)</f>
        <v>498</v>
      </c>
      <c r="B500" s="291" t="s">
        <v>3662</v>
      </c>
      <c r="C500" s="291" t="s">
        <v>25</v>
      </c>
      <c r="D500" s="291" t="s">
        <v>38</v>
      </c>
      <c r="E500" s="291" t="s">
        <v>2085</v>
      </c>
      <c r="F500" s="292">
        <v>44776</v>
      </c>
      <c r="G500" s="292"/>
      <c r="H500" s="292"/>
      <c r="I500" s="292"/>
      <c r="J500" s="292" t="s">
        <v>4</v>
      </c>
      <c r="K500" s="291" t="s">
        <v>21</v>
      </c>
      <c r="L500" t="s">
        <v>108</v>
      </c>
      <c r="M500" s="20">
        <v>44788</v>
      </c>
      <c r="N500" t="s">
        <v>3757</v>
      </c>
      <c r="O500" s="223">
        <v>44782</v>
      </c>
      <c r="R500" t="s">
        <v>138</v>
      </c>
      <c r="AA500" s="236"/>
      <c r="AD500" s="233">
        <v>44782</v>
      </c>
    </row>
    <row r="501" spans="1:30">
      <c r="A501" s="291">
        <f>COUNTA($E$3:E501)</f>
        <v>499</v>
      </c>
      <c r="B501" s="291" t="s">
        <v>3657</v>
      </c>
      <c r="C501" s="291" t="s">
        <v>45</v>
      </c>
      <c r="D501" s="291" t="s">
        <v>1216</v>
      </c>
      <c r="E501" s="291" t="s">
        <v>3658</v>
      </c>
      <c r="F501" s="292">
        <v>44774</v>
      </c>
      <c r="G501" s="292">
        <v>44781</v>
      </c>
      <c r="H501" s="292"/>
      <c r="I501" s="292" t="s">
        <v>70</v>
      </c>
      <c r="J501" s="292" t="s">
        <v>4</v>
      </c>
      <c r="K501" s="291" t="s">
        <v>1681</v>
      </c>
      <c r="L501" t="s">
        <v>1310</v>
      </c>
      <c r="M501" s="20">
        <v>44788</v>
      </c>
      <c r="N501" t="s">
        <v>3785</v>
      </c>
      <c r="O501" s="223">
        <v>44819</v>
      </c>
      <c r="R501" t="s">
        <v>138</v>
      </c>
      <c r="AA501" s="236"/>
      <c r="AD501" s="233">
        <v>44819</v>
      </c>
    </row>
    <row r="502" spans="1:30">
      <c r="A502" s="291">
        <f>COUNTA($E$3:E502)</f>
        <v>500</v>
      </c>
      <c r="B502" s="291" t="s">
        <v>3750</v>
      </c>
      <c r="C502" s="291" t="s">
        <v>41</v>
      </c>
      <c r="D502" s="291" t="s">
        <v>34</v>
      </c>
      <c r="E502" s="291" t="s">
        <v>1304</v>
      </c>
      <c r="F502" s="292">
        <v>44777</v>
      </c>
      <c r="G502" s="292"/>
      <c r="H502" s="292"/>
      <c r="I502" s="292"/>
      <c r="J502" s="292" t="s">
        <v>3</v>
      </c>
      <c r="K502" s="291" t="s">
        <v>2682</v>
      </c>
      <c r="L502" t="s">
        <v>1132</v>
      </c>
      <c r="M502" s="20">
        <v>44781</v>
      </c>
      <c r="N502" t="s">
        <v>3761</v>
      </c>
      <c r="O502" s="223">
        <v>44782</v>
      </c>
      <c r="R502" t="s">
        <v>138</v>
      </c>
      <c r="AA502" s="236"/>
      <c r="AD502" s="233">
        <v>44782</v>
      </c>
    </row>
    <row r="503" spans="1:30">
      <c r="A503" s="291">
        <f>COUNTA($E$3:E503)</f>
        <v>501</v>
      </c>
      <c r="B503" s="291" t="s">
        <v>3660</v>
      </c>
      <c r="C503" s="291" t="s">
        <v>45</v>
      </c>
      <c r="D503" s="291" t="s">
        <v>20</v>
      </c>
      <c r="E503" s="291" t="s">
        <v>1218</v>
      </c>
      <c r="F503" s="292">
        <v>44775</v>
      </c>
      <c r="G503" s="292"/>
      <c r="H503" s="292"/>
      <c r="I503" s="292"/>
      <c r="J503" s="292" t="s">
        <v>3</v>
      </c>
      <c r="K503" s="291" t="s">
        <v>1679</v>
      </c>
      <c r="L503" t="s">
        <v>1302</v>
      </c>
      <c r="M503" s="20">
        <v>44781</v>
      </c>
      <c r="O503" s="223">
        <v>44781</v>
      </c>
      <c r="R503" t="s">
        <v>138</v>
      </c>
      <c r="AA503" s="236"/>
      <c r="AD503" s="233">
        <v>44781</v>
      </c>
    </row>
    <row r="504" spans="1:30">
      <c r="A504" s="291">
        <f>COUNTA($E$3:E504)</f>
        <v>502</v>
      </c>
      <c r="B504" s="291" t="s">
        <v>3598</v>
      </c>
      <c r="C504" s="291" t="s">
        <v>1125</v>
      </c>
      <c r="D504" s="291" t="s">
        <v>62</v>
      </c>
      <c r="E504" s="291" t="s">
        <v>3599</v>
      </c>
      <c r="F504" s="292">
        <v>44764</v>
      </c>
      <c r="G504" s="292"/>
      <c r="H504" s="292"/>
      <c r="I504" s="292"/>
      <c r="J504" s="292" t="s">
        <v>3</v>
      </c>
      <c r="K504" s="291" t="s">
        <v>21</v>
      </c>
      <c r="L504" t="s">
        <v>1309</v>
      </c>
      <c r="M504" s="20">
        <v>44781</v>
      </c>
      <c r="N504" t="s">
        <v>3756</v>
      </c>
      <c r="O504" s="223">
        <v>44781</v>
      </c>
      <c r="R504" t="s">
        <v>26</v>
      </c>
      <c r="AA504" s="236"/>
      <c r="AD504" s="233">
        <v>44781</v>
      </c>
    </row>
    <row r="505" spans="1:30">
      <c r="A505" s="291">
        <f>COUNTA($E$3:E505)</f>
        <v>503</v>
      </c>
      <c r="B505" s="291" t="s">
        <v>3511</v>
      </c>
      <c r="C505" s="291" t="s">
        <v>45</v>
      </c>
      <c r="D505" s="291" t="s">
        <v>36</v>
      </c>
      <c r="E505" s="291" t="s">
        <v>1297</v>
      </c>
      <c r="F505" s="292">
        <v>44749</v>
      </c>
      <c r="G505" s="292">
        <v>44770</v>
      </c>
      <c r="H505" s="292"/>
      <c r="I505" s="292" t="s">
        <v>70</v>
      </c>
      <c r="J505" s="292" t="s">
        <v>3</v>
      </c>
      <c r="K505" s="291" t="s">
        <v>21</v>
      </c>
      <c r="L505" t="s">
        <v>2058</v>
      </c>
      <c r="M505" s="20">
        <v>44781</v>
      </c>
      <c r="N505" t="s">
        <v>3763</v>
      </c>
      <c r="O505" s="223">
        <v>44785</v>
      </c>
      <c r="R505" t="s">
        <v>138</v>
      </c>
      <c r="AA505" s="236"/>
      <c r="AD505" s="233">
        <v>44785</v>
      </c>
    </row>
    <row r="506" spans="1:30">
      <c r="A506" s="291">
        <f>COUNTA($E$3:E506)</f>
        <v>504</v>
      </c>
      <c r="B506" s="291" t="s">
        <v>3475</v>
      </c>
      <c r="C506" s="291" t="s">
        <v>45</v>
      </c>
      <c r="D506" s="291" t="s">
        <v>20</v>
      </c>
      <c r="E506" s="291" t="s">
        <v>3476</v>
      </c>
      <c r="F506" s="292">
        <v>44743</v>
      </c>
      <c r="G506" s="292">
        <v>44753</v>
      </c>
      <c r="H506" s="292"/>
      <c r="I506" s="292" t="s">
        <v>70</v>
      </c>
      <c r="J506" s="292" t="s">
        <v>3</v>
      </c>
      <c r="K506" s="291" t="s">
        <v>1891</v>
      </c>
      <c r="L506" t="s">
        <v>1310</v>
      </c>
      <c r="M506" s="20">
        <v>44781</v>
      </c>
      <c r="N506" t="s">
        <v>3762</v>
      </c>
      <c r="O506" s="223">
        <v>44785</v>
      </c>
      <c r="R506" t="s">
        <v>138</v>
      </c>
      <c r="AA506" s="236"/>
      <c r="AD506" s="233">
        <v>44785</v>
      </c>
    </row>
    <row r="507" spans="1:30">
      <c r="A507" s="291">
        <f>COUNTA($E$3:E507)</f>
        <v>505</v>
      </c>
      <c r="B507" s="291" t="s">
        <v>3659</v>
      </c>
      <c r="C507" s="291" t="s">
        <v>2396</v>
      </c>
      <c r="D507" s="291" t="s">
        <v>1235</v>
      </c>
      <c r="E507" s="291" t="s">
        <v>1236</v>
      </c>
      <c r="F507" s="292">
        <v>44774</v>
      </c>
      <c r="G507" s="292"/>
      <c r="H507" s="292"/>
      <c r="I507" s="292"/>
      <c r="J507" s="292" t="s">
        <v>4</v>
      </c>
      <c r="K507" s="291" t="s">
        <v>1664</v>
      </c>
      <c r="L507" t="s">
        <v>2058</v>
      </c>
      <c r="M507" s="20">
        <v>44781</v>
      </c>
      <c r="N507" t="s">
        <v>3760</v>
      </c>
      <c r="O507" s="223">
        <v>44781</v>
      </c>
      <c r="R507" t="s">
        <v>26</v>
      </c>
      <c r="AA507" s="236"/>
      <c r="AD507" s="233">
        <v>44781</v>
      </c>
    </row>
    <row r="508" spans="1:30">
      <c r="A508" s="291">
        <f>COUNTA($E$3:E508)</f>
        <v>506</v>
      </c>
      <c r="B508" s="291" t="s">
        <v>3629</v>
      </c>
      <c r="C508" s="291" t="s">
        <v>25</v>
      </c>
      <c r="D508" s="291" t="s">
        <v>38</v>
      </c>
      <c r="E508" s="291" t="s">
        <v>1697</v>
      </c>
      <c r="F508" s="292">
        <v>44769</v>
      </c>
      <c r="G508" s="292"/>
      <c r="H508" s="292"/>
      <c r="I508" s="292"/>
      <c r="J508" s="292" t="s">
        <v>4</v>
      </c>
      <c r="K508" s="291" t="s">
        <v>1775</v>
      </c>
      <c r="L508" t="s">
        <v>1101</v>
      </c>
      <c r="M508" s="20">
        <v>44781</v>
      </c>
      <c r="N508" t="s">
        <v>3642</v>
      </c>
      <c r="O508" s="223">
        <v>44795</v>
      </c>
      <c r="R508" t="s">
        <v>138</v>
      </c>
      <c r="AA508" s="236"/>
      <c r="AD508" s="233">
        <v>44795</v>
      </c>
    </row>
    <row r="509" spans="1:30">
      <c r="A509" s="291">
        <f>COUNTA($E$3:E509)</f>
        <v>507</v>
      </c>
      <c r="B509" s="291" t="s">
        <v>3627</v>
      </c>
      <c r="C509" s="291" t="s">
        <v>48</v>
      </c>
      <c r="D509" s="291" t="s">
        <v>1141</v>
      </c>
      <c r="E509" s="291" t="s">
        <v>1828</v>
      </c>
      <c r="F509" s="292">
        <v>44769.734977</v>
      </c>
      <c r="G509" s="292"/>
      <c r="H509" s="292"/>
      <c r="I509" s="292"/>
      <c r="J509" s="292" t="s">
        <v>4</v>
      </c>
      <c r="K509" s="291" t="s">
        <v>1500</v>
      </c>
      <c r="L509" t="s">
        <v>1310</v>
      </c>
      <c r="M509" s="20">
        <v>44781</v>
      </c>
      <c r="N509" t="s">
        <v>3759</v>
      </c>
      <c r="O509" s="223">
        <v>44781</v>
      </c>
      <c r="R509" t="s">
        <v>138</v>
      </c>
      <c r="AA509" s="236"/>
      <c r="AD509" s="233">
        <v>44781</v>
      </c>
    </row>
    <row r="510" spans="1:30">
      <c r="A510" s="291">
        <f>COUNTA($E$3:E510)</f>
        <v>508</v>
      </c>
      <c r="B510" s="291" t="s">
        <v>3625</v>
      </c>
      <c r="C510" s="291" t="s">
        <v>45</v>
      </c>
      <c r="D510" s="291" t="s">
        <v>3205</v>
      </c>
      <c r="E510" s="291" t="s">
        <v>3626</v>
      </c>
      <c r="F510" s="292">
        <v>44769.734281999998</v>
      </c>
      <c r="G510" s="292"/>
      <c r="H510" s="292"/>
      <c r="I510" s="292"/>
      <c r="J510" s="292" t="s">
        <v>4</v>
      </c>
      <c r="K510" s="291" t="s">
        <v>1500</v>
      </c>
      <c r="L510" t="s">
        <v>1289</v>
      </c>
      <c r="M510" s="20">
        <v>44781</v>
      </c>
      <c r="N510" t="s">
        <v>3758</v>
      </c>
      <c r="O510" s="223">
        <v>44781</v>
      </c>
      <c r="R510" t="s">
        <v>138</v>
      </c>
      <c r="AA510" s="236"/>
      <c r="AD510" s="233">
        <v>44781</v>
      </c>
    </row>
    <row r="511" spans="1:30">
      <c r="A511" s="291">
        <f>COUNTA($E$3:E511)</f>
        <v>509</v>
      </c>
      <c r="B511" s="291" t="s">
        <v>3606</v>
      </c>
      <c r="C511" s="291" t="s">
        <v>117</v>
      </c>
      <c r="D511" s="291" t="s">
        <v>62</v>
      </c>
      <c r="E511" s="291" t="s">
        <v>3607</v>
      </c>
      <c r="F511" s="292">
        <v>44769</v>
      </c>
      <c r="G511" s="292"/>
      <c r="H511" s="292"/>
      <c r="I511" s="292"/>
      <c r="J511" s="292" t="s">
        <v>4</v>
      </c>
      <c r="K511" s="291" t="s">
        <v>2596</v>
      </c>
      <c r="L511" t="s">
        <v>37</v>
      </c>
      <c r="M511" s="20">
        <v>44781</v>
      </c>
      <c r="N511" t="s">
        <v>3757</v>
      </c>
      <c r="O511" s="223">
        <v>44781</v>
      </c>
      <c r="R511" t="s">
        <v>138</v>
      </c>
      <c r="AA511" s="236"/>
      <c r="AD511" s="233">
        <v>44781</v>
      </c>
    </row>
    <row r="512" spans="1:30">
      <c r="A512" s="291">
        <f>COUNTA($E$3:E512)</f>
        <v>510</v>
      </c>
      <c r="B512" s="291" t="s">
        <v>2966</v>
      </c>
      <c r="C512" s="291" t="s">
        <v>48</v>
      </c>
      <c r="D512" s="291" t="s">
        <v>2967</v>
      </c>
      <c r="E512" s="291" t="s">
        <v>172</v>
      </c>
      <c r="F512" s="292">
        <v>44676</v>
      </c>
      <c r="G512" s="292">
        <v>44700</v>
      </c>
      <c r="H512" s="292"/>
      <c r="I512" s="292" t="s">
        <v>70</v>
      </c>
      <c r="J512" s="292" t="s">
        <v>4</v>
      </c>
      <c r="K512" s="291" t="s">
        <v>1679</v>
      </c>
      <c r="L512" t="s">
        <v>24</v>
      </c>
      <c r="M512" s="20">
        <v>44781</v>
      </c>
      <c r="O512" s="223">
        <v>44781</v>
      </c>
      <c r="R512" t="s">
        <v>138</v>
      </c>
      <c r="AA512" s="236"/>
      <c r="AD512" s="233">
        <v>44781</v>
      </c>
    </row>
    <row r="513" spans="1:30">
      <c r="A513" s="291">
        <f>COUNTA($E$3:E513)</f>
        <v>511</v>
      </c>
      <c r="B513" s="291" t="s">
        <v>3619</v>
      </c>
      <c r="C513" s="291" t="s">
        <v>45</v>
      </c>
      <c r="D513" s="291" t="s">
        <v>53</v>
      </c>
      <c r="E513" s="291" t="s">
        <v>1155</v>
      </c>
      <c r="F513" s="292">
        <v>44769</v>
      </c>
      <c r="G513" s="292"/>
      <c r="H513" s="292"/>
      <c r="I513" s="292"/>
      <c r="J513" s="292" t="s">
        <v>1122</v>
      </c>
      <c r="K513" s="291" t="s">
        <v>1500</v>
      </c>
      <c r="L513" t="s">
        <v>57</v>
      </c>
      <c r="M513" s="20">
        <v>44774</v>
      </c>
      <c r="N513" t="s">
        <v>3637</v>
      </c>
      <c r="O513" s="223">
        <v>44785</v>
      </c>
      <c r="R513" t="s">
        <v>138</v>
      </c>
      <c r="AA513" s="236"/>
      <c r="AD513" s="233">
        <v>44785</v>
      </c>
    </row>
    <row r="514" spans="1:30">
      <c r="A514" s="291">
        <f>COUNTA($E$3:E514)</f>
        <v>512</v>
      </c>
      <c r="B514" s="291" t="s">
        <v>3630</v>
      </c>
      <c r="C514" s="291" t="s">
        <v>61</v>
      </c>
      <c r="D514" s="291" t="s">
        <v>20</v>
      </c>
      <c r="E514" s="291" t="s">
        <v>2919</v>
      </c>
      <c r="F514" s="292">
        <v>44769</v>
      </c>
      <c r="G514" s="292"/>
      <c r="H514" s="292"/>
      <c r="I514" s="292"/>
      <c r="J514" s="292" t="s">
        <v>3</v>
      </c>
      <c r="K514" s="291" t="s">
        <v>2920</v>
      </c>
      <c r="L514" t="s">
        <v>28</v>
      </c>
      <c r="M514" s="20">
        <v>44774</v>
      </c>
      <c r="N514" t="s">
        <v>3635</v>
      </c>
      <c r="O514" s="223">
        <v>44774</v>
      </c>
      <c r="R514" t="s">
        <v>26</v>
      </c>
      <c r="AA514" s="236"/>
      <c r="AD514" s="233">
        <v>44774</v>
      </c>
    </row>
    <row r="515" spans="1:30">
      <c r="A515" s="291">
        <f>COUNTA($E$3:E515)</f>
        <v>513</v>
      </c>
      <c r="B515" s="291" t="s">
        <v>3602</v>
      </c>
      <c r="C515" s="291" t="s">
        <v>61</v>
      </c>
      <c r="D515" s="291" t="s">
        <v>38</v>
      </c>
      <c r="E515" s="291" t="s">
        <v>2928</v>
      </c>
      <c r="F515" s="292">
        <v>44767</v>
      </c>
      <c r="G515" s="292"/>
      <c r="H515" s="292"/>
      <c r="I515" s="292"/>
      <c r="J515" s="292" t="s">
        <v>3</v>
      </c>
      <c r="K515" s="291" t="s">
        <v>2929</v>
      </c>
      <c r="L515" t="s">
        <v>1309</v>
      </c>
      <c r="M515" s="20">
        <v>44774</v>
      </c>
      <c r="N515" t="s">
        <v>3633</v>
      </c>
      <c r="O515" s="223">
        <v>44774</v>
      </c>
      <c r="R515" t="s">
        <v>26</v>
      </c>
      <c r="AA515" s="236"/>
      <c r="AD515" s="233">
        <v>44774</v>
      </c>
    </row>
    <row r="516" spans="1:30">
      <c r="A516" s="291">
        <f>COUNTA($E$3:E516)</f>
        <v>514</v>
      </c>
      <c r="B516" s="291" t="s">
        <v>3583</v>
      </c>
      <c r="C516" s="291" t="s">
        <v>41</v>
      </c>
      <c r="D516" s="291" t="s">
        <v>34</v>
      </c>
      <c r="E516" s="291" t="s">
        <v>3393</v>
      </c>
      <c r="F516" s="292">
        <v>44762.540179189797</v>
      </c>
      <c r="G516" s="292"/>
      <c r="H516" s="292"/>
      <c r="I516" s="292"/>
      <c r="J516" s="292" t="s">
        <v>3</v>
      </c>
      <c r="K516" s="291" t="s">
        <v>1674</v>
      </c>
      <c r="M516" s="20">
        <v>44774</v>
      </c>
      <c r="N516" t="s">
        <v>3650</v>
      </c>
      <c r="O516" s="223">
        <v>44782</v>
      </c>
      <c r="R516" t="s">
        <v>138</v>
      </c>
      <c r="AA516" s="236"/>
      <c r="AD516" s="233">
        <v>44782</v>
      </c>
    </row>
    <row r="517" spans="1:30">
      <c r="A517" s="291">
        <f>COUNTA($E$3:E517)</f>
        <v>515</v>
      </c>
      <c r="B517" s="291" t="s">
        <v>2774</v>
      </c>
      <c r="C517" s="291" t="s">
        <v>41</v>
      </c>
      <c r="D517" s="291" t="s">
        <v>34</v>
      </c>
      <c r="E517" s="291" t="s">
        <v>2775</v>
      </c>
      <c r="F517" s="292">
        <v>44651</v>
      </c>
      <c r="G517" s="292">
        <v>44658</v>
      </c>
      <c r="H517" s="292"/>
      <c r="I517" s="292">
        <v>44691</v>
      </c>
      <c r="J517" s="292" t="s">
        <v>3</v>
      </c>
      <c r="K517" s="291" t="s">
        <v>1677</v>
      </c>
      <c r="L517" t="s">
        <v>1289</v>
      </c>
      <c r="M517" s="20">
        <v>44774</v>
      </c>
      <c r="O517" s="223">
        <v>45021</v>
      </c>
      <c r="P517" s="222"/>
      <c r="R517" t="s">
        <v>138</v>
      </c>
      <c r="AA517" s="236"/>
      <c r="AD517" s="233">
        <v>45021</v>
      </c>
    </row>
    <row r="518" spans="1:30">
      <c r="A518" s="291">
        <f>COUNTA($E$3:E518)</f>
        <v>516</v>
      </c>
      <c r="B518" s="291" t="s">
        <v>2659</v>
      </c>
      <c r="C518" s="291" t="s">
        <v>41</v>
      </c>
      <c r="D518" s="291" t="s">
        <v>34</v>
      </c>
      <c r="E518" s="291" t="s">
        <v>2660</v>
      </c>
      <c r="F518" s="292">
        <v>44636</v>
      </c>
      <c r="G518" s="292">
        <v>44645</v>
      </c>
      <c r="H518" s="292"/>
      <c r="I518" s="292">
        <v>44658</v>
      </c>
      <c r="J518" s="292" t="s">
        <v>3</v>
      </c>
      <c r="K518" s="291" t="s">
        <v>2731</v>
      </c>
      <c r="L518" t="s">
        <v>1311</v>
      </c>
      <c r="M518" s="20">
        <v>44774</v>
      </c>
      <c r="N518" t="s">
        <v>3633</v>
      </c>
      <c r="O518" s="223">
        <v>44774</v>
      </c>
      <c r="P518" s="222"/>
      <c r="R518" t="s">
        <v>138</v>
      </c>
      <c r="AA518" s="236"/>
      <c r="AD518" s="233">
        <v>44774</v>
      </c>
    </row>
    <row r="519" spans="1:30">
      <c r="A519" s="291">
        <f>COUNTA($E$3:E519)</f>
        <v>517</v>
      </c>
      <c r="B519" s="291" t="s">
        <v>2646</v>
      </c>
      <c r="C519" s="291" t="s">
        <v>1118</v>
      </c>
      <c r="D519" s="291" t="s">
        <v>62</v>
      </c>
      <c r="E519" s="291" t="s">
        <v>2647</v>
      </c>
      <c r="F519" s="292">
        <v>44634</v>
      </c>
      <c r="G519" s="292">
        <v>44637</v>
      </c>
      <c r="H519" s="292"/>
      <c r="I519" s="292">
        <v>44636</v>
      </c>
      <c r="J519" s="292" t="s">
        <v>3</v>
      </c>
      <c r="K519" s="291" t="s">
        <v>2648</v>
      </c>
      <c r="L519" t="s">
        <v>1310</v>
      </c>
      <c r="M519" s="20">
        <v>44774</v>
      </c>
      <c r="N519" t="s">
        <v>3632</v>
      </c>
      <c r="O519" s="223">
        <v>44760</v>
      </c>
      <c r="P519" s="222"/>
      <c r="R519" t="s">
        <v>138</v>
      </c>
      <c r="AA519" s="236"/>
      <c r="AD519" s="233">
        <v>44760</v>
      </c>
    </row>
    <row r="520" spans="1:30">
      <c r="A520" s="291">
        <f>COUNTA($E$3:E520)</f>
        <v>518</v>
      </c>
      <c r="B520" s="291" t="s">
        <v>2505</v>
      </c>
      <c r="C520" s="291" t="s">
        <v>2396</v>
      </c>
      <c r="D520" s="291" t="s">
        <v>1222</v>
      </c>
      <c r="E520" s="291" t="s">
        <v>1284</v>
      </c>
      <c r="F520" s="292">
        <v>44599</v>
      </c>
      <c r="G520" s="292">
        <v>44603</v>
      </c>
      <c r="H520" s="292"/>
      <c r="I520" s="292">
        <v>44603</v>
      </c>
      <c r="J520" s="292" t="s">
        <v>3</v>
      </c>
      <c r="K520" s="291" t="s">
        <v>2506</v>
      </c>
      <c r="L520" t="s">
        <v>297</v>
      </c>
      <c r="M520" s="20">
        <v>44774</v>
      </c>
      <c r="N520" t="s">
        <v>3631</v>
      </c>
      <c r="O520" s="223">
        <v>44774</v>
      </c>
      <c r="P520" s="222"/>
      <c r="R520" t="s">
        <v>26</v>
      </c>
      <c r="AA520" s="236"/>
      <c r="AD520" s="233">
        <v>44774</v>
      </c>
    </row>
    <row r="521" spans="1:30">
      <c r="A521" s="291">
        <f>COUNTA($E$3:E521)</f>
        <v>519</v>
      </c>
      <c r="B521" s="291" t="s">
        <v>3586</v>
      </c>
      <c r="C521" s="291" t="s">
        <v>25</v>
      </c>
      <c r="D521" s="291" t="s">
        <v>34</v>
      </c>
      <c r="E521" s="291" t="s">
        <v>3059</v>
      </c>
      <c r="F521" s="292">
        <v>44763.76489583333</v>
      </c>
      <c r="G521" s="292"/>
      <c r="H521" s="292"/>
      <c r="I521" s="292"/>
      <c r="J521" s="292" t="s">
        <v>4</v>
      </c>
      <c r="K521" s="291" t="s">
        <v>1500</v>
      </c>
      <c r="L521" t="s">
        <v>1311</v>
      </c>
      <c r="M521" s="20">
        <v>44774</v>
      </c>
      <c r="N521" t="s">
        <v>3633</v>
      </c>
      <c r="O521" s="223">
        <v>44769</v>
      </c>
      <c r="P521" s="222"/>
      <c r="R521" t="s">
        <v>138</v>
      </c>
      <c r="AA521" s="236"/>
      <c r="AD521" s="233">
        <v>44769</v>
      </c>
    </row>
    <row r="522" spans="1:30">
      <c r="A522" s="291">
        <f>COUNTA($E$3:E522)</f>
        <v>520</v>
      </c>
      <c r="B522" s="291" t="s">
        <v>3300</v>
      </c>
      <c r="C522" s="291" t="s">
        <v>45</v>
      </c>
      <c r="D522" s="291" t="s">
        <v>1127</v>
      </c>
      <c r="E522" s="291" t="s">
        <v>3301</v>
      </c>
      <c r="F522" s="292">
        <v>44729</v>
      </c>
      <c r="G522" s="292">
        <v>44745</v>
      </c>
      <c r="H522" s="292"/>
      <c r="I522" s="292"/>
      <c r="J522" s="292" t="s">
        <v>4</v>
      </c>
      <c r="K522" s="291" t="s">
        <v>1681</v>
      </c>
      <c r="L522" t="s">
        <v>1310</v>
      </c>
      <c r="M522" s="20">
        <v>44774</v>
      </c>
      <c r="N522" t="s">
        <v>3633</v>
      </c>
      <c r="O522" s="223">
        <v>44774</v>
      </c>
      <c r="P522" s="222"/>
      <c r="R522" t="s">
        <v>138</v>
      </c>
      <c r="AA522" s="236"/>
      <c r="AD522" s="233">
        <v>44774</v>
      </c>
    </row>
    <row r="523" spans="1:30">
      <c r="A523" s="291">
        <f>COUNTA($E$3:E523)</f>
        <v>521</v>
      </c>
      <c r="B523" s="291" t="s">
        <v>3617</v>
      </c>
      <c r="C523" s="291" t="s">
        <v>45</v>
      </c>
      <c r="D523" s="291" t="s">
        <v>1193</v>
      </c>
      <c r="E523" s="291" t="s">
        <v>3618</v>
      </c>
      <c r="F523" s="292">
        <v>44769</v>
      </c>
      <c r="G523" s="292"/>
      <c r="H523" s="292"/>
      <c r="I523" s="292"/>
      <c r="J523" s="292" t="s">
        <v>5</v>
      </c>
      <c r="K523" s="291" t="s">
        <v>2307</v>
      </c>
      <c r="L523" t="s">
        <v>57</v>
      </c>
      <c r="M523" s="20">
        <v>44774</v>
      </c>
      <c r="N523" t="s">
        <v>3637</v>
      </c>
      <c r="O523" s="223">
        <v>44774</v>
      </c>
      <c r="P523" s="222"/>
      <c r="R523" t="s">
        <v>138</v>
      </c>
      <c r="AA523" s="236"/>
      <c r="AD523" s="233">
        <v>44774</v>
      </c>
    </row>
    <row r="524" spans="1:30">
      <c r="A524" s="291">
        <f>COUNTA($E$3:E524)</f>
        <v>522</v>
      </c>
      <c r="B524" s="291" t="s">
        <v>3589</v>
      </c>
      <c r="C524" s="291" t="s">
        <v>41</v>
      </c>
      <c r="D524" s="291" t="s">
        <v>38</v>
      </c>
      <c r="E524" s="291" t="s">
        <v>3312</v>
      </c>
      <c r="F524" s="292">
        <v>44768</v>
      </c>
      <c r="G524" s="292">
        <v>44741</v>
      </c>
      <c r="H524" s="292"/>
      <c r="I524" s="292">
        <v>44748</v>
      </c>
      <c r="J524" s="292" t="s">
        <v>5</v>
      </c>
      <c r="K524" s="291" t="s">
        <v>1105</v>
      </c>
      <c r="M524" s="20">
        <v>44774</v>
      </c>
      <c r="N524" t="s">
        <v>3634</v>
      </c>
      <c r="O524" s="223">
        <v>45000</v>
      </c>
      <c r="P524" t="s">
        <v>5053</v>
      </c>
      <c r="R524" t="s">
        <v>138</v>
      </c>
      <c r="AA524" s="236"/>
      <c r="AD524" s="233">
        <v>45000</v>
      </c>
    </row>
    <row r="525" spans="1:30">
      <c r="A525" s="291">
        <f>COUNTA($E$3:E525)</f>
        <v>523</v>
      </c>
      <c r="B525" s="291" t="s">
        <v>3603</v>
      </c>
      <c r="C525" s="291" t="s">
        <v>41</v>
      </c>
      <c r="D525" s="291" t="s">
        <v>34</v>
      </c>
      <c r="E525" s="291" t="s">
        <v>3398</v>
      </c>
      <c r="F525" s="292">
        <v>44768</v>
      </c>
      <c r="G525" s="292"/>
      <c r="H525" s="292"/>
      <c r="I525" s="292"/>
      <c r="J525" s="292" t="s">
        <v>3</v>
      </c>
      <c r="K525" s="291" t="s">
        <v>1674</v>
      </c>
      <c r="M525" s="20">
        <v>44774</v>
      </c>
      <c r="N525" t="s">
        <v>3636</v>
      </c>
      <c r="O525" s="223">
        <v>45021</v>
      </c>
      <c r="P525" t="s">
        <v>5053</v>
      </c>
      <c r="R525" t="s">
        <v>138</v>
      </c>
      <c r="AA525" s="236"/>
      <c r="AD525" s="233">
        <v>45021</v>
      </c>
    </row>
    <row r="526" spans="1:30">
      <c r="A526" s="291">
        <f>COUNTA($E$3:E526)</f>
        <v>524</v>
      </c>
      <c r="B526" s="291" t="s">
        <v>3585</v>
      </c>
      <c r="C526" s="291" t="s">
        <v>41</v>
      </c>
      <c r="D526" s="291" t="s">
        <v>38</v>
      </c>
      <c r="E526" s="291" t="s">
        <v>3400</v>
      </c>
      <c r="F526" s="292">
        <v>44762</v>
      </c>
      <c r="G526" s="292"/>
      <c r="H526" s="292"/>
      <c r="I526" s="292"/>
      <c r="J526" s="292" t="s">
        <v>3</v>
      </c>
      <c r="K526" s="291" t="s">
        <v>1682</v>
      </c>
      <c r="L526" t="s">
        <v>24</v>
      </c>
      <c r="M526" s="20">
        <v>44765</v>
      </c>
      <c r="O526" s="223"/>
      <c r="P526" t="s">
        <v>5053</v>
      </c>
      <c r="R526" t="s">
        <v>138</v>
      </c>
      <c r="AA526" s="236"/>
      <c r="AD526" s="233"/>
    </row>
    <row r="527" spans="1:30">
      <c r="A527" s="291">
        <f>COUNTA($E$3:E527)</f>
        <v>525</v>
      </c>
      <c r="B527" s="291" t="s">
        <v>3584</v>
      </c>
      <c r="C527" s="291" t="s">
        <v>41</v>
      </c>
      <c r="D527" s="291" t="s">
        <v>38</v>
      </c>
      <c r="E527" s="291" t="s">
        <v>1278</v>
      </c>
      <c r="F527" s="292">
        <v>44762.540179189797</v>
      </c>
      <c r="G527" s="292"/>
      <c r="H527" s="292"/>
      <c r="I527" s="292"/>
      <c r="J527" s="292" t="s">
        <v>3</v>
      </c>
      <c r="K527" s="291" t="s">
        <v>1500</v>
      </c>
      <c r="L527" t="s">
        <v>110</v>
      </c>
      <c r="M527" s="20">
        <v>44765</v>
      </c>
      <c r="O527" s="223"/>
      <c r="P527" t="s">
        <v>5053</v>
      </c>
      <c r="R527" t="s">
        <v>138</v>
      </c>
      <c r="AA527" s="236"/>
      <c r="AD527" s="233"/>
    </row>
    <row r="528" spans="1:30">
      <c r="A528" s="291">
        <f>COUNTA($E$3:E528)</f>
        <v>526</v>
      </c>
      <c r="B528" s="291" t="s">
        <v>3572</v>
      </c>
      <c r="C528" s="291" t="s">
        <v>41</v>
      </c>
      <c r="D528" s="291" t="s">
        <v>34</v>
      </c>
      <c r="E528" s="291" t="s">
        <v>1134</v>
      </c>
      <c r="F528" s="292">
        <v>44760</v>
      </c>
      <c r="G528" s="292"/>
      <c r="H528" s="292"/>
      <c r="I528" s="292"/>
      <c r="J528" s="292" t="s">
        <v>3</v>
      </c>
      <c r="K528" s="291" t="s">
        <v>3573</v>
      </c>
      <c r="L528" t="s">
        <v>134</v>
      </c>
      <c r="M528" s="20">
        <v>44765</v>
      </c>
      <c r="O528" s="223"/>
      <c r="P528" t="s">
        <v>5053</v>
      </c>
      <c r="R528" t="s">
        <v>138</v>
      </c>
      <c r="AA528" s="236"/>
      <c r="AD528" s="233"/>
    </row>
    <row r="529" spans="1:30">
      <c r="A529" s="291">
        <f>COUNTA($E$3:E529)</f>
        <v>527</v>
      </c>
      <c r="B529" s="291" t="s">
        <v>3292</v>
      </c>
      <c r="C529" s="291" t="s">
        <v>61</v>
      </c>
      <c r="D529" s="291" t="s">
        <v>1115</v>
      </c>
      <c r="E529" s="291" t="s">
        <v>2925</v>
      </c>
      <c r="F529" s="292">
        <v>44763.559566631899</v>
      </c>
      <c r="G529" s="292">
        <v>44728</v>
      </c>
      <c r="H529" s="292"/>
      <c r="I529" s="292">
        <v>44676</v>
      </c>
      <c r="J529" s="292" t="s">
        <v>3</v>
      </c>
      <c r="K529" s="291" t="s">
        <v>2926</v>
      </c>
      <c r="L529" t="s">
        <v>1309</v>
      </c>
      <c r="M529" s="20">
        <v>44765</v>
      </c>
      <c r="N529" t="s">
        <v>3593</v>
      </c>
      <c r="O529" s="223">
        <v>44765</v>
      </c>
      <c r="R529" t="s">
        <v>26</v>
      </c>
      <c r="AA529" s="236"/>
      <c r="AD529" s="233">
        <v>44765</v>
      </c>
    </row>
    <row r="530" spans="1:30">
      <c r="A530" s="291">
        <f>COUNTA($E$3:E530)</f>
        <v>528</v>
      </c>
      <c r="B530" s="291" t="s">
        <v>3199</v>
      </c>
      <c r="C530" s="291" t="s">
        <v>3067</v>
      </c>
      <c r="D530" s="291" t="s">
        <v>20</v>
      </c>
      <c r="E530" s="291" t="s">
        <v>3200</v>
      </c>
      <c r="F530" s="292">
        <v>44714</v>
      </c>
      <c r="G530" s="292"/>
      <c r="H530" s="292"/>
      <c r="I530" s="292"/>
      <c r="J530" s="292" t="s">
        <v>3</v>
      </c>
      <c r="K530" s="291" t="s">
        <v>1739</v>
      </c>
      <c r="L530" t="s">
        <v>1311</v>
      </c>
      <c r="M530" s="20">
        <v>44765</v>
      </c>
      <c r="N530" t="s">
        <v>3592</v>
      </c>
      <c r="O530" s="223">
        <v>44768</v>
      </c>
      <c r="R530" t="s">
        <v>138</v>
      </c>
      <c r="AA530" s="236"/>
      <c r="AD530" s="233">
        <v>44768</v>
      </c>
    </row>
    <row r="531" spans="1:30">
      <c r="A531" s="291">
        <f>COUNTA($E$3:E531)</f>
        <v>529</v>
      </c>
      <c r="B531" s="291" t="s">
        <v>3197</v>
      </c>
      <c r="C531" s="291" t="s">
        <v>3067</v>
      </c>
      <c r="D531" s="291" t="s">
        <v>20</v>
      </c>
      <c r="E531" s="291" t="s">
        <v>3198</v>
      </c>
      <c r="F531" s="292">
        <v>44714</v>
      </c>
      <c r="G531" s="292"/>
      <c r="H531" s="292"/>
      <c r="I531" s="292"/>
      <c r="J531" s="292" t="s">
        <v>3</v>
      </c>
      <c r="K531" s="291" t="s">
        <v>1739</v>
      </c>
      <c r="L531" t="s">
        <v>1302</v>
      </c>
      <c r="M531" s="20">
        <v>44765</v>
      </c>
      <c r="N531" t="s">
        <v>3648</v>
      </c>
      <c r="O531" s="223">
        <v>44768</v>
      </c>
      <c r="R531" t="s">
        <v>138</v>
      </c>
      <c r="AA531" s="236"/>
      <c r="AD531" s="233">
        <v>44768</v>
      </c>
    </row>
    <row r="532" spans="1:30">
      <c r="A532" s="291">
        <f>COUNTA($E$3:E532)</f>
        <v>530</v>
      </c>
      <c r="B532" s="291" t="s">
        <v>3130</v>
      </c>
      <c r="C532" s="291" t="s">
        <v>308</v>
      </c>
      <c r="D532" s="291" t="s">
        <v>3131</v>
      </c>
      <c r="E532" s="291" t="s">
        <v>3132</v>
      </c>
      <c r="F532" s="292">
        <v>44704</v>
      </c>
      <c r="G532" s="292">
        <v>44708</v>
      </c>
      <c r="H532" s="292"/>
      <c r="I532" s="292">
        <v>44711</v>
      </c>
      <c r="J532" s="292" t="s">
        <v>3</v>
      </c>
      <c r="K532" s="291" t="s">
        <v>3133</v>
      </c>
      <c r="L532" t="s">
        <v>28</v>
      </c>
      <c r="M532" s="20">
        <v>44765</v>
      </c>
      <c r="N532" t="s">
        <v>1776</v>
      </c>
      <c r="O532" s="223">
        <v>44765</v>
      </c>
      <c r="R532" t="s">
        <v>26</v>
      </c>
      <c r="AA532" s="236"/>
      <c r="AD532" s="233">
        <v>44765</v>
      </c>
    </row>
    <row r="533" spans="1:30">
      <c r="A533" s="291">
        <f>COUNTA($E$3:E533)</f>
        <v>531</v>
      </c>
      <c r="B533" s="291" t="s">
        <v>2858</v>
      </c>
      <c r="C533" s="291" t="s">
        <v>78</v>
      </c>
      <c r="D533" s="291" t="s">
        <v>1092</v>
      </c>
      <c r="E533" s="291" t="s">
        <v>2859</v>
      </c>
      <c r="F533" s="292">
        <v>44666</v>
      </c>
      <c r="G533" s="292"/>
      <c r="H533" s="292"/>
      <c r="I533" s="292"/>
      <c r="J533" s="292" t="s">
        <v>3</v>
      </c>
      <c r="K533" s="291" t="s">
        <v>21</v>
      </c>
      <c r="L533" t="s">
        <v>297</v>
      </c>
      <c r="M533" s="20">
        <v>44765</v>
      </c>
      <c r="N533" t="s">
        <v>3590</v>
      </c>
      <c r="O533" s="223">
        <v>44771</v>
      </c>
      <c r="R533" t="s">
        <v>138</v>
      </c>
      <c r="AA533" s="236"/>
      <c r="AD533" s="233">
        <v>44771</v>
      </c>
    </row>
    <row r="534" spans="1:30">
      <c r="A534" s="291">
        <f>COUNTA($E$3:E534)</f>
        <v>532</v>
      </c>
      <c r="B534" s="291" t="s">
        <v>3579</v>
      </c>
      <c r="C534" s="291" t="s">
        <v>1183</v>
      </c>
      <c r="D534" s="291" t="s">
        <v>35</v>
      </c>
      <c r="E534" s="291" t="s">
        <v>3580</v>
      </c>
      <c r="F534" s="292">
        <v>44762</v>
      </c>
      <c r="G534" s="292"/>
      <c r="H534" s="292"/>
      <c r="I534" s="292"/>
      <c r="J534" s="292" t="s">
        <v>4</v>
      </c>
      <c r="K534" s="291" t="s">
        <v>1500</v>
      </c>
      <c r="L534" t="s">
        <v>28</v>
      </c>
      <c r="M534" s="20">
        <v>44765</v>
      </c>
      <c r="N534" t="s">
        <v>3595</v>
      </c>
      <c r="O534" s="223">
        <v>44765</v>
      </c>
      <c r="R534" t="s">
        <v>26</v>
      </c>
      <c r="AA534" s="236"/>
      <c r="AD534" s="233">
        <v>44765</v>
      </c>
    </row>
    <row r="535" spans="1:30">
      <c r="A535" s="291">
        <f>COUNTA($E$3:E535)</f>
        <v>533</v>
      </c>
      <c r="B535" s="291" t="s">
        <v>3574</v>
      </c>
      <c r="C535" s="291" t="s">
        <v>45</v>
      </c>
      <c r="D535" s="291" t="s">
        <v>34</v>
      </c>
      <c r="E535" s="291" t="s">
        <v>2996</v>
      </c>
      <c r="F535" s="292">
        <v>44760</v>
      </c>
      <c r="G535" s="292"/>
      <c r="H535" s="292"/>
      <c r="I535" s="292"/>
      <c r="J535" s="292" t="s">
        <v>4</v>
      </c>
      <c r="K535" s="291" t="s">
        <v>1500</v>
      </c>
      <c r="L535" t="s">
        <v>1309</v>
      </c>
      <c r="M535" s="20">
        <v>44765</v>
      </c>
      <c r="N535" t="s">
        <v>3594</v>
      </c>
      <c r="O535" s="223">
        <v>44765</v>
      </c>
      <c r="P535" s="222"/>
      <c r="R535" t="s">
        <v>26</v>
      </c>
      <c r="AA535" s="236"/>
      <c r="AD535" s="233">
        <v>44765</v>
      </c>
    </row>
    <row r="536" spans="1:30">
      <c r="A536" s="291">
        <f>COUNTA($E$3:E536)</f>
        <v>534</v>
      </c>
      <c r="B536" s="291" t="s">
        <v>3571</v>
      </c>
      <c r="C536" s="291" t="s">
        <v>45</v>
      </c>
      <c r="D536" s="291" t="s">
        <v>34</v>
      </c>
      <c r="E536" s="291" t="s">
        <v>3008</v>
      </c>
      <c r="F536" s="292">
        <v>44760</v>
      </c>
      <c r="G536" s="292"/>
      <c r="H536" s="292"/>
      <c r="I536" s="292"/>
      <c r="J536" s="292" t="s">
        <v>4</v>
      </c>
      <c r="K536" s="291" t="s">
        <v>1500</v>
      </c>
      <c r="L536" t="s">
        <v>1309</v>
      </c>
      <c r="M536" s="20">
        <v>44765</v>
      </c>
      <c r="N536" t="s">
        <v>3594</v>
      </c>
      <c r="O536" s="223">
        <v>44765</v>
      </c>
      <c r="P536" s="222"/>
      <c r="R536" t="s">
        <v>26</v>
      </c>
      <c r="AA536" s="236"/>
      <c r="AD536" s="233">
        <v>44765</v>
      </c>
    </row>
    <row r="537" spans="1:30">
      <c r="A537" s="291">
        <f>COUNTA($E$3:E537)</f>
        <v>535</v>
      </c>
      <c r="B537" s="291" t="s">
        <v>3052</v>
      </c>
      <c r="C537" s="291" t="s">
        <v>25</v>
      </c>
      <c r="D537" s="291" t="s">
        <v>34</v>
      </c>
      <c r="E537" s="291" t="s">
        <v>2049</v>
      </c>
      <c r="F537" s="292">
        <v>44692</v>
      </c>
      <c r="G537" s="292">
        <v>44701</v>
      </c>
      <c r="H537" s="292"/>
      <c r="I537" s="292">
        <v>44701</v>
      </c>
      <c r="J537" s="292" t="s">
        <v>4</v>
      </c>
      <c r="K537" s="291" t="s">
        <v>1738</v>
      </c>
      <c r="L537" t="s">
        <v>1311</v>
      </c>
      <c r="M537" s="20">
        <v>44765</v>
      </c>
      <c r="N537" t="s">
        <v>3590</v>
      </c>
      <c r="O537" s="223">
        <v>44742</v>
      </c>
      <c r="P537" s="222"/>
      <c r="R537" t="s">
        <v>138</v>
      </c>
      <c r="AA537" s="236"/>
      <c r="AD537" s="233">
        <v>44742</v>
      </c>
    </row>
    <row r="538" spans="1:30">
      <c r="A538" s="291">
        <f>COUNTA($E$3:E538)</f>
        <v>536</v>
      </c>
      <c r="B538" s="291" t="s">
        <v>3522</v>
      </c>
      <c r="C538" s="291" t="s">
        <v>41</v>
      </c>
      <c r="D538" s="291" t="s">
        <v>38</v>
      </c>
      <c r="E538" s="291" t="s">
        <v>1860</v>
      </c>
      <c r="F538" s="292">
        <v>44749.543322858801</v>
      </c>
      <c r="G538" s="292"/>
      <c r="H538" s="292"/>
      <c r="I538" s="292"/>
      <c r="J538" s="292"/>
      <c r="K538" s="291" t="s">
        <v>1227</v>
      </c>
      <c r="L538" t="s">
        <v>1289</v>
      </c>
      <c r="M538" s="20">
        <v>44757</v>
      </c>
      <c r="N538" t="s">
        <v>3562</v>
      </c>
      <c r="O538" s="223">
        <v>44760</v>
      </c>
      <c r="P538" s="222"/>
      <c r="R538" t="s">
        <v>138</v>
      </c>
      <c r="AA538" s="236"/>
      <c r="AD538" s="233">
        <v>44760</v>
      </c>
    </row>
    <row r="539" spans="1:30">
      <c r="A539" s="291">
        <f>COUNTA($E$3:E539)</f>
        <v>537</v>
      </c>
      <c r="B539" s="291" t="s">
        <v>3046</v>
      </c>
      <c r="C539" s="291" t="s">
        <v>3047</v>
      </c>
      <c r="D539" s="291" t="s">
        <v>1092</v>
      </c>
      <c r="E539" s="291" t="s">
        <v>3048</v>
      </c>
      <c r="F539" s="292">
        <v>44691</v>
      </c>
      <c r="G539" s="292"/>
      <c r="H539" s="292"/>
      <c r="I539" s="292"/>
      <c r="J539" s="292" t="s">
        <v>3</v>
      </c>
      <c r="K539" s="291" t="s">
        <v>21</v>
      </c>
      <c r="L539" t="s">
        <v>28</v>
      </c>
      <c r="M539" s="20">
        <v>44757</v>
      </c>
      <c r="N539" t="s">
        <v>3082</v>
      </c>
      <c r="O539" s="223">
        <v>44764</v>
      </c>
      <c r="P539" s="222"/>
      <c r="R539" t="s">
        <v>26</v>
      </c>
      <c r="AA539" s="236"/>
      <c r="AD539" s="233">
        <v>44764</v>
      </c>
    </row>
    <row r="540" spans="1:30">
      <c r="A540" s="291">
        <f>COUNTA($E$3:E540)</f>
        <v>538</v>
      </c>
      <c r="B540" s="291" t="s">
        <v>3536</v>
      </c>
      <c r="C540" s="291" t="s">
        <v>41</v>
      </c>
      <c r="D540" s="291" t="s">
        <v>34</v>
      </c>
      <c r="E540" s="291" t="s">
        <v>3396</v>
      </c>
      <c r="F540" s="292">
        <v>44754</v>
      </c>
      <c r="G540" s="292"/>
      <c r="H540" s="292"/>
      <c r="I540" s="292"/>
      <c r="J540" s="292" t="s">
        <v>3</v>
      </c>
      <c r="K540" s="291" t="s">
        <v>2260</v>
      </c>
      <c r="L540" t="s">
        <v>24</v>
      </c>
      <c r="M540" s="20">
        <v>44757</v>
      </c>
      <c r="N540" t="s">
        <v>3563</v>
      </c>
      <c r="O540" s="223">
        <v>44760</v>
      </c>
      <c r="P540" s="222"/>
      <c r="R540" t="s">
        <v>138</v>
      </c>
      <c r="AA540" s="236"/>
      <c r="AD540" s="233">
        <v>44760</v>
      </c>
    </row>
    <row r="541" spans="1:30">
      <c r="A541" s="291">
        <f>COUNTA($E$3:E541)</f>
        <v>539</v>
      </c>
      <c r="B541" s="291" t="s">
        <v>3537</v>
      </c>
      <c r="C541" s="291" t="s">
        <v>41</v>
      </c>
      <c r="D541" s="291" t="s">
        <v>34</v>
      </c>
      <c r="E541" s="291" t="s">
        <v>3397</v>
      </c>
      <c r="F541" s="292">
        <v>44754</v>
      </c>
      <c r="G541" s="292"/>
      <c r="H541" s="292"/>
      <c r="I541" s="292"/>
      <c r="J541" s="292" t="s">
        <v>3</v>
      </c>
      <c r="K541" s="291" t="s">
        <v>2260</v>
      </c>
      <c r="L541" t="s">
        <v>24</v>
      </c>
      <c r="M541" s="20">
        <v>44757</v>
      </c>
      <c r="N541" t="s">
        <v>3563</v>
      </c>
      <c r="O541" s="223">
        <v>45021</v>
      </c>
      <c r="P541" s="222" t="s">
        <v>5053</v>
      </c>
      <c r="R541" t="s">
        <v>138</v>
      </c>
      <c r="AA541" s="236"/>
      <c r="AD541" s="233">
        <v>45021</v>
      </c>
    </row>
    <row r="542" spans="1:30">
      <c r="A542" s="291">
        <f>COUNTA($E$3:E542)</f>
        <v>540</v>
      </c>
      <c r="B542" s="291" t="s">
        <v>3456</v>
      </c>
      <c r="C542" s="291" t="s">
        <v>45</v>
      </c>
      <c r="D542" s="291" t="s">
        <v>62</v>
      </c>
      <c r="E542" s="291" t="s">
        <v>1185</v>
      </c>
      <c r="F542" s="292">
        <v>44741</v>
      </c>
      <c r="G542" s="292"/>
      <c r="H542" s="292"/>
      <c r="I542" s="292"/>
      <c r="J542" s="292" t="s">
        <v>3</v>
      </c>
      <c r="K542" s="291" t="s">
        <v>1500</v>
      </c>
      <c r="L542" t="s">
        <v>1311</v>
      </c>
      <c r="M542" s="20">
        <v>44757</v>
      </c>
      <c r="N542" t="s">
        <v>3569</v>
      </c>
      <c r="O542" s="223">
        <v>44757</v>
      </c>
      <c r="R542" t="s">
        <v>138</v>
      </c>
      <c r="AA542" s="236"/>
      <c r="AD542" s="233">
        <v>44757</v>
      </c>
    </row>
    <row r="543" spans="1:30">
      <c r="A543" s="291">
        <f>COUNTA($E$3:E543)</f>
        <v>541</v>
      </c>
      <c r="B543" s="291" t="s">
        <v>3538</v>
      </c>
      <c r="C543" s="291" t="s">
        <v>41</v>
      </c>
      <c r="D543" s="291" t="s">
        <v>38</v>
      </c>
      <c r="E543" s="291" t="s">
        <v>3405</v>
      </c>
      <c r="F543" s="292">
        <v>44753</v>
      </c>
      <c r="G543" s="292"/>
      <c r="H543" s="292"/>
      <c r="I543" s="292"/>
      <c r="J543" s="292" t="s">
        <v>3</v>
      </c>
      <c r="K543" s="291" t="s">
        <v>3550</v>
      </c>
      <c r="L543" t="s">
        <v>110</v>
      </c>
      <c r="M543" s="20">
        <v>44757</v>
      </c>
      <c r="O543" s="223"/>
      <c r="P543" t="s">
        <v>5053</v>
      </c>
      <c r="R543" t="s">
        <v>138</v>
      </c>
      <c r="AA543" s="236"/>
      <c r="AD543" s="233"/>
    </row>
    <row r="544" spans="1:30">
      <c r="A544" s="291">
        <f>COUNTA($E$3:E544)</f>
        <v>542</v>
      </c>
      <c r="B544" s="291" t="s">
        <v>3546</v>
      </c>
      <c r="C544" s="291" t="s">
        <v>41</v>
      </c>
      <c r="D544" s="291" t="s">
        <v>34</v>
      </c>
      <c r="E544" s="291" t="s">
        <v>1121</v>
      </c>
      <c r="F544" s="292">
        <v>44755</v>
      </c>
      <c r="G544" s="292"/>
      <c r="H544" s="292"/>
      <c r="I544" s="292"/>
      <c r="J544" s="292" t="s">
        <v>3</v>
      </c>
      <c r="K544" s="291" t="s">
        <v>1717</v>
      </c>
      <c r="L544" t="s">
        <v>28</v>
      </c>
      <c r="M544" s="20">
        <v>44757</v>
      </c>
      <c r="O544" s="223"/>
      <c r="P544" t="s">
        <v>5053</v>
      </c>
      <c r="R544" t="s">
        <v>138</v>
      </c>
      <c r="AA544" s="236"/>
      <c r="AD544" s="233"/>
    </row>
    <row r="545" spans="1:30">
      <c r="A545" s="291">
        <f>COUNTA($E$3:E545)</f>
        <v>543</v>
      </c>
      <c r="B545" s="291" t="s">
        <v>2773</v>
      </c>
      <c r="C545" s="291" t="s">
        <v>41</v>
      </c>
      <c r="D545" s="291" t="s">
        <v>38</v>
      </c>
      <c r="E545" s="291" t="s">
        <v>1661</v>
      </c>
      <c r="F545" s="292">
        <v>44651</v>
      </c>
      <c r="G545" s="292">
        <v>44658</v>
      </c>
      <c r="H545" s="292"/>
      <c r="I545" s="292">
        <v>44656</v>
      </c>
      <c r="J545" s="292" t="s">
        <v>3</v>
      </c>
      <c r="K545" s="291" t="s">
        <v>1500</v>
      </c>
      <c r="L545" t="s">
        <v>1302</v>
      </c>
      <c r="M545" s="20">
        <v>44757</v>
      </c>
      <c r="N545" t="s">
        <v>3568</v>
      </c>
      <c r="O545" s="223">
        <v>45021</v>
      </c>
      <c r="R545" t="s">
        <v>138</v>
      </c>
      <c r="AA545" s="236"/>
      <c r="AD545" s="233">
        <v>45021</v>
      </c>
    </row>
    <row r="546" spans="1:30">
      <c r="A546" s="291">
        <f>COUNTA($E$3:E546)</f>
        <v>544</v>
      </c>
      <c r="B546" s="291" t="s">
        <v>3519</v>
      </c>
      <c r="C546" s="291" t="s">
        <v>41</v>
      </c>
      <c r="D546" s="291" t="s">
        <v>34</v>
      </c>
      <c r="E546" s="291" t="s">
        <v>3520</v>
      </c>
      <c r="F546" s="292">
        <v>44749.541262615698</v>
      </c>
      <c r="G546" s="292"/>
      <c r="H546" s="292"/>
      <c r="I546" s="292"/>
      <c r="J546" s="292" t="s">
        <v>4</v>
      </c>
      <c r="K546" s="291" t="s">
        <v>1735</v>
      </c>
      <c r="L546" t="s">
        <v>1310</v>
      </c>
      <c r="M546" s="20">
        <v>44757</v>
      </c>
      <c r="N546" t="s">
        <v>3562</v>
      </c>
      <c r="O546" s="223">
        <v>44760</v>
      </c>
      <c r="R546" t="s">
        <v>138</v>
      </c>
      <c r="AA546" s="236"/>
      <c r="AD546" s="233">
        <v>44760</v>
      </c>
    </row>
    <row r="547" spans="1:30">
      <c r="A547" s="291">
        <f>COUNTA($E$3:E547)</f>
        <v>545</v>
      </c>
      <c r="B547" s="291" t="s">
        <v>3507</v>
      </c>
      <c r="C547" s="291" t="s">
        <v>25</v>
      </c>
      <c r="D547" s="291" t="s">
        <v>34</v>
      </c>
      <c r="E547" s="291" t="s">
        <v>1267</v>
      </c>
      <c r="F547" s="292">
        <v>44748.802232523201</v>
      </c>
      <c r="G547" s="292"/>
      <c r="H547" s="292"/>
      <c r="I547" s="292"/>
      <c r="J547" s="292" t="s">
        <v>4</v>
      </c>
      <c r="K547" s="291" t="s">
        <v>1735</v>
      </c>
      <c r="L547" t="s">
        <v>1310</v>
      </c>
      <c r="M547" s="20">
        <v>44757</v>
      </c>
      <c r="N547" t="s">
        <v>3562</v>
      </c>
      <c r="O547" s="223">
        <v>44769</v>
      </c>
      <c r="R547" t="s">
        <v>138</v>
      </c>
      <c r="AA547" s="236"/>
      <c r="AD547" s="233">
        <v>44769</v>
      </c>
    </row>
    <row r="548" spans="1:30">
      <c r="A548" s="291">
        <f>COUNTA($E$3:E548)</f>
        <v>546</v>
      </c>
      <c r="B548" s="291" t="s">
        <v>3508</v>
      </c>
      <c r="C548" s="291" t="s">
        <v>25</v>
      </c>
      <c r="D548" s="291" t="s">
        <v>1181</v>
      </c>
      <c r="E548" s="291" t="s">
        <v>1182</v>
      </c>
      <c r="F548" s="292">
        <v>44748</v>
      </c>
      <c r="G548" s="292"/>
      <c r="H548" s="292"/>
      <c r="I548" s="292"/>
      <c r="J548" s="292" t="s">
        <v>4</v>
      </c>
      <c r="K548" s="291" t="s">
        <v>1681</v>
      </c>
      <c r="L548" t="s">
        <v>1311</v>
      </c>
      <c r="M548" s="20">
        <v>44757</v>
      </c>
      <c r="N548" t="s">
        <v>3562</v>
      </c>
      <c r="O548" s="223">
        <v>44754</v>
      </c>
      <c r="R548" t="s">
        <v>138</v>
      </c>
      <c r="AA548" s="236"/>
      <c r="AD548" s="233">
        <v>44754</v>
      </c>
    </row>
    <row r="549" spans="1:30">
      <c r="A549" s="291">
        <f>COUNTA($E$3:E549)</f>
        <v>547</v>
      </c>
      <c r="B549" s="291" t="s">
        <v>3510</v>
      </c>
      <c r="C549" s="291" t="s">
        <v>45</v>
      </c>
      <c r="D549" s="291" t="s">
        <v>38</v>
      </c>
      <c r="E549" s="291" t="s">
        <v>2487</v>
      </c>
      <c r="F549" s="292">
        <v>44749.503326539401</v>
      </c>
      <c r="G549" s="292"/>
      <c r="H549" s="292"/>
      <c r="I549" s="292"/>
      <c r="J549" s="292" t="s">
        <v>4</v>
      </c>
      <c r="K549" s="291" t="s">
        <v>1735</v>
      </c>
      <c r="L549" t="s">
        <v>1310</v>
      </c>
      <c r="M549" s="20">
        <v>44757</v>
      </c>
      <c r="N549" t="s">
        <v>3562</v>
      </c>
      <c r="O549" s="223">
        <v>44757</v>
      </c>
      <c r="R549" t="s">
        <v>138</v>
      </c>
      <c r="AA549" s="236"/>
      <c r="AD549" s="233">
        <v>44757</v>
      </c>
    </row>
    <row r="550" spans="1:30">
      <c r="A550" s="291">
        <f>COUNTA($E$3:E550)</f>
        <v>548</v>
      </c>
      <c r="B550" s="291" t="s">
        <v>3512</v>
      </c>
      <c r="C550" s="291" t="s">
        <v>41</v>
      </c>
      <c r="D550" s="291" t="s">
        <v>38</v>
      </c>
      <c r="E550" s="291" t="s">
        <v>3263</v>
      </c>
      <c r="F550" s="292">
        <v>44749.529483206003</v>
      </c>
      <c r="G550" s="292"/>
      <c r="H550" s="292"/>
      <c r="I550" s="292"/>
      <c r="J550" s="292" t="s">
        <v>4</v>
      </c>
      <c r="K550" s="291" t="s">
        <v>1795</v>
      </c>
      <c r="L550" t="s">
        <v>1310</v>
      </c>
      <c r="M550" s="20">
        <v>44757</v>
      </c>
      <c r="N550" t="s">
        <v>3562</v>
      </c>
      <c r="O550" s="223">
        <v>44760</v>
      </c>
      <c r="R550" t="s">
        <v>138</v>
      </c>
      <c r="AA550" s="236"/>
      <c r="AD550" s="233">
        <v>44760</v>
      </c>
    </row>
    <row r="551" spans="1:30">
      <c r="A551" s="291">
        <f>COUNTA($E$3:E551)</f>
        <v>549</v>
      </c>
      <c r="B551" s="291" t="s">
        <v>3513</v>
      </c>
      <c r="C551" s="291" t="s">
        <v>41</v>
      </c>
      <c r="D551" s="291" t="s">
        <v>34</v>
      </c>
      <c r="E551" s="291" t="s">
        <v>3514</v>
      </c>
      <c r="F551" s="292">
        <v>44749.531642222202</v>
      </c>
      <c r="G551" s="292"/>
      <c r="H551" s="292"/>
      <c r="I551" s="292"/>
      <c r="J551" s="292" t="s">
        <v>4</v>
      </c>
      <c r="K551" s="291" t="s">
        <v>3559</v>
      </c>
      <c r="L551" t="s">
        <v>1310</v>
      </c>
      <c r="M551" s="20">
        <v>44757</v>
      </c>
      <c r="N551" t="s">
        <v>3562</v>
      </c>
      <c r="O551" s="223">
        <v>44760</v>
      </c>
      <c r="R551" t="s">
        <v>138</v>
      </c>
      <c r="AA551" s="236"/>
      <c r="AD551" s="233">
        <v>44760</v>
      </c>
    </row>
    <row r="552" spans="1:30">
      <c r="A552" s="291">
        <f>COUNTA($E$3:E552)</f>
        <v>550</v>
      </c>
      <c r="B552" s="291" t="s">
        <v>3535</v>
      </c>
      <c r="C552" s="291" t="s">
        <v>41</v>
      </c>
      <c r="D552" s="291" t="s">
        <v>1719</v>
      </c>
      <c r="E552" s="291" t="s">
        <v>1720</v>
      </c>
      <c r="F552" s="292">
        <v>44753</v>
      </c>
      <c r="G552" s="292"/>
      <c r="H552" s="292"/>
      <c r="I552" s="292"/>
      <c r="J552" s="292" t="s">
        <v>5</v>
      </c>
      <c r="K552" s="291" t="s">
        <v>1723</v>
      </c>
      <c r="L552" t="s">
        <v>1302</v>
      </c>
      <c r="M552" s="20">
        <v>44757</v>
      </c>
      <c r="N552" t="s">
        <v>3562</v>
      </c>
      <c r="O552" s="223">
        <v>44760</v>
      </c>
      <c r="R552" t="s">
        <v>138</v>
      </c>
      <c r="AA552" s="236"/>
      <c r="AD552" s="233">
        <v>44760</v>
      </c>
    </row>
    <row r="553" spans="1:30">
      <c r="A553" s="291">
        <f>COUNTA($E$3:E553)</f>
        <v>551</v>
      </c>
      <c r="B553" s="291" t="s">
        <v>3539</v>
      </c>
      <c r="C553" s="291" t="s">
        <v>41</v>
      </c>
      <c r="D553" s="291" t="s">
        <v>31</v>
      </c>
      <c r="E553" s="291" t="s">
        <v>1964</v>
      </c>
      <c r="F553" s="292">
        <v>44754</v>
      </c>
      <c r="G553" s="292"/>
      <c r="H553" s="292"/>
      <c r="I553" s="292"/>
      <c r="J553" s="292" t="s">
        <v>5</v>
      </c>
      <c r="K553" s="291" t="s">
        <v>1105</v>
      </c>
      <c r="L553" t="s">
        <v>1302</v>
      </c>
      <c r="M553" s="20">
        <v>44757</v>
      </c>
      <c r="N553" t="s">
        <v>3562</v>
      </c>
      <c r="O553" s="223">
        <v>44760</v>
      </c>
      <c r="R553" t="s">
        <v>138</v>
      </c>
      <c r="AA553" s="236"/>
      <c r="AD553" s="233">
        <v>44760</v>
      </c>
    </row>
    <row r="554" spans="1:30">
      <c r="A554" s="291">
        <f>COUNTA($E$3:E554)</f>
        <v>552</v>
      </c>
      <c r="B554" s="291" t="s">
        <v>3517</v>
      </c>
      <c r="C554" s="291" t="s">
        <v>41</v>
      </c>
      <c r="D554" s="291" t="s">
        <v>34</v>
      </c>
      <c r="E554" s="291" t="s">
        <v>3518</v>
      </c>
      <c r="F554" s="292">
        <v>44749.540311712997</v>
      </c>
      <c r="G554" s="292"/>
      <c r="H554" s="292"/>
      <c r="I554" s="292"/>
      <c r="J554" s="292" t="s">
        <v>5</v>
      </c>
      <c r="K554" s="291" t="s">
        <v>471</v>
      </c>
      <c r="L554" t="s">
        <v>1310</v>
      </c>
      <c r="M554" s="20">
        <v>44757</v>
      </c>
      <c r="N554" t="s">
        <v>3562</v>
      </c>
      <c r="O554" s="223">
        <v>44760</v>
      </c>
      <c r="R554" t="s">
        <v>138</v>
      </c>
      <c r="AA554" s="236"/>
      <c r="AD554" s="233">
        <v>44760</v>
      </c>
    </row>
    <row r="555" spans="1:30">
      <c r="A555" s="291">
        <f>COUNTA($E$3:E555)</f>
        <v>553</v>
      </c>
      <c r="B555" s="291" t="s">
        <v>3488</v>
      </c>
      <c r="C555" s="291" t="s">
        <v>41</v>
      </c>
      <c r="D555" s="291" t="s">
        <v>34</v>
      </c>
      <c r="E555" s="291" t="s">
        <v>1263</v>
      </c>
      <c r="F555" s="292">
        <v>44747</v>
      </c>
      <c r="G555" s="292"/>
      <c r="H555" s="292"/>
      <c r="I555" s="292"/>
      <c r="J555" s="292"/>
      <c r="K555" s="291" t="s">
        <v>3492</v>
      </c>
      <c r="L555" t="s">
        <v>1302</v>
      </c>
      <c r="M555" s="20">
        <v>44753</v>
      </c>
      <c r="O555" s="223"/>
      <c r="P555" t="s">
        <v>5053</v>
      </c>
      <c r="R555" t="s">
        <v>138</v>
      </c>
      <c r="AA555" s="236"/>
      <c r="AD555" s="233"/>
    </row>
    <row r="556" spans="1:30">
      <c r="A556" s="291">
        <f>COUNTA($E$3:E556)</f>
        <v>554</v>
      </c>
      <c r="B556" s="291" t="s">
        <v>3462</v>
      </c>
      <c r="C556" s="291" t="s">
        <v>41</v>
      </c>
      <c r="D556" s="291" t="s">
        <v>34</v>
      </c>
      <c r="E556" s="291" t="s">
        <v>1242</v>
      </c>
      <c r="F556" s="292">
        <v>44742</v>
      </c>
      <c r="G556" s="292"/>
      <c r="H556" s="292"/>
      <c r="I556" s="292"/>
      <c r="J556" s="292" t="s">
        <v>3</v>
      </c>
      <c r="K556" s="291" t="s">
        <v>2260</v>
      </c>
      <c r="L556" t="s">
        <v>28</v>
      </c>
      <c r="M556" s="20">
        <v>44753</v>
      </c>
      <c r="N556" t="s">
        <v>3525</v>
      </c>
      <c r="O556" s="223">
        <v>44760</v>
      </c>
      <c r="R556" t="s">
        <v>138</v>
      </c>
      <c r="AA556" s="236"/>
      <c r="AD556" s="233">
        <v>44760</v>
      </c>
    </row>
    <row r="557" spans="1:30">
      <c r="A557" s="291">
        <f>COUNTA($E$3:E557)</f>
        <v>555</v>
      </c>
      <c r="B557" s="291" t="s">
        <v>3156</v>
      </c>
      <c r="C557" s="291" t="s">
        <v>1131</v>
      </c>
      <c r="D557" s="291" t="s">
        <v>42</v>
      </c>
      <c r="E557" s="291" t="s">
        <v>3157</v>
      </c>
      <c r="F557" s="292">
        <v>44707</v>
      </c>
      <c r="G557" s="292">
        <v>44714</v>
      </c>
      <c r="H557" s="292">
        <v>44728</v>
      </c>
      <c r="I557" s="292">
        <v>44718</v>
      </c>
      <c r="J557" s="292" t="s">
        <v>3</v>
      </c>
      <c r="K557" s="291" t="s">
        <v>1694</v>
      </c>
      <c r="L557" t="s">
        <v>37</v>
      </c>
      <c r="M557" s="20">
        <v>44753</v>
      </c>
      <c r="N557" t="s">
        <v>3497</v>
      </c>
      <c r="O557" s="223">
        <v>44754</v>
      </c>
      <c r="R557" t="s">
        <v>138</v>
      </c>
      <c r="AA557" s="236"/>
      <c r="AD557" s="233">
        <v>44754</v>
      </c>
    </row>
    <row r="558" spans="1:30">
      <c r="A558" s="291">
        <f>COUNTA($E$3:E558)</f>
        <v>556</v>
      </c>
      <c r="B558" s="291" t="s">
        <v>3451</v>
      </c>
      <c r="C558" s="291" t="s">
        <v>41</v>
      </c>
      <c r="D558" s="291" t="s">
        <v>34</v>
      </c>
      <c r="E558" s="291" t="s">
        <v>1684</v>
      </c>
      <c r="F558" s="292">
        <v>44739</v>
      </c>
      <c r="G558" s="292"/>
      <c r="H558" s="292"/>
      <c r="I558" s="292"/>
      <c r="J558" s="292" t="s">
        <v>3</v>
      </c>
      <c r="K558" s="291" t="s">
        <v>1500</v>
      </c>
      <c r="L558" t="s">
        <v>3531</v>
      </c>
      <c r="M558" s="20">
        <v>44753</v>
      </c>
      <c r="N558" t="s">
        <v>3500</v>
      </c>
      <c r="O558" s="223">
        <v>44907</v>
      </c>
      <c r="R558" t="s">
        <v>138</v>
      </c>
      <c r="AA558" s="236"/>
      <c r="AD558" s="233">
        <v>44907</v>
      </c>
    </row>
    <row r="559" spans="1:30">
      <c r="A559" s="291">
        <f>COUNTA($E$3:E559)</f>
        <v>557</v>
      </c>
      <c r="B559" s="291" t="s">
        <v>3459</v>
      </c>
      <c r="C559" s="291" t="s">
        <v>1125</v>
      </c>
      <c r="D559" s="291" t="s">
        <v>68</v>
      </c>
      <c r="E559" s="291" t="s">
        <v>3119</v>
      </c>
      <c r="F559" s="292">
        <v>44742</v>
      </c>
      <c r="G559" s="292"/>
      <c r="H559" s="292"/>
      <c r="I559" s="292"/>
      <c r="J559" s="292" t="s">
        <v>3</v>
      </c>
      <c r="K559" s="291" t="s">
        <v>21</v>
      </c>
      <c r="L559" t="s">
        <v>28</v>
      </c>
      <c r="M559" s="20">
        <v>44753</v>
      </c>
      <c r="N559" t="s">
        <v>3525</v>
      </c>
      <c r="O559" s="223">
        <v>44769</v>
      </c>
      <c r="R559" t="s">
        <v>26</v>
      </c>
      <c r="AA559" s="236"/>
      <c r="AD559" s="233">
        <v>44769</v>
      </c>
    </row>
    <row r="560" spans="1:30">
      <c r="A560" s="291">
        <f>COUNTA($E$3:E560)</f>
        <v>558</v>
      </c>
      <c r="B560" s="291" t="s">
        <v>3460</v>
      </c>
      <c r="C560" s="291" t="s">
        <v>1125</v>
      </c>
      <c r="D560" s="291" t="s">
        <v>68</v>
      </c>
      <c r="E560" s="291" t="s">
        <v>1743</v>
      </c>
      <c r="F560" s="292">
        <v>44742</v>
      </c>
      <c r="G560" s="292"/>
      <c r="H560" s="292"/>
      <c r="I560" s="292"/>
      <c r="J560" s="292" t="s">
        <v>3</v>
      </c>
      <c r="K560" s="291" t="s">
        <v>1762</v>
      </c>
      <c r="L560" t="s">
        <v>24</v>
      </c>
      <c r="M560" s="20">
        <v>44753</v>
      </c>
      <c r="N560" t="s">
        <v>3524</v>
      </c>
      <c r="O560" s="223">
        <v>44769</v>
      </c>
      <c r="R560" t="s">
        <v>26</v>
      </c>
      <c r="AA560" s="236"/>
      <c r="AD560" s="233">
        <v>44769</v>
      </c>
    </row>
    <row r="561" spans="1:30">
      <c r="A561" s="291">
        <f>COUNTA($E$3:E561)</f>
        <v>559</v>
      </c>
      <c r="B561" s="291" t="s">
        <v>3461</v>
      </c>
      <c r="C561" s="291" t="s">
        <v>41</v>
      </c>
      <c r="D561" s="291" t="s">
        <v>34</v>
      </c>
      <c r="E561" s="291" t="s">
        <v>3391</v>
      </c>
      <c r="F561" s="292">
        <v>44742.557962962965</v>
      </c>
      <c r="G561" s="292"/>
      <c r="H561" s="292"/>
      <c r="I561" s="292"/>
      <c r="J561" s="292" t="s">
        <v>3</v>
      </c>
      <c r="K561" s="291" t="s">
        <v>1685</v>
      </c>
      <c r="L561" t="s">
        <v>24</v>
      </c>
      <c r="M561" s="20">
        <v>44753</v>
      </c>
      <c r="O561" s="223"/>
      <c r="P561" t="s">
        <v>5053</v>
      </c>
      <c r="R561" t="s">
        <v>138</v>
      </c>
      <c r="AA561" s="236"/>
      <c r="AD561" s="233"/>
    </row>
    <row r="562" spans="1:30">
      <c r="A562" s="291">
        <f>COUNTA($E$3:E562)</f>
        <v>560</v>
      </c>
      <c r="B562" s="291" t="s">
        <v>3485</v>
      </c>
      <c r="C562" s="291" t="s">
        <v>41</v>
      </c>
      <c r="D562" s="291" t="s">
        <v>38</v>
      </c>
      <c r="E562" s="291" t="s">
        <v>1691</v>
      </c>
      <c r="F562" s="292">
        <v>44747</v>
      </c>
      <c r="G562" s="292"/>
      <c r="H562" s="292"/>
      <c r="I562" s="292"/>
      <c r="J562" s="292" t="s">
        <v>3</v>
      </c>
      <c r="K562" s="291" t="s">
        <v>1500</v>
      </c>
      <c r="L562" t="s">
        <v>1101</v>
      </c>
      <c r="M562" s="20">
        <v>44753</v>
      </c>
      <c r="O562" s="223"/>
      <c r="P562" t="s">
        <v>5053</v>
      </c>
      <c r="R562" t="s">
        <v>138</v>
      </c>
      <c r="AA562" s="236"/>
      <c r="AD562" s="233"/>
    </row>
    <row r="563" spans="1:30">
      <c r="A563" s="291">
        <f>COUNTA($E$3:E563)</f>
        <v>561</v>
      </c>
      <c r="B563" s="291" t="s">
        <v>3529</v>
      </c>
      <c r="C563" s="291" t="s">
        <v>41</v>
      </c>
      <c r="D563" s="291" t="s">
        <v>38</v>
      </c>
      <c r="E563" s="291" t="s">
        <v>1980</v>
      </c>
      <c r="F563" s="292">
        <v>44750</v>
      </c>
      <c r="G563" s="292"/>
      <c r="H563" s="292"/>
      <c r="I563" s="292"/>
      <c r="J563" s="292" t="s">
        <v>4</v>
      </c>
      <c r="K563" s="291" t="s">
        <v>2096</v>
      </c>
      <c r="L563" t="s">
        <v>37</v>
      </c>
      <c r="M563" s="20">
        <v>44753</v>
      </c>
      <c r="O563" s="223">
        <v>45051</v>
      </c>
      <c r="P563" t="s">
        <v>5053</v>
      </c>
      <c r="R563" t="s">
        <v>138</v>
      </c>
      <c r="AA563" s="236"/>
      <c r="AD563" s="233">
        <v>45051</v>
      </c>
    </row>
    <row r="564" spans="1:30">
      <c r="A564" s="291">
        <f>COUNTA($E$3:E564)</f>
        <v>562</v>
      </c>
      <c r="B564" s="291" t="s">
        <v>3040</v>
      </c>
      <c r="C564" s="291" t="s">
        <v>45</v>
      </c>
      <c r="D564" s="291" t="s">
        <v>36</v>
      </c>
      <c r="E564" s="291" t="s">
        <v>1171</v>
      </c>
      <c r="F564" s="292">
        <v>44690</v>
      </c>
      <c r="G564" s="292">
        <v>44700</v>
      </c>
      <c r="H564" s="292"/>
      <c r="I564" s="292"/>
      <c r="J564" s="292" t="s">
        <v>4</v>
      </c>
      <c r="K564" s="291" t="s">
        <v>3041</v>
      </c>
      <c r="M564" s="20">
        <v>44753</v>
      </c>
      <c r="N564" t="s">
        <v>3533</v>
      </c>
      <c r="O564" s="223">
        <v>44770</v>
      </c>
      <c r="R564" t="s">
        <v>26</v>
      </c>
      <c r="AA564" s="236"/>
      <c r="AD564" s="233">
        <v>44770</v>
      </c>
    </row>
    <row r="565" spans="1:30">
      <c r="A565" s="291">
        <f>COUNTA($E$3:E565)</f>
        <v>563</v>
      </c>
      <c r="B565" s="291" t="s">
        <v>4268</v>
      </c>
      <c r="C565" s="291" t="s">
        <v>25</v>
      </c>
      <c r="D565" s="291" t="s">
        <v>34</v>
      </c>
      <c r="E565" s="291" t="s">
        <v>2812</v>
      </c>
      <c r="F565" s="292">
        <v>44746</v>
      </c>
      <c r="G565" s="292"/>
      <c r="H565" s="292"/>
      <c r="I565" s="292"/>
      <c r="J565" s="292" t="s">
        <v>4</v>
      </c>
      <c r="K565" s="291" t="s">
        <v>1227</v>
      </c>
      <c r="L565" t="s">
        <v>108</v>
      </c>
      <c r="M565" s="20">
        <v>44753</v>
      </c>
      <c r="N565" t="s">
        <v>4269</v>
      </c>
      <c r="O565" s="223">
        <v>44756</v>
      </c>
      <c r="R565" t="s">
        <v>138</v>
      </c>
      <c r="AA565" s="236"/>
      <c r="AD565" s="233">
        <v>44756</v>
      </c>
    </row>
    <row r="566" spans="1:30">
      <c r="A566" s="291">
        <f>COUNTA($E$3:E566)</f>
        <v>564</v>
      </c>
      <c r="B566" s="291" t="s">
        <v>3487</v>
      </c>
      <c r="C566" s="291" t="s">
        <v>3493</v>
      </c>
      <c r="D566" s="291" t="s">
        <v>34</v>
      </c>
      <c r="E566" s="291" t="s">
        <v>3494</v>
      </c>
      <c r="F566" s="292">
        <v>44747</v>
      </c>
      <c r="G566" s="292"/>
      <c r="H566" s="292"/>
      <c r="I566" s="292"/>
      <c r="J566" s="292" t="s">
        <v>4</v>
      </c>
      <c r="K566" s="291" t="s">
        <v>1658</v>
      </c>
      <c r="M566" s="20">
        <v>44753</v>
      </c>
      <c r="N566" t="s">
        <v>3499</v>
      </c>
      <c r="O566" s="223">
        <v>44753</v>
      </c>
      <c r="R566" t="s">
        <v>26</v>
      </c>
      <c r="AA566" s="236"/>
      <c r="AD566" s="233">
        <v>44753</v>
      </c>
    </row>
    <row r="567" spans="1:30">
      <c r="A567" s="291">
        <f>COUNTA($E$3:E567)</f>
        <v>565</v>
      </c>
      <c r="B567" s="291" t="s">
        <v>3502</v>
      </c>
      <c r="C567" s="291" t="s">
        <v>308</v>
      </c>
      <c r="D567" s="291" t="s">
        <v>3131</v>
      </c>
      <c r="E567" s="291" t="s">
        <v>3503</v>
      </c>
      <c r="F567" s="292">
        <v>44748</v>
      </c>
      <c r="G567" s="292"/>
      <c r="H567" s="292"/>
      <c r="I567" s="292"/>
      <c r="J567" s="292" t="s">
        <v>4</v>
      </c>
      <c r="K567" s="291" t="s">
        <v>3504</v>
      </c>
      <c r="M567" s="20">
        <v>44753</v>
      </c>
      <c r="N567" t="s">
        <v>3527</v>
      </c>
      <c r="O567" s="223">
        <v>44753</v>
      </c>
      <c r="R567" t="s">
        <v>26</v>
      </c>
      <c r="AA567" s="236"/>
      <c r="AD567" s="233">
        <v>44753</v>
      </c>
    </row>
    <row r="568" spans="1:30">
      <c r="A568" s="291">
        <f>COUNTA($E$3:E568)</f>
        <v>566</v>
      </c>
      <c r="B568" s="291" t="s">
        <v>3448</v>
      </c>
      <c r="C568" s="291" t="s">
        <v>45</v>
      </c>
      <c r="D568" s="291" t="s">
        <v>1092</v>
      </c>
      <c r="E568" s="291" t="s">
        <v>3449</v>
      </c>
      <c r="F568" s="292">
        <v>44739</v>
      </c>
      <c r="G568" s="292"/>
      <c r="H568" s="292"/>
      <c r="I568" s="292"/>
      <c r="J568" s="292" t="s">
        <v>4</v>
      </c>
      <c r="K568" s="291" t="s">
        <v>21</v>
      </c>
      <c r="L568" t="s">
        <v>37</v>
      </c>
      <c r="M568" s="20">
        <v>44753</v>
      </c>
      <c r="O568" s="223">
        <v>44753</v>
      </c>
      <c r="R568" t="s">
        <v>26</v>
      </c>
      <c r="AA568" s="236"/>
      <c r="AD568" s="233">
        <v>44753</v>
      </c>
    </row>
    <row r="569" spans="1:30">
      <c r="A569" s="291">
        <f>COUNTA($E$3:E569)</f>
        <v>567</v>
      </c>
      <c r="B569" s="291" t="s">
        <v>3333</v>
      </c>
      <c r="C569" s="291" t="s">
        <v>45</v>
      </c>
      <c r="D569" s="291" t="s">
        <v>1136</v>
      </c>
      <c r="E569" s="291" t="s">
        <v>3334</v>
      </c>
      <c r="F569" s="292">
        <v>44733</v>
      </c>
      <c r="G569" s="292"/>
      <c r="H569" s="292"/>
      <c r="I569" s="292"/>
      <c r="J569" s="292" t="s">
        <v>4</v>
      </c>
      <c r="K569" s="291" t="s">
        <v>1667</v>
      </c>
      <c r="L569" t="s">
        <v>24</v>
      </c>
      <c r="M569" s="20">
        <v>44753</v>
      </c>
      <c r="N569" t="s">
        <v>3528</v>
      </c>
      <c r="O569" s="223">
        <v>44753</v>
      </c>
      <c r="R569" t="s">
        <v>26</v>
      </c>
      <c r="AA569" s="236"/>
      <c r="AD569" s="233">
        <v>44753</v>
      </c>
    </row>
    <row r="570" spans="1:30">
      <c r="A570" s="291">
        <f>COUNTA($E$3:E570)</f>
        <v>568</v>
      </c>
      <c r="B570" s="291" t="s">
        <v>3509</v>
      </c>
      <c r="C570" s="291" t="s">
        <v>25</v>
      </c>
      <c r="D570" s="291" t="s">
        <v>29</v>
      </c>
      <c r="E570" s="291" t="s">
        <v>310</v>
      </c>
      <c r="F570" s="292">
        <v>44748</v>
      </c>
      <c r="G570" s="292"/>
      <c r="H570" s="292"/>
      <c r="I570" s="292"/>
      <c r="J570" s="292" t="s">
        <v>4</v>
      </c>
      <c r="K570" s="291" t="s">
        <v>1664</v>
      </c>
      <c r="L570" t="s">
        <v>1101</v>
      </c>
      <c r="M570" s="20">
        <v>44753</v>
      </c>
      <c r="N570" t="s">
        <v>3530</v>
      </c>
      <c r="O570" s="213">
        <v>44754</v>
      </c>
      <c r="R570" t="s">
        <v>138</v>
      </c>
      <c r="AA570" s="236"/>
      <c r="AD570" s="233">
        <v>44754</v>
      </c>
    </row>
    <row r="571" spans="1:30">
      <c r="A571" s="291">
        <f>COUNTA($E$3:E571)</f>
        <v>569</v>
      </c>
      <c r="B571" s="291" t="s">
        <v>3472</v>
      </c>
      <c r="C571" s="291" t="s">
        <v>3473</v>
      </c>
      <c r="D571" s="291" t="s">
        <v>40</v>
      </c>
      <c r="E571" s="291" t="s">
        <v>3474</v>
      </c>
      <c r="F571" s="292">
        <v>44743</v>
      </c>
      <c r="G571" s="292"/>
      <c r="H571" s="292"/>
      <c r="I571" s="292"/>
      <c r="J571" s="292" t="s">
        <v>4</v>
      </c>
      <c r="K571" s="291" t="s">
        <v>1775</v>
      </c>
      <c r="L571" t="s">
        <v>37</v>
      </c>
      <c r="M571" s="20">
        <v>44753</v>
      </c>
      <c r="N571" t="s">
        <v>3526</v>
      </c>
      <c r="O571" s="213">
        <v>44768</v>
      </c>
      <c r="P571" s="222"/>
      <c r="R571" t="s">
        <v>138</v>
      </c>
      <c r="AA571" s="236"/>
      <c r="AD571" s="233">
        <v>44768</v>
      </c>
    </row>
    <row r="572" spans="1:30">
      <c r="A572" s="291">
        <f>COUNTA($E$3:E572)</f>
        <v>570</v>
      </c>
      <c r="B572" s="291" t="s">
        <v>3453</v>
      </c>
      <c r="C572" s="291" t="s">
        <v>41</v>
      </c>
      <c r="D572" s="291" t="s">
        <v>34</v>
      </c>
      <c r="E572" s="291" t="s">
        <v>3402</v>
      </c>
      <c r="F572" s="292">
        <v>44741</v>
      </c>
      <c r="G572" s="292"/>
      <c r="H572" s="292"/>
      <c r="I572" s="292"/>
      <c r="J572" s="292" t="s">
        <v>3</v>
      </c>
      <c r="K572" s="291" t="s">
        <v>3454</v>
      </c>
      <c r="L572" t="s">
        <v>297</v>
      </c>
      <c r="M572" s="20">
        <v>44745</v>
      </c>
      <c r="N572" t="s">
        <v>3479</v>
      </c>
      <c r="O572" s="213">
        <v>44754</v>
      </c>
      <c r="P572" s="222"/>
      <c r="R572" t="s">
        <v>138</v>
      </c>
      <c r="AA572" s="236"/>
      <c r="AD572" s="233">
        <v>44754</v>
      </c>
    </row>
    <row r="573" spans="1:30">
      <c r="A573" s="291">
        <f>COUNTA($E$3:E573)</f>
        <v>571</v>
      </c>
      <c r="B573" s="291" t="s">
        <v>3452</v>
      </c>
      <c r="C573" s="291" t="s">
        <v>41</v>
      </c>
      <c r="D573" s="291" t="s">
        <v>38</v>
      </c>
      <c r="E573" s="291" t="s">
        <v>307</v>
      </c>
      <c r="F573" s="292">
        <v>44740</v>
      </c>
      <c r="G573" s="292"/>
      <c r="H573" s="292"/>
      <c r="I573" s="292"/>
      <c r="J573" s="292" t="s">
        <v>3</v>
      </c>
      <c r="K573" s="291" t="s">
        <v>1682</v>
      </c>
      <c r="L573" t="s">
        <v>1302</v>
      </c>
      <c r="M573" s="20">
        <v>44745</v>
      </c>
      <c r="N573" t="s">
        <v>3478</v>
      </c>
      <c r="O573" s="213">
        <v>44768</v>
      </c>
      <c r="R573" t="s">
        <v>138</v>
      </c>
      <c r="AA573" s="236"/>
      <c r="AD573" s="233">
        <v>44768</v>
      </c>
    </row>
    <row r="574" spans="1:30">
      <c r="A574" s="291">
        <f>COUNTA($E$3:E574)</f>
        <v>572</v>
      </c>
      <c r="B574" s="291" t="s">
        <v>3450</v>
      </c>
      <c r="C574" s="291" t="s">
        <v>41</v>
      </c>
      <c r="D574" s="291" t="s">
        <v>38</v>
      </c>
      <c r="E574" s="291" t="s">
        <v>3392</v>
      </c>
      <c r="F574" s="292">
        <v>44739</v>
      </c>
      <c r="G574" s="292"/>
      <c r="H574" s="292"/>
      <c r="I574" s="292"/>
      <c r="J574" s="292" t="s">
        <v>3</v>
      </c>
      <c r="K574" s="291" t="s">
        <v>1738</v>
      </c>
      <c r="L574" t="s">
        <v>1310</v>
      </c>
      <c r="M574" s="20">
        <v>44745</v>
      </c>
      <c r="O574" s="213">
        <v>45051</v>
      </c>
      <c r="P574" s="222" t="s">
        <v>5053</v>
      </c>
      <c r="R574" t="s">
        <v>138</v>
      </c>
      <c r="AA574" s="236"/>
      <c r="AD574" s="233">
        <v>45051</v>
      </c>
    </row>
    <row r="575" spans="1:30">
      <c r="A575" s="291">
        <f>COUNTA($E$3:E575)</f>
        <v>573</v>
      </c>
      <c r="B575" s="291" t="s">
        <v>3447</v>
      </c>
      <c r="C575" s="291" t="s">
        <v>41</v>
      </c>
      <c r="D575" s="291" t="s">
        <v>38</v>
      </c>
      <c r="E575" s="291" t="s">
        <v>3395</v>
      </c>
      <c r="F575" s="292">
        <v>44739</v>
      </c>
      <c r="G575" s="292"/>
      <c r="H575" s="292"/>
      <c r="I575" s="292"/>
      <c r="J575" s="292" t="s">
        <v>3</v>
      </c>
      <c r="K575" s="291" t="s">
        <v>1682</v>
      </c>
      <c r="L575" t="s">
        <v>1309</v>
      </c>
      <c r="M575" s="20">
        <v>44745</v>
      </c>
      <c r="N575" t="s">
        <v>3477</v>
      </c>
      <c r="O575" s="213">
        <v>44876</v>
      </c>
      <c r="P575" s="222"/>
      <c r="R575" t="s">
        <v>138</v>
      </c>
      <c r="AA575" s="236"/>
      <c r="AD575" s="233">
        <v>44876</v>
      </c>
    </row>
    <row r="576" spans="1:30">
      <c r="A576" s="291">
        <f>COUNTA($E$3:E576)</f>
        <v>574</v>
      </c>
      <c r="B576" s="291" t="s">
        <v>3445</v>
      </c>
      <c r="C576" s="291" t="s">
        <v>41</v>
      </c>
      <c r="D576" s="291" t="s">
        <v>38</v>
      </c>
      <c r="E576" s="291" t="s">
        <v>3401</v>
      </c>
      <c r="F576" s="292">
        <v>44739</v>
      </c>
      <c r="G576" s="292"/>
      <c r="H576" s="292"/>
      <c r="I576" s="292"/>
      <c r="J576" s="292" t="s">
        <v>3</v>
      </c>
      <c r="K576" s="291" t="s">
        <v>3446</v>
      </c>
      <c r="L576" t="s">
        <v>1309</v>
      </c>
      <c r="M576" s="20">
        <v>44745</v>
      </c>
      <c r="N576" t="s">
        <v>3477</v>
      </c>
      <c r="O576" s="213">
        <v>44907</v>
      </c>
      <c r="P576" s="222"/>
      <c r="R576" t="s">
        <v>138</v>
      </c>
      <c r="AA576" s="236"/>
      <c r="AD576" s="233">
        <v>44907</v>
      </c>
    </row>
    <row r="577" spans="1:30">
      <c r="A577" s="291">
        <f>COUNTA($E$3:E577)</f>
        <v>575</v>
      </c>
      <c r="B577" s="291" t="s">
        <v>3313</v>
      </c>
      <c r="C577" s="291" t="s">
        <v>41</v>
      </c>
      <c r="D577" s="291" t="s">
        <v>34</v>
      </c>
      <c r="E577" s="291" t="s">
        <v>3314</v>
      </c>
      <c r="F577" s="292">
        <v>44735</v>
      </c>
      <c r="G577" s="292"/>
      <c r="H577" s="292"/>
      <c r="I577" s="292"/>
      <c r="J577" s="292" t="s">
        <v>3</v>
      </c>
      <c r="K577" s="291" t="s">
        <v>1891</v>
      </c>
      <c r="L577" t="s">
        <v>2058</v>
      </c>
      <c r="M577" s="20">
        <v>44745</v>
      </c>
      <c r="P577" s="222" t="s">
        <v>5053</v>
      </c>
      <c r="R577" t="s">
        <v>138</v>
      </c>
      <c r="AA577" s="236"/>
      <c r="AD577" s="233"/>
    </row>
    <row r="578" spans="1:30">
      <c r="A578" s="291">
        <f>COUNTA($E$3:E578)</f>
        <v>576</v>
      </c>
      <c r="B578" s="291" t="s">
        <v>3340</v>
      </c>
      <c r="C578" s="291" t="s">
        <v>25</v>
      </c>
      <c r="D578" s="291" t="s">
        <v>34</v>
      </c>
      <c r="E578" s="291" t="s">
        <v>3341</v>
      </c>
      <c r="F578" s="292">
        <v>44735.567478587996</v>
      </c>
      <c r="G578" s="292"/>
      <c r="H578" s="292"/>
      <c r="I578" s="292"/>
      <c r="J578" s="292" t="s">
        <v>4</v>
      </c>
      <c r="K578" s="291" t="s">
        <v>3457</v>
      </c>
      <c r="L578" t="s">
        <v>1311</v>
      </c>
      <c r="M578" s="20">
        <v>44745</v>
      </c>
      <c r="N578" t="s">
        <v>3464</v>
      </c>
      <c r="O578" s="213">
        <v>44742</v>
      </c>
      <c r="R578" t="s">
        <v>138</v>
      </c>
      <c r="AA578" s="236"/>
      <c r="AD578" s="233">
        <v>44742</v>
      </c>
    </row>
    <row r="579" spans="1:30">
      <c r="A579" s="291">
        <f>COUNTA($E$3:E579)</f>
        <v>577</v>
      </c>
      <c r="B579" s="291" t="s">
        <v>3339</v>
      </c>
      <c r="C579" s="291" t="s">
        <v>25</v>
      </c>
      <c r="D579" s="291" t="s">
        <v>34</v>
      </c>
      <c r="E579" s="291" t="s">
        <v>3056</v>
      </c>
      <c r="F579" s="292">
        <v>44733</v>
      </c>
      <c r="G579" s="292">
        <v>44745</v>
      </c>
      <c r="H579" s="292"/>
      <c r="I579" s="292">
        <v>44745</v>
      </c>
      <c r="J579" s="292" t="s">
        <v>4</v>
      </c>
      <c r="K579" s="291" t="s">
        <v>3158</v>
      </c>
      <c r="L579" t="s">
        <v>1101</v>
      </c>
      <c r="M579" s="20">
        <v>44745</v>
      </c>
      <c r="O579" s="213">
        <v>44747</v>
      </c>
      <c r="R579" t="s">
        <v>138</v>
      </c>
      <c r="AA579" s="236"/>
      <c r="AD579" s="233">
        <v>44747</v>
      </c>
    </row>
    <row r="580" spans="1:30">
      <c r="A580" s="291">
        <f>COUNTA($E$3:E580)</f>
        <v>578</v>
      </c>
      <c r="B580" s="291" t="s">
        <v>3455</v>
      </c>
      <c r="C580" s="291" t="s">
        <v>41</v>
      </c>
      <c r="D580" s="291" t="s">
        <v>49</v>
      </c>
      <c r="E580" s="291" t="s">
        <v>1678</v>
      </c>
      <c r="F580" s="292">
        <v>46926</v>
      </c>
      <c r="G580" s="292"/>
      <c r="H580" s="292"/>
      <c r="I580" s="292"/>
      <c r="J580" s="292" t="s">
        <v>5</v>
      </c>
      <c r="K580" s="291" t="s">
        <v>1850</v>
      </c>
      <c r="L580" t="s">
        <v>1101</v>
      </c>
      <c r="M580" s="20">
        <v>44745</v>
      </c>
      <c r="N580" t="s">
        <v>3480</v>
      </c>
      <c r="O580" s="213">
        <v>44742</v>
      </c>
      <c r="R580" t="s">
        <v>138</v>
      </c>
      <c r="AA580" s="236"/>
      <c r="AD580" s="233">
        <v>44742</v>
      </c>
    </row>
    <row r="581" spans="1:30">
      <c r="A581" s="291">
        <f>COUNTA($E$3:E581)</f>
        <v>579</v>
      </c>
      <c r="B581" s="291" t="s">
        <v>2781</v>
      </c>
      <c r="C581" s="291" t="s">
        <v>41</v>
      </c>
      <c r="D581" s="291" t="s">
        <v>49</v>
      </c>
      <c r="E581" s="291" t="s">
        <v>2782</v>
      </c>
      <c r="F581" s="292">
        <v>44655</v>
      </c>
      <c r="G581" s="292">
        <v>44658</v>
      </c>
      <c r="H581" s="292"/>
      <c r="I581" s="292">
        <v>44658</v>
      </c>
      <c r="J581" s="292" t="s">
        <v>5</v>
      </c>
      <c r="K581" s="291" t="s">
        <v>1654</v>
      </c>
      <c r="L581" t="s">
        <v>1302</v>
      </c>
      <c r="M581" s="20">
        <v>44745</v>
      </c>
      <c r="N581" t="s">
        <v>3463</v>
      </c>
      <c r="O581" s="213">
        <v>44747</v>
      </c>
      <c r="R581" t="s">
        <v>138</v>
      </c>
      <c r="AA581" s="236"/>
      <c r="AD581" s="233">
        <v>44747</v>
      </c>
    </row>
    <row r="582" spans="1:30">
      <c r="A582" s="291">
        <f>COUNTA($E$3:E582)</f>
        <v>580</v>
      </c>
      <c r="B582" s="291" t="s">
        <v>3344</v>
      </c>
      <c r="C582" s="291" t="s">
        <v>25</v>
      </c>
      <c r="D582" s="291" t="s">
        <v>34</v>
      </c>
      <c r="E582" s="291" t="s">
        <v>3059</v>
      </c>
      <c r="F582" s="292">
        <v>44735.558014467599</v>
      </c>
      <c r="G582" s="292"/>
      <c r="H582" s="292"/>
      <c r="I582" s="292"/>
      <c r="J582" s="292" t="s">
        <v>4</v>
      </c>
      <c r="K582" s="291"/>
      <c r="L582" t="s">
        <v>3373</v>
      </c>
      <c r="M582" s="20">
        <v>44739</v>
      </c>
      <c r="N582" t="s">
        <v>3367</v>
      </c>
      <c r="O582" s="213">
        <v>44742</v>
      </c>
      <c r="R582" t="s">
        <v>138</v>
      </c>
      <c r="AA582" s="236"/>
      <c r="AD582" s="233">
        <v>44742</v>
      </c>
    </row>
    <row r="583" spans="1:30">
      <c r="A583" s="291">
        <f>COUNTA($E$3:E583)</f>
        <v>581</v>
      </c>
      <c r="B583" s="291" t="s">
        <v>3348</v>
      </c>
      <c r="C583" s="291" t="s">
        <v>41</v>
      </c>
      <c r="D583" s="291" t="s">
        <v>38</v>
      </c>
      <c r="E583" s="291" t="s">
        <v>1798</v>
      </c>
      <c r="F583" s="292">
        <v>44734</v>
      </c>
      <c r="G583" s="292"/>
      <c r="H583" s="292"/>
      <c r="I583" s="292"/>
      <c r="J583" s="292" t="s">
        <v>3</v>
      </c>
      <c r="K583" s="291" t="s">
        <v>21</v>
      </c>
      <c r="L583" t="s">
        <v>297</v>
      </c>
      <c r="M583" s="20">
        <v>44739</v>
      </c>
      <c r="P583" t="s">
        <v>5053</v>
      </c>
      <c r="R583" t="s">
        <v>138</v>
      </c>
      <c r="AA583" s="236"/>
      <c r="AD583" s="233"/>
    </row>
    <row r="584" spans="1:30">
      <c r="A584" s="291">
        <f>COUNTA($E$3:E584)</f>
        <v>582</v>
      </c>
      <c r="B584" s="291" t="s">
        <v>3299</v>
      </c>
      <c r="C584" s="291" t="s">
        <v>45</v>
      </c>
      <c r="D584" s="291" t="s">
        <v>29</v>
      </c>
      <c r="E584" s="291" t="s">
        <v>1214</v>
      </c>
      <c r="F584" s="292">
        <v>44729</v>
      </c>
      <c r="G584" s="292"/>
      <c r="H584" s="292"/>
      <c r="I584" s="292"/>
      <c r="J584" s="292" t="s">
        <v>3</v>
      </c>
      <c r="K584" s="291" t="s">
        <v>1693</v>
      </c>
      <c r="L584" t="s">
        <v>1311</v>
      </c>
      <c r="M584" s="20">
        <v>44739</v>
      </c>
      <c r="N584" t="s">
        <v>3371</v>
      </c>
      <c r="O584" s="213">
        <v>44769</v>
      </c>
      <c r="R584" t="s">
        <v>138</v>
      </c>
      <c r="AA584" s="236"/>
      <c r="AD584" s="233">
        <v>44769</v>
      </c>
    </row>
    <row r="585" spans="1:30">
      <c r="A585" s="291">
        <f>COUNTA($E$3:E585)</f>
        <v>583</v>
      </c>
      <c r="B585" s="291" t="s">
        <v>3012</v>
      </c>
      <c r="C585" s="291" t="s">
        <v>295</v>
      </c>
      <c r="D585" s="291" t="s">
        <v>38</v>
      </c>
      <c r="E585" s="291" t="s">
        <v>3013</v>
      </c>
      <c r="F585" s="292">
        <v>44686</v>
      </c>
      <c r="G585" s="292">
        <v>44689</v>
      </c>
      <c r="H585" s="292"/>
      <c r="I585" s="292"/>
      <c r="J585" s="292" t="s">
        <v>3</v>
      </c>
      <c r="K585" s="291" t="s">
        <v>1694</v>
      </c>
      <c r="L585" t="s">
        <v>1310</v>
      </c>
      <c r="M585" s="20">
        <v>44739</v>
      </c>
      <c r="N585" t="s">
        <v>3364</v>
      </c>
      <c r="O585" s="213">
        <v>44739</v>
      </c>
      <c r="R585" t="s">
        <v>138</v>
      </c>
      <c r="AA585" s="236"/>
      <c r="AD585" s="233">
        <v>44739</v>
      </c>
    </row>
    <row r="586" spans="1:30">
      <c r="A586" s="291">
        <f>COUNTA($E$3:E586)</f>
        <v>584</v>
      </c>
      <c r="B586" s="291" t="s">
        <v>2715</v>
      </c>
      <c r="C586" s="291" t="s">
        <v>45</v>
      </c>
      <c r="D586" s="291" t="s">
        <v>20</v>
      </c>
      <c r="E586" s="291" t="s">
        <v>2716</v>
      </c>
      <c r="F586" s="292">
        <v>44642</v>
      </c>
      <c r="G586" s="292">
        <v>44645</v>
      </c>
      <c r="H586" s="292"/>
      <c r="I586" s="292"/>
      <c r="J586" s="292" t="s">
        <v>3</v>
      </c>
      <c r="K586" s="291" t="s">
        <v>2681</v>
      </c>
      <c r="L586" t="s">
        <v>1309</v>
      </c>
      <c r="M586" s="20">
        <v>44739</v>
      </c>
      <c r="N586" t="s">
        <v>3363</v>
      </c>
      <c r="O586" s="213">
        <v>44739</v>
      </c>
      <c r="R586" t="s">
        <v>26</v>
      </c>
      <c r="AA586" s="236"/>
      <c r="AD586" s="233">
        <v>44739</v>
      </c>
    </row>
    <row r="587" spans="1:30">
      <c r="A587" s="291">
        <f>COUNTA($E$3:E587)</f>
        <v>585</v>
      </c>
      <c r="B587" s="291" t="s">
        <v>2604</v>
      </c>
      <c r="C587" s="291" t="s">
        <v>1211</v>
      </c>
      <c r="D587" s="291" t="s">
        <v>40</v>
      </c>
      <c r="E587" s="291" t="s">
        <v>2605</v>
      </c>
      <c r="F587" s="292">
        <v>44622</v>
      </c>
      <c r="G587" s="292">
        <v>44627</v>
      </c>
      <c r="H587" s="292">
        <v>44725</v>
      </c>
      <c r="I587" s="292">
        <v>44628</v>
      </c>
      <c r="J587" s="292" t="s">
        <v>3</v>
      </c>
      <c r="K587" s="291" t="s">
        <v>1500</v>
      </c>
      <c r="L587" t="s">
        <v>297</v>
      </c>
      <c r="M587" s="20">
        <v>44739</v>
      </c>
      <c r="N587" t="s">
        <v>3362</v>
      </c>
      <c r="O587" s="213">
        <v>44739</v>
      </c>
      <c r="R587" t="s">
        <v>26</v>
      </c>
      <c r="AA587" s="236"/>
      <c r="AD587" s="233">
        <v>44739</v>
      </c>
    </row>
    <row r="588" spans="1:30">
      <c r="A588" s="291">
        <f>COUNTA($E$3:E588)</f>
        <v>586</v>
      </c>
      <c r="B588" s="291" t="s">
        <v>3346</v>
      </c>
      <c r="C588" s="291" t="s">
        <v>112</v>
      </c>
      <c r="D588" s="291" t="s">
        <v>1136</v>
      </c>
      <c r="E588" s="291" t="s">
        <v>3347</v>
      </c>
      <c r="F588" s="292">
        <v>44733</v>
      </c>
      <c r="G588" s="292"/>
      <c r="H588" s="292"/>
      <c r="I588" s="292"/>
      <c r="J588" s="292" t="s">
        <v>4</v>
      </c>
      <c r="K588" s="291" t="s">
        <v>1500</v>
      </c>
      <c r="L588" t="s">
        <v>1309</v>
      </c>
      <c r="M588" s="20">
        <v>44739</v>
      </c>
      <c r="N588" t="s">
        <v>3368</v>
      </c>
      <c r="O588" s="213">
        <v>44739</v>
      </c>
      <c r="R588" t="s">
        <v>26</v>
      </c>
      <c r="AA588" s="236"/>
      <c r="AD588" s="233">
        <v>44739</v>
      </c>
    </row>
    <row r="589" spans="1:30">
      <c r="A589" s="291">
        <f>COUNTA($E$3:E589)</f>
        <v>587</v>
      </c>
      <c r="B589" s="291" t="s">
        <v>3331</v>
      </c>
      <c r="C589" s="291" t="s">
        <v>45</v>
      </c>
      <c r="D589" s="291" t="s">
        <v>55</v>
      </c>
      <c r="E589" s="291" t="s">
        <v>3332</v>
      </c>
      <c r="F589" s="292">
        <v>44733</v>
      </c>
      <c r="G589" s="292"/>
      <c r="H589" s="292"/>
      <c r="I589" s="292"/>
      <c r="J589" s="292" t="s">
        <v>4</v>
      </c>
      <c r="K589" s="291" t="s">
        <v>1664</v>
      </c>
      <c r="L589" t="s">
        <v>1310</v>
      </c>
      <c r="M589" s="20">
        <v>44739</v>
      </c>
      <c r="N589" t="s">
        <v>3367</v>
      </c>
      <c r="O589" s="213">
        <v>44739</v>
      </c>
      <c r="R589" t="s">
        <v>138</v>
      </c>
      <c r="AA589" s="236"/>
      <c r="AD589" s="233">
        <v>44739</v>
      </c>
    </row>
    <row r="590" spans="1:30">
      <c r="A590" s="291">
        <f>COUNTA($E$3:E590)</f>
        <v>588</v>
      </c>
      <c r="B590" s="291" t="s">
        <v>3284</v>
      </c>
      <c r="C590" s="291" t="s">
        <v>25</v>
      </c>
      <c r="D590" s="291" t="s">
        <v>34</v>
      </c>
      <c r="E590" s="291" t="s">
        <v>3054</v>
      </c>
      <c r="F590" s="292">
        <v>44726.538195532397</v>
      </c>
      <c r="G590" s="292"/>
      <c r="H590" s="292"/>
      <c r="I590" s="292"/>
      <c r="J590" s="292" t="s">
        <v>4</v>
      </c>
      <c r="K590" s="291" t="s">
        <v>3158</v>
      </c>
      <c r="L590" t="s">
        <v>1310</v>
      </c>
      <c r="M590" s="20">
        <v>44739</v>
      </c>
      <c r="N590" t="s">
        <v>3367</v>
      </c>
      <c r="O590" s="213">
        <v>44712</v>
      </c>
      <c r="R590" t="s">
        <v>138</v>
      </c>
      <c r="AA590" s="236"/>
      <c r="AD590" s="233">
        <v>44712</v>
      </c>
    </row>
    <row r="591" spans="1:30">
      <c r="A591" s="291">
        <f>COUNTA($E$3:E591)</f>
        <v>589</v>
      </c>
      <c r="B591" s="291" t="s">
        <v>3180</v>
      </c>
      <c r="C591" s="291" t="s">
        <v>25</v>
      </c>
      <c r="D591" s="291" t="s">
        <v>34</v>
      </c>
      <c r="E591" s="291" t="s">
        <v>2595</v>
      </c>
      <c r="F591" s="292">
        <v>44714.523193900503</v>
      </c>
      <c r="G591" s="292"/>
      <c r="H591" s="292"/>
      <c r="I591" s="292"/>
      <c r="J591" s="292" t="s">
        <v>4</v>
      </c>
      <c r="K591" s="291" t="s">
        <v>1739</v>
      </c>
      <c r="L591" t="s">
        <v>1310</v>
      </c>
      <c r="M591" s="20">
        <v>44739</v>
      </c>
      <c r="N591" t="s">
        <v>3365</v>
      </c>
      <c r="O591" s="213">
        <v>44732</v>
      </c>
      <c r="R591" t="s">
        <v>138</v>
      </c>
      <c r="AA591" s="236"/>
      <c r="AD591" s="233">
        <v>44732</v>
      </c>
    </row>
    <row r="592" spans="1:30">
      <c r="A592" s="291">
        <f>COUNTA($E$3:E592)</f>
        <v>590</v>
      </c>
      <c r="B592" s="291" t="s">
        <v>2917</v>
      </c>
      <c r="C592" s="291" t="s">
        <v>69</v>
      </c>
      <c r="D592" s="291" t="s">
        <v>1115</v>
      </c>
      <c r="E592" s="291" t="s">
        <v>2446</v>
      </c>
      <c r="F592" s="292">
        <v>44672</v>
      </c>
      <c r="G592" s="292">
        <v>44673</v>
      </c>
      <c r="H592" s="292"/>
      <c r="I592" s="292">
        <v>44676</v>
      </c>
      <c r="J592" s="292" t="s">
        <v>4</v>
      </c>
      <c r="K592" s="291" t="s">
        <v>1227</v>
      </c>
      <c r="L592" t="s">
        <v>2058</v>
      </c>
      <c r="M592" s="20">
        <v>44739</v>
      </c>
      <c r="N592" t="s">
        <v>3372</v>
      </c>
      <c r="O592" s="213">
        <v>44739</v>
      </c>
      <c r="R592" t="s">
        <v>26</v>
      </c>
      <c r="AA592" s="236"/>
      <c r="AD592" s="233">
        <v>44739</v>
      </c>
    </row>
    <row r="593" spans="1:30">
      <c r="A593" s="291">
        <f>COUNTA($E$3:E593)</f>
        <v>591</v>
      </c>
      <c r="B593" s="291" t="s">
        <v>3291</v>
      </c>
      <c r="C593" s="291" t="s">
        <v>1294</v>
      </c>
      <c r="D593" s="291" t="s">
        <v>1115</v>
      </c>
      <c r="E593" s="291" t="s">
        <v>2796</v>
      </c>
      <c r="F593" s="292">
        <v>44728</v>
      </c>
      <c r="G593" s="292">
        <v>44729</v>
      </c>
      <c r="H593" s="292"/>
      <c r="I593" s="292">
        <v>44729</v>
      </c>
      <c r="J593" s="292" t="s">
        <v>3</v>
      </c>
      <c r="K593" s="291" t="s">
        <v>2228</v>
      </c>
      <c r="L593" t="s">
        <v>1114</v>
      </c>
      <c r="M593" s="20">
        <v>44729</v>
      </c>
      <c r="O593" s="213">
        <v>44840</v>
      </c>
      <c r="R593" t="s">
        <v>138</v>
      </c>
      <c r="AA593" s="236"/>
      <c r="AD593" s="233">
        <v>44840</v>
      </c>
    </row>
    <row r="594" spans="1:30">
      <c r="A594" s="291">
        <f>COUNTA($E$3:E594)</f>
        <v>592</v>
      </c>
      <c r="B594" s="291" t="s">
        <v>3248</v>
      </c>
      <c r="C594" s="291" t="s">
        <v>41</v>
      </c>
      <c r="D594" s="291" t="s">
        <v>38</v>
      </c>
      <c r="E594" s="291" t="s">
        <v>3249</v>
      </c>
      <c r="F594" s="292">
        <v>44719</v>
      </c>
      <c r="G594" s="292">
        <v>44728</v>
      </c>
      <c r="H594" s="292"/>
      <c r="I594" s="292">
        <v>44728</v>
      </c>
      <c r="J594" s="292" t="s">
        <v>3</v>
      </c>
      <c r="K594" s="291" t="s">
        <v>1677</v>
      </c>
      <c r="L594" t="s">
        <v>1311</v>
      </c>
      <c r="M594" s="20">
        <v>44729</v>
      </c>
      <c r="N594" t="s">
        <v>1774</v>
      </c>
      <c r="R594" t="s">
        <v>138</v>
      </c>
      <c r="AA594" s="236"/>
      <c r="AD594" s="233"/>
    </row>
    <row r="595" spans="1:30">
      <c r="A595" s="291">
        <f>COUNTA($E$3:E595)</f>
        <v>593</v>
      </c>
      <c r="B595" s="291" t="s">
        <v>3151</v>
      </c>
      <c r="C595" s="291" t="s">
        <v>45</v>
      </c>
      <c r="D595" s="291" t="s">
        <v>20</v>
      </c>
      <c r="E595" s="291" t="s">
        <v>1200</v>
      </c>
      <c r="F595" s="292">
        <v>44707</v>
      </c>
      <c r="G595" s="292">
        <v>44714</v>
      </c>
      <c r="H595" s="292"/>
      <c r="I595" s="292"/>
      <c r="J595" s="292" t="s">
        <v>3</v>
      </c>
      <c r="K595" s="291" t="s">
        <v>1105</v>
      </c>
      <c r="L595" t="s">
        <v>28</v>
      </c>
      <c r="M595" s="20">
        <v>44729</v>
      </c>
      <c r="N595" t="s">
        <v>3294</v>
      </c>
      <c r="O595" s="213">
        <v>44729</v>
      </c>
      <c r="R595" t="s">
        <v>26</v>
      </c>
      <c r="AA595" s="236"/>
      <c r="AD595" s="233">
        <v>44729</v>
      </c>
    </row>
    <row r="596" spans="1:30">
      <c r="A596" s="291">
        <f>COUNTA($E$3:E596)</f>
        <v>594</v>
      </c>
      <c r="B596" s="291" t="s">
        <v>3275</v>
      </c>
      <c r="C596" s="291" t="s">
        <v>41</v>
      </c>
      <c r="D596" s="291" t="s">
        <v>38</v>
      </c>
      <c r="E596" s="291" t="s">
        <v>3288</v>
      </c>
      <c r="F596" s="292">
        <v>44726</v>
      </c>
      <c r="G596" s="292"/>
      <c r="H596" s="292"/>
      <c r="I596" s="292"/>
      <c r="J596" s="292" t="s">
        <v>4</v>
      </c>
      <c r="K596" s="291" t="s">
        <v>1985</v>
      </c>
      <c r="L596" t="s">
        <v>1311</v>
      </c>
      <c r="M596" s="20">
        <v>44729</v>
      </c>
      <c r="N596" t="s">
        <v>3298</v>
      </c>
      <c r="O596" s="213">
        <v>44740</v>
      </c>
      <c r="R596" t="s">
        <v>138</v>
      </c>
      <c r="AA596" s="236"/>
      <c r="AD596" s="233">
        <v>44740</v>
      </c>
    </row>
    <row r="597" spans="1:30">
      <c r="A597" s="291">
        <f>COUNTA($E$3:E597)</f>
        <v>595</v>
      </c>
      <c r="B597" s="291" t="s">
        <v>3276</v>
      </c>
      <c r="C597" s="291" t="s">
        <v>41</v>
      </c>
      <c r="D597" s="291" t="s">
        <v>38</v>
      </c>
      <c r="E597" s="291" t="s">
        <v>2757</v>
      </c>
      <c r="F597" s="292">
        <v>44726</v>
      </c>
      <c r="G597" s="292"/>
      <c r="H597" s="292"/>
      <c r="I597" s="292"/>
      <c r="J597" s="292" t="s">
        <v>4</v>
      </c>
      <c r="K597" s="291" t="s">
        <v>1824</v>
      </c>
      <c r="L597" t="s">
        <v>1311</v>
      </c>
      <c r="M597" s="20">
        <v>44729</v>
      </c>
      <c r="N597" t="s">
        <v>3298</v>
      </c>
      <c r="O597" s="213">
        <v>44748</v>
      </c>
      <c r="R597" t="s">
        <v>138</v>
      </c>
      <c r="AA597" s="236"/>
      <c r="AD597" s="233">
        <v>44748</v>
      </c>
    </row>
    <row r="598" spans="1:30">
      <c r="A598" s="291">
        <f>COUNTA($E$3:E598)</f>
        <v>596</v>
      </c>
      <c r="B598" s="291" t="s">
        <v>3274</v>
      </c>
      <c r="C598" s="291" t="s">
        <v>41</v>
      </c>
      <c r="D598" s="291" t="s">
        <v>34</v>
      </c>
      <c r="E598" s="291" t="s">
        <v>3285</v>
      </c>
      <c r="F598" s="292">
        <v>44725</v>
      </c>
      <c r="G598" s="292"/>
      <c r="H598" s="292"/>
      <c r="I598" s="292"/>
      <c r="J598" s="292" t="s">
        <v>4</v>
      </c>
      <c r="K598" s="291" t="s">
        <v>3286</v>
      </c>
      <c r="L598" t="s">
        <v>1311</v>
      </c>
      <c r="M598" s="20">
        <v>44729</v>
      </c>
      <c r="N598" t="s">
        <v>3298</v>
      </c>
      <c r="O598" s="213">
        <v>44748</v>
      </c>
      <c r="R598" t="s">
        <v>138</v>
      </c>
      <c r="AA598" s="236"/>
      <c r="AD598" s="233">
        <v>44748</v>
      </c>
    </row>
    <row r="599" spans="1:30">
      <c r="A599" s="291">
        <f>COUNTA($E$3:E599)</f>
        <v>597</v>
      </c>
      <c r="B599" s="291" t="s">
        <v>3283</v>
      </c>
      <c r="C599" s="291" t="s">
        <v>25</v>
      </c>
      <c r="D599" s="291" t="s">
        <v>1154</v>
      </c>
      <c r="E599" s="291" t="s">
        <v>1219</v>
      </c>
      <c r="F599" s="292">
        <v>44725.669222083299</v>
      </c>
      <c r="G599" s="292"/>
      <c r="H599" s="292"/>
      <c r="I599" s="292"/>
      <c r="J599" s="292" t="s">
        <v>4</v>
      </c>
      <c r="K599" s="291" t="s">
        <v>3308</v>
      </c>
      <c r="M599" s="20">
        <v>44729</v>
      </c>
      <c r="N599" t="s">
        <v>3310</v>
      </c>
      <c r="O599" s="213">
        <v>44732</v>
      </c>
      <c r="R599" t="s">
        <v>138</v>
      </c>
      <c r="AA599" s="236"/>
      <c r="AD599" s="233">
        <v>44732</v>
      </c>
    </row>
    <row r="600" spans="1:30">
      <c r="A600" s="291">
        <f>COUNTA($E$3:E600)</f>
        <v>598</v>
      </c>
      <c r="B600" s="291" t="s">
        <v>3273</v>
      </c>
      <c r="C600" s="291" t="s">
        <v>25</v>
      </c>
      <c r="D600" s="291" t="s">
        <v>2565</v>
      </c>
      <c r="E600" s="291" t="s">
        <v>3282</v>
      </c>
      <c r="F600" s="292">
        <v>44725</v>
      </c>
      <c r="G600" s="292"/>
      <c r="H600" s="292"/>
      <c r="I600" s="292"/>
      <c r="J600" s="292" t="s">
        <v>4</v>
      </c>
      <c r="K600" s="291" t="s">
        <v>1227</v>
      </c>
      <c r="L600" t="s">
        <v>1289</v>
      </c>
      <c r="M600" s="20">
        <v>44729</v>
      </c>
      <c r="N600" t="s">
        <v>3297</v>
      </c>
      <c r="O600" s="213">
        <v>44727</v>
      </c>
      <c r="R600" t="s">
        <v>138</v>
      </c>
      <c r="AA600" s="236"/>
      <c r="AD600" s="233">
        <v>44727</v>
      </c>
    </row>
    <row r="601" spans="1:30">
      <c r="A601" s="291">
        <f>COUNTA($E$3:E601)</f>
        <v>599</v>
      </c>
      <c r="B601" s="291" t="s">
        <v>3245</v>
      </c>
      <c r="C601" s="291" t="s">
        <v>41</v>
      </c>
      <c r="D601" s="291" t="s">
        <v>38</v>
      </c>
      <c r="E601" s="291" t="s">
        <v>2469</v>
      </c>
      <c r="F601" s="292">
        <v>44719</v>
      </c>
      <c r="G601" s="292"/>
      <c r="H601" s="292"/>
      <c r="I601" s="292"/>
      <c r="J601" s="292" t="s">
        <v>4</v>
      </c>
      <c r="K601" s="291" t="s">
        <v>1681</v>
      </c>
      <c r="M601" s="20">
        <v>44729</v>
      </c>
      <c r="N601" t="s">
        <v>3296</v>
      </c>
      <c r="O601" s="213">
        <v>44726</v>
      </c>
      <c r="R601" t="s">
        <v>138</v>
      </c>
      <c r="AA601" s="236"/>
      <c r="AD601" s="233">
        <v>44726</v>
      </c>
    </row>
    <row r="602" spans="1:30">
      <c r="A602" s="291">
        <f>COUNTA($E$3:E602)</f>
        <v>600</v>
      </c>
      <c r="B602" s="291" t="s">
        <v>3243</v>
      </c>
      <c r="C602" s="291" t="s">
        <v>41</v>
      </c>
      <c r="D602" s="291" t="s">
        <v>38</v>
      </c>
      <c r="E602" s="291" t="s">
        <v>3244</v>
      </c>
      <c r="F602" s="292">
        <v>44719</v>
      </c>
      <c r="G602" s="292"/>
      <c r="H602" s="292"/>
      <c r="I602" s="292"/>
      <c r="J602" s="292" t="s">
        <v>4</v>
      </c>
      <c r="K602" s="291" t="s">
        <v>1681</v>
      </c>
      <c r="L602" t="s">
        <v>1289</v>
      </c>
      <c r="M602" s="20">
        <v>44729</v>
      </c>
      <c r="N602" t="s">
        <v>3295</v>
      </c>
      <c r="O602" s="213">
        <v>44726</v>
      </c>
      <c r="R602" t="s">
        <v>138</v>
      </c>
      <c r="AA602" s="236"/>
      <c r="AD602" s="233">
        <v>44726</v>
      </c>
    </row>
    <row r="603" spans="1:30">
      <c r="A603" s="291">
        <f>COUNTA($E$3:E603)</f>
        <v>601</v>
      </c>
      <c r="B603" s="291" t="s">
        <v>3187</v>
      </c>
      <c r="C603" s="291" t="s">
        <v>25</v>
      </c>
      <c r="D603" s="291" t="s">
        <v>3097</v>
      </c>
      <c r="E603" s="291" t="s">
        <v>3188</v>
      </c>
      <c r="F603" s="292">
        <v>44713.523259409703</v>
      </c>
      <c r="G603" s="292"/>
      <c r="H603" s="292"/>
      <c r="I603" s="292"/>
      <c r="J603" s="292" t="s">
        <v>4</v>
      </c>
      <c r="K603" s="291" t="s">
        <v>1667</v>
      </c>
      <c r="M603" s="20">
        <v>44729</v>
      </c>
      <c r="N603" t="s">
        <v>3311</v>
      </c>
      <c r="O603" s="213">
        <v>44727</v>
      </c>
      <c r="R603" t="s">
        <v>138</v>
      </c>
      <c r="AA603" s="236"/>
      <c r="AD603" s="233">
        <v>44727</v>
      </c>
    </row>
    <row r="604" spans="1:30">
      <c r="A604" s="291">
        <f>COUNTA($E$3:E604)</f>
        <v>602</v>
      </c>
      <c r="B604" s="291" t="s">
        <v>3233</v>
      </c>
      <c r="C604" s="291" t="s">
        <v>2396</v>
      </c>
      <c r="D604" s="291" t="s">
        <v>1235</v>
      </c>
      <c r="E604" s="291" t="s">
        <v>1236</v>
      </c>
      <c r="F604" s="292">
        <v>44719</v>
      </c>
      <c r="G604" s="292"/>
      <c r="H604" s="292"/>
      <c r="I604" s="292"/>
      <c r="J604" s="292" t="s">
        <v>3</v>
      </c>
      <c r="K604" s="291" t="s">
        <v>2558</v>
      </c>
      <c r="L604" t="s">
        <v>1309</v>
      </c>
      <c r="M604" s="20">
        <v>44728</v>
      </c>
      <c r="N604" t="s">
        <v>3277</v>
      </c>
      <c r="O604" s="213">
        <v>44727</v>
      </c>
      <c r="R604" t="s">
        <v>26</v>
      </c>
      <c r="AA604" s="236"/>
      <c r="AD604" s="233">
        <v>44727</v>
      </c>
    </row>
    <row r="605" spans="1:30">
      <c r="A605" s="291">
        <f>COUNTA($E$3:E605)</f>
        <v>603</v>
      </c>
      <c r="B605" s="291" t="s">
        <v>3026</v>
      </c>
      <c r="C605" s="291" t="s">
        <v>45</v>
      </c>
      <c r="D605" s="291" t="s">
        <v>1115</v>
      </c>
      <c r="E605" s="291" t="s">
        <v>1116</v>
      </c>
      <c r="F605" s="292">
        <v>44686</v>
      </c>
      <c r="G605" s="292">
        <v>44700</v>
      </c>
      <c r="H605" s="292"/>
      <c r="I605" s="292"/>
      <c r="J605" s="292" t="s">
        <v>3</v>
      </c>
      <c r="K605" s="291" t="s">
        <v>1500</v>
      </c>
      <c r="L605" t="s">
        <v>1302</v>
      </c>
      <c r="M605" s="20">
        <v>44728</v>
      </c>
      <c r="N605" t="s">
        <v>3277</v>
      </c>
      <c r="O605" s="213">
        <v>44729</v>
      </c>
      <c r="R605" t="s">
        <v>138</v>
      </c>
      <c r="AA605" s="236"/>
      <c r="AD605" s="233">
        <v>44729</v>
      </c>
    </row>
    <row r="606" spans="1:30">
      <c r="A606" s="291">
        <f>COUNTA($E$3:E606)</f>
        <v>604</v>
      </c>
      <c r="B606" s="291" t="s">
        <v>3262</v>
      </c>
      <c r="C606" s="291" t="s">
        <v>41</v>
      </c>
      <c r="D606" s="291" t="s">
        <v>38</v>
      </c>
      <c r="E606" s="291" t="s">
        <v>3263</v>
      </c>
      <c r="F606" s="292">
        <v>44721</v>
      </c>
      <c r="G606" s="292"/>
      <c r="H606" s="292"/>
      <c r="I606" s="292"/>
      <c r="J606" s="292" t="s">
        <v>4</v>
      </c>
      <c r="K606" s="291" t="s">
        <v>1500</v>
      </c>
      <c r="L606" t="s">
        <v>1289</v>
      </c>
      <c r="M606" s="20">
        <v>44728</v>
      </c>
      <c r="N606" t="s">
        <v>3277</v>
      </c>
      <c r="O606" s="213">
        <v>44721</v>
      </c>
      <c r="R606" t="s">
        <v>138</v>
      </c>
      <c r="AA606" s="236"/>
      <c r="AD606" s="233">
        <v>44721</v>
      </c>
    </row>
    <row r="607" spans="1:30">
      <c r="A607" s="291">
        <f>COUNTA($E$3:E607)</f>
        <v>605</v>
      </c>
      <c r="B607" s="291" t="s">
        <v>3261</v>
      </c>
      <c r="C607" s="291" t="s">
        <v>41</v>
      </c>
      <c r="D607" s="291" t="s">
        <v>38</v>
      </c>
      <c r="E607" s="291" t="s">
        <v>2061</v>
      </c>
      <c r="F607" s="292">
        <v>44721</v>
      </c>
      <c r="G607" s="292"/>
      <c r="H607" s="292"/>
      <c r="I607" s="292"/>
      <c r="J607" s="292" t="s">
        <v>4</v>
      </c>
      <c r="K607" s="291" t="s">
        <v>1664</v>
      </c>
      <c r="M607" s="20">
        <v>44728</v>
      </c>
      <c r="N607" t="s">
        <v>3277</v>
      </c>
      <c r="O607" s="213">
        <v>44721</v>
      </c>
      <c r="R607" t="s">
        <v>138</v>
      </c>
      <c r="AA607" s="236"/>
      <c r="AD607" s="233">
        <v>44721</v>
      </c>
    </row>
    <row r="608" spans="1:30">
      <c r="A608" s="291">
        <f>COUNTA($E$3:E608)</f>
        <v>606</v>
      </c>
      <c r="B608" s="291" t="s">
        <v>3252</v>
      </c>
      <c r="C608" s="291" t="s">
        <v>41</v>
      </c>
      <c r="D608" s="291" t="s">
        <v>38</v>
      </c>
      <c r="E608" s="291" t="s">
        <v>3253</v>
      </c>
      <c r="F608" s="292">
        <v>44719</v>
      </c>
      <c r="G608" s="292"/>
      <c r="H608" s="292"/>
      <c r="I608" s="292"/>
      <c r="J608" s="292" t="s">
        <v>4</v>
      </c>
      <c r="K608" s="291" t="s">
        <v>1681</v>
      </c>
      <c r="L608" t="s">
        <v>1310</v>
      </c>
      <c r="M608" s="20">
        <v>44728</v>
      </c>
      <c r="N608" t="s">
        <v>3277</v>
      </c>
      <c r="O608" s="213">
        <v>44721</v>
      </c>
      <c r="R608" t="s">
        <v>138</v>
      </c>
      <c r="AA608" s="236"/>
      <c r="AD608" s="233">
        <v>44721</v>
      </c>
    </row>
    <row r="609" spans="1:30">
      <c r="A609" s="291">
        <f>COUNTA($E$3:E609)</f>
        <v>607</v>
      </c>
      <c r="B609" s="291" t="s">
        <v>3235</v>
      </c>
      <c r="C609" s="291" t="s">
        <v>25</v>
      </c>
      <c r="D609" s="291" t="s">
        <v>38</v>
      </c>
      <c r="E609" s="291" t="s">
        <v>3061</v>
      </c>
      <c r="F609" s="292">
        <v>44719</v>
      </c>
      <c r="G609" s="292"/>
      <c r="H609" s="292"/>
      <c r="I609" s="292"/>
      <c r="J609" s="292" t="s">
        <v>4</v>
      </c>
      <c r="K609" s="291" t="s">
        <v>1672</v>
      </c>
      <c r="L609" t="s">
        <v>1289</v>
      </c>
      <c r="M609" s="20">
        <v>44728</v>
      </c>
      <c r="N609" t="s">
        <v>3277</v>
      </c>
      <c r="O609" s="213">
        <v>44727</v>
      </c>
      <c r="R609" t="s">
        <v>138</v>
      </c>
      <c r="AA609" s="236"/>
      <c r="AD609" s="233">
        <v>44727</v>
      </c>
    </row>
    <row r="610" spans="1:30">
      <c r="A610" s="291">
        <f>COUNTA($E$3:E610)</f>
        <v>608</v>
      </c>
      <c r="B610" s="291" t="s">
        <v>3234</v>
      </c>
      <c r="C610" s="291" t="s">
        <v>48</v>
      </c>
      <c r="D610" s="291" t="s">
        <v>49</v>
      </c>
      <c r="E610" s="291" t="s">
        <v>185</v>
      </c>
      <c r="F610" s="292">
        <v>44719</v>
      </c>
      <c r="G610" s="292"/>
      <c r="H610" s="292"/>
      <c r="I610" s="292"/>
      <c r="J610" s="292" t="s">
        <v>4</v>
      </c>
      <c r="K610" s="291" t="s">
        <v>1765</v>
      </c>
      <c r="L610" t="s">
        <v>1289</v>
      </c>
      <c r="M610" s="20">
        <v>44728</v>
      </c>
      <c r="N610" t="s">
        <v>3277</v>
      </c>
      <c r="O610" s="213">
        <v>44729</v>
      </c>
      <c r="R610" t="s">
        <v>138</v>
      </c>
      <c r="AA610" s="236"/>
      <c r="AD610" s="233">
        <v>44729</v>
      </c>
    </row>
    <row r="611" spans="1:30">
      <c r="A611" s="291">
        <f>COUNTA($E$3:E611)</f>
        <v>609</v>
      </c>
      <c r="B611" s="291" t="s">
        <v>3219</v>
      </c>
      <c r="C611" s="291" t="s">
        <v>45</v>
      </c>
      <c r="D611" s="291" t="s">
        <v>38</v>
      </c>
      <c r="E611" s="291" t="s">
        <v>1940</v>
      </c>
      <c r="F611" s="292">
        <v>44715</v>
      </c>
      <c r="G611" s="292"/>
      <c r="H611" s="292"/>
      <c r="I611" s="292"/>
      <c r="J611" s="292" t="s">
        <v>4</v>
      </c>
      <c r="K611" s="291" t="s">
        <v>1735</v>
      </c>
      <c r="L611" t="s">
        <v>1311</v>
      </c>
      <c r="M611" s="20">
        <v>44728</v>
      </c>
      <c r="N611" t="s">
        <v>3278</v>
      </c>
      <c r="O611" s="213">
        <v>44729</v>
      </c>
      <c r="R611" t="s">
        <v>138</v>
      </c>
      <c r="AA611" s="236"/>
      <c r="AD611" s="233">
        <v>44729</v>
      </c>
    </row>
    <row r="612" spans="1:30">
      <c r="A612" s="291">
        <f>COUNTA($E$3:E612)</f>
        <v>610</v>
      </c>
      <c r="B612" s="291" t="s">
        <v>3174</v>
      </c>
      <c r="C612" s="291" t="s">
        <v>2701</v>
      </c>
      <c r="D612" s="291" t="s">
        <v>42</v>
      </c>
      <c r="E612" s="291" t="s">
        <v>2702</v>
      </c>
      <c r="F612" s="292">
        <v>44712.6843972801</v>
      </c>
      <c r="G612" s="292"/>
      <c r="H612" s="292"/>
      <c r="I612" s="292"/>
      <c r="J612" s="292" t="s">
        <v>4</v>
      </c>
      <c r="K612" s="291" t="s">
        <v>3268</v>
      </c>
      <c r="L612" t="s">
        <v>1311</v>
      </c>
      <c r="M612" s="20">
        <v>44728</v>
      </c>
      <c r="N612" t="s">
        <v>3277</v>
      </c>
      <c r="O612" s="213">
        <v>44727</v>
      </c>
      <c r="R612" t="s">
        <v>138</v>
      </c>
      <c r="AA612" s="236"/>
      <c r="AD612" s="233">
        <v>44727</v>
      </c>
    </row>
    <row r="613" spans="1:30">
      <c r="A613" s="291">
        <f>COUNTA($E$3:E613)</f>
        <v>611</v>
      </c>
      <c r="B613" s="291" t="s">
        <v>2675</v>
      </c>
      <c r="C613" s="291" t="s">
        <v>2396</v>
      </c>
      <c r="D613" s="291" t="s">
        <v>38</v>
      </c>
      <c r="E613" s="291" t="s">
        <v>2676</v>
      </c>
      <c r="F613" s="292">
        <v>44636</v>
      </c>
      <c r="G613" s="292">
        <v>44638</v>
      </c>
      <c r="H613" s="292"/>
      <c r="I613" s="292">
        <v>44638</v>
      </c>
      <c r="J613" s="292" t="s">
        <v>3</v>
      </c>
      <c r="K613" s="291" t="s">
        <v>2692</v>
      </c>
      <c r="L613" t="s">
        <v>28</v>
      </c>
      <c r="M613" s="20">
        <v>44715</v>
      </c>
      <c r="N613" t="s">
        <v>3211</v>
      </c>
      <c r="O613" s="213">
        <v>44727</v>
      </c>
      <c r="R613" t="s">
        <v>26</v>
      </c>
      <c r="AA613" s="236"/>
      <c r="AD613" s="233">
        <v>44727</v>
      </c>
    </row>
    <row r="614" spans="1:30">
      <c r="A614" s="291">
        <f>COUNTA($E$3:E614)</f>
        <v>612</v>
      </c>
      <c r="B614" s="291" t="s">
        <v>3218</v>
      </c>
      <c r="C614" s="291" t="s">
        <v>45</v>
      </c>
      <c r="D614" s="291" t="s">
        <v>49</v>
      </c>
      <c r="E614" s="291" t="s">
        <v>1230</v>
      </c>
      <c r="F614" s="292">
        <v>44714</v>
      </c>
      <c r="G614" s="292"/>
      <c r="H614" s="292"/>
      <c r="I614" s="292"/>
      <c r="J614" s="292" t="s">
        <v>4</v>
      </c>
      <c r="K614" s="291" t="s">
        <v>1850</v>
      </c>
      <c r="L614" t="s">
        <v>37</v>
      </c>
      <c r="M614" s="20">
        <v>44715</v>
      </c>
      <c r="N614" t="s">
        <v>3215</v>
      </c>
      <c r="O614" s="213">
        <v>44729</v>
      </c>
      <c r="R614" t="s">
        <v>138</v>
      </c>
      <c r="AA614" s="236"/>
      <c r="AD614" s="233">
        <v>44729</v>
      </c>
    </row>
    <row r="615" spans="1:30">
      <c r="A615" s="291">
        <f>COUNTA($E$3:E615)</f>
        <v>613</v>
      </c>
      <c r="B615" s="291" t="s">
        <v>3201</v>
      </c>
      <c r="C615" s="291" t="s">
        <v>3067</v>
      </c>
      <c r="D615" s="291" t="s">
        <v>62</v>
      </c>
      <c r="E615" s="291" t="s">
        <v>3202</v>
      </c>
      <c r="F615" s="292">
        <v>44714</v>
      </c>
      <c r="G615" s="292"/>
      <c r="H615" s="292"/>
      <c r="I615" s="292"/>
      <c r="J615" s="292" t="s">
        <v>4</v>
      </c>
      <c r="K615" s="291" t="s">
        <v>1692</v>
      </c>
      <c r="L615" t="s">
        <v>134</v>
      </c>
      <c r="M615" s="20">
        <v>44715</v>
      </c>
      <c r="O615" s="213">
        <v>44715</v>
      </c>
      <c r="R615" t="s">
        <v>138</v>
      </c>
      <c r="AA615" s="236"/>
      <c r="AD615" s="233">
        <v>44715</v>
      </c>
    </row>
    <row r="616" spans="1:30">
      <c r="A616" s="291">
        <f>COUNTA($E$3:E616)</f>
        <v>614</v>
      </c>
      <c r="B616" s="291" t="s">
        <v>3196</v>
      </c>
      <c r="C616" s="291" t="s">
        <v>25</v>
      </c>
      <c r="D616" s="291" t="s">
        <v>29</v>
      </c>
      <c r="E616" s="291" t="s">
        <v>310</v>
      </c>
      <c r="F616" s="292">
        <v>44713</v>
      </c>
      <c r="G616" s="292"/>
      <c r="H616" s="292"/>
      <c r="I616" s="292"/>
      <c r="J616" s="292" t="s">
        <v>4</v>
      </c>
      <c r="K616" s="291" t="s">
        <v>1664</v>
      </c>
      <c r="L616" t="s">
        <v>1311</v>
      </c>
      <c r="M616" s="20">
        <v>44715</v>
      </c>
      <c r="N616" t="s">
        <v>3222</v>
      </c>
      <c r="O616" s="213">
        <v>44714</v>
      </c>
      <c r="R616" t="s">
        <v>138</v>
      </c>
      <c r="AA616" s="236"/>
      <c r="AD616" s="233">
        <v>44714</v>
      </c>
    </row>
    <row r="617" spans="1:30">
      <c r="A617" s="291">
        <f>COUNTA($E$3:E617)</f>
        <v>615</v>
      </c>
      <c r="B617" s="291" t="s">
        <v>3189</v>
      </c>
      <c r="C617" s="291" t="s">
        <v>25</v>
      </c>
      <c r="D617" s="291" t="s">
        <v>34</v>
      </c>
      <c r="E617" s="291" t="s">
        <v>1267</v>
      </c>
      <c r="F617" s="292">
        <v>44713</v>
      </c>
      <c r="G617" s="292"/>
      <c r="H617" s="292"/>
      <c r="I617" s="292"/>
      <c r="J617" s="292" t="s">
        <v>4</v>
      </c>
      <c r="K617" s="291" t="s">
        <v>1794</v>
      </c>
      <c r="L617" t="s">
        <v>1302</v>
      </c>
      <c r="M617" s="20">
        <v>44715</v>
      </c>
      <c r="N617" t="s">
        <v>3223</v>
      </c>
      <c r="O617" s="213">
        <v>44714</v>
      </c>
      <c r="R617" t="s">
        <v>138</v>
      </c>
      <c r="AA617" s="236"/>
      <c r="AD617" s="233">
        <v>44714</v>
      </c>
    </row>
    <row r="618" spans="1:30">
      <c r="A618" s="291">
        <f>COUNTA($E$3:E618)</f>
        <v>616</v>
      </c>
      <c r="B618" s="291" t="s">
        <v>3177</v>
      </c>
      <c r="C618" s="291" t="s">
        <v>117</v>
      </c>
      <c r="D618" s="291" t="s">
        <v>20</v>
      </c>
      <c r="E618" s="291" t="s">
        <v>1142</v>
      </c>
      <c r="F618" s="292">
        <v>44712</v>
      </c>
      <c r="G618" s="292"/>
      <c r="H618" s="292"/>
      <c r="I618" s="292"/>
      <c r="J618" s="292" t="s">
        <v>4</v>
      </c>
      <c r="K618" s="291" t="s">
        <v>1775</v>
      </c>
      <c r="L618" t="s">
        <v>1311</v>
      </c>
      <c r="M618" s="20">
        <v>44715</v>
      </c>
      <c r="N618" t="s">
        <v>3222</v>
      </c>
      <c r="O618" s="213">
        <v>44714</v>
      </c>
      <c r="R618" t="s">
        <v>138</v>
      </c>
      <c r="AA618" s="236"/>
      <c r="AD618" s="233">
        <v>44714</v>
      </c>
    </row>
    <row r="619" spans="1:30">
      <c r="A619" s="291">
        <f>COUNTA($E$3:E619)</f>
        <v>617</v>
      </c>
      <c r="B619" s="291" t="s">
        <v>3058</v>
      </c>
      <c r="C619" s="291" t="s">
        <v>25</v>
      </c>
      <c r="D619" s="291" t="s">
        <v>34</v>
      </c>
      <c r="E619" s="291" t="s">
        <v>3059</v>
      </c>
      <c r="F619" s="292">
        <v>44692.744837962964</v>
      </c>
      <c r="G619" s="292"/>
      <c r="H619" s="292"/>
      <c r="I619" s="292"/>
      <c r="J619" s="292" t="s">
        <v>4</v>
      </c>
      <c r="K619" s="291" t="s">
        <v>3158</v>
      </c>
      <c r="M619" s="20">
        <v>44715</v>
      </c>
      <c r="N619" t="s">
        <v>3216</v>
      </c>
      <c r="O619" s="213">
        <v>44712</v>
      </c>
      <c r="R619" t="s">
        <v>138</v>
      </c>
      <c r="AA619" s="236"/>
      <c r="AD619" s="233">
        <v>44712</v>
      </c>
    </row>
    <row r="620" spans="1:30">
      <c r="A620" s="291">
        <f>COUNTA($E$3:E620)</f>
        <v>618</v>
      </c>
      <c r="B620" s="291" t="s">
        <v>3057</v>
      </c>
      <c r="C620" s="291" t="s">
        <v>25</v>
      </c>
      <c r="D620" s="291" t="s">
        <v>1154</v>
      </c>
      <c r="E620" s="291" t="s">
        <v>1219</v>
      </c>
      <c r="F620" s="292">
        <v>44692.744259259256</v>
      </c>
      <c r="G620" s="292"/>
      <c r="H620" s="292"/>
      <c r="I620" s="292"/>
      <c r="J620" s="292" t="s">
        <v>4</v>
      </c>
      <c r="K620" s="291" t="s">
        <v>3115</v>
      </c>
      <c r="M620" s="20">
        <v>44715</v>
      </c>
      <c r="N620" t="s">
        <v>3216</v>
      </c>
      <c r="O620" s="213">
        <v>44712</v>
      </c>
      <c r="R620" t="s">
        <v>138</v>
      </c>
      <c r="AA620" s="236"/>
      <c r="AD620" s="233">
        <v>44712</v>
      </c>
    </row>
    <row r="621" spans="1:30">
      <c r="A621" s="291">
        <f>COUNTA($E$3:E621)</f>
        <v>619</v>
      </c>
      <c r="B621" s="291" t="s">
        <v>3053</v>
      </c>
      <c r="C621" s="291" t="s">
        <v>25</v>
      </c>
      <c r="D621" s="291" t="s">
        <v>34</v>
      </c>
      <c r="E621" s="291" t="s">
        <v>3054</v>
      </c>
      <c r="F621" s="292">
        <v>44692.742835648147</v>
      </c>
      <c r="G621" s="292"/>
      <c r="H621" s="292"/>
      <c r="I621" s="292"/>
      <c r="J621" s="292" t="s">
        <v>4</v>
      </c>
      <c r="K621" s="291" t="s">
        <v>3158</v>
      </c>
      <c r="M621" s="20">
        <v>44715</v>
      </c>
      <c r="N621" t="s">
        <v>3216</v>
      </c>
      <c r="O621" s="213">
        <v>44706</v>
      </c>
      <c r="R621" t="s">
        <v>138</v>
      </c>
      <c r="AA621" s="236"/>
      <c r="AD621" s="233">
        <v>44706</v>
      </c>
    </row>
    <row r="622" spans="1:30">
      <c r="A622" s="291">
        <f>COUNTA($E$3:E622)</f>
        <v>620</v>
      </c>
      <c r="B622" s="291" t="s">
        <v>3005</v>
      </c>
      <c r="C622" s="291" t="s">
        <v>3003</v>
      </c>
      <c r="D622" s="291" t="s">
        <v>29</v>
      </c>
      <c r="E622" s="291" t="s">
        <v>3006</v>
      </c>
      <c r="F622" s="292">
        <v>44685</v>
      </c>
      <c r="G622" s="292">
        <v>44689</v>
      </c>
      <c r="H622" s="292"/>
      <c r="I622" s="292"/>
      <c r="J622" s="292" t="s">
        <v>4</v>
      </c>
      <c r="K622" s="291" t="s">
        <v>1227</v>
      </c>
      <c r="L622" t="s">
        <v>1311</v>
      </c>
      <c r="M622" s="20">
        <v>44715</v>
      </c>
      <c r="N622" t="s">
        <v>3215</v>
      </c>
      <c r="O622" s="213">
        <v>44727</v>
      </c>
      <c r="R622" t="s">
        <v>138</v>
      </c>
      <c r="AA622" s="236"/>
      <c r="AD622" s="233">
        <v>44727</v>
      </c>
    </row>
    <row r="623" spans="1:30">
      <c r="A623" s="291">
        <f>COUNTA($E$3:E623)</f>
        <v>621</v>
      </c>
      <c r="B623" s="291" t="s">
        <v>3134</v>
      </c>
      <c r="C623" s="291" t="s">
        <v>45</v>
      </c>
      <c r="D623" s="291" t="s">
        <v>1279</v>
      </c>
      <c r="E623" s="291" t="s">
        <v>3135</v>
      </c>
      <c r="F623" s="292">
        <v>44704</v>
      </c>
      <c r="G623" s="292"/>
      <c r="H623" s="292"/>
      <c r="I623" s="292"/>
      <c r="J623" s="292" t="s">
        <v>1122</v>
      </c>
      <c r="K623" s="291" t="s">
        <v>1683</v>
      </c>
      <c r="L623" t="s">
        <v>1302</v>
      </c>
      <c r="M623" s="20">
        <v>44708</v>
      </c>
      <c r="N623" t="s">
        <v>3164</v>
      </c>
      <c r="O623" s="213">
        <v>44729</v>
      </c>
      <c r="R623" t="s">
        <v>138</v>
      </c>
      <c r="AA623" s="236"/>
      <c r="AD623" s="233">
        <v>44729</v>
      </c>
    </row>
    <row r="624" spans="1:30">
      <c r="A624" s="291">
        <f>COUNTA($E$3:E624)</f>
        <v>622</v>
      </c>
      <c r="B624" s="291" t="s">
        <v>3153</v>
      </c>
      <c r="C624" s="291" t="s">
        <v>45</v>
      </c>
      <c r="D624" s="291" t="s">
        <v>20</v>
      </c>
      <c r="E624" s="291" t="s">
        <v>1218</v>
      </c>
      <c r="F624" s="292">
        <v>44707</v>
      </c>
      <c r="G624" s="292"/>
      <c r="H624" s="292"/>
      <c r="I624" s="292"/>
      <c r="J624" s="292" t="s">
        <v>3</v>
      </c>
      <c r="K624" s="291" t="s">
        <v>1702</v>
      </c>
      <c r="L624" t="s">
        <v>37</v>
      </c>
      <c r="M624" s="20">
        <v>44708</v>
      </c>
      <c r="N624" t="s">
        <v>3165</v>
      </c>
      <c r="O624" s="213">
        <v>44729</v>
      </c>
      <c r="R624" t="s">
        <v>138</v>
      </c>
      <c r="AA624" s="236"/>
      <c r="AD624" s="233">
        <v>44729</v>
      </c>
    </row>
    <row r="625" spans="1:30">
      <c r="A625" s="291">
        <f>COUNTA($E$3:E625)</f>
        <v>623</v>
      </c>
      <c r="B625" s="291" t="s">
        <v>3140</v>
      </c>
      <c r="C625" s="291" t="s">
        <v>45</v>
      </c>
      <c r="D625" s="291" t="s">
        <v>34</v>
      </c>
      <c r="E625" s="291" t="s">
        <v>1737</v>
      </c>
      <c r="F625" s="292">
        <v>44704</v>
      </c>
      <c r="G625" s="292"/>
      <c r="H625" s="292"/>
      <c r="I625" s="292"/>
      <c r="J625" s="292" t="s">
        <v>3</v>
      </c>
      <c r="K625" s="291" t="s">
        <v>2260</v>
      </c>
      <c r="L625" t="s">
        <v>1302</v>
      </c>
      <c r="M625" s="20">
        <v>44708</v>
      </c>
      <c r="N625" t="s">
        <v>3170</v>
      </c>
      <c r="O625" s="213">
        <v>44729</v>
      </c>
      <c r="R625" t="s">
        <v>138</v>
      </c>
      <c r="AA625" s="236"/>
      <c r="AD625" s="233">
        <v>44729</v>
      </c>
    </row>
    <row r="626" spans="1:30">
      <c r="A626" s="291">
        <f>COUNTA($E$3:E626)</f>
        <v>624</v>
      </c>
      <c r="B626" s="291" t="s">
        <v>3138</v>
      </c>
      <c r="C626" s="291" t="s">
        <v>45</v>
      </c>
      <c r="D626" s="291" t="s">
        <v>1136</v>
      </c>
      <c r="E626" s="291" t="s">
        <v>1150</v>
      </c>
      <c r="F626" s="292">
        <v>44707.701129942099</v>
      </c>
      <c r="G626" s="292"/>
      <c r="H626" s="292"/>
      <c r="I626" s="292"/>
      <c r="J626" s="292" t="s">
        <v>3</v>
      </c>
      <c r="K626" s="291" t="s">
        <v>3139</v>
      </c>
      <c r="L626" t="s">
        <v>110</v>
      </c>
      <c r="M626" s="20">
        <v>44708</v>
      </c>
      <c r="N626" t="s">
        <v>3169</v>
      </c>
      <c r="O626" s="213">
        <v>44729</v>
      </c>
      <c r="R626" t="s">
        <v>26</v>
      </c>
      <c r="AA626" s="236"/>
      <c r="AD626" s="233">
        <v>44729</v>
      </c>
    </row>
    <row r="627" spans="1:30">
      <c r="A627" s="291">
        <f>COUNTA($E$3:E627)</f>
        <v>625</v>
      </c>
      <c r="B627" s="291" t="s">
        <v>3136</v>
      </c>
      <c r="C627" s="291" t="s">
        <v>45</v>
      </c>
      <c r="D627" s="291" t="s">
        <v>35</v>
      </c>
      <c r="E627" s="291" t="s">
        <v>3137</v>
      </c>
      <c r="F627" s="292">
        <v>44704</v>
      </c>
      <c r="G627" s="292">
        <v>44708</v>
      </c>
      <c r="H627" s="292"/>
      <c r="I627" s="292" t="s">
        <v>70</v>
      </c>
      <c r="J627" s="292" t="s">
        <v>3</v>
      </c>
      <c r="K627" s="291" t="s">
        <v>2087</v>
      </c>
      <c r="L627" t="s">
        <v>1309</v>
      </c>
      <c r="M627" s="20">
        <v>44708</v>
      </c>
      <c r="O627" s="213">
        <v>44729</v>
      </c>
      <c r="R627" t="s">
        <v>26</v>
      </c>
      <c r="AA627" s="236"/>
      <c r="AD627" s="233">
        <v>44729</v>
      </c>
    </row>
    <row r="628" spans="1:30">
      <c r="A628" s="291">
        <f>COUNTA($E$3:E628)</f>
        <v>626</v>
      </c>
      <c r="B628" s="291" t="s">
        <v>3095</v>
      </c>
      <c r="C628" s="291" t="s">
        <v>44</v>
      </c>
      <c r="D628" s="291" t="s">
        <v>55</v>
      </c>
      <c r="E628" s="291" t="s">
        <v>1712</v>
      </c>
      <c r="F628" s="292">
        <v>44700</v>
      </c>
      <c r="G628" s="292"/>
      <c r="H628" s="292"/>
      <c r="I628" s="292"/>
      <c r="J628" s="292" t="s">
        <v>3</v>
      </c>
      <c r="K628" s="291" t="s">
        <v>1761</v>
      </c>
      <c r="L628" t="s">
        <v>1309</v>
      </c>
      <c r="M628" s="20">
        <v>44708</v>
      </c>
      <c r="N628" t="s">
        <v>3162</v>
      </c>
      <c r="O628" s="213">
        <v>44729</v>
      </c>
      <c r="R628" t="s">
        <v>26</v>
      </c>
      <c r="AA628" s="236"/>
      <c r="AD628" s="233">
        <v>44729</v>
      </c>
    </row>
    <row r="629" spans="1:30">
      <c r="A629" s="291">
        <f>COUNTA($E$3:E629)</f>
        <v>627</v>
      </c>
      <c r="B629" s="291" t="s">
        <v>2975</v>
      </c>
      <c r="C629" s="291" t="s">
        <v>2371</v>
      </c>
      <c r="D629" s="291" t="s">
        <v>20</v>
      </c>
      <c r="E629" s="291" t="s">
        <v>2403</v>
      </c>
      <c r="F629" s="292">
        <v>44678</v>
      </c>
      <c r="G629" s="292"/>
      <c r="H629" s="292"/>
      <c r="I629" s="292" t="s">
        <v>59</v>
      </c>
      <c r="J629" s="292" t="s">
        <v>3</v>
      </c>
      <c r="K629" s="291" t="s">
        <v>1679</v>
      </c>
      <c r="L629" t="s">
        <v>1311</v>
      </c>
      <c r="M629" s="20">
        <v>44708</v>
      </c>
      <c r="N629" t="s">
        <v>3161</v>
      </c>
      <c r="O629" s="213">
        <v>44713</v>
      </c>
      <c r="R629" t="s">
        <v>138</v>
      </c>
      <c r="AA629" s="236"/>
      <c r="AD629" s="233">
        <v>44713</v>
      </c>
    </row>
    <row r="630" spans="1:30">
      <c r="A630" s="291">
        <f>COUNTA($E$3:E630)</f>
        <v>628</v>
      </c>
      <c r="B630" s="291" t="s">
        <v>2951</v>
      </c>
      <c r="C630" s="291" t="s">
        <v>1212</v>
      </c>
      <c r="D630" s="291" t="s">
        <v>42</v>
      </c>
      <c r="E630" s="291" t="s">
        <v>1237</v>
      </c>
      <c r="F630" s="292">
        <v>44627</v>
      </c>
      <c r="G630" s="292">
        <v>44637</v>
      </c>
      <c r="H630" s="292"/>
      <c r="I630" s="292">
        <v>44575</v>
      </c>
      <c r="J630" s="292" t="s">
        <v>3</v>
      </c>
      <c r="K630" s="291" t="s">
        <v>1500</v>
      </c>
      <c r="L630" t="s">
        <v>1309</v>
      </c>
      <c r="M630" s="20">
        <v>44708</v>
      </c>
      <c r="N630" t="s">
        <v>3160</v>
      </c>
      <c r="O630" s="213">
        <v>44713</v>
      </c>
      <c r="R630" t="s">
        <v>26</v>
      </c>
      <c r="AA630" s="236"/>
      <c r="AD630" s="233">
        <v>44713</v>
      </c>
    </row>
    <row r="631" spans="1:30">
      <c r="A631" s="291">
        <f>COUNTA($E$3:E631)</f>
        <v>629</v>
      </c>
      <c r="B631" s="291" t="s">
        <v>2828</v>
      </c>
      <c r="C631" s="291" t="s">
        <v>45</v>
      </c>
      <c r="D631" s="291" t="s">
        <v>38</v>
      </c>
      <c r="E631" s="291" t="s">
        <v>2829</v>
      </c>
      <c r="F631" s="292">
        <v>44664</v>
      </c>
      <c r="G631" s="292">
        <v>44672</v>
      </c>
      <c r="H631" s="292"/>
      <c r="I631" s="292" t="s">
        <v>70</v>
      </c>
      <c r="J631" s="292" t="s">
        <v>4</v>
      </c>
      <c r="K631" s="291" t="s">
        <v>1227</v>
      </c>
      <c r="L631" t="s">
        <v>110</v>
      </c>
      <c r="M631" s="20">
        <v>44708</v>
      </c>
      <c r="N631" t="s">
        <v>3159</v>
      </c>
      <c r="O631" s="213">
        <v>44729</v>
      </c>
      <c r="R631" t="s">
        <v>26</v>
      </c>
      <c r="AA631" s="236"/>
      <c r="AD631" s="233">
        <v>44729</v>
      </c>
    </row>
    <row r="632" spans="1:30">
      <c r="A632" s="291">
        <f>COUNTA($E$3:E632)</f>
        <v>630</v>
      </c>
      <c r="B632" s="291" t="s">
        <v>3141</v>
      </c>
      <c r="C632" s="291" t="s">
        <v>45</v>
      </c>
      <c r="D632" s="291" t="s">
        <v>1151</v>
      </c>
      <c r="E632" s="291" t="s">
        <v>3142</v>
      </c>
      <c r="F632" s="292">
        <v>44704</v>
      </c>
      <c r="G632" s="292"/>
      <c r="H632" s="292"/>
      <c r="I632" s="292"/>
      <c r="J632" s="292" t="s">
        <v>4</v>
      </c>
      <c r="K632" s="291" t="s">
        <v>1500</v>
      </c>
      <c r="L632" t="s">
        <v>2058</v>
      </c>
      <c r="M632" s="20">
        <v>44708</v>
      </c>
      <c r="N632" t="s">
        <v>3166</v>
      </c>
      <c r="O632" s="213">
        <v>44729</v>
      </c>
      <c r="R632" t="s">
        <v>26</v>
      </c>
      <c r="AA632" s="236"/>
      <c r="AD632" s="233">
        <v>44729</v>
      </c>
    </row>
    <row r="633" spans="1:30">
      <c r="A633" s="291">
        <f>COUNTA($E$3:E633)</f>
        <v>631</v>
      </c>
      <c r="B633" s="291" t="s">
        <v>3128</v>
      </c>
      <c r="C633" s="291" t="s">
        <v>45</v>
      </c>
      <c r="D633" s="291" t="s">
        <v>1138</v>
      </c>
      <c r="E633" s="291" t="s">
        <v>3129</v>
      </c>
      <c r="F633" s="292">
        <v>44704</v>
      </c>
      <c r="G633" s="292"/>
      <c r="H633" s="292"/>
      <c r="I633" s="292"/>
      <c r="J633" s="292" t="s">
        <v>4</v>
      </c>
      <c r="K633" s="291" t="s">
        <v>1683</v>
      </c>
      <c r="L633" t="s">
        <v>1302</v>
      </c>
      <c r="M633" s="20">
        <v>44708</v>
      </c>
      <c r="N633" t="s">
        <v>3164</v>
      </c>
      <c r="O633" s="213">
        <v>44729</v>
      </c>
      <c r="R633" t="s">
        <v>138</v>
      </c>
      <c r="AA633" s="236"/>
      <c r="AD633" s="233">
        <v>44729</v>
      </c>
    </row>
    <row r="634" spans="1:30">
      <c r="A634" s="291">
        <f>COUNTA($E$3:E634)</f>
        <v>632</v>
      </c>
      <c r="B634" s="291" t="s">
        <v>3113</v>
      </c>
      <c r="C634" s="291" t="s">
        <v>45</v>
      </c>
      <c r="D634" s="291" t="s">
        <v>1151</v>
      </c>
      <c r="E634" s="291" t="s">
        <v>1152</v>
      </c>
      <c r="F634" s="292">
        <v>44701</v>
      </c>
      <c r="G634" s="292"/>
      <c r="H634" s="292"/>
      <c r="I634" s="292"/>
      <c r="J634" s="292" t="s">
        <v>4</v>
      </c>
      <c r="K634" s="291" t="s">
        <v>21</v>
      </c>
      <c r="L634" t="s">
        <v>1302</v>
      </c>
      <c r="M634" s="20">
        <v>44708</v>
      </c>
      <c r="N634" t="s">
        <v>3163</v>
      </c>
      <c r="O634" s="213">
        <v>44729</v>
      </c>
      <c r="R634" t="s">
        <v>138</v>
      </c>
      <c r="AA634" s="236"/>
      <c r="AD634" s="233">
        <v>44729</v>
      </c>
    </row>
    <row r="635" spans="1:30">
      <c r="A635" s="291">
        <f>COUNTA($E$3:E635)</f>
        <v>633</v>
      </c>
      <c r="B635" s="291" t="s">
        <v>3066</v>
      </c>
      <c r="C635" s="291" t="s">
        <v>3067</v>
      </c>
      <c r="D635" s="291" t="s">
        <v>111</v>
      </c>
      <c r="E635" s="291" t="s">
        <v>3068</v>
      </c>
      <c r="F635" s="292">
        <v>44693.506863425922</v>
      </c>
      <c r="G635" s="292"/>
      <c r="H635" s="292"/>
      <c r="I635" s="292"/>
      <c r="J635" s="292" t="s">
        <v>4</v>
      </c>
      <c r="K635" s="291" t="s">
        <v>1227</v>
      </c>
      <c r="L635" t="s">
        <v>1310</v>
      </c>
      <c r="M635" s="20">
        <v>44708</v>
      </c>
      <c r="N635" t="s">
        <v>2985</v>
      </c>
      <c r="O635" s="213">
        <v>44712</v>
      </c>
      <c r="R635" t="s">
        <v>138</v>
      </c>
      <c r="AA635" s="236"/>
      <c r="AD635" s="233">
        <v>44712</v>
      </c>
    </row>
    <row r="636" spans="1:30">
      <c r="A636" s="291">
        <f>COUNTA($E$3:E636)</f>
        <v>634</v>
      </c>
      <c r="B636" s="291" t="s">
        <v>3062</v>
      </c>
      <c r="C636" s="291" t="s">
        <v>25</v>
      </c>
      <c r="D636" s="291" t="s">
        <v>38</v>
      </c>
      <c r="E636" s="291" t="s">
        <v>2085</v>
      </c>
      <c r="F636" s="292">
        <v>44692.746712962966</v>
      </c>
      <c r="G636" s="292"/>
      <c r="H636" s="292"/>
      <c r="I636" s="292"/>
      <c r="J636" s="292" t="s">
        <v>4</v>
      </c>
      <c r="K636" s="291" t="s">
        <v>2461</v>
      </c>
      <c r="L636" t="s">
        <v>1310</v>
      </c>
      <c r="M636" s="20">
        <v>44708</v>
      </c>
      <c r="N636" t="s">
        <v>3162</v>
      </c>
      <c r="O636" s="213">
        <v>44712</v>
      </c>
      <c r="R636" t="s">
        <v>138</v>
      </c>
      <c r="AA636" s="236"/>
      <c r="AD636" s="233">
        <v>44712</v>
      </c>
    </row>
    <row r="637" spans="1:30">
      <c r="A637" s="291">
        <f>COUNTA($E$3:E637)</f>
        <v>635</v>
      </c>
      <c r="B637" s="291" t="s">
        <v>3093</v>
      </c>
      <c r="C637" s="291" t="s">
        <v>45</v>
      </c>
      <c r="D637" s="291" t="s">
        <v>60</v>
      </c>
      <c r="E637" s="291" t="s">
        <v>3094</v>
      </c>
      <c r="F637" s="292">
        <v>44699</v>
      </c>
      <c r="G637" s="292"/>
      <c r="H637" s="292"/>
      <c r="I637" s="292"/>
      <c r="J637" s="292" t="s">
        <v>3</v>
      </c>
      <c r="K637" s="291" t="s">
        <v>1686</v>
      </c>
      <c r="L637" t="s">
        <v>37</v>
      </c>
      <c r="M637" s="20">
        <v>44701</v>
      </c>
      <c r="N637" t="s">
        <v>3110</v>
      </c>
      <c r="O637" s="213">
        <v>44701</v>
      </c>
      <c r="R637" t="s">
        <v>138</v>
      </c>
      <c r="AA637" s="236"/>
      <c r="AD637" s="233">
        <v>44701</v>
      </c>
    </row>
    <row r="638" spans="1:30">
      <c r="A638" s="291">
        <f>COUNTA($E$3:E638)</f>
        <v>636</v>
      </c>
      <c r="B638" s="291" t="s">
        <v>3092</v>
      </c>
      <c r="C638" s="291" t="s">
        <v>45</v>
      </c>
      <c r="D638" s="291" t="s">
        <v>34</v>
      </c>
      <c r="E638" s="291" t="s">
        <v>1655</v>
      </c>
      <c r="F638" s="292">
        <v>44699</v>
      </c>
      <c r="G638" s="292"/>
      <c r="H638" s="292"/>
      <c r="I638" s="292"/>
      <c r="J638" s="292" t="s">
        <v>3</v>
      </c>
      <c r="K638" s="291" t="s">
        <v>1686</v>
      </c>
      <c r="L638" t="s">
        <v>1101</v>
      </c>
      <c r="M638" s="20">
        <v>44701</v>
      </c>
      <c r="N638" t="s">
        <v>3110</v>
      </c>
      <c r="O638" s="213">
        <v>44702</v>
      </c>
      <c r="R638" t="s">
        <v>138</v>
      </c>
      <c r="AA638" s="236"/>
      <c r="AD638" s="233">
        <v>44702</v>
      </c>
    </row>
    <row r="639" spans="1:30">
      <c r="A639" s="291">
        <f>COUNTA($E$3:E639)</f>
        <v>637</v>
      </c>
      <c r="B639" s="291" t="s">
        <v>3089</v>
      </c>
      <c r="C639" s="291" t="s">
        <v>45</v>
      </c>
      <c r="D639" s="291" t="s">
        <v>1135</v>
      </c>
      <c r="E639" s="291" t="s">
        <v>3090</v>
      </c>
      <c r="F639" s="292">
        <v>44698</v>
      </c>
      <c r="G639" s="292"/>
      <c r="H639" s="292"/>
      <c r="I639" s="292"/>
      <c r="J639" s="292" t="s">
        <v>3</v>
      </c>
      <c r="K639" s="291" t="s">
        <v>21</v>
      </c>
      <c r="L639" t="s">
        <v>1302</v>
      </c>
      <c r="M639" s="20">
        <v>44701</v>
      </c>
      <c r="N639" t="s">
        <v>3117</v>
      </c>
      <c r="O639" s="213">
        <v>44703</v>
      </c>
      <c r="R639" t="s">
        <v>138</v>
      </c>
      <c r="AA639" s="236"/>
      <c r="AD639" s="233">
        <v>44703</v>
      </c>
    </row>
    <row r="640" spans="1:30">
      <c r="A640" s="291">
        <f>COUNTA($E$3:E640)</f>
        <v>638</v>
      </c>
      <c r="B640" s="291" t="s">
        <v>3069</v>
      </c>
      <c r="C640" s="291" t="s">
        <v>45</v>
      </c>
      <c r="D640" s="291" t="s">
        <v>55</v>
      </c>
      <c r="E640" s="291" t="s">
        <v>1709</v>
      </c>
      <c r="F640" s="292">
        <v>44693</v>
      </c>
      <c r="G640" s="292"/>
      <c r="H640" s="292"/>
      <c r="I640" s="292"/>
      <c r="J640" s="292" t="s">
        <v>3</v>
      </c>
      <c r="K640" s="291" t="s">
        <v>1500</v>
      </c>
      <c r="L640" t="s">
        <v>1309</v>
      </c>
      <c r="M640" s="20">
        <v>44701</v>
      </c>
      <c r="N640" t="s">
        <v>3109</v>
      </c>
      <c r="O640" s="213">
        <v>44704</v>
      </c>
      <c r="R640" t="s">
        <v>26</v>
      </c>
      <c r="AA640" s="236"/>
      <c r="AD640" s="233">
        <v>44704</v>
      </c>
    </row>
    <row r="641" spans="1:30">
      <c r="A641" s="291">
        <f>COUNTA($E$3:E641)</f>
        <v>639</v>
      </c>
      <c r="B641" s="291" t="s">
        <v>2990</v>
      </c>
      <c r="C641" s="291" t="s">
        <v>45</v>
      </c>
      <c r="D641" s="291" t="s">
        <v>36</v>
      </c>
      <c r="E641" s="291" t="s">
        <v>1202</v>
      </c>
      <c r="F641" s="292">
        <v>44678</v>
      </c>
      <c r="G641" s="292">
        <v>44689</v>
      </c>
      <c r="H641" s="292"/>
      <c r="I641" s="292"/>
      <c r="J641" s="292" t="s">
        <v>3</v>
      </c>
      <c r="K641" s="291" t="s">
        <v>2461</v>
      </c>
      <c r="L641" t="s">
        <v>297</v>
      </c>
      <c r="M641" s="20">
        <v>44701</v>
      </c>
      <c r="N641" t="s">
        <v>3106</v>
      </c>
      <c r="O641" s="213">
        <v>44705</v>
      </c>
      <c r="R641" t="s">
        <v>26</v>
      </c>
      <c r="AA641" s="236"/>
      <c r="AD641" s="233">
        <v>44705</v>
      </c>
    </row>
    <row r="642" spans="1:30">
      <c r="A642" s="291">
        <f>COUNTA($E$3:E642)</f>
        <v>640</v>
      </c>
      <c r="B642" s="291" t="s">
        <v>2520</v>
      </c>
      <c r="C642" s="291" t="s">
        <v>1118</v>
      </c>
      <c r="D642" s="291" t="s">
        <v>62</v>
      </c>
      <c r="E642" s="291" t="s">
        <v>2521</v>
      </c>
      <c r="F642" s="292">
        <v>44600</v>
      </c>
      <c r="G642" s="292">
        <v>44603</v>
      </c>
      <c r="H642" s="292"/>
      <c r="I642" s="292">
        <v>44627</v>
      </c>
      <c r="J642" s="292" t="s">
        <v>3</v>
      </c>
      <c r="K642" s="291" t="s">
        <v>2522</v>
      </c>
      <c r="L642" t="s">
        <v>1311</v>
      </c>
      <c r="M642" s="20">
        <v>44701</v>
      </c>
      <c r="N642" t="s">
        <v>3104</v>
      </c>
      <c r="O642" s="213">
        <v>44696</v>
      </c>
      <c r="R642" t="s">
        <v>138</v>
      </c>
      <c r="AA642" s="236"/>
      <c r="AD642" s="233">
        <v>44696</v>
      </c>
    </row>
    <row r="643" spans="1:30">
      <c r="A643" s="291">
        <f>COUNTA($E$3:E643)</f>
        <v>641</v>
      </c>
      <c r="B643" s="291" t="s">
        <v>3111</v>
      </c>
      <c r="C643" s="291" t="s">
        <v>45</v>
      </c>
      <c r="D643" s="291" t="s">
        <v>38</v>
      </c>
      <c r="E643" s="291" t="s">
        <v>1940</v>
      </c>
      <c r="F643" s="292">
        <v>44700</v>
      </c>
      <c r="G643" s="292"/>
      <c r="H643" s="292"/>
      <c r="I643" s="292"/>
      <c r="J643" s="292" t="s">
        <v>4</v>
      </c>
      <c r="K643" s="291" t="s">
        <v>3112</v>
      </c>
      <c r="L643" t="s">
        <v>1132</v>
      </c>
      <c r="M643" s="20">
        <v>44701</v>
      </c>
      <c r="N643" t="s">
        <v>3107</v>
      </c>
      <c r="O643" s="213">
        <v>44701</v>
      </c>
      <c r="R643" t="s">
        <v>138</v>
      </c>
      <c r="AA643" s="236"/>
      <c r="AD643" s="233">
        <v>44701</v>
      </c>
    </row>
    <row r="644" spans="1:30">
      <c r="A644" s="291">
        <f>COUNTA($E$3:E644)</f>
        <v>642</v>
      </c>
      <c r="B644" s="291" t="s">
        <v>3100</v>
      </c>
      <c r="C644" s="291" t="s">
        <v>45</v>
      </c>
      <c r="D644" s="291" t="s">
        <v>23</v>
      </c>
      <c r="E644" s="291" t="s">
        <v>3101</v>
      </c>
      <c r="F644" s="292">
        <v>44700</v>
      </c>
      <c r="G644" s="292"/>
      <c r="H644" s="292"/>
      <c r="I644" s="292"/>
      <c r="J644" s="292" t="s">
        <v>4</v>
      </c>
      <c r="K644" s="291" t="s">
        <v>2586</v>
      </c>
      <c r="L644" t="s">
        <v>110</v>
      </c>
      <c r="M644" s="20">
        <v>44701</v>
      </c>
      <c r="N644" t="s">
        <v>3983</v>
      </c>
      <c r="O644" s="213">
        <v>44813</v>
      </c>
      <c r="R644" t="s">
        <v>26</v>
      </c>
      <c r="AA644" s="236"/>
      <c r="AD644" s="233">
        <v>44813</v>
      </c>
    </row>
    <row r="645" spans="1:30">
      <c r="A645" s="291">
        <f>COUNTA($E$3:E645)</f>
        <v>643</v>
      </c>
      <c r="B645" s="291" t="s">
        <v>3091</v>
      </c>
      <c r="C645" s="291" t="s">
        <v>295</v>
      </c>
      <c r="D645" s="291" t="s">
        <v>38</v>
      </c>
      <c r="E645" s="291" t="s">
        <v>1265</v>
      </c>
      <c r="F645" s="292">
        <v>44699</v>
      </c>
      <c r="G645" s="292"/>
      <c r="H645" s="292"/>
      <c r="I645" s="292"/>
      <c r="J645" s="292" t="s">
        <v>4</v>
      </c>
      <c r="K645" s="291" t="s">
        <v>1500</v>
      </c>
      <c r="L645" t="s">
        <v>28</v>
      </c>
      <c r="M645" s="20">
        <v>44701</v>
      </c>
      <c r="N645" t="s">
        <v>3107</v>
      </c>
      <c r="O645" s="213">
        <v>44701</v>
      </c>
      <c r="R645" t="s">
        <v>26</v>
      </c>
      <c r="AA645" s="236"/>
      <c r="AD645" s="233">
        <v>44701</v>
      </c>
    </row>
    <row r="646" spans="1:30">
      <c r="A646" s="291">
        <f>COUNTA($E$3:E646)</f>
        <v>644</v>
      </c>
      <c r="B646" s="291" t="s">
        <v>3087</v>
      </c>
      <c r="C646" s="291" t="s">
        <v>308</v>
      </c>
      <c r="D646" s="291" t="s">
        <v>60</v>
      </c>
      <c r="E646" s="291" t="s">
        <v>3088</v>
      </c>
      <c r="F646" s="292">
        <v>44697</v>
      </c>
      <c r="G646" s="292"/>
      <c r="H646" s="292"/>
      <c r="I646" s="292"/>
      <c r="J646" s="292" t="s">
        <v>4</v>
      </c>
      <c r="K646" s="291" t="s">
        <v>1656</v>
      </c>
      <c r="L646" t="s">
        <v>1309</v>
      </c>
      <c r="M646" s="20">
        <v>44701</v>
      </c>
      <c r="N646" t="s">
        <v>3109</v>
      </c>
      <c r="O646" s="213">
        <v>44698</v>
      </c>
      <c r="R646" t="s">
        <v>26</v>
      </c>
      <c r="AA646" s="236"/>
      <c r="AD646" s="233">
        <v>44698</v>
      </c>
    </row>
    <row r="647" spans="1:30">
      <c r="A647" s="291">
        <f>COUNTA($E$3:E647)</f>
        <v>645</v>
      </c>
      <c r="B647" s="291" t="s">
        <v>3064</v>
      </c>
      <c r="C647" s="291" t="s">
        <v>41</v>
      </c>
      <c r="D647" s="291" t="s">
        <v>34</v>
      </c>
      <c r="E647" s="291" t="s">
        <v>3065</v>
      </c>
      <c r="F647" s="292">
        <v>44692.747534722221</v>
      </c>
      <c r="G647" s="292"/>
      <c r="H647" s="292"/>
      <c r="I647" s="292"/>
      <c r="J647" s="292" t="s">
        <v>4</v>
      </c>
      <c r="K647" s="291" t="s">
        <v>1264</v>
      </c>
      <c r="L647" t="s">
        <v>1289</v>
      </c>
      <c r="M647" s="20">
        <v>44701</v>
      </c>
      <c r="N647" t="s">
        <v>3109</v>
      </c>
      <c r="O647" s="213">
        <v>44718</v>
      </c>
      <c r="R647" t="s">
        <v>138</v>
      </c>
      <c r="AA647" s="236"/>
      <c r="AD647" s="233">
        <v>44718</v>
      </c>
    </row>
    <row r="648" spans="1:30">
      <c r="A648" s="291">
        <f>COUNTA($E$3:E648)</f>
        <v>646</v>
      </c>
      <c r="B648" s="291" t="s">
        <v>3063</v>
      </c>
      <c r="C648" s="291" t="s">
        <v>41</v>
      </c>
      <c r="D648" s="291" t="s">
        <v>34</v>
      </c>
      <c r="E648" s="291" t="s">
        <v>2299</v>
      </c>
      <c r="F648" s="292">
        <v>44692.747106481482</v>
      </c>
      <c r="G648" s="292"/>
      <c r="H648" s="292"/>
      <c r="I648" s="292"/>
      <c r="J648" s="292" t="s">
        <v>4</v>
      </c>
      <c r="K648" s="291" t="s">
        <v>1891</v>
      </c>
      <c r="L648" t="s">
        <v>1310</v>
      </c>
      <c r="M648" s="20">
        <v>44701</v>
      </c>
      <c r="N648" t="s">
        <v>3108</v>
      </c>
      <c r="O648" s="213">
        <v>44709</v>
      </c>
      <c r="R648" t="s">
        <v>138</v>
      </c>
      <c r="AA648" s="236"/>
      <c r="AD648" s="233">
        <v>44709</v>
      </c>
    </row>
    <row r="649" spans="1:30">
      <c r="A649" s="291">
        <f>COUNTA($E$3:E649)</f>
        <v>647</v>
      </c>
      <c r="B649" s="291" t="s">
        <v>3060</v>
      </c>
      <c r="C649" s="291" t="s">
        <v>25</v>
      </c>
      <c r="D649" s="291" t="s">
        <v>38</v>
      </c>
      <c r="E649" s="291" t="s">
        <v>3061</v>
      </c>
      <c r="F649" s="292">
        <v>44692.746203703704</v>
      </c>
      <c r="G649" s="292"/>
      <c r="H649" s="292"/>
      <c r="I649" s="292"/>
      <c r="J649" s="292" t="s">
        <v>4</v>
      </c>
      <c r="K649" s="291" t="s">
        <v>3102</v>
      </c>
      <c r="L649" t="s">
        <v>1289</v>
      </c>
      <c r="M649" s="20">
        <v>44701</v>
      </c>
      <c r="N649" t="s">
        <v>3106</v>
      </c>
      <c r="O649" s="213">
        <v>44700</v>
      </c>
      <c r="R649" t="s">
        <v>138</v>
      </c>
      <c r="AA649" s="236"/>
      <c r="AD649" s="233">
        <v>44700</v>
      </c>
    </row>
    <row r="650" spans="1:30">
      <c r="A650" s="291">
        <f>COUNTA($E$3:E650)</f>
        <v>648</v>
      </c>
      <c r="B650" s="291" t="s">
        <v>2783</v>
      </c>
      <c r="C650" s="291" t="s">
        <v>41</v>
      </c>
      <c r="D650" s="291" t="s">
        <v>31</v>
      </c>
      <c r="E650" s="291" t="s">
        <v>2784</v>
      </c>
      <c r="F650" s="292">
        <v>44655</v>
      </c>
      <c r="G650" s="292">
        <v>44658</v>
      </c>
      <c r="H650" s="292"/>
      <c r="I650" s="292">
        <v>44658</v>
      </c>
      <c r="J650" s="292" t="s">
        <v>4</v>
      </c>
      <c r="K650" s="291" t="s">
        <v>1105</v>
      </c>
      <c r="L650" t="s">
        <v>1311</v>
      </c>
      <c r="M650" s="20">
        <v>44701</v>
      </c>
      <c r="O650" s="213">
        <v>44701</v>
      </c>
      <c r="R650" t="s">
        <v>138</v>
      </c>
      <c r="AA650" s="236"/>
      <c r="AD650" s="233">
        <v>44701</v>
      </c>
    </row>
    <row r="651" spans="1:30">
      <c r="A651" s="291">
        <f>COUNTA($E$3:E651)</f>
        <v>649</v>
      </c>
      <c r="B651" s="291" t="s">
        <v>3029</v>
      </c>
      <c r="C651" s="291" t="s">
        <v>45</v>
      </c>
      <c r="D651" s="291" t="s">
        <v>49</v>
      </c>
      <c r="E651" s="291" t="s">
        <v>1972</v>
      </c>
      <c r="F651" s="292">
        <v>44687.089756944442</v>
      </c>
      <c r="G651" s="292"/>
      <c r="H651" s="292"/>
      <c r="I651" s="292"/>
      <c r="J651" s="292"/>
      <c r="K651" s="291" t="s">
        <v>1722</v>
      </c>
      <c r="L651" t="s">
        <v>1311</v>
      </c>
      <c r="M651" s="20">
        <v>44697</v>
      </c>
      <c r="N651" t="s">
        <v>3071</v>
      </c>
      <c r="O651" s="213">
        <v>44701</v>
      </c>
      <c r="R651" t="s">
        <v>138</v>
      </c>
      <c r="AA651" s="236"/>
      <c r="AD651" s="233">
        <v>44701</v>
      </c>
    </row>
    <row r="652" spans="1:30">
      <c r="A652" s="291">
        <f>COUNTA($E$3:E652)</f>
        <v>650</v>
      </c>
      <c r="B652" s="291" t="s">
        <v>3044</v>
      </c>
      <c r="C652" s="291" t="s">
        <v>48</v>
      </c>
      <c r="D652" s="291" t="s">
        <v>31</v>
      </c>
      <c r="E652" s="291" t="s">
        <v>3045</v>
      </c>
      <c r="F652" s="292">
        <v>44691.733912037038</v>
      </c>
      <c r="G652" s="292"/>
      <c r="H652" s="292"/>
      <c r="I652" s="292"/>
      <c r="J652" s="292" t="s">
        <v>1122</v>
      </c>
      <c r="K652" s="291" t="s">
        <v>2220</v>
      </c>
      <c r="M652" s="20">
        <v>44697</v>
      </c>
      <c r="N652" t="s">
        <v>3080</v>
      </c>
      <c r="O652" s="213">
        <v>44701</v>
      </c>
      <c r="R652" t="s">
        <v>138</v>
      </c>
      <c r="AA652" s="236"/>
      <c r="AD652" s="233">
        <v>44701</v>
      </c>
    </row>
    <row r="653" spans="1:30">
      <c r="A653" s="291">
        <f>COUNTA($E$3:E653)</f>
        <v>651</v>
      </c>
      <c r="B653" s="291" t="s">
        <v>3073</v>
      </c>
      <c r="C653" s="291" t="s">
        <v>45</v>
      </c>
      <c r="D653" s="291" t="s">
        <v>60</v>
      </c>
      <c r="E653" s="291" t="s">
        <v>1244</v>
      </c>
      <c r="F653" s="292">
        <v>44693</v>
      </c>
      <c r="G653" s="292"/>
      <c r="H653" s="292"/>
      <c r="I653" s="292"/>
      <c r="J653" s="292" t="s">
        <v>3</v>
      </c>
      <c r="K653" s="291" t="s">
        <v>1874</v>
      </c>
      <c r="L653" t="s">
        <v>37</v>
      </c>
      <c r="M653" s="20">
        <v>44697</v>
      </c>
      <c r="N653" t="s">
        <v>3081</v>
      </c>
      <c r="O653" s="213">
        <v>44701</v>
      </c>
      <c r="R653" t="s">
        <v>138</v>
      </c>
      <c r="AA653" s="236"/>
      <c r="AD653" s="233">
        <v>44701</v>
      </c>
    </row>
    <row r="654" spans="1:30">
      <c r="A654" s="291">
        <f>COUNTA($E$3:E654)</f>
        <v>652</v>
      </c>
      <c r="B654" s="291" t="s">
        <v>3049</v>
      </c>
      <c r="C654" s="291" t="s">
        <v>45</v>
      </c>
      <c r="D654" s="291" t="s">
        <v>55</v>
      </c>
      <c r="E654" s="291" t="s">
        <v>3050</v>
      </c>
      <c r="F654" s="292">
        <v>44692</v>
      </c>
      <c r="G654" s="292"/>
      <c r="H654" s="292"/>
      <c r="I654" s="292"/>
      <c r="J654" s="292" t="s">
        <v>3</v>
      </c>
      <c r="K654" s="291" t="s">
        <v>3051</v>
      </c>
      <c r="L654" t="s">
        <v>1309</v>
      </c>
      <c r="M654" s="20">
        <v>44697</v>
      </c>
      <c r="N654" t="s">
        <v>3071</v>
      </c>
      <c r="O654" s="213">
        <v>44701</v>
      </c>
      <c r="R654" t="s">
        <v>26</v>
      </c>
      <c r="AA654" s="236"/>
      <c r="AD654" s="233">
        <v>44701</v>
      </c>
    </row>
    <row r="655" spans="1:30">
      <c r="A655" s="291">
        <f>COUNTA($E$3:E655)</f>
        <v>653</v>
      </c>
      <c r="B655" s="291" t="s">
        <v>3042</v>
      </c>
      <c r="C655" s="291" t="s">
        <v>2353</v>
      </c>
      <c r="D655" s="291" t="s">
        <v>60</v>
      </c>
      <c r="E655" s="291" t="s">
        <v>2354</v>
      </c>
      <c r="F655" s="292">
        <v>44690</v>
      </c>
      <c r="G655" s="292"/>
      <c r="H655" s="292"/>
      <c r="I655" s="292"/>
      <c r="J655" s="292" t="s">
        <v>3</v>
      </c>
      <c r="K655" s="291" t="s">
        <v>21</v>
      </c>
      <c r="M655" s="20">
        <v>44697</v>
      </c>
      <c r="P655" t="s">
        <v>5053</v>
      </c>
      <c r="R655" t="s">
        <v>138</v>
      </c>
      <c r="AA655" s="236"/>
      <c r="AD655" s="233"/>
    </row>
    <row r="656" spans="1:30">
      <c r="A656" s="291">
        <f>COUNTA($E$3:E656)</f>
        <v>654</v>
      </c>
      <c r="B656" s="291" t="s">
        <v>3055</v>
      </c>
      <c r="C656" s="291" t="s">
        <v>25</v>
      </c>
      <c r="D656" s="291" t="s">
        <v>34</v>
      </c>
      <c r="E656" s="291" t="s">
        <v>3056</v>
      </c>
      <c r="F656" s="292">
        <v>44692.743449074071</v>
      </c>
      <c r="G656" s="292"/>
      <c r="H656" s="292"/>
      <c r="I656" s="292"/>
      <c r="J656" s="292" t="s">
        <v>4</v>
      </c>
      <c r="K656" s="291" t="s">
        <v>3077</v>
      </c>
      <c r="L656" t="s">
        <v>1289</v>
      </c>
      <c r="M656" s="20">
        <v>44697</v>
      </c>
      <c r="N656" t="s">
        <v>3079</v>
      </c>
      <c r="O656" s="213">
        <v>44700</v>
      </c>
      <c r="R656" t="s">
        <v>138</v>
      </c>
      <c r="AA656" s="236"/>
      <c r="AD656" s="233">
        <v>44700</v>
      </c>
    </row>
    <row r="657" spans="1:30">
      <c r="A657" s="291">
        <f>COUNTA($E$3:E657)</f>
        <v>655</v>
      </c>
      <c r="B657" s="291" t="s">
        <v>3043</v>
      </c>
      <c r="C657" s="291" t="s">
        <v>45</v>
      </c>
      <c r="D657" s="291" t="s">
        <v>27</v>
      </c>
      <c r="E657" s="291" t="s">
        <v>1287</v>
      </c>
      <c r="F657" s="292">
        <v>44691</v>
      </c>
      <c r="G657" s="292"/>
      <c r="H657" s="292"/>
      <c r="I657" s="292"/>
      <c r="J657" s="292" t="s">
        <v>4</v>
      </c>
      <c r="K657" s="291" t="s">
        <v>1938</v>
      </c>
      <c r="L657" t="s">
        <v>2058</v>
      </c>
      <c r="M657" s="20">
        <v>44697</v>
      </c>
      <c r="N657" t="s">
        <v>3072</v>
      </c>
      <c r="O657" s="213">
        <v>44701</v>
      </c>
      <c r="R657" t="s">
        <v>26</v>
      </c>
      <c r="AA657" s="236"/>
      <c r="AD657" s="233">
        <v>44701</v>
      </c>
    </row>
    <row r="658" spans="1:30">
      <c r="A658" s="291">
        <f>COUNTA($E$3:E658)</f>
        <v>656</v>
      </c>
      <c r="B658" s="291" t="s">
        <v>2552</v>
      </c>
      <c r="C658" s="291" t="s">
        <v>44</v>
      </c>
      <c r="D658" s="291" t="s">
        <v>1279</v>
      </c>
      <c r="E658" s="291" t="s">
        <v>2029</v>
      </c>
      <c r="F658" s="292">
        <v>44610</v>
      </c>
      <c r="G658" s="292"/>
      <c r="H658" s="292"/>
      <c r="I658" s="292" t="s">
        <v>59</v>
      </c>
      <c r="J658" s="292" t="s">
        <v>5</v>
      </c>
      <c r="K658" s="291" t="s">
        <v>1105</v>
      </c>
      <c r="L658" t="s">
        <v>1302</v>
      </c>
      <c r="M658" s="20">
        <v>44697</v>
      </c>
      <c r="N658" t="s">
        <v>3070</v>
      </c>
      <c r="O658" s="213">
        <v>44700</v>
      </c>
      <c r="R658" t="s">
        <v>138</v>
      </c>
      <c r="AA658" s="236"/>
      <c r="AD658" s="233">
        <v>44700</v>
      </c>
    </row>
    <row r="659" spans="1:30">
      <c r="A659" s="291">
        <f>COUNTA($E$3:E659)</f>
        <v>657</v>
      </c>
      <c r="B659" s="291" t="s">
        <v>2851</v>
      </c>
      <c r="C659" s="291" t="s">
        <v>1118</v>
      </c>
      <c r="D659" s="291" t="s">
        <v>1110</v>
      </c>
      <c r="E659" s="291" t="s">
        <v>2852</v>
      </c>
      <c r="F659" s="292">
        <v>44666.517303993103</v>
      </c>
      <c r="G659" s="292"/>
      <c r="H659" s="292"/>
      <c r="I659" s="292"/>
      <c r="J659" s="292" t="s">
        <v>1122</v>
      </c>
      <c r="K659" s="291" t="s">
        <v>1105</v>
      </c>
      <c r="L659" t="s">
        <v>1302</v>
      </c>
      <c r="M659" s="20">
        <v>44689</v>
      </c>
      <c r="N659" t="s">
        <v>3034</v>
      </c>
      <c r="O659" s="213">
        <v>44679</v>
      </c>
      <c r="R659" t="s">
        <v>138</v>
      </c>
      <c r="AA659" s="236"/>
      <c r="AD659" s="233">
        <v>44679</v>
      </c>
    </row>
    <row r="660" spans="1:30">
      <c r="A660" s="291">
        <f>COUNTA($E$3:E660)</f>
        <v>658</v>
      </c>
      <c r="B660" s="291" t="s">
        <v>3021</v>
      </c>
      <c r="C660" s="291" t="s">
        <v>2356</v>
      </c>
      <c r="D660" s="291" t="s">
        <v>1092</v>
      </c>
      <c r="E660" s="291" t="s">
        <v>2357</v>
      </c>
      <c r="F660" s="292">
        <v>44686</v>
      </c>
      <c r="G660" s="292"/>
      <c r="H660" s="292"/>
      <c r="I660" s="292"/>
      <c r="J660" s="292" t="s">
        <v>3</v>
      </c>
      <c r="K660" s="291" t="s">
        <v>1738</v>
      </c>
      <c r="L660" t="s">
        <v>297</v>
      </c>
      <c r="M660" s="20">
        <v>44689</v>
      </c>
      <c r="N660" t="s">
        <v>3033</v>
      </c>
      <c r="O660" s="213">
        <v>44705</v>
      </c>
      <c r="R660" t="s">
        <v>26</v>
      </c>
      <c r="AA660" s="236"/>
      <c r="AD660" s="233">
        <v>44705</v>
      </c>
    </row>
    <row r="661" spans="1:30">
      <c r="A661" s="291">
        <f>COUNTA($E$3:E661)</f>
        <v>659</v>
      </c>
      <c r="B661" s="291" t="s">
        <v>2997</v>
      </c>
      <c r="C661" s="291" t="s">
        <v>45</v>
      </c>
      <c r="D661" s="291" t="s">
        <v>34</v>
      </c>
      <c r="E661" s="291" t="s">
        <v>2996</v>
      </c>
      <c r="F661" s="292">
        <v>44678</v>
      </c>
      <c r="G661" s="292"/>
      <c r="H661" s="292"/>
      <c r="I661" s="292"/>
      <c r="J661" s="292" t="s">
        <v>3</v>
      </c>
      <c r="K661" s="291" t="s">
        <v>3022</v>
      </c>
      <c r="L661" t="s">
        <v>1309</v>
      </c>
      <c r="M661" s="20">
        <v>44689</v>
      </c>
      <c r="N661" t="s">
        <v>3030</v>
      </c>
      <c r="O661" s="213">
        <v>44689</v>
      </c>
      <c r="R661" t="s">
        <v>26</v>
      </c>
      <c r="AA661" s="236"/>
      <c r="AD661" s="233">
        <v>44689</v>
      </c>
    </row>
    <row r="662" spans="1:30">
      <c r="A662" s="291">
        <f>COUNTA($E$3:E662)</f>
        <v>660</v>
      </c>
      <c r="B662" s="291" t="s">
        <v>3019</v>
      </c>
      <c r="C662" s="291" t="s">
        <v>41</v>
      </c>
      <c r="D662" s="291" t="s">
        <v>34</v>
      </c>
      <c r="E662" s="291" t="s">
        <v>3020</v>
      </c>
      <c r="F662" s="292">
        <v>44686</v>
      </c>
      <c r="G662" s="292"/>
      <c r="H662" s="292"/>
      <c r="I662" s="292"/>
      <c r="J662" s="292" t="s">
        <v>4</v>
      </c>
      <c r="K662" s="291" t="s">
        <v>1658</v>
      </c>
      <c r="L662" t="s">
        <v>1302</v>
      </c>
      <c r="M662" s="20">
        <v>44689</v>
      </c>
      <c r="N662" t="s">
        <v>3032</v>
      </c>
      <c r="O662" s="213">
        <v>44692</v>
      </c>
      <c r="R662" t="s">
        <v>138</v>
      </c>
      <c r="AA662" s="236"/>
      <c r="AD662" s="233">
        <v>44692</v>
      </c>
    </row>
    <row r="663" spans="1:30">
      <c r="A663" s="291">
        <f>COUNTA($E$3:E663)</f>
        <v>661</v>
      </c>
      <c r="B663" s="291" t="s">
        <v>3011</v>
      </c>
      <c r="C663" s="291" t="s">
        <v>41</v>
      </c>
      <c r="D663" s="291" t="s">
        <v>34</v>
      </c>
      <c r="E663" s="291" t="s">
        <v>1303</v>
      </c>
      <c r="F663" s="292">
        <v>44685</v>
      </c>
      <c r="G663" s="292"/>
      <c r="H663" s="292"/>
      <c r="I663" s="292"/>
      <c r="J663" s="292" t="s">
        <v>4</v>
      </c>
      <c r="K663" s="291" t="s">
        <v>1264</v>
      </c>
      <c r="L663" t="s">
        <v>1302</v>
      </c>
      <c r="M663" s="20">
        <v>44689</v>
      </c>
      <c r="N663" t="s">
        <v>3031</v>
      </c>
      <c r="O663" s="213">
        <v>44692</v>
      </c>
      <c r="R663" t="s">
        <v>138</v>
      </c>
      <c r="AA663" s="236"/>
      <c r="AD663" s="233">
        <v>44692</v>
      </c>
    </row>
    <row r="664" spans="1:30">
      <c r="A664" s="291">
        <f>COUNTA($E$3:E664)</f>
        <v>662</v>
      </c>
      <c r="B664" s="291" t="s">
        <v>3010</v>
      </c>
      <c r="C664" s="291" t="s">
        <v>41</v>
      </c>
      <c r="D664" s="291" t="s">
        <v>38</v>
      </c>
      <c r="E664" s="291" t="s">
        <v>1119</v>
      </c>
      <c r="F664" s="292">
        <v>44685</v>
      </c>
      <c r="G664" s="292"/>
      <c r="H664" s="292"/>
      <c r="I664" s="292"/>
      <c r="J664" s="292" t="s">
        <v>4</v>
      </c>
      <c r="K664" s="291" t="s">
        <v>1227</v>
      </c>
      <c r="L664" t="s">
        <v>1302</v>
      </c>
      <c r="M664" s="20">
        <v>44689</v>
      </c>
      <c r="N664" t="s">
        <v>3031</v>
      </c>
      <c r="O664" s="213">
        <v>44692</v>
      </c>
      <c r="R664" t="s">
        <v>138</v>
      </c>
      <c r="AA664" s="236"/>
      <c r="AD664" s="233">
        <v>44692</v>
      </c>
    </row>
    <row r="665" spans="1:30">
      <c r="A665" s="291">
        <f>COUNTA($E$3:E665)</f>
        <v>663</v>
      </c>
      <c r="B665" s="291" t="s">
        <v>3009</v>
      </c>
      <c r="C665" s="291" t="s">
        <v>41</v>
      </c>
      <c r="D665" s="291" t="s">
        <v>38</v>
      </c>
      <c r="E665" s="291" t="s">
        <v>1860</v>
      </c>
      <c r="F665" s="292">
        <v>44685</v>
      </c>
      <c r="G665" s="292"/>
      <c r="H665" s="292"/>
      <c r="I665" s="292"/>
      <c r="J665" s="292" t="s">
        <v>4</v>
      </c>
      <c r="K665" s="291" t="s">
        <v>1227</v>
      </c>
      <c r="L665" t="s">
        <v>1302</v>
      </c>
      <c r="M665" s="20">
        <v>44689</v>
      </c>
      <c r="N665" t="s">
        <v>3031</v>
      </c>
      <c r="O665" s="213">
        <v>44692</v>
      </c>
      <c r="R665" t="s">
        <v>138</v>
      </c>
      <c r="AA665" s="236"/>
      <c r="AD665" s="233">
        <v>44692</v>
      </c>
    </row>
    <row r="666" spans="1:30">
      <c r="A666" s="291">
        <f>COUNTA($E$3:E666)</f>
        <v>664</v>
      </c>
      <c r="B666" s="291" t="s">
        <v>3007</v>
      </c>
      <c r="C666" s="291" t="s">
        <v>45</v>
      </c>
      <c r="D666" s="291" t="s">
        <v>34</v>
      </c>
      <c r="E666" s="291" t="s">
        <v>3008</v>
      </c>
      <c r="F666" s="292">
        <v>44685.742858796293</v>
      </c>
      <c r="G666" s="292"/>
      <c r="H666" s="292"/>
      <c r="I666" s="292"/>
      <c r="J666" s="292" t="s">
        <v>4</v>
      </c>
      <c r="K666" s="291" t="s">
        <v>1227</v>
      </c>
      <c r="L666" t="s">
        <v>2058</v>
      </c>
      <c r="M666" s="20">
        <v>44689</v>
      </c>
      <c r="N666" t="s">
        <v>3035</v>
      </c>
      <c r="O666" s="213">
        <v>44701</v>
      </c>
      <c r="R666" t="s">
        <v>26</v>
      </c>
      <c r="AA666" s="236"/>
      <c r="AD666" s="233">
        <v>44701</v>
      </c>
    </row>
    <row r="667" spans="1:30">
      <c r="A667" s="291">
        <f>COUNTA($E$3:E667)</f>
        <v>665</v>
      </c>
      <c r="B667" s="291" t="s">
        <v>2968</v>
      </c>
      <c r="C667" s="291" t="s">
        <v>48</v>
      </c>
      <c r="D667" s="291" t="s">
        <v>55</v>
      </c>
      <c r="E667" s="291" t="s">
        <v>268</v>
      </c>
      <c r="F667" s="292">
        <v>44676.793408888901</v>
      </c>
      <c r="G667" s="292"/>
      <c r="H667" s="292"/>
      <c r="I667" s="292"/>
      <c r="J667" s="292" t="s">
        <v>4</v>
      </c>
      <c r="K667" s="291" t="s">
        <v>2989</v>
      </c>
      <c r="L667" t="s">
        <v>1310</v>
      </c>
      <c r="M667" s="20">
        <v>44689</v>
      </c>
      <c r="N667" t="s">
        <v>3024</v>
      </c>
      <c r="O667" s="213">
        <v>44701</v>
      </c>
      <c r="R667" t="s">
        <v>138</v>
      </c>
      <c r="AA667" s="236"/>
      <c r="AD667" s="233">
        <v>44701</v>
      </c>
    </row>
    <row r="668" spans="1:30">
      <c r="A668" s="291">
        <f>COUNTA($E$3:E668)</f>
        <v>666</v>
      </c>
      <c r="B668" s="291" t="s">
        <v>2969</v>
      </c>
      <c r="C668" s="291" t="s">
        <v>2366</v>
      </c>
      <c r="D668" s="291" t="s">
        <v>2367</v>
      </c>
      <c r="E668" s="291" t="s">
        <v>2936</v>
      </c>
      <c r="F668" s="292">
        <v>44678</v>
      </c>
      <c r="G668" s="292"/>
      <c r="H668" s="292"/>
      <c r="I668" s="292"/>
      <c r="J668" s="292" t="s">
        <v>3</v>
      </c>
      <c r="K668" s="291" t="s">
        <v>2970</v>
      </c>
      <c r="L668" t="s">
        <v>24</v>
      </c>
      <c r="M668" s="20">
        <v>44685</v>
      </c>
      <c r="N668" t="s">
        <v>2995</v>
      </c>
      <c r="O668" s="213">
        <v>44685</v>
      </c>
      <c r="R668" t="s">
        <v>26</v>
      </c>
      <c r="AA668" s="236"/>
      <c r="AD668" s="233">
        <v>44685</v>
      </c>
    </row>
    <row r="669" spans="1:30">
      <c r="A669" s="291">
        <f>COUNTA($E$3:E669)</f>
        <v>667</v>
      </c>
      <c r="B669" s="291" t="s">
        <v>2965</v>
      </c>
      <c r="C669" s="291" t="s">
        <v>25</v>
      </c>
      <c r="D669" s="291" t="s">
        <v>27</v>
      </c>
      <c r="E669" s="291" t="s">
        <v>1668</v>
      </c>
      <c r="F669" s="292">
        <v>44676</v>
      </c>
      <c r="G669" s="292"/>
      <c r="H669" s="292"/>
      <c r="I669" s="292"/>
      <c r="J669" s="292" t="s">
        <v>4</v>
      </c>
      <c r="K669" s="291" t="s">
        <v>1500</v>
      </c>
      <c r="L669" t="s">
        <v>1311</v>
      </c>
      <c r="M669" s="20">
        <v>44685</v>
      </c>
      <c r="N669" t="s">
        <v>2994</v>
      </c>
      <c r="O669" s="213">
        <v>44690</v>
      </c>
      <c r="R669" t="s">
        <v>138</v>
      </c>
      <c r="AA669" s="236"/>
      <c r="AD669" s="233">
        <v>44690</v>
      </c>
    </row>
    <row r="670" spans="1:30">
      <c r="A670" s="291">
        <f>COUNTA($E$3:E670)</f>
        <v>668</v>
      </c>
      <c r="B670" s="291" t="s">
        <v>2964</v>
      </c>
      <c r="C670" s="291" t="s">
        <v>25</v>
      </c>
      <c r="D670" s="291" t="s">
        <v>38</v>
      </c>
      <c r="E670" s="291" t="s">
        <v>1271</v>
      </c>
      <c r="F670" s="292">
        <v>44676</v>
      </c>
      <c r="G670" s="292"/>
      <c r="H670" s="292"/>
      <c r="I670" s="292"/>
      <c r="J670" s="292" t="s">
        <v>4</v>
      </c>
      <c r="K670" s="291" t="s">
        <v>1500</v>
      </c>
      <c r="L670" t="s">
        <v>1192</v>
      </c>
      <c r="M670" s="20">
        <v>44685</v>
      </c>
      <c r="N670" t="s">
        <v>2993</v>
      </c>
      <c r="O670" s="213">
        <v>44690</v>
      </c>
      <c r="R670" t="s">
        <v>138</v>
      </c>
      <c r="AA670" s="236"/>
      <c r="AD670" s="233">
        <v>44690</v>
      </c>
    </row>
    <row r="671" spans="1:30">
      <c r="A671" s="291">
        <f>COUNTA($E$3:E671)</f>
        <v>669</v>
      </c>
      <c r="B671" s="291" t="s">
        <v>2963</v>
      </c>
      <c r="C671" s="291" t="s">
        <v>25</v>
      </c>
      <c r="D671" s="291" t="s">
        <v>34</v>
      </c>
      <c r="E671" s="291" t="s">
        <v>1267</v>
      </c>
      <c r="F671" s="292">
        <v>44676</v>
      </c>
      <c r="G671" s="292"/>
      <c r="H671" s="292"/>
      <c r="I671" s="292"/>
      <c r="J671" s="292" t="s">
        <v>4</v>
      </c>
      <c r="K671" s="291" t="s">
        <v>1227</v>
      </c>
      <c r="L671" t="s">
        <v>1311</v>
      </c>
      <c r="M671" s="20">
        <v>44685</v>
      </c>
      <c r="N671" t="s">
        <v>2992</v>
      </c>
      <c r="O671" s="213">
        <v>44690</v>
      </c>
      <c r="R671" t="s">
        <v>138</v>
      </c>
      <c r="AA671" s="236"/>
      <c r="AD671" s="233">
        <v>44690</v>
      </c>
    </row>
    <row r="672" spans="1:30">
      <c r="A672" s="291">
        <f>COUNTA($E$3:E672)</f>
        <v>670</v>
      </c>
      <c r="B672" s="291" t="s">
        <v>2961</v>
      </c>
      <c r="C672" s="291" t="s">
        <v>25</v>
      </c>
      <c r="D672" s="291" t="s">
        <v>34</v>
      </c>
      <c r="E672" s="291" t="s">
        <v>2730</v>
      </c>
      <c r="F672" s="292">
        <v>44676</v>
      </c>
      <c r="G672" s="292"/>
      <c r="H672" s="292"/>
      <c r="I672" s="292"/>
      <c r="J672" s="292" t="s">
        <v>4</v>
      </c>
      <c r="K672" s="291" t="s">
        <v>2962</v>
      </c>
      <c r="L672" t="s">
        <v>1311</v>
      </c>
      <c r="M672" s="20">
        <v>44685</v>
      </c>
      <c r="N672" t="s">
        <v>2992</v>
      </c>
      <c r="O672" s="213">
        <v>44690</v>
      </c>
      <c r="R672" t="s">
        <v>138</v>
      </c>
      <c r="AA672" s="236"/>
      <c r="AD672" s="233">
        <v>44690</v>
      </c>
    </row>
    <row r="673" spans="1:30">
      <c r="A673" s="291">
        <f>COUNTA($E$3:E673)</f>
        <v>671</v>
      </c>
      <c r="B673" s="291" t="s">
        <v>2956</v>
      </c>
      <c r="C673" s="291" t="s">
        <v>69</v>
      </c>
      <c r="D673" s="291" t="s">
        <v>35</v>
      </c>
      <c r="E673" s="291" t="s">
        <v>1241</v>
      </c>
      <c r="F673" s="292">
        <v>44676</v>
      </c>
      <c r="G673" s="292"/>
      <c r="H673" s="292"/>
      <c r="I673" s="292"/>
      <c r="J673" s="292" t="s">
        <v>4</v>
      </c>
      <c r="K673" s="291" t="s">
        <v>2957</v>
      </c>
      <c r="L673" t="s">
        <v>1309</v>
      </c>
      <c r="M673" s="20">
        <v>44685</v>
      </c>
      <c r="N673" t="s">
        <v>2991</v>
      </c>
      <c r="O673" s="213">
        <v>44705</v>
      </c>
      <c r="R673" t="s">
        <v>26</v>
      </c>
      <c r="AA673" s="236"/>
      <c r="AD673" s="233">
        <v>44705</v>
      </c>
    </row>
    <row r="674" spans="1:30">
      <c r="A674" s="291">
        <f>COUNTA($E$3:E674)</f>
        <v>672</v>
      </c>
      <c r="B674" s="291" t="s">
        <v>2906</v>
      </c>
      <c r="C674" s="291" t="s">
        <v>295</v>
      </c>
      <c r="D674" s="291" t="s">
        <v>38</v>
      </c>
      <c r="E674" s="291" t="s">
        <v>1265</v>
      </c>
      <c r="F674" s="292">
        <v>44672</v>
      </c>
      <c r="G674" s="292"/>
      <c r="H674" s="292"/>
      <c r="I674" s="292"/>
      <c r="J674" s="292" t="s">
        <v>4</v>
      </c>
      <c r="K674" s="291" t="s">
        <v>1775</v>
      </c>
      <c r="L674" t="s">
        <v>2058</v>
      </c>
      <c r="M674" s="20">
        <v>44685</v>
      </c>
      <c r="N674" t="s">
        <v>2979</v>
      </c>
      <c r="O674" s="213">
        <v>44685</v>
      </c>
      <c r="R674" t="s">
        <v>26</v>
      </c>
      <c r="AA674" s="236"/>
      <c r="AD674" s="233">
        <v>44685</v>
      </c>
    </row>
    <row r="675" spans="1:30">
      <c r="A675" s="291">
        <f>COUNTA($E$3:E675)</f>
        <v>673</v>
      </c>
      <c r="B675" s="291" t="s">
        <v>2971</v>
      </c>
      <c r="C675" s="291" t="s">
        <v>2457</v>
      </c>
      <c r="D675" s="291" t="s">
        <v>1110</v>
      </c>
      <c r="E675" s="291" t="s">
        <v>2458</v>
      </c>
      <c r="F675" s="292">
        <v>44678</v>
      </c>
      <c r="G675" s="292"/>
      <c r="H675" s="292"/>
      <c r="I675" s="292"/>
      <c r="J675" s="292" t="s">
        <v>5</v>
      </c>
      <c r="K675" s="291" t="s">
        <v>1722</v>
      </c>
      <c r="L675" t="s">
        <v>297</v>
      </c>
      <c r="M675" s="20">
        <v>44685</v>
      </c>
      <c r="N675" t="s">
        <v>2995</v>
      </c>
      <c r="O675" s="213">
        <v>44691</v>
      </c>
      <c r="R675" t="s">
        <v>138</v>
      </c>
      <c r="AA675" s="236"/>
      <c r="AD675" s="233">
        <v>44691</v>
      </c>
    </row>
    <row r="676" spans="1:30">
      <c r="A676" s="291">
        <f>COUNTA($E$3:E676)</f>
        <v>674</v>
      </c>
      <c r="B676" s="291" t="s">
        <v>2845</v>
      </c>
      <c r="C676" s="291" t="s">
        <v>48</v>
      </c>
      <c r="D676" s="291" t="s">
        <v>49</v>
      </c>
      <c r="E676" s="291" t="s">
        <v>2846</v>
      </c>
      <c r="F676" s="292">
        <v>44666</v>
      </c>
      <c r="G676" s="292"/>
      <c r="H676" s="292"/>
      <c r="I676" s="292"/>
      <c r="J676" s="292" t="s">
        <v>1122</v>
      </c>
      <c r="K676" s="291" t="s">
        <v>2220</v>
      </c>
      <c r="L676" t="s">
        <v>1310</v>
      </c>
      <c r="M676" s="20">
        <v>44673</v>
      </c>
      <c r="N676" t="s">
        <v>2914</v>
      </c>
      <c r="O676" s="213">
        <v>44673</v>
      </c>
      <c r="R676" t="s">
        <v>138</v>
      </c>
      <c r="AA676" s="236"/>
      <c r="AD676" s="233">
        <v>44673</v>
      </c>
    </row>
    <row r="677" spans="1:30">
      <c r="A677" s="291">
        <f>COUNTA($E$3:E677)</f>
        <v>675</v>
      </c>
      <c r="B677" s="291" t="s">
        <v>2862</v>
      </c>
      <c r="C677" s="291" t="s">
        <v>1820</v>
      </c>
      <c r="D677" s="291" t="s">
        <v>1821</v>
      </c>
      <c r="E677" s="291" t="s">
        <v>1822</v>
      </c>
      <c r="F677" s="292">
        <v>44669</v>
      </c>
      <c r="G677" s="292"/>
      <c r="H677" s="292"/>
      <c r="I677" s="292"/>
      <c r="J677" s="292" t="s">
        <v>3</v>
      </c>
      <c r="K677" s="291" t="s">
        <v>1871</v>
      </c>
      <c r="L677" t="s">
        <v>28</v>
      </c>
      <c r="M677" s="20">
        <v>44673</v>
      </c>
      <c r="O677" s="213">
        <v>44701</v>
      </c>
      <c r="R677" t="s">
        <v>26</v>
      </c>
      <c r="AA677" s="236"/>
      <c r="AD677" s="233">
        <v>44701</v>
      </c>
    </row>
    <row r="678" spans="1:30">
      <c r="A678" s="291">
        <f>COUNTA($E$3:E678)</f>
        <v>676</v>
      </c>
      <c r="B678" s="291" t="s">
        <v>2833</v>
      </c>
      <c r="C678" s="291" t="s">
        <v>45</v>
      </c>
      <c r="D678" s="291" t="s">
        <v>42</v>
      </c>
      <c r="E678" s="291" t="s">
        <v>2834</v>
      </c>
      <c r="F678" s="292">
        <v>44665.451366527799</v>
      </c>
      <c r="G678" s="292"/>
      <c r="H678" s="292"/>
      <c r="I678" s="292"/>
      <c r="J678" s="292" t="s">
        <v>3</v>
      </c>
      <c r="K678" s="291" t="s">
        <v>2816</v>
      </c>
      <c r="L678" t="s">
        <v>2058</v>
      </c>
      <c r="M678" s="20">
        <v>44673</v>
      </c>
      <c r="N678" t="s">
        <v>2913</v>
      </c>
      <c r="O678" s="213">
        <v>44673</v>
      </c>
      <c r="R678" t="s">
        <v>26</v>
      </c>
      <c r="AA678" s="236"/>
      <c r="AD678" s="233">
        <v>44673</v>
      </c>
    </row>
    <row r="679" spans="1:30">
      <c r="A679" s="291">
        <f>COUNTA($E$3:E679)</f>
        <v>677</v>
      </c>
      <c r="B679" s="291" t="s">
        <v>2507</v>
      </c>
      <c r="C679" s="291" t="s">
        <v>1089</v>
      </c>
      <c r="D679" s="291" t="s">
        <v>62</v>
      </c>
      <c r="E679" s="291" t="s">
        <v>2508</v>
      </c>
      <c r="F679" s="292">
        <v>44600</v>
      </c>
      <c r="G679" s="292">
        <v>44603</v>
      </c>
      <c r="H679" s="292"/>
      <c r="I679" s="292">
        <v>44602</v>
      </c>
      <c r="J679" s="292" t="s">
        <v>3</v>
      </c>
      <c r="K679" s="291" t="s">
        <v>1682</v>
      </c>
      <c r="L679" t="s">
        <v>1309</v>
      </c>
      <c r="M679" s="20">
        <v>44673</v>
      </c>
      <c r="N679" t="s">
        <v>2912</v>
      </c>
      <c r="O679" s="213">
        <v>44819</v>
      </c>
      <c r="R679" t="s">
        <v>26</v>
      </c>
      <c r="AA679" s="236"/>
      <c r="AD679" s="233">
        <v>44819</v>
      </c>
    </row>
    <row r="680" spans="1:30">
      <c r="A680" s="291">
        <f>COUNTA($E$3:E680)</f>
        <v>678</v>
      </c>
      <c r="B680" s="291" t="s">
        <v>2899</v>
      </c>
      <c r="C680" s="291" t="s">
        <v>2426</v>
      </c>
      <c r="D680" s="291" t="s">
        <v>1136</v>
      </c>
      <c r="E680" s="291" t="s">
        <v>2900</v>
      </c>
      <c r="F680" s="292">
        <v>44672</v>
      </c>
      <c r="G680" s="292"/>
      <c r="H680" s="292"/>
      <c r="I680" s="292"/>
      <c r="J680" s="292" t="s">
        <v>4</v>
      </c>
      <c r="K680" s="291" t="s">
        <v>2901</v>
      </c>
      <c r="L680" t="s">
        <v>1309</v>
      </c>
      <c r="M680" s="20">
        <v>44673</v>
      </c>
      <c r="N680" t="s">
        <v>2935</v>
      </c>
      <c r="O680" s="213">
        <v>44676</v>
      </c>
      <c r="R680" t="s">
        <v>26</v>
      </c>
      <c r="AA680" s="236"/>
      <c r="AD680" s="233">
        <v>44676</v>
      </c>
    </row>
    <row r="681" spans="1:30">
      <c r="A681" s="291">
        <f>COUNTA($E$3:E681)</f>
        <v>679</v>
      </c>
      <c r="B681" s="291" t="s">
        <v>2877</v>
      </c>
      <c r="C681" s="291" t="s">
        <v>44</v>
      </c>
      <c r="D681" s="291" t="s">
        <v>1135</v>
      </c>
      <c r="E681" s="291" t="s">
        <v>2878</v>
      </c>
      <c r="F681" s="292">
        <v>44671</v>
      </c>
      <c r="G681" s="292"/>
      <c r="H681" s="292"/>
      <c r="I681" s="292"/>
      <c r="J681" s="292" t="s">
        <v>4</v>
      </c>
      <c r="K681" s="291" t="s">
        <v>1500</v>
      </c>
      <c r="L681" t="s">
        <v>1311</v>
      </c>
      <c r="M681" s="20">
        <v>44673</v>
      </c>
      <c r="N681" t="s">
        <v>2935</v>
      </c>
      <c r="O681" s="213">
        <v>44676</v>
      </c>
      <c r="R681" t="s">
        <v>138</v>
      </c>
      <c r="AA681" s="236"/>
      <c r="AD681" s="233">
        <v>44676</v>
      </c>
    </row>
    <row r="682" spans="1:30">
      <c r="A682" s="291">
        <f>COUNTA($E$3:E682)</f>
        <v>680</v>
      </c>
      <c r="B682" s="291" t="s">
        <v>2872</v>
      </c>
      <c r="C682" s="291" t="s">
        <v>1118</v>
      </c>
      <c r="D682" s="291" t="s">
        <v>20</v>
      </c>
      <c r="E682" s="291" t="s">
        <v>2873</v>
      </c>
      <c r="F682" s="292">
        <v>44670</v>
      </c>
      <c r="G682" s="292"/>
      <c r="H682" s="292"/>
      <c r="I682" s="292"/>
      <c r="J682" s="292" t="s">
        <v>4</v>
      </c>
      <c r="K682" s="291" t="s">
        <v>2874</v>
      </c>
      <c r="L682" t="s">
        <v>1302</v>
      </c>
      <c r="M682" s="20">
        <v>44673</v>
      </c>
      <c r="N682" t="s">
        <v>2915</v>
      </c>
      <c r="O682" s="213">
        <v>44760</v>
      </c>
      <c r="R682" t="s">
        <v>138</v>
      </c>
      <c r="AA682" s="236"/>
      <c r="AD682" s="233">
        <v>44760</v>
      </c>
    </row>
    <row r="683" spans="1:30">
      <c r="A683" s="291">
        <f>COUNTA($E$3:E683)</f>
        <v>681</v>
      </c>
      <c r="B683" s="291" t="s">
        <v>2848</v>
      </c>
      <c r="C683" s="291" t="s">
        <v>48</v>
      </c>
      <c r="D683" s="291" t="s">
        <v>38</v>
      </c>
      <c r="E683" s="291" t="s">
        <v>135</v>
      </c>
      <c r="F683" s="292">
        <v>44666.446438055602</v>
      </c>
      <c r="G683" s="292"/>
      <c r="H683" s="292"/>
      <c r="I683" s="292"/>
      <c r="J683" s="292" t="s">
        <v>4</v>
      </c>
      <c r="K683" s="291" t="s">
        <v>1227</v>
      </c>
      <c r="L683" t="s">
        <v>1310</v>
      </c>
      <c r="M683" s="20">
        <v>44673</v>
      </c>
      <c r="N683" t="s">
        <v>2937</v>
      </c>
      <c r="O683" s="213">
        <v>44675</v>
      </c>
      <c r="R683" t="s">
        <v>138</v>
      </c>
      <c r="AA683" s="236"/>
      <c r="AD683" s="233">
        <v>44675</v>
      </c>
    </row>
    <row r="684" spans="1:30">
      <c r="A684" s="291">
        <f>COUNTA($E$3:E684)</f>
        <v>682</v>
      </c>
      <c r="B684" s="291" t="s">
        <v>2875</v>
      </c>
      <c r="C684" s="291" t="s">
        <v>48</v>
      </c>
      <c r="D684" s="291" t="s">
        <v>49</v>
      </c>
      <c r="E684" s="291" t="s">
        <v>136</v>
      </c>
      <c r="F684" s="292">
        <v>44671</v>
      </c>
      <c r="G684" s="292"/>
      <c r="H684" s="292"/>
      <c r="I684" s="292"/>
      <c r="J684" s="292" t="s">
        <v>5</v>
      </c>
      <c r="K684" s="291" t="s">
        <v>2876</v>
      </c>
      <c r="L684" t="s">
        <v>1310</v>
      </c>
      <c r="M684" s="20">
        <v>44673</v>
      </c>
      <c r="N684" t="s">
        <v>2916</v>
      </c>
      <c r="O684" s="213">
        <v>44675</v>
      </c>
      <c r="R684" t="s">
        <v>138</v>
      </c>
      <c r="AA684" s="236"/>
      <c r="AD684" s="233">
        <v>44675</v>
      </c>
    </row>
    <row r="685" spans="1:30">
      <c r="A685" s="291">
        <f>COUNTA($E$3:E685)</f>
        <v>683</v>
      </c>
      <c r="B685" s="291" t="s">
        <v>2863</v>
      </c>
      <c r="C685" s="291" t="s">
        <v>41</v>
      </c>
      <c r="D685" s="291" t="s">
        <v>2864</v>
      </c>
      <c r="E685" s="291" t="s">
        <v>2865</v>
      </c>
      <c r="F685" s="292">
        <v>44672.624144000001</v>
      </c>
      <c r="G685" s="292"/>
      <c r="H685" s="292"/>
      <c r="I685" s="292"/>
      <c r="J685" s="292" t="s">
        <v>5</v>
      </c>
      <c r="K685" s="291" t="s">
        <v>2866</v>
      </c>
      <c r="L685" t="s">
        <v>1302</v>
      </c>
      <c r="M685" s="20">
        <v>44673</v>
      </c>
      <c r="N685" t="s">
        <v>2915</v>
      </c>
      <c r="O685" s="213">
        <v>44803</v>
      </c>
      <c r="R685" t="s">
        <v>138</v>
      </c>
      <c r="AA685" s="236"/>
      <c r="AD685" s="233">
        <v>44803</v>
      </c>
    </row>
    <row r="686" spans="1:30">
      <c r="A686" s="291">
        <f>COUNTA($E$3:E686)</f>
        <v>684</v>
      </c>
      <c r="B686" s="291" t="s">
        <v>2832</v>
      </c>
      <c r="C686" s="291" t="s">
        <v>48</v>
      </c>
      <c r="D686" s="291" t="s">
        <v>34</v>
      </c>
      <c r="E686" s="291" t="s">
        <v>118</v>
      </c>
      <c r="F686" s="292">
        <v>44665</v>
      </c>
      <c r="G686" s="292"/>
      <c r="H686" s="292"/>
      <c r="I686" s="292"/>
      <c r="J686" s="292" t="s">
        <v>3</v>
      </c>
      <c r="K686" s="291" t="s">
        <v>2182</v>
      </c>
      <c r="L686" t="s">
        <v>24</v>
      </c>
      <c r="M686" s="20">
        <v>44666</v>
      </c>
      <c r="N686" t="s">
        <v>2844</v>
      </c>
      <c r="O686" s="213">
        <v>44666</v>
      </c>
      <c r="R686" t="s">
        <v>26</v>
      </c>
      <c r="AA686" s="236"/>
      <c r="AD686" s="233">
        <v>44666</v>
      </c>
    </row>
    <row r="687" spans="1:30">
      <c r="A687" s="291">
        <f>COUNTA($E$3:E687)</f>
        <v>685</v>
      </c>
      <c r="B687" s="291" t="s">
        <v>2827</v>
      </c>
      <c r="C687" s="291" t="s">
        <v>45</v>
      </c>
      <c r="D687" s="291" t="s">
        <v>1136</v>
      </c>
      <c r="E687" s="291" t="s">
        <v>1196</v>
      </c>
      <c r="F687" s="292">
        <v>44664</v>
      </c>
      <c r="G687" s="292"/>
      <c r="H687" s="292"/>
      <c r="I687" s="292"/>
      <c r="J687" s="292" t="s">
        <v>3</v>
      </c>
      <c r="K687" s="291" t="s">
        <v>1682</v>
      </c>
      <c r="L687" t="s">
        <v>37</v>
      </c>
      <c r="M687" s="20">
        <v>44666</v>
      </c>
      <c r="N687" t="s">
        <v>2843</v>
      </c>
      <c r="O687" s="213">
        <v>44666</v>
      </c>
      <c r="R687" t="s">
        <v>138</v>
      </c>
      <c r="AA687" s="236"/>
      <c r="AD687" s="233">
        <v>44666</v>
      </c>
    </row>
    <row r="688" spans="1:30">
      <c r="A688" s="291">
        <f>COUNTA($E$3:E688)</f>
        <v>686</v>
      </c>
      <c r="B688" s="291" t="s">
        <v>2824</v>
      </c>
      <c r="C688" s="291" t="s">
        <v>1268</v>
      </c>
      <c r="D688" s="291" t="s">
        <v>133</v>
      </c>
      <c r="E688" s="291" t="s">
        <v>132</v>
      </c>
      <c r="F688" s="292">
        <v>44663</v>
      </c>
      <c r="G688" s="292"/>
      <c r="H688" s="292"/>
      <c r="I688" s="292"/>
      <c r="J688" s="292" t="s">
        <v>3</v>
      </c>
      <c r="K688" s="291" t="s">
        <v>369</v>
      </c>
      <c r="L688" t="s">
        <v>134</v>
      </c>
      <c r="M688" s="20">
        <v>44666</v>
      </c>
      <c r="N688" t="s">
        <v>2842</v>
      </c>
      <c r="O688" s="213">
        <v>44729</v>
      </c>
      <c r="R688" t="s">
        <v>138</v>
      </c>
      <c r="AA688" s="236"/>
      <c r="AD688" s="233">
        <v>44729</v>
      </c>
    </row>
    <row r="689" spans="1:30">
      <c r="A689" s="291">
        <f>COUNTA($E$3:E689)</f>
        <v>687</v>
      </c>
      <c r="B689" s="291" t="s">
        <v>2649</v>
      </c>
      <c r="C689" s="291" t="s">
        <v>2650</v>
      </c>
      <c r="D689" s="291" t="s">
        <v>20</v>
      </c>
      <c r="E689" s="291" t="s">
        <v>2651</v>
      </c>
      <c r="F689" s="292">
        <v>44635</v>
      </c>
      <c r="G689" s="292">
        <v>44637</v>
      </c>
      <c r="H689" s="292"/>
      <c r="I689" s="292">
        <v>44636</v>
      </c>
      <c r="J689" s="292" t="s">
        <v>3</v>
      </c>
      <c r="K689" s="291" t="s">
        <v>2652</v>
      </c>
      <c r="L689" t="s">
        <v>1310</v>
      </c>
      <c r="M689" s="20">
        <v>44666</v>
      </c>
      <c r="N689" t="s">
        <v>3983</v>
      </c>
      <c r="O689" s="213">
        <v>44672</v>
      </c>
      <c r="R689" t="s">
        <v>138</v>
      </c>
      <c r="AA689" s="236"/>
      <c r="AD689" s="233">
        <v>44672</v>
      </c>
    </row>
    <row r="690" spans="1:30">
      <c r="A690" s="291">
        <f>COUNTA($E$3:E690)</f>
        <v>688</v>
      </c>
      <c r="B690" s="291" t="s">
        <v>2509</v>
      </c>
      <c r="C690" s="291" t="s">
        <v>2510</v>
      </c>
      <c r="D690" s="291" t="s">
        <v>68</v>
      </c>
      <c r="E690" s="291" t="s">
        <v>1172</v>
      </c>
      <c r="F690" s="292">
        <v>44600</v>
      </c>
      <c r="G690" s="292">
        <v>44603</v>
      </c>
      <c r="H690" s="292"/>
      <c r="I690" s="292">
        <v>44602</v>
      </c>
      <c r="J690" s="292" t="s">
        <v>3</v>
      </c>
      <c r="K690" s="291" t="s">
        <v>1500</v>
      </c>
      <c r="L690" t="s">
        <v>1309</v>
      </c>
      <c r="M690" s="20">
        <v>44666</v>
      </c>
      <c r="N690" t="s">
        <v>2836</v>
      </c>
      <c r="O690" s="213">
        <v>44705</v>
      </c>
      <c r="R690" t="s">
        <v>26</v>
      </c>
      <c r="AA690" s="236"/>
      <c r="AD690" s="233">
        <v>44705</v>
      </c>
    </row>
    <row r="691" spans="1:30">
      <c r="A691" s="291">
        <f>COUNTA($E$3:E691)</f>
        <v>689</v>
      </c>
      <c r="B691" s="291" t="s">
        <v>2831</v>
      </c>
      <c r="C691" s="291" t="s">
        <v>2396</v>
      </c>
      <c r="D691" s="291" t="s">
        <v>1135</v>
      </c>
      <c r="E691" s="291" t="s">
        <v>1653</v>
      </c>
      <c r="F691" s="292">
        <v>44664</v>
      </c>
      <c r="G691" s="292"/>
      <c r="H691" s="292"/>
      <c r="I691" s="292"/>
      <c r="J691" s="292" t="s">
        <v>4</v>
      </c>
      <c r="K691" s="291" t="s">
        <v>1500</v>
      </c>
      <c r="L691" t="s">
        <v>28</v>
      </c>
      <c r="M691" s="20">
        <v>44666</v>
      </c>
      <c r="N691" t="s">
        <v>2837</v>
      </c>
      <c r="O691" s="213">
        <v>44665</v>
      </c>
      <c r="R691" t="s">
        <v>26</v>
      </c>
      <c r="AA691" s="236"/>
      <c r="AD691" s="233">
        <v>44665</v>
      </c>
    </row>
    <row r="692" spans="1:30">
      <c r="A692" s="291">
        <f>COUNTA($E$3:E692)</f>
        <v>690</v>
      </c>
      <c r="B692" s="291" t="s">
        <v>2825</v>
      </c>
      <c r="C692" s="291" t="s">
        <v>45</v>
      </c>
      <c r="D692" s="291" t="s">
        <v>1127</v>
      </c>
      <c r="E692" s="291" t="s">
        <v>1243</v>
      </c>
      <c r="F692" s="292">
        <v>44664</v>
      </c>
      <c r="G692" s="292"/>
      <c r="H692" s="292"/>
      <c r="I692" s="292"/>
      <c r="J692" s="292" t="s">
        <v>4</v>
      </c>
      <c r="K692" s="291" t="s">
        <v>1500</v>
      </c>
      <c r="L692" t="s">
        <v>1309</v>
      </c>
      <c r="M692" s="20">
        <v>44666</v>
      </c>
      <c r="N692" t="s">
        <v>2837</v>
      </c>
      <c r="O692" s="213">
        <v>44666</v>
      </c>
      <c r="R692" t="s">
        <v>26</v>
      </c>
      <c r="AA692" s="236"/>
      <c r="AD692" s="233">
        <v>44666</v>
      </c>
    </row>
    <row r="693" spans="1:30">
      <c r="A693" s="291">
        <f>COUNTA($E$3:E693)</f>
        <v>691</v>
      </c>
      <c r="B693" s="291" t="s">
        <v>4270</v>
      </c>
      <c r="C693" s="291" t="s">
        <v>25</v>
      </c>
      <c r="D693" s="291" t="s">
        <v>34</v>
      </c>
      <c r="E693" s="291" t="s">
        <v>2812</v>
      </c>
      <c r="F693" s="292">
        <v>44659.568214652798</v>
      </c>
      <c r="G693" s="292"/>
      <c r="H693" s="292"/>
      <c r="I693" s="292"/>
      <c r="J693" s="292" t="s">
        <v>4</v>
      </c>
      <c r="K693" s="291" t="s">
        <v>1775</v>
      </c>
      <c r="L693" t="s">
        <v>1310</v>
      </c>
      <c r="M693" s="20">
        <v>44666</v>
      </c>
      <c r="N693" t="s">
        <v>4271</v>
      </c>
      <c r="O693" s="213">
        <v>44690</v>
      </c>
      <c r="R693" t="s">
        <v>138</v>
      </c>
      <c r="AA693" s="236"/>
      <c r="AD693" s="233">
        <v>44690</v>
      </c>
    </row>
    <row r="694" spans="1:30">
      <c r="A694" s="291">
        <f>COUNTA($E$3:E694)</f>
        <v>692</v>
      </c>
      <c r="B694" s="291" t="s">
        <v>2811</v>
      </c>
      <c r="C694" s="291" t="s">
        <v>1118</v>
      </c>
      <c r="D694" s="291" t="s">
        <v>62</v>
      </c>
      <c r="E694" s="291" t="s">
        <v>1659</v>
      </c>
      <c r="F694" s="292">
        <v>44659</v>
      </c>
      <c r="G694" s="292"/>
      <c r="H694" s="292"/>
      <c r="I694" s="292"/>
      <c r="J694" s="292" t="s">
        <v>4</v>
      </c>
      <c r="K694" s="291" t="s">
        <v>1681</v>
      </c>
      <c r="L694" t="s">
        <v>1311</v>
      </c>
      <c r="M694" s="20">
        <v>44666</v>
      </c>
      <c r="N694" t="s">
        <v>2840</v>
      </c>
      <c r="O694" s="213">
        <v>44664</v>
      </c>
      <c r="R694" t="s">
        <v>138</v>
      </c>
      <c r="AA694" s="236"/>
      <c r="AD694" s="233">
        <v>44664</v>
      </c>
    </row>
    <row r="695" spans="1:30">
      <c r="A695" s="291">
        <f>COUNTA($E$3:E695)</f>
        <v>693</v>
      </c>
      <c r="B695" s="291" t="s">
        <v>2804</v>
      </c>
      <c r="C695" s="291" t="s">
        <v>45</v>
      </c>
      <c r="D695" s="291" t="s">
        <v>27</v>
      </c>
      <c r="E695" s="291" t="s">
        <v>1056</v>
      </c>
      <c r="F695" s="292">
        <v>44658.561952999997</v>
      </c>
      <c r="G695" s="292"/>
      <c r="H695" s="292"/>
      <c r="I695" s="292"/>
      <c r="J695" s="292" t="s">
        <v>4</v>
      </c>
      <c r="K695" s="291" t="s">
        <v>1500</v>
      </c>
      <c r="L695" t="s">
        <v>1311</v>
      </c>
      <c r="M695" s="20">
        <v>44666</v>
      </c>
      <c r="N695" t="s">
        <v>2840</v>
      </c>
      <c r="O695" s="213">
        <v>44666</v>
      </c>
      <c r="R695" t="s">
        <v>138</v>
      </c>
      <c r="AA695" s="236"/>
      <c r="AD695" s="233">
        <v>44666</v>
      </c>
    </row>
    <row r="696" spans="1:30">
      <c r="A696" s="291">
        <f>COUNTA($E$3:E696)</f>
        <v>694</v>
      </c>
      <c r="B696" s="291" t="s">
        <v>2795</v>
      </c>
      <c r="C696" s="291" t="s">
        <v>1294</v>
      </c>
      <c r="D696" s="291" t="s">
        <v>1115</v>
      </c>
      <c r="E696" s="291" t="s">
        <v>2796</v>
      </c>
      <c r="F696" s="292">
        <v>44656.475727999998</v>
      </c>
      <c r="G696" s="292"/>
      <c r="H696" s="292"/>
      <c r="I696" s="292"/>
      <c r="J696" s="292" t="s">
        <v>4</v>
      </c>
      <c r="K696" s="291" t="s">
        <v>1738</v>
      </c>
      <c r="L696" t="s">
        <v>1289</v>
      </c>
      <c r="M696" s="20">
        <v>44666</v>
      </c>
      <c r="N696">
        <v>0</v>
      </c>
      <c r="O696" s="213">
        <v>44669</v>
      </c>
      <c r="R696" t="s">
        <v>138</v>
      </c>
      <c r="AA696" s="236"/>
      <c r="AD696" s="233">
        <v>44669</v>
      </c>
    </row>
    <row r="697" spans="1:30">
      <c r="A697" s="291">
        <f>COUNTA($E$3:E697)</f>
        <v>695</v>
      </c>
      <c r="B697" s="291" t="s">
        <v>2717</v>
      </c>
      <c r="C697" s="291" t="s">
        <v>1125</v>
      </c>
      <c r="D697" s="291" t="s">
        <v>42</v>
      </c>
      <c r="E697" s="291" t="s">
        <v>2718</v>
      </c>
      <c r="F697" s="292">
        <v>44642</v>
      </c>
      <c r="G697" s="292">
        <v>44645</v>
      </c>
      <c r="H697" s="292"/>
      <c r="I697" s="292">
        <v>44652</v>
      </c>
      <c r="J697" s="292" t="s">
        <v>4</v>
      </c>
      <c r="K697" s="291" t="s">
        <v>1681</v>
      </c>
      <c r="L697" t="s">
        <v>297</v>
      </c>
      <c r="M697" s="20">
        <v>44666</v>
      </c>
      <c r="N697" t="s">
        <v>2837</v>
      </c>
      <c r="O697" s="213">
        <v>44670</v>
      </c>
      <c r="R697" t="s">
        <v>26</v>
      </c>
      <c r="AA697" s="236"/>
      <c r="AD697" s="233">
        <v>44670</v>
      </c>
    </row>
    <row r="698" spans="1:30">
      <c r="A698" s="291">
        <f>COUNTA($E$3:E698)</f>
        <v>696</v>
      </c>
      <c r="B698" s="291" t="s">
        <v>2797</v>
      </c>
      <c r="C698" s="291" t="s">
        <v>1294</v>
      </c>
      <c r="D698" s="291" t="s">
        <v>20</v>
      </c>
      <c r="E698" s="291" t="s">
        <v>2798</v>
      </c>
      <c r="F698" s="292">
        <v>44656</v>
      </c>
      <c r="G698" s="292"/>
      <c r="H698" s="292"/>
      <c r="I698" s="292"/>
      <c r="J698" s="292" t="s">
        <v>3</v>
      </c>
      <c r="K698" s="291" t="s">
        <v>2235</v>
      </c>
      <c r="L698" t="s">
        <v>1289</v>
      </c>
      <c r="M698" s="20">
        <v>44659</v>
      </c>
      <c r="N698" t="s">
        <v>2809</v>
      </c>
      <c r="O698" s="213">
        <v>44669</v>
      </c>
      <c r="R698" t="s">
        <v>138</v>
      </c>
      <c r="AA698" s="236"/>
      <c r="AD698" s="233">
        <v>44669</v>
      </c>
    </row>
    <row r="699" spans="1:30">
      <c r="A699" s="291">
        <f>COUNTA($E$3:E699)</f>
        <v>697</v>
      </c>
      <c r="B699" s="291" t="s">
        <v>2744</v>
      </c>
      <c r="C699" s="291" t="s">
        <v>45</v>
      </c>
      <c r="D699" s="291" t="s">
        <v>53</v>
      </c>
      <c r="E699" s="291" t="s">
        <v>2745</v>
      </c>
      <c r="F699" s="292">
        <v>44649</v>
      </c>
      <c r="G699" s="292">
        <v>44651</v>
      </c>
      <c r="H699" s="292"/>
      <c r="I699" s="292" t="s">
        <v>70</v>
      </c>
      <c r="J699" s="292" t="s">
        <v>3</v>
      </c>
      <c r="K699" s="291" t="s">
        <v>2746</v>
      </c>
      <c r="L699" t="s">
        <v>1309</v>
      </c>
      <c r="M699" s="20">
        <v>44659</v>
      </c>
      <c r="N699" t="s">
        <v>2809</v>
      </c>
      <c r="O699" s="213">
        <v>44659</v>
      </c>
      <c r="R699" t="s">
        <v>26</v>
      </c>
      <c r="AA699" s="236"/>
      <c r="AD699" s="233">
        <v>44659</v>
      </c>
    </row>
    <row r="700" spans="1:30">
      <c r="A700" s="291">
        <f>COUNTA($E$3:E700)</f>
        <v>698</v>
      </c>
      <c r="B700" s="291" t="s">
        <v>2724</v>
      </c>
      <c r="C700" s="291" t="s">
        <v>45</v>
      </c>
      <c r="D700" s="291" t="s">
        <v>1143</v>
      </c>
      <c r="E700" s="291" t="s">
        <v>1144</v>
      </c>
      <c r="F700" s="292">
        <v>44644</v>
      </c>
      <c r="G700" s="292">
        <v>44651</v>
      </c>
      <c r="H700" s="292"/>
      <c r="I700" s="292" t="s">
        <v>70</v>
      </c>
      <c r="J700" s="292" t="s">
        <v>3</v>
      </c>
      <c r="K700" s="291" t="s">
        <v>1739</v>
      </c>
      <c r="M700" s="20">
        <v>44659</v>
      </c>
      <c r="N700" t="s">
        <v>2809</v>
      </c>
      <c r="O700" s="213">
        <v>44659</v>
      </c>
      <c r="R700" t="s">
        <v>138</v>
      </c>
      <c r="AA700" s="236"/>
      <c r="AD700" s="233">
        <v>44659</v>
      </c>
    </row>
    <row r="701" spans="1:30">
      <c r="A701" s="291">
        <f>COUNTA($E$3:E701)</f>
        <v>699</v>
      </c>
      <c r="B701" s="291" t="s">
        <v>2624</v>
      </c>
      <c r="C701" s="291" t="s">
        <v>1125</v>
      </c>
      <c r="D701" s="291" t="s">
        <v>68</v>
      </c>
      <c r="E701" s="291" t="s">
        <v>2625</v>
      </c>
      <c r="F701" s="292">
        <v>44628</v>
      </c>
      <c r="G701" s="292">
        <v>44631</v>
      </c>
      <c r="H701" s="292"/>
      <c r="I701" s="292">
        <v>44629</v>
      </c>
      <c r="J701" s="292" t="s">
        <v>3</v>
      </c>
      <c r="K701" s="291" t="s">
        <v>2626</v>
      </c>
      <c r="M701" s="20">
        <v>44659</v>
      </c>
      <c r="N701" t="s">
        <v>2807</v>
      </c>
      <c r="O701" s="213">
        <v>44666</v>
      </c>
      <c r="R701" t="s">
        <v>26</v>
      </c>
      <c r="AA701" s="236"/>
      <c r="AD701" s="233">
        <v>44666</v>
      </c>
    </row>
    <row r="702" spans="1:30">
      <c r="A702" s="291">
        <f>COUNTA($E$3:E702)</f>
        <v>700</v>
      </c>
      <c r="B702" s="291" t="s">
        <v>2801</v>
      </c>
      <c r="C702" s="291" t="s">
        <v>2802</v>
      </c>
      <c r="D702" s="291" t="s">
        <v>1136</v>
      </c>
      <c r="E702" s="291" t="s">
        <v>2803</v>
      </c>
      <c r="F702" s="292">
        <v>44657</v>
      </c>
      <c r="G702" s="292"/>
      <c r="H702" s="292"/>
      <c r="I702" s="292"/>
      <c r="J702" s="292" t="s">
        <v>4</v>
      </c>
      <c r="K702" s="291" t="s">
        <v>1658</v>
      </c>
      <c r="M702" s="20">
        <v>44659</v>
      </c>
      <c r="N702" t="s">
        <v>2809</v>
      </c>
      <c r="O702" s="213">
        <v>44666</v>
      </c>
      <c r="R702" t="s">
        <v>26</v>
      </c>
      <c r="AA702" s="236"/>
      <c r="AD702" s="233">
        <v>44666</v>
      </c>
    </row>
    <row r="703" spans="1:30">
      <c r="A703" s="291">
        <f>COUNTA($E$3:E703)</f>
        <v>701</v>
      </c>
      <c r="B703" s="291" t="s">
        <v>2772</v>
      </c>
      <c r="C703" s="291" t="s">
        <v>41</v>
      </c>
      <c r="D703" s="291" t="s">
        <v>38</v>
      </c>
      <c r="E703" s="291" t="s">
        <v>1119</v>
      </c>
      <c r="F703" s="292">
        <v>44651</v>
      </c>
      <c r="G703" s="292"/>
      <c r="H703" s="292"/>
      <c r="I703" s="292"/>
      <c r="J703" s="292" t="s">
        <v>4</v>
      </c>
      <c r="K703" s="291" t="s">
        <v>1775</v>
      </c>
      <c r="L703" t="s">
        <v>1289</v>
      </c>
      <c r="M703" s="20">
        <v>44659</v>
      </c>
      <c r="N703" t="s">
        <v>2809</v>
      </c>
      <c r="O703" s="213">
        <v>44657</v>
      </c>
      <c r="R703" t="s">
        <v>138</v>
      </c>
      <c r="AA703" s="236"/>
      <c r="AD703" s="233">
        <v>44657</v>
      </c>
    </row>
    <row r="704" spans="1:30">
      <c r="A704" s="291">
        <f>COUNTA($E$3:E704)</f>
        <v>702</v>
      </c>
      <c r="B704" s="291" t="s">
        <v>2770</v>
      </c>
      <c r="C704" s="291" t="s">
        <v>45</v>
      </c>
      <c r="D704" s="291" t="s">
        <v>1181</v>
      </c>
      <c r="E704" s="291" t="s">
        <v>2771</v>
      </c>
      <c r="F704" s="292">
        <v>44651</v>
      </c>
      <c r="G704" s="292"/>
      <c r="H704" s="292"/>
      <c r="I704" s="292"/>
      <c r="J704" s="292" t="s">
        <v>4</v>
      </c>
      <c r="K704" s="291" t="s">
        <v>1662</v>
      </c>
      <c r="L704" t="s">
        <v>2058</v>
      </c>
      <c r="M704" s="20">
        <v>44659</v>
      </c>
      <c r="N704" t="s">
        <v>2810</v>
      </c>
      <c r="O704" s="213">
        <v>44659</v>
      </c>
      <c r="R704" t="s">
        <v>26</v>
      </c>
      <c r="AA704" s="236"/>
      <c r="AD704" s="233">
        <v>44659</v>
      </c>
    </row>
    <row r="705" spans="1:30">
      <c r="A705" s="291">
        <f>COUNTA($E$3:E705)</f>
        <v>703</v>
      </c>
      <c r="B705" s="291" t="s">
        <v>2760</v>
      </c>
      <c r="C705" s="291" t="s">
        <v>25</v>
      </c>
      <c r="D705" s="291" t="s">
        <v>34</v>
      </c>
      <c r="E705" s="291" t="s">
        <v>2049</v>
      </c>
      <c r="F705" s="292">
        <v>44651.636255960701</v>
      </c>
      <c r="G705" s="292"/>
      <c r="H705" s="292"/>
      <c r="I705" s="292"/>
      <c r="J705" s="292" t="s">
        <v>4</v>
      </c>
      <c r="K705" s="291" t="s">
        <v>21</v>
      </c>
      <c r="L705" t="s">
        <v>1302</v>
      </c>
      <c r="M705" s="20">
        <v>44659</v>
      </c>
      <c r="N705" t="s">
        <v>2809</v>
      </c>
      <c r="O705" s="213">
        <v>44657</v>
      </c>
      <c r="R705" t="s">
        <v>138</v>
      </c>
      <c r="AA705" s="236"/>
      <c r="AD705" s="233">
        <v>44657</v>
      </c>
    </row>
    <row r="706" spans="1:30">
      <c r="A706" s="291">
        <f>COUNTA($E$3:E706)</f>
        <v>704</v>
      </c>
      <c r="B706" s="291" t="s">
        <v>2756</v>
      </c>
      <c r="C706" s="291" t="s">
        <v>41</v>
      </c>
      <c r="D706" s="291" t="s">
        <v>38</v>
      </c>
      <c r="E706" s="291" t="s">
        <v>2757</v>
      </c>
      <c r="F706" s="292">
        <v>44651.483223368101</v>
      </c>
      <c r="G706" s="292"/>
      <c r="H706" s="292"/>
      <c r="I706" s="292"/>
      <c r="J706" s="292" t="s">
        <v>4</v>
      </c>
      <c r="K706" s="291" t="s">
        <v>1681</v>
      </c>
      <c r="L706" t="s">
        <v>1311</v>
      </c>
      <c r="M706" s="20">
        <v>44659</v>
      </c>
      <c r="N706" t="s">
        <v>2809</v>
      </c>
      <c r="O706" s="213">
        <v>44657</v>
      </c>
      <c r="R706" t="s">
        <v>138</v>
      </c>
      <c r="AA706" s="236"/>
      <c r="AD706" s="233">
        <v>44657</v>
      </c>
    </row>
    <row r="707" spans="1:30">
      <c r="A707" s="291">
        <f>COUNTA($E$3:E707)</f>
        <v>705</v>
      </c>
      <c r="B707" s="291" t="s">
        <v>2627</v>
      </c>
      <c r="C707" s="291" t="s">
        <v>2628</v>
      </c>
      <c r="D707" s="291" t="s">
        <v>1157</v>
      </c>
      <c r="E707" s="291" t="s">
        <v>2629</v>
      </c>
      <c r="F707" s="292">
        <v>44629</v>
      </c>
      <c r="G707" s="292">
        <v>44631</v>
      </c>
      <c r="H707" s="292"/>
      <c r="I707" s="292">
        <v>44629</v>
      </c>
      <c r="J707" s="292" t="s">
        <v>4</v>
      </c>
      <c r="K707" s="291" t="s">
        <v>1692</v>
      </c>
      <c r="L707" t="s">
        <v>2058</v>
      </c>
      <c r="M707" s="20">
        <v>44659</v>
      </c>
      <c r="N707" t="s">
        <v>2808</v>
      </c>
      <c r="O707" s="213">
        <v>44729</v>
      </c>
      <c r="R707" t="s">
        <v>26</v>
      </c>
      <c r="AA707" s="236"/>
      <c r="AD707" s="233">
        <v>44729</v>
      </c>
    </row>
    <row r="708" spans="1:30">
      <c r="A708" s="291">
        <f>COUNTA($E$3:E708)</f>
        <v>706</v>
      </c>
      <c r="B708" s="291" t="s">
        <v>2779</v>
      </c>
      <c r="C708" s="291" t="s">
        <v>41</v>
      </c>
      <c r="D708" s="291" t="s">
        <v>49</v>
      </c>
      <c r="E708" s="291" t="s">
        <v>2780</v>
      </c>
      <c r="F708" s="292">
        <v>44655</v>
      </c>
      <c r="G708" s="292"/>
      <c r="H708" s="292"/>
      <c r="I708" s="292"/>
      <c r="J708" s="292" t="s">
        <v>5</v>
      </c>
      <c r="K708" s="291" t="s">
        <v>1765</v>
      </c>
      <c r="L708" t="s">
        <v>1302</v>
      </c>
      <c r="M708" s="20">
        <v>44659</v>
      </c>
      <c r="N708" t="s">
        <v>2809</v>
      </c>
      <c r="O708" s="213">
        <v>44657</v>
      </c>
      <c r="R708" t="s">
        <v>138</v>
      </c>
      <c r="AA708" s="236"/>
      <c r="AD708" s="233">
        <v>44657</v>
      </c>
    </row>
    <row r="709" spans="1:30">
      <c r="A709" s="291">
        <f>COUNTA($E$3:E709)</f>
        <v>707</v>
      </c>
      <c r="B709" s="291" t="s">
        <v>2511</v>
      </c>
      <c r="C709" s="291" t="s">
        <v>1212</v>
      </c>
      <c r="D709" s="291" t="s">
        <v>68</v>
      </c>
      <c r="E709" s="291" t="s">
        <v>2512</v>
      </c>
      <c r="F709" s="292">
        <v>44600</v>
      </c>
      <c r="G709" s="292">
        <v>44603</v>
      </c>
      <c r="H709" s="292"/>
      <c r="I709" s="292">
        <v>44602</v>
      </c>
      <c r="J709" s="292" t="s">
        <v>3</v>
      </c>
      <c r="K709" s="291" t="s">
        <v>2513</v>
      </c>
      <c r="L709" t="s">
        <v>28</v>
      </c>
      <c r="M709" s="20">
        <v>44651</v>
      </c>
      <c r="N709" t="s">
        <v>1777</v>
      </c>
      <c r="O709" s="213">
        <v>44666</v>
      </c>
      <c r="R709" t="s">
        <v>26</v>
      </c>
      <c r="AA709" s="236"/>
      <c r="AD709" s="233">
        <v>44666</v>
      </c>
    </row>
    <row r="710" spans="1:30">
      <c r="A710" s="291">
        <f>COUNTA($E$3:E710)</f>
        <v>708</v>
      </c>
      <c r="B710" s="291" t="s">
        <v>2747</v>
      </c>
      <c r="C710" s="291" t="s">
        <v>1881</v>
      </c>
      <c r="D710" s="291" t="s">
        <v>20</v>
      </c>
      <c r="E710" s="291" t="s">
        <v>1882</v>
      </c>
      <c r="F710" s="292">
        <v>44649.625694444447</v>
      </c>
      <c r="G710" s="292"/>
      <c r="H710" s="292"/>
      <c r="I710" s="292"/>
      <c r="J710" s="292" t="s">
        <v>4</v>
      </c>
      <c r="K710" s="291" t="s">
        <v>1738</v>
      </c>
      <c r="L710" t="s">
        <v>1311</v>
      </c>
      <c r="M710" s="20">
        <v>44651</v>
      </c>
      <c r="N710" t="s">
        <v>2767</v>
      </c>
      <c r="O710" s="213">
        <v>44729</v>
      </c>
      <c r="R710" t="s">
        <v>138</v>
      </c>
      <c r="AA710" s="236"/>
      <c r="AD710" s="233">
        <v>44729</v>
      </c>
    </row>
    <row r="711" spans="1:30">
      <c r="A711" s="291">
        <f>COUNTA($E$3:E711)</f>
        <v>709</v>
      </c>
      <c r="B711" s="291" t="s">
        <v>2720</v>
      </c>
      <c r="C711" s="291" t="s">
        <v>45</v>
      </c>
      <c r="D711" s="291" t="s">
        <v>36</v>
      </c>
      <c r="E711" s="291" t="s">
        <v>2721</v>
      </c>
      <c r="F711" s="292">
        <v>44643.549790844903</v>
      </c>
      <c r="G711" s="292"/>
      <c r="H711" s="292"/>
      <c r="I711" s="292"/>
      <c r="J711" s="292" t="s">
        <v>4</v>
      </c>
      <c r="K711" s="291" t="s">
        <v>21</v>
      </c>
      <c r="L711" t="s">
        <v>1302</v>
      </c>
      <c r="M711" s="20">
        <v>44651</v>
      </c>
      <c r="N711" t="s">
        <v>2766</v>
      </c>
      <c r="O711" s="213">
        <v>44651</v>
      </c>
      <c r="R711" t="s">
        <v>138</v>
      </c>
      <c r="AA711" s="236"/>
      <c r="AD711" s="233">
        <v>44651</v>
      </c>
    </row>
    <row r="712" spans="1:30">
      <c r="A712" s="291">
        <f>COUNTA($E$3:E712)</f>
        <v>710</v>
      </c>
      <c r="B712" s="291" t="s">
        <v>2719</v>
      </c>
      <c r="C712" s="291" t="s">
        <v>48</v>
      </c>
      <c r="D712" s="291" t="s">
        <v>34</v>
      </c>
      <c r="E712" s="291" t="s">
        <v>92</v>
      </c>
      <c r="F712" s="292">
        <v>44643.544649178199</v>
      </c>
      <c r="G712" s="292"/>
      <c r="H712" s="292"/>
      <c r="I712" s="292"/>
      <c r="J712" s="292" t="s">
        <v>4</v>
      </c>
      <c r="K712" s="291" t="s">
        <v>1664</v>
      </c>
      <c r="L712" t="s">
        <v>1302</v>
      </c>
      <c r="M712" s="20">
        <v>44651</v>
      </c>
      <c r="N712" t="s">
        <v>2766</v>
      </c>
      <c r="O712" s="213">
        <v>44651</v>
      </c>
      <c r="R712" t="s">
        <v>138</v>
      </c>
      <c r="AA712" s="236"/>
      <c r="AD712" s="233">
        <v>44651</v>
      </c>
    </row>
    <row r="713" spans="1:30">
      <c r="A713" s="291">
        <f>COUNTA($E$3:E713)</f>
        <v>711</v>
      </c>
      <c r="B713" s="291" t="s">
        <v>2754</v>
      </c>
      <c r="C713" s="291" t="s">
        <v>2752</v>
      </c>
      <c r="D713" s="291" t="s">
        <v>1193</v>
      </c>
      <c r="E713" s="291" t="s">
        <v>2755</v>
      </c>
      <c r="F713" s="292">
        <v>44650.801111111112</v>
      </c>
      <c r="G713" s="292"/>
      <c r="H713" s="292"/>
      <c r="I713" s="292"/>
      <c r="J713" s="292" t="s">
        <v>5</v>
      </c>
      <c r="K713" s="291" t="s">
        <v>2220</v>
      </c>
      <c r="L713" t="s">
        <v>2384</v>
      </c>
      <c r="M713" s="20">
        <v>44651</v>
      </c>
      <c r="N713" t="s">
        <v>2984</v>
      </c>
      <c r="O713" s="213">
        <v>44651</v>
      </c>
      <c r="R713" t="s">
        <v>26</v>
      </c>
      <c r="AA713" s="236"/>
      <c r="AD713" s="233">
        <v>44651</v>
      </c>
    </row>
    <row r="714" spans="1:30">
      <c r="A714" s="291">
        <f>COUNTA($E$3:E714)</f>
        <v>712</v>
      </c>
      <c r="B714" s="291" t="s">
        <v>2751</v>
      </c>
      <c r="C714" s="291" t="s">
        <v>2752</v>
      </c>
      <c r="D714" s="291" t="s">
        <v>1193</v>
      </c>
      <c r="E714" s="291" t="s">
        <v>2753</v>
      </c>
      <c r="F714" s="292">
        <v>44650.797164351854</v>
      </c>
      <c r="G714" s="292"/>
      <c r="H714" s="292"/>
      <c r="I714" s="292"/>
      <c r="J714" s="292" t="s">
        <v>5</v>
      </c>
      <c r="K714" s="291" t="s">
        <v>2220</v>
      </c>
      <c r="L714" t="s">
        <v>2384</v>
      </c>
      <c r="M714" s="20">
        <v>44651</v>
      </c>
      <c r="N714" t="s">
        <v>2984</v>
      </c>
      <c r="O714" s="213">
        <v>44651</v>
      </c>
      <c r="R714" t="s">
        <v>26</v>
      </c>
      <c r="AA714" s="236"/>
      <c r="AD714" s="233">
        <v>44651</v>
      </c>
    </row>
    <row r="715" spans="1:30">
      <c r="A715" s="291">
        <f>COUNTA($E$3:E715)</f>
        <v>713</v>
      </c>
      <c r="B715" s="291" t="s">
        <v>2748</v>
      </c>
      <c r="C715" s="291" t="s">
        <v>2749</v>
      </c>
      <c r="D715" s="291" t="s">
        <v>1193</v>
      </c>
      <c r="E715" s="291" t="s">
        <v>2750</v>
      </c>
      <c r="F715" s="292">
        <v>44650.792581018519</v>
      </c>
      <c r="G715" s="292"/>
      <c r="H715" s="292"/>
      <c r="I715" s="292"/>
      <c r="J715" s="292" t="s">
        <v>5</v>
      </c>
      <c r="K715" s="291" t="s">
        <v>2220</v>
      </c>
      <c r="L715" t="s">
        <v>2384</v>
      </c>
      <c r="M715" s="20">
        <v>44651</v>
      </c>
      <c r="N715" t="s">
        <v>2984</v>
      </c>
      <c r="O715" s="213">
        <v>44651</v>
      </c>
      <c r="R715" t="s">
        <v>26</v>
      </c>
      <c r="AA715" s="236"/>
      <c r="AD715" s="233">
        <v>44651</v>
      </c>
    </row>
    <row r="716" spans="1:30">
      <c r="A716" s="291">
        <f>COUNTA($E$3:E716)</f>
        <v>714</v>
      </c>
      <c r="B716" s="291" t="s">
        <v>2714</v>
      </c>
      <c r="C716" s="291" t="s">
        <v>2515</v>
      </c>
      <c r="D716" s="291" t="s">
        <v>1115</v>
      </c>
      <c r="E716" s="291" t="s">
        <v>1234</v>
      </c>
      <c r="F716" s="292">
        <v>44642.42796296296</v>
      </c>
      <c r="G716" s="292"/>
      <c r="H716" s="292"/>
      <c r="I716" s="292"/>
      <c r="J716" s="292" t="s">
        <v>3</v>
      </c>
      <c r="K716" s="291" t="s">
        <v>1738</v>
      </c>
      <c r="L716" t="s">
        <v>1101</v>
      </c>
      <c r="M716" s="20">
        <v>44645</v>
      </c>
      <c r="N716" t="s">
        <v>2743</v>
      </c>
      <c r="O716" s="213">
        <v>44642</v>
      </c>
      <c r="R716" t="s">
        <v>138</v>
      </c>
      <c r="AA716" s="236"/>
      <c r="AD716" s="233">
        <v>44642</v>
      </c>
    </row>
    <row r="717" spans="1:30">
      <c r="A717" s="291">
        <f>COUNTA($E$3:E717)</f>
        <v>715</v>
      </c>
      <c r="B717" s="291" t="s">
        <v>2729</v>
      </c>
      <c r="C717" s="291" t="s">
        <v>25</v>
      </c>
      <c r="D717" s="291" t="s">
        <v>34</v>
      </c>
      <c r="E717" s="291" t="s">
        <v>2730</v>
      </c>
      <c r="F717" s="292">
        <v>44644.6662853241</v>
      </c>
      <c r="G717" s="292"/>
      <c r="H717" s="292"/>
      <c r="I717" s="292"/>
      <c r="J717" s="292" t="s">
        <v>4</v>
      </c>
      <c r="K717" s="291" t="s">
        <v>21</v>
      </c>
      <c r="L717" t="s">
        <v>1302</v>
      </c>
      <c r="M717" s="20">
        <v>44645</v>
      </c>
      <c r="N717" t="s">
        <v>2742</v>
      </c>
      <c r="O717" s="213">
        <v>44657</v>
      </c>
      <c r="R717" t="s">
        <v>138</v>
      </c>
      <c r="AA717" s="236"/>
      <c r="AD717" s="233">
        <v>44657</v>
      </c>
    </row>
    <row r="718" spans="1:30">
      <c r="A718" s="291">
        <f>COUNTA($E$3:E718)</f>
        <v>716</v>
      </c>
      <c r="B718" s="291" t="s">
        <v>2726</v>
      </c>
      <c r="C718" s="291" t="s">
        <v>25</v>
      </c>
      <c r="D718" s="291" t="s">
        <v>34</v>
      </c>
      <c r="E718" s="291" t="s">
        <v>1267</v>
      </c>
      <c r="F718" s="292">
        <v>44644.515428240738</v>
      </c>
      <c r="G718" s="292"/>
      <c r="H718" s="292"/>
      <c r="I718" s="292"/>
      <c r="J718" s="292" t="s">
        <v>4</v>
      </c>
      <c r="K718" s="291" t="s">
        <v>1500</v>
      </c>
      <c r="L718" t="s">
        <v>1302</v>
      </c>
      <c r="M718" s="20">
        <v>44645</v>
      </c>
      <c r="N718" t="s">
        <v>2741</v>
      </c>
      <c r="O718" s="213">
        <v>44657</v>
      </c>
      <c r="R718" t="s">
        <v>138</v>
      </c>
      <c r="AA718" s="236"/>
      <c r="AD718" s="233">
        <v>44657</v>
      </c>
    </row>
    <row r="719" spans="1:30">
      <c r="A719" s="291">
        <f>COUNTA($E$3:E719)</f>
        <v>717</v>
      </c>
      <c r="B719" s="291" t="s">
        <v>2725</v>
      </c>
      <c r="C719" s="291" t="s">
        <v>25</v>
      </c>
      <c r="D719" s="291" t="s">
        <v>1154</v>
      </c>
      <c r="E719" s="291" t="s">
        <v>1219</v>
      </c>
      <c r="F719" s="292">
        <v>44644.43105324074</v>
      </c>
      <c r="G719" s="292"/>
      <c r="H719" s="292"/>
      <c r="I719" s="292"/>
      <c r="J719" s="292" t="s">
        <v>4</v>
      </c>
      <c r="K719" s="291" t="s">
        <v>1681</v>
      </c>
      <c r="L719" t="s">
        <v>1302</v>
      </c>
      <c r="M719" s="20">
        <v>44645</v>
      </c>
      <c r="N719" t="s">
        <v>2741</v>
      </c>
      <c r="O719" s="213">
        <v>44657</v>
      </c>
      <c r="R719" t="s">
        <v>138</v>
      </c>
      <c r="AA719" s="236"/>
      <c r="AD719" s="233">
        <v>44657</v>
      </c>
    </row>
    <row r="720" spans="1:30">
      <c r="A720" s="291">
        <f>COUNTA($E$3:E720)</f>
        <v>718</v>
      </c>
      <c r="B720" s="291" t="s">
        <v>2722</v>
      </c>
      <c r="C720" s="291" t="s">
        <v>2396</v>
      </c>
      <c r="D720" s="291" t="s">
        <v>60</v>
      </c>
      <c r="E720" s="291" t="s">
        <v>2723</v>
      </c>
      <c r="F720" s="292">
        <v>44643.807743055557</v>
      </c>
      <c r="G720" s="292"/>
      <c r="H720" s="292"/>
      <c r="I720" s="292"/>
      <c r="J720" s="292" t="s">
        <v>4</v>
      </c>
      <c r="K720" s="291" t="s">
        <v>1938</v>
      </c>
      <c r="L720" t="s">
        <v>1309</v>
      </c>
      <c r="M720" s="20">
        <v>44645</v>
      </c>
      <c r="N720" t="s">
        <v>2741</v>
      </c>
      <c r="O720" s="213">
        <v>44645</v>
      </c>
      <c r="R720" t="s">
        <v>26</v>
      </c>
      <c r="AA720" s="236"/>
      <c r="AD720" s="233">
        <v>44645</v>
      </c>
    </row>
    <row r="721" spans="1:30">
      <c r="A721" s="291">
        <f>COUNTA($E$3:E721)</f>
        <v>719</v>
      </c>
      <c r="B721" s="291" t="s">
        <v>2708</v>
      </c>
      <c r="C721" s="291" t="s">
        <v>2701</v>
      </c>
      <c r="D721" s="291" t="s">
        <v>2709</v>
      </c>
      <c r="E721" s="291" t="s">
        <v>2710</v>
      </c>
      <c r="F721" s="292">
        <v>44638.827384259261</v>
      </c>
      <c r="G721" s="292"/>
      <c r="H721" s="292"/>
      <c r="I721" s="292"/>
      <c r="J721" s="292" t="s">
        <v>4</v>
      </c>
      <c r="K721" s="291" t="s">
        <v>1985</v>
      </c>
      <c r="L721" t="s">
        <v>1302</v>
      </c>
      <c r="M721" s="20">
        <v>44645</v>
      </c>
      <c r="N721" t="s">
        <v>2732</v>
      </c>
      <c r="O721" s="213">
        <v>44729</v>
      </c>
      <c r="R721" t="s">
        <v>138</v>
      </c>
      <c r="AA721" s="236"/>
      <c r="AD721" s="233">
        <v>44729</v>
      </c>
    </row>
    <row r="722" spans="1:30">
      <c r="A722" s="291">
        <f>COUNTA($E$3:E722)</f>
        <v>720</v>
      </c>
      <c r="B722" s="291" t="s">
        <v>2706</v>
      </c>
      <c r="C722" s="291" t="s">
        <v>44</v>
      </c>
      <c r="D722" s="291" t="s">
        <v>38</v>
      </c>
      <c r="E722" s="291" t="s">
        <v>2707</v>
      </c>
      <c r="F722" s="292">
        <v>44644.581787789401</v>
      </c>
      <c r="G722" s="292"/>
      <c r="H722" s="292"/>
      <c r="I722" s="292"/>
      <c r="J722" s="292" t="s">
        <v>4</v>
      </c>
      <c r="K722" s="291" t="s">
        <v>1500</v>
      </c>
      <c r="L722" t="s">
        <v>1311</v>
      </c>
      <c r="M722" s="20">
        <v>44645</v>
      </c>
      <c r="N722" t="s">
        <v>2981</v>
      </c>
      <c r="O722" s="213">
        <v>44676</v>
      </c>
      <c r="R722" t="s">
        <v>138</v>
      </c>
      <c r="AA722" s="236"/>
      <c r="AD722" s="233">
        <v>44676</v>
      </c>
    </row>
    <row r="723" spans="1:30">
      <c r="A723" s="291">
        <f>COUNTA($E$3:E723)</f>
        <v>721</v>
      </c>
      <c r="B723" s="291" t="s">
        <v>2700</v>
      </c>
      <c r="C723" s="291" t="s">
        <v>2701</v>
      </c>
      <c r="D723" s="291" t="s">
        <v>42</v>
      </c>
      <c r="E723" s="291" t="s">
        <v>2702</v>
      </c>
      <c r="F723" s="292">
        <v>44638.764722222222</v>
      </c>
      <c r="G723" s="292"/>
      <c r="H723" s="292"/>
      <c r="I723" s="292"/>
      <c r="J723" s="292" t="s">
        <v>4</v>
      </c>
      <c r="K723" s="291" t="s">
        <v>2703</v>
      </c>
      <c r="L723" t="s">
        <v>1310</v>
      </c>
      <c r="M723" s="20">
        <v>44645</v>
      </c>
      <c r="N723" t="s">
        <v>2741</v>
      </c>
      <c r="O723" s="213">
        <v>44729</v>
      </c>
      <c r="R723" t="s">
        <v>138</v>
      </c>
      <c r="AA723" s="236"/>
      <c r="AD723" s="233">
        <v>44729</v>
      </c>
    </row>
    <row r="724" spans="1:30">
      <c r="A724" s="291">
        <f>COUNTA($E$3:E724)</f>
        <v>722</v>
      </c>
      <c r="B724" s="291" t="s">
        <v>2673</v>
      </c>
      <c r="C724" s="291" t="s">
        <v>45</v>
      </c>
      <c r="D724" s="291" t="s">
        <v>1137</v>
      </c>
      <c r="E724" s="291" t="s">
        <v>2674</v>
      </c>
      <c r="F724" s="292">
        <v>44636.537519999998</v>
      </c>
      <c r="G724" s="292"/>
      <c r="H724" s="292"/>
      <c r="I724" s="292"/>
      <c r="J724" s="292" t="s">
        <v>4</v>
      </c>
      <c r="K724" s="291" t="s">
        <v>1500</v>
      </c>
      <c r="L724" t="s">
        <v>1310</v>
      </c>
      <c r="M724" s="20">
        <v>44645</v>
      </c>
      <c r="N724" t="s">
        <v>2733</v>
      </c>
      <c r="O724" s="213">
        <v>44645</v>
      </c>
      <c r="R724" t="s">
        <v>138</v>
      </c>
      <c r="AA724" s="236"/>
      <c r="AD724" s="233">
        <v>44645</v>
      </c>
    </row>
    <row r="725" spans="1:30">
      <c r="A725" s="291">
        <f>COUNTA($E$3:E725)</f>
        <v>723</v>
      </c>
      <c r="B725" s="291" t="s">
        <v>2671</v>
      </c>
      <c r="C725" s="291" t="s">
        <v>45</v>
      </c>
      <c r="D725" s="291" t="s">
        <v>291</v>
      </c>
      <c r="E725" s="291" t="s">
        <v>2672</v>
      </c>
      <c r="F725" s="292">
        <v>44636.532685999999</v>
      </c>
      <c r="G725" s="292"/>
      <c r="H725" s="292"/>
      <c r="I725" s="292"/>
      <c r="J725" s="292" t="s">
        <v>4</v>
      </c>
      <c r="K725" s="291" t="s">
        <v>2506</v>
      </c>
      <c r="L725" t="s">
        <v>1310</v>
      </c>
      <c r="M725" s="20">
        <v>44645</v>
      </c>
      <c r="N725" t="s">
        <v>2732</v>
      </c>
      <c r="O725" s="213">
        <v>44645</v>
      </c>
      <c r="R725" t="s">
        <v>138</v>
      </c>
      <c r="AA725" s="236"/>
      <c r="AD725" s="233">
        <v>44645</v>
      </c>
    </row>
    <row r="726" spans="1:30">
      <c r="A726" s="291">
        <f>COUNTA($E$3:E726)</f>
        <v>724</v>
      </c>
      <c r="B726" s="291" t="s">
        <v>2661</v>
      </c>
      <c r="C726" s="291" t="s">
        <v>25</v>
      </c>
      <c r="D726" s="291" t="s">
        <v>38</v>
      </c>
      <c r="E726" s="291" t="s">
        <v>2085</v>
      </c>
      <c r="F726" s="292">
        <v>44636.525734000003</v>
      </c>
      <c r="G726" s="292"/>
      <c r="H726" s="292"/>
      <c r="I726" s="292"/>
      <c r="J726" s="292" t="s">
        <v>4</v>
      </c>
      <c r="K726" s="291" t="s">
        <v>1738</v>
      </c>
      <c r="L726" t="s">
        <v>1310</v>
      </c>
      <c r="M726" s="20">
        <v>44645</v>
      </c>
      <c r="N726" t="s">
        <v>2741</v>
      </c>
      <c r="O726" s="213">
        <v>44657</v>
      </c>
      <c r="R726" t="s">
        <v>138</v>
      </c>
      <c r="AA726" s="236"/>
      <c r="AD726" s="233">
        <v>44657</v>
      </c>
    </row>
    <row r="727" spans="1:30">
      <c r="A727" s="291">
        <f>COUNTA($E$3:E727)</f>
        <v>725</v>
      </c>
      <c r="B727" s="291" t="s">
        <v>2727</v>
      </c>
      <c r="C727" s="291" t="s">
        <v>41</v>
      </c>
      <c r="D727" s="291" t="s">
        <v>31</v>
      </c>
      <c r="E727" s="291" t="s">
        <v>2728</v>
      </c>
      <c r="F727" s="292">
        <v>44644.65185185185</v>
      </c>
      <c r="G727" s="292"/>
      <c r="H727" s="292"/>
      <c r="I727" s="292"/>
      <c r="J727" s="292" t="s">
        <v>5</v>
      </c>
      <c r="K727" s="291" t="s">
        <v>1105</v>
      </c>
      <c r="L727" t="s">
        <v>1302</v>
      </c>
      <c r="M727" s="20">
        <v>44645</v>
      </c>
      <c r="N727" t="s">
        <v>2742</v>
      </c>
      <c r="O727" s="213">
        <v>44651</v>
      </c>
      <c r="R727" t="s">
        <v>138</v>
      </c>
      <c r="AA727" s="236"/>
      <c r="AD727" s="233">
        <v>44651</v>
      </c>
    </row>
    <row r="728" spans="1:30">
      <c r="A728" s="291">
        <f>COUNTA($E$3:E728)</f>
        <v>726</v>
      </c>
      <c r="B728" s="291" t="s">
        <v>2690</v>
      </c>
      <c r="C728" s="291" t="s">
        <v>48</v>
      </c>
      <c r="D728" s="291" t="s">
        <v>34</v>
      </c>
      <c r="E728" s="291" t="s">
        <v>88</v>
      </c>
      <c r="F728" s="292">
        <v>44637</v>
      </c>
      <c r="G728" s="292"/>
      <c r="H728" s="292"/>
      <c r="I728" s="292"/>
      <c r="J728" s="292" t="s">
        <v>3</v>
      </c>
      <c r="K728" s="291" t="s">
        <v>2234</v>
      </c>
      <c r="L728" t="s">
        <v>37</v>
      </c>
      <c r="M728" s="20">
        <v>44638</v>
      </c>
      <c r="N728" t="s">
        <v>2686</v>
      </c>
      <c r="O728" s="213">
        <v>44638</v>
      </c>
      <c r="R728" t="s">
        <v>138</v>
      </c>
      <c r="AA728" s="236"/>
      <c r="AD728" s="233">
        <v>44638</v>
      </c>
    </row>
    <row r="729" spans="1:30">
      <c r="A729" s="291">
        <f>COUNTA($E$3:E729)</f>
        <v>727</v>
      </c>
      <c r="B729" s="291" t="s">
        <v>2677</v>
      </c>
      <c r="C729" s="291" t="s">
        <v>48</v>
      </c>
      <c r="D729" s="291" t="s">
        <v>34</v>
      </c>
      <c r="E729" s="291" t="s">
        <v>63</v>
      </c>
      <c r="F729" s="292">
        <v>44636</v>
      </c>
      <c r="G729" s="292">
        <v>44638</v>
      </c>
      <c r="H729" s="292"/>
      <c r="I729" s="292">
        <v>44638</v>
      </c>
      <c r="J729" s="292" t="s">
        <v>3</v>
      </c>
      <c r="K729" s="291" t="s">
        <v>1682</v>
      </c>
      <c r="L729" t="s">
        <v>1289</v>
      </c>
      <c r="M729" s="20">
        <v>44638</v>
      </c>
      <c r="O729" s="213">
        <v>44638</v>
      </c>
      <c r="R729" t="s">
        <v>138</v>
      </c>
      <c r="AA729" s="236"/>
      <c r="AD729" s="233">
        <v>44638</v>
      </c>
    </row>
    <row r="730" spans="1:30">
      <c r="A730" s="291">
        <f>COUNTA($E$3:E730)</f>
        <v>728</v>
      </c>
      <c r="B730" s="291" t="s">
        <v>2653</v>
      </c>
      <c r="C730" s="291" t="s">
        <v>2654</v>
      </c>
      <c r="D730" s="291" t="s">
        <v>35</v>
      </c>
      <c r="E730" s="291" t="s">
        <v>2655</v>
      </c>
      <c r="F730" s="292">
        <v>44635.740045999999</v>
      </c>
      <c r="G730" s="292"/>
      <c r="H730" s="292"/>
      <c r="I730" s="292"/>
      <c r="J730" s="292" t="s">
        <v>3</v>
      </c>
      <c r="K730" s="291" t="s">
        <v>2656</v>
      </c>
      <c r="L730" t="s">
        <v>2058</v>
      </c>
      <c r="M730" s="20">
        <v>44638</v>
      </c>
      <c r="N730" t="s">
        <v>2694</v>
      </c>
      <c r="O730" s="213">
        <v>44637</v>
      </c>
      <c r="R730" t="s">
        <v>26</v>
      </c>
      <c r="AA730" s="236"/>
      <c r="AD730" s="233">
        <v>44637</v>
      </c>
    </row>
    <row r="731" spans="1:30">
      <c r="A731" s="291">
        <f>COUNTA($E$3:E731)</f>
        <v>729</v>
      </c>
      <c r="B731" s="291" t="s">
        <v>2460</v>
      </c>
      <c r="C731" s="291" t="s">
        <v>2396</v>
      </c>
      <c r="D731" s="291" t="s">
        <v>1157</v>
      </c>
      <c r="E731" s="291" t="s">
        <v>1175</v>
      </c>
      <c r="F731" s="292">
        <v>44578</v>
      </c>
      <c r="G731" s="292">
        <v>44582</v>
      </c>
      <c r="H731" s="292"/>
      <c r="I731" s="292">
        <v>44579</v>
      </c>
      <c r="J731" s="292" t="s">
        <v>3</v>
      </c>
      <c r="K731" s="291" t="s">
        <v>2461</v>
      </c>
      <c r="L731" t="s">
        <v>28</v>
      </c>
      <c r="M731" s="20">
        <v>44638</v>
      </c>
      <c r="N731" t="s">
        <v>2689</v>
      </c>
      <c r="O731" s="213">
        <v>44669</v>
      </c>
      <c r="R731" t="s">
        <v>26</v>
      </c>
      <c r="AA731" s="236"/>
      <c r="AD731" s="233">
        <v>44669</v>
      </c>
    </row>
    <row r="732" spans="1:30">
      <c r="A732" s="291">
        <f>COUNTA($E$3:E732)</f>
        <v>730</v>
      </c>
      <c r="B732" s="291" t="s">
        <v>2667</v>
      </c>
      <c r="C732" s="291" t="s">
        <v>48</v>
      </c>
      <c r="D732" s="291" t="s">
        <v>1141</v>
      </c>
      <c r="E732" s="291" t="s">
        <v>1828</v>
      </c>
      <c r="F732" s="292">
        <v>44636.530741000002</v>
      </c>
      <c r="G732" s="292"/>
      <c r="H732" s="292"/>
      <c r="I732" s="292"/>
      <c r="J732" s="292" t="s">
        <v>4</v>
      </c>
      <c r="K732" s="291" t="s">
        <v>2668</v>
      </c>
      <c r="L732" t="s">
        <v>1310</v>
      </c>
      <c r="M732" s="20">
        <v>44638</v>
      </c>
      <c r="N732" t="s">
        <v>2982</v>
      </c>
      <c r="O732" s="213">
        <v>44657</v>
      </c>
      <c r="R732" t="s">
        <v>138</v>
      </c>
      <c r="AA732" s="236"/>
      <c r="AD732" s="233">
        <v>44657</v>
      </c>
    </row>
    <row r="733" spans="1:30">
      <c r="A733" s="291">
        <f>COUNTA($E$3:E733)</f>
        <v>731</v>
      </c>
      <c r="B733" s="291" t="s">
        <v>2665</v>
      </c>
      <c r="C733" s="291" t="s">
        <v>25</v>
      </c>
      <c r="D733" s="291" t="s">
        <v>34</v>
      </c>
      <c r="E733" s="291" t="s">
        <v>2666</v>
      </c>
      <c r="F733" s="292">
        <v>44636.529435999997</v>
      </c>
      <c r="G733" s="292"/>
      <c r="H733" s="292"/>
      <c r="I733" s="292"/>
      <c r="J733" s="292" t="s">
        <v>4</v>
      </c>
      <c r="K733" s="291" t="s">
        <v>1500</v>
      </c>
      <c r="L733" t="s">
        <v>1310</v>
      </c>
      <c r="M733" s="20">
        <v>44638</v>
      </c>
      <c r="N733" t="s">
        <v>2693</v>
      </c>
      <c r="O733" s="213">
        <v>44643</v>
      </c>
      <c r="R733" t="s">
        <v>138</v>
      </c>
      <c r="AA733" s="236"/>
      <c r="AD733" s="233">
        <v>44643</v>
      </c>
    </row>
    <row r="734" spans="1:30">
      <c r="A734" s="291">
        <f>COUNTA($E$3:E734)</f>
        <v>732</v>
      </c>
      <c r="B734" s="291" t="s">
        <v>2662</v>
      </c>
      <c r="C734" s="291" t="s">
        <v>25</v>
      </c>
      <c r="D734" s="291" t="s">
        <v>20</v>
      </c>
      <c r="E734" s="291" t="s">
        <v>2663</v>
      </c>
      <c r="F734" s="292">
        <v>44636.527234000001</v>
      </c>
      <c r="G734" s="292"/>
      <c r="H734" s="292"/>
      <c r="I734" s="292"/>
      <c r="J734" s="292" t="s">
        <v>4</v>
      </c>
      <c r="K734" s="291" t="s">
        <v>2664</v>
      </c>
      <c r="L734" t="s">
        <v>1310</v>
      </c>
      <c r="M734" s="20">
        <v>44638</v>
      </c>
      <c r="N734" t="s">
        <v>2687</v>
      </c>
      <c r="O734" s="213">
        <v>44643</v>
      </c>
      <c r="R734" t="s">
        <v>138</v>
      </c>
      <c r="AA734" s="236"/>
      <c r="AD734" s="233">
        <v>44643</v>
      </c>
    </row>
    <row r="735" spans="1:30">
      <c r="A735" s="291">
        <f>COUNTA($E$3:E735)</f>
        <v>733</v>
      </c>
      <c r="B735" s="291" t="s">
        <v>2657</v>
      </c>
      <c r="C735" s="291" t="s">
        <v>41</v>
      </c>
      <c r="D735" s="291" t="s">
        <v>1216</v>
      </c>
      <c r="E735" s="291" t="s">
        <v>2658</v>
      </c>
      <c r="F735" s="292">
        <v>44636.493841000003</v>
      </c>
      <c r="G735" s="292"/>
      <c r="H735" s="292"/>
      <c r="I735" s="292"/>
      <c r="J735" s="292" t="s">
        <v>4</v>
      </c>
      <c r="K735" s="291" t="s">
        <v>2691</v>
      </c>
      <c r="L735" t="s">
        <v>1289</v>
      </c>
      <c r="M735" s="20">
        <v>44638</v>
      </c>
      <c r="N735" t="s">
        <v>2693</v>
      </c>
      <c r="O735" s="213">
        <v>44651</v>
      </c>
      <c r="R735" t="s">
        <v>138</v>
      </c>
      <c r="AA735" s="236"/>
      <c r="AD735" s="233">
        <v>44651</v>
      </c>
    </row>
    <row r="736" spans="1:30">
      <c r="A736" s="291">
        <f>COUNTA($E$3:E736)</f>
        <v>734</v>
      </c>
      <c r="B736" s="291" t="s">
        <v>2599</v>
      </c>
      <c r="C736" s="291" t="s">
        <v>48</v>
      </c>
      <c r="D736" s="291" t="s">
        <v>34</v>
      </c>
      <c r="E736" s="291" t="s">
        <v>125</v>
      </c>
      <c r="F736" s="292">
        <v>44623.676684398102</v>
      </c>
      <c r="G736" s="292"/>
      <c r="H736" s="292"/>
      <c r="I736" s="292"/>
      <c r="J736" s="292" t="s">
        <v>4</v>
      </c>
      <c r="K736" s="291" t="s">
        <v>2600</v>
      </c>
      <c r="L736" t="s">
        <v>2058</v>
      </c>
      <c r="M736" s="20">
        <v>44638</v>
      </c>
      <c r="N736" t="s">
        <v>2693</v>
      </c>
      <c r="O736" s="213">
        <v>44638</v>
      </c>
      <c r="R736" t="s">
        <v>26</v>
      </c>
      <c r="AA736" s="236"/>
      <c r="AD736" s="233">
        <v>44638</v>
      </c>
    </row>
    <row r="737" spans="1:30">
      <c r="A737" s="291">
        <f>COUNTA($E$3:E737)</f>
        <v>735</v>
      </c>
      <c r="B737" s="291" t="s">
        <v>2594</v>
      </c>
      <c r="C737" s="291" t="s">
        <v>25</v>
      </c>
      <c r="D737" s="291" t="s">
        <v>1154</v>
      </c>
      <c r="E737" s="291" t="s">
        <v>2595</v>
      </c>
      <c r="F737" s="292">
        <v>44620</v>
      </c>
      <c r="G737" s="292">
        <v>44627</v>
      </c>
      <c r="H737" s="292"/>
      <c r="I737" s="292">
        <v>44627</v>
      </c>
      <c r="J737" s="292" t="s">
        <v>4</v>
      </c>
      <c r="K737" s="291" t="s">
        <v>2596</v>
      </c>
      <c r="L737" t="s">
        <v>1289</v>
      </c>
      <c r="M737" s="20">
        <v>44638</v>
      </c>
      <c r="N737" t="s">
        <v>2684</v>
      </c>
      <c r="O737" s="213">
        <v>44636</v>
      </c>
      <c r="R737" t="s">
        <v>138</v>
      </c>
      <c r="AA737" s="236"/>
      <c r="AD737" s="233">
        <v>44636</v>
      </c>
    </row>
    <row r="738" spans="1:30">
      <c r="A738" s="291">
        <f>COUNTA($E$3:E738)</f>
        <v>736</v>
      </c>
      <c r="B738" s="291" t="s">
        <v>2645</v>
      </c>
      <c r="C738" s="291" t="s">
        <v>1276</v>
      </c>
      <c r="D738" s="291" t="s">
        <v>49</v>
      </c>
      <c r="E738" s="291" t="s">
        <v>1789</v>
      </c>
      <c r="F738" s="292">
        <v>44634.714155000001</v>
      </c>
      <c r="G738" s="292"/>
      <c r="H738" s="292"/>
      <c r="I738" s="292"/>
      <c r="J738" s="292" t="s">
        <v>5</v>
      </c>
      <c r="K738" s="291" t="s">
        <v>1790</v>
      </c>
      <c r="L738" t="s">
        <v>1310</v>
      </c>
      <c r="M738" s="20">
        <v>44638</v>
      </c>
      <c r="N738" t="s">
        <v>2685</v>
      </c>
      <c r="O738" s="213">
        <v>44664</v>
      </c>
      <c r="R738" t="s">
        <v>138</v>
      </c>
      <c r="AA738" s="236"/>
      <c r="AD738" s="233">
        <v>44664</v>
      </c>
    </row>
    <row r="739" spans="1:30">
      <c r="A739" s="291">
        <f>COUNTA($E$3:E739)</f>
        <v>737</v>
      </c>
      <c r="B739" s="291" t="s">
        <v>2593</v>
      </c>
      <c r="C739" s="291" t="s">
        <v>25</v>
      </c>
      <c r="D739" s="291" t="s">
        <v>38</v>
      </c>
      <c r="E739" s="291" t="s">
        <v>1271</v>
      </c>
      <c r="F739" s="292">
        <v>44620</v>
      </c>
      <c r="G739" s="292">
        <v>44627</v>
      </c>
      <c r="H739" s="292"/>
      <c r="I739" s="292">
        <v>44627</v>
      </c>
      <c r="J739" s="292" t="s">
        <v>3</v>
      </c>
      <c r="K739" s="291" t="s">
        <v>1227</v>
      </c>
      <c r="L739" t="s">
        <v>1310</v>
      </c>
      <c r="M739" s="20">
        <v>44631</v>
      </c>
      <c r="N739" t="s">
        <v>2639</v>
      </c>
      <c r="O739" s="213">
        <v>44636</v>
      </c>
      <c r="R739" t="s">
        <v>138</v>
      </c>
      <c r="AA739" s="236"/>
      <c r="AD739" s="233">
        <v>44636</v>
      </c>
    </row>
    <row r="740" spans="1:30">
      <c r="A740" s="291">
        <f>COUNTA($E$3:E740)</f>
        <v>738</v>
      </c>
      <c r="B740" s="291" t="s">
        <v>2622</v>
      </c>
      <c r="C740" s="291" t="s">
        <v>1112</v>
      </c>
      <c r="D740" s="291" t="s">
        <v>34</v>
      </c>
      <c r="E740" s="291" t="s">
        <v>1663</v>
      </c>
      <c r="F740" s="292">
        <v>44627.527337962965</v>
      </c>
      <c r="G740" s="292"/>
      <c r="H740" s="292"/>
      <c r="I740" s="292"/>
      <c r="J740" s="292" t="s">
        <v>4</v>
      </c>
      <c r="K740" s="291" t="s">
        <v>2623</v>
      </c>
      <c r="L740" t="s">
        <v>1310</v>
      </c>
      <c r="M740" s="20">
        <v>44631</v>
      </c>
      <c r="N740" t="s">
        <v>2980</v>
      </c>
      <c r="O740" s="213">
        <v>44638</v>
      </c>
      <c r="R740" t="s">
        <v>138</v>
      </c>
      <c r="AA740" s="236"/>
      <c r="AD740" s="233">
        <v>44638</v>
      </c>
    </row>
    <row r="741" spans="1:30">
      <c r="A741" s="291">
        <f>COUNTA($E$3:E741)</f>
        <v>739</v>
      </c>
      <c r="B741" s="291" t="s">
        <v>2588</v>
      </c>
      <c r="C741" s="291" t="s">
        <v>25</v>
      </c>
      <c r="D741" s="291" t="s">
        <v>1181</v>
      </c>
      <c r="E741" s="291" t="s">
        <v>1182</v>
      </c>
      <c r="F741" s="292">
        <v>44620.429340277777</v>
      </c>
      <c r="G741" s="292"/>
      <c r="H741" s="292"/>
      <c r="I741" s="292"/>
      <c r="J741" s="292" t="s">
        <v>4</v>
      </c>
      <c r="K741" s="291" t="s">
        <v>2589</v>
      </c>
      <c r="L741" t="s">
        <v>1311</v>
      </c>
      <c r="M741" s="20">
        <v>44631</v>
      </c>
      <c r="N741" t="s">
        <v>2638</v>
      </c>
      <c r="O741" s="213">
        <v>44643</v>
      </c>
      <c r="R741" t="s">
        <v>138</v>
      </c>
      <c r="AA741" s="236"/>
      <c r="AD741" s="233">
        <v>44643</v>
      </c>
    </row>
    <row r="742" spans="1:30">
      <c r="A742" s="291">
        <f>COUNTA($E$3:E742)</f>
        <v>740</v>
      </c>
      <c r="B742" s="291" t="s">
        <v>2587</v>
      </c>
      <c r="C742" s="291" t="s">
        <v>48</v>
      </c>
      <c r="D742" s="291" t="s">
        <v>49</v>
      </c>
      <c r="E742" s="291" t="s">
        <v>161</v>
      </c>
      <c r="F742" s="292">
        <v>44620.428974294002</v>
      </c>
      <c r="G742" s="292"/>
      <c r="H742" s="292"/>
      <c r="I742" s="292"/>
      <c r="J742" s="292" t="s">
        <v>5</v>
      </c>
      <c r="K742" s="291" t="s">
        <v>1654</v>
      </c>
      <c r="L742" t="s">
        <v>1302</v>
      </c>
      <c r="M742" s="20">
        <v>44631</v>
      </c>
      <c r="N742" t="s">
        <v>2982</v>
      </c>
      <c r="O742" s="213">
        <v>44631</v>
      </c>
      <c r="R742" t="s">
        <v>138</v>
      </c>
      <c r="AA742" s="236"/>
      <c r="AD742" s="233">
        <v>44631</v>
      </c>
    </row>
    <row r="743" spans="1:30">
      <c r="A743" s="291">
        <f>COUNTA($E$3:E743)</f>
        <v>741</v>
      </c>
      <c r="B743" s="291" t="s">
        <v>2547</v>
      </c>
      <c r="C743" s="291" t="s">
        <v>48</v>
      </c>
      <c r="D743" s="291" t="s">
        <v>38</v>
      </c>
      <c r="E743" s="291" t="s">
        <v>135</v>
      </c>
      <c r="F743" s="292">
        <v>44610.571323055599</v>
      </c>
      <c r="G743" s="292"/>
      <c r="H743" s="292"/>
      <c r="I743" s="292"/>
      <c r="J743" s="292" t="s">
        <v>3</v>
      </c>
      <c r="K743" s="291" t="s">
        <v>2461</v>
      </c>
      <c r="L743" t="s">
        <v>1302</v>
      </c>
      <c r="M743" s="20">
        <v>44627</v>
      </c>
      <c r="N743" t="s">
        <v>2613</v>
      </c>
      <c r="O743" s="213">
        <v>44627</v>
      </c>
      <c r="R743" t="s">
        <v>138</v>
      </c>
      <c r="AA743" s="236"/>
      <c r="AD743" s="233">
        <v>44627</v>
      </c>
    </row>
    <row r="744" spans="1:30">
      <c r="A744" s="291">
        <f>COUNTA($E$3:E744)</f>
        <v>742</v>
      </c>
      <c r="B744" s="291" t="s">
        <v>2583</v>
      </c>
      <c r="C744" s="291" t="s">
        <v>41</v>
      </c>
      <c r="D744" s="291" t="s">
        <v>34</v>
      </c>
      <c r="E744" s="291" t="s">
        <v>2584</v>
      </c>
      <c r="F744" s="292">
        <v>44617.480717592596</v>
      </c>
      <c r="G744" s="292"/>
      <c r="H744" s="292"/>
      <c r="I744" s="292"/>
      <c r="J744" s="292" t="s">
        <v>4</v>
      </c>
      <c r="K744" s="291" t="s">
        <v>1264</v>
      </c>
      <c r="L744" t="s">
        <v>1302</v>
      </c>
      <c r="M744" s="20">
        <v>44627</v>
      </c>
      <c r="N744" t="s">
        <v>2613</v>
      </c>
      <c r="O744" s="213">
        <v>44636</v>
      </c>
      <c r="R744" t="s">
        <v>138</v>
      </c>
      <c r="AA744" s="236"/>
      <c r="AD744" s="233">
        <v>44636</v>
      </c>
    </row>
    <row r="745" spans="1:30">
      <c r="A745" s="291">
        <f>COUNTA($E$3:E745)</f>
        <v>743</v>
      </c>
      <c r="B745" s="291" t="s">
        <v>2561</v>
      </c>
      <c r="C745" s="291" t="s">
        <v>45</v>
      </c>
      <c r="D745" s="291" t="s">
        <v>53</v>
      </c>
      <c r="E745" s="291" t="s">
        <v>1155</v>
      </c>
      <c r="F745" s="292">
        <v>44616.542691770803</v>
      </c>
      <c r="G745" s="292"/>
      <c r="H745" s="292"/>
      <c r="I745" s="292"/>
      <c r="J745" s="292" t="s">
        <v>4</v>
      </c>
      <c r="K745" s="291" t="s">
        <v>1664</v>
      </c>
      <c r="L745" t="s">
        <v>1302</v>
      </c>
      <c r="M745" s="20">
        <v>44627</v>
      </c>
      <c r="N745" t="s">
        <v>2614</v>
      </c>
      <c r="O745" s="213">
        <v>44627</v>
      </c>
      <c r="R745" t="s">
        <v>138</v>
      </c>
      <c r="AA745" s="236"/>
      <c r="AD745" s="233">
        <v>44627</v>
      </c>
    </row>
    <row r="746" spans="1:30">
      <c r="A746" s="291">
        <f>COUNTA($E$3:E746)</f>
        <v>744</v>
      </c>
      <c r="B746" s="291" t="s">
        <v>2560</v>
      </c>
      <c r="C746" s="291" t="s">
        <v>45</v>
      </c>
      <c r="D746" s="291" t="s">
        <v>53</v>
      </c>
      <c r="E746" s="291" t="s">
        <v>1156</v>
      </c>
      <c r="F746" s="292">
        <v>44616.542210648149</v>
      </c>
      <c r="G746" s="292"/>
      <c r="H746" s="292"/>
      <c r="I746" s="292"/>
      <c r="J746" s="292" t="s">
        <v>4</v>
      </c>
      <c r="K746" s="291" t="s">
        <v>1658</v>
      </c>
      <c r="M746" s="20">
        <v>44617</v>
      </c>
      <c r="N746" t="s">
        <v>2569</v>
      </c>
      <c r="O746" s="213">
        <v>44617</v>
      </c>
      <c r="R746" t="s">
        <v>138</v>
      </c>
      <c r="AA746" s="236"/>
      <c r="AD746" s="233">
        <v>44617</v>
      </c>
    </row>
    <row r="747" spans="1:30">
      <c r="A747" s="291">
        <f>COUNTA($E$3:E747)</f>
        <v>745</v>
      </c>
      <c r="B747" s="291" t="s">
        <v>2541</v>
      </c>
      <c r="C747" s="291" t="s">
        <v>45</v>
      </c>
      <c r="D747" s="291" t="s">
        <v>1136</v>
      </c>
      <c r="E747" s="291" t="s">
        <v>1197</v>
      </c>
      <c r="F747" s="292">
        <v>44610.458923611113</v>
      </c>
      <c r="G747" s="292"/>
      <c r="H747" s="292"/>
      <c r="I747" s="292"/>
      <c r="J747" s="292" t="s">
        <v>3</v>
      </c>
      <c r="K747" s="291" t="s">
        <v>2542</v>
      </c>
      <c r="L747" t="s">
        <v>1309</v>
      </c>
      <c r="M747" s="20">
        <v>44617</v>
      </c>
      <c r="N747" t="s">
        <v>2569</v>
      </c>
      <c r="O747" s="213">
        <v>44621</v>
      </c>
      <c r="R747" t="s">
        <v>26</v>
      </c>
      <c r="AA747" s="236"/>
      <c r="AD747" s="233">
        <v>44621</v>
      </c>
    </row>
    <row r="748" spans="1:30">
      <c r="A748" s="291">
        <f>COUNTA($E$3:E748)</f>
        <v>746</v>
      </c>
      <c r="B748" s="291" t="s">
        <v>2559</v>
      </c>
      <c r="C748" s="291" t="s">
        <v>48</v>
      </c>
      <c r="D748" s="291" t="s">
        <v>55</v>
      </c>
      <c r="E748" s="291" t="s">
        <v>266</v>
      </c>
      <c r="F748" s="292">
        <v>44616.54184027778</v>
      </c>
      <c r="G748" s="292"/>
      <c r="H748" s="292"/>
      <c r="I748" s="292"/>
      <c r="J748" s="292" t="s">
        <v>4</v>
      </c>
      <c r="K748" s="291" t="s">
        <v>1658</v>
      </c>
      <c r="M748" s="20">
        <v>44617</v>
      </c>
      <c r="N748" t="s">
        <v>2569</v>
      </c>
      <c r="O748" s="213">
        <v>44617</v>
      </c>
      <c r="R748" t="s">
        <v>138</v>
      </c>
      <c r="AA748" s="236"/>
      <c r="AD748" s="233">
        <v>44617</v>
      </c>
    </row>
    <row r="749" spans="1:30">
      <c r="A749" s="291">
        <f>COUNTA($E$3:E749)</f>
        <v>747</v>
      </c>
      <c r="B749" s="291" t="s">
        <v>2556</v>
      </c>
      <c r="C749" s="291" t="s">
        <v>48</v>
      </c>
      <c r="D749" s="291" t="s">
        <v>34</v>
      </c>
      <c r="E749" s="291" t="s">
        <v>93</v>
      </c>
      <c r="F749" s="292">
        <v>44615.510879629626</v>
      </c>
      <c r="G749" s="292"/>
      <c r="H749" s="292"/>
      <c r="I749" s="292"/>
      <c r="J749" s="292" t="s">
        <v>4</v>
      </c>
      <c r="K749" s="291" t="s">
        <v>1735</v>
      </c>
      <c r="L749" t="s">
        <v>1302</v>
      </c>
      <c r="M749" s="20">
        <v>44617</v>
      </c>
      <c r="N749" t="s">
        <v>2569</v>
      </c>
      <c r="O749" s="213">
        <v>44617</v>
      </c>
      <c r="R749" t="s">
        <v>138</v>
      </c>
      <c r="AA749" s="236"/>
      <c r="AD749" s="233">
        <v>44617</v>
      </c>
    </row>
    <row r="750" spans="1:30">
      <c r="A750" s="291">
        <f>COUNTA($E$3:E750)</f>
        <v>748</v>
      </c>
      <c r="B750" s="291" t="s">
        <v>2554</v>
      </c>
      <c r="C750" s="291" t="s">
        <v>45</v>
      </c>
      <c r="D750" s="291" t="s">
        <v>20</v>
      </c>
      <c r="E750" s="291" t="s">
        <v>1200</v>
      </c>
      <c r="F750" s="292">
        <v>44615.493402777778</v>
      </c>
      <c r="G750" s="292"/>
      <c r="H750" s="292"/>
      <c r="I750" s="292"/>
      <c r="J750" s="292" t="s">
        <v>4</v>
      </c>
      <c r="K750" s="291" t="s">
        <v>1664</v>
      </c>
      <c r="L750" t="s">
        <v>1302</v>
      </c>
      <c r="M750" s="20">
        <v>44617</v>
      </c>
      <c r="N750" t="s">
        <v>2569</v>
      </c>
      <c r="O750" s="213">
        <v>44617</v>
      </c>
      <c r="R750" t="s">
        <v>138</v>
      </c>
      <c r="AA750" s="236"/>
      <c r="AD750" s="233">
        <v>44617</v>
      </c>
    </row>
    <row r="751" spans="1:30">
      <c r="A751" s="291">
        <f>COUNTA($E$3:E751)</f>
        <v>749</v>
      </c>
      <c r="B751" s="291" t="s">
        <v>2533</v>
      </c>
      <c r="C751" s="291" t="s">
        <v>41</v>
      </c>
      <c r="D751" s="291" t="s">
        <v>38</v>
      </c>
      <c r="E751" s="291" t="s">
        <v>1661</v>
      </c>
      <c r="F751" s="292">
        <v>44609.470866000003</v>
      </c>
      <c r="G751" s="292"/>
      <c r="H751" s="292"/>
      <c r="I751" s="292"/>
      <c r="J751" s="292" t="s">
        <v>4</v>
      </c>
      <c r="K751" s="291" t="s">
        <v>2567</v>
      </c>
      <c r="L751" t="s">
        <v>1310</v>
      </c>
      <c r="M751" s="20">
        <v>44617</v>
      </c>
      <c r="N751" t="s">
        <v>2569</v>
      </c>
      <c r="O751" s="213">
        <v>44617</v>
      </c>
      <c r="R751" t="s">
        <v>138</v>
      </c>
      <c r="AA751" s="236"/>
      <c r="AD751" s="233">
        <v>44617</v>
      </c>
    </row>
    <row r="752" spans="1:30">
      <c r="A752" s="291">
        <f>COUNTA($E$3:E752)</f>
        <v>750</v>
      </c>
      <c r="B752" s="291" t="s">
        <v>2249</v>
      </c>
      <c r="C752" s="291" t="s">
        <v>41</v>
      </c>
      <c r="D752" s="291" t="s">
        <v>38</v>
      </c>
      <c r="E752" s="291" t="s">
        <v>1980</v>
      </c>
      <c r="F752" s="292">
        <v>44519.485042222201</v>
      </c>
      <c r="G752" s="292"/>
      <c r="H752" s="292">
        <v>44523.628796296303</v>
      </c>
      <c r="I752" s="292"/>
      <c r="J752" s="292" t="s">
        <v>4</v>
      </c>
      <c r="K752" s="291" t="s">
        <v>1227</v>
      </c>
      <c r="M752" s="20">
        <v>44617</v>
      </c>
      <c r="N752" t="s">
        <v>2579</v>
      </c>
      <c r="O752" s="213">
        <v>44617</v>
      </c>
      <c r="R752" t="s">
        <v>138</v>
      </c>
      <c r="AA752" s="236"/>
      <c r="AD752" s="233">
        <v>44617</v>
      </c>
    </row>
    <row r="753" spans="1:30">
      <c r="A753" s="291">
        <f>COUNTA($E$3:E753)</f>
        <v>751</v>
      </c>
      <c r="B753" s="291" t="s">
        <v>2483</v>
      </c>
      <c r="C753" s="291" t="s">
        <v>2484</v>
      </c>
      <c r="D753" s="291" t="s">
        <v>20</v>
      </c>
      <c r="E753" s="291" t="s">
        <v>2485</v>
      </c>
      <c r="F753" s="292">
        <v>44589</v>
      </c>
      <c r="G753" s="292">
        <v>44603</v>
      </c>
      <c r="H753" s="292"/>
      <c r="I753" s="292">
        <v>44603</v>
      </c>
      <c r="J753" s="292" t="s">
        <v>3</v>
      </c>
      <c r="K753" s="291" t="s">
        <v>21</v>
      </c>
      <c r="L753" t="s">
        <v>1310</v>
      </c>
      <c r="M753" s="20">
        <v>44617</v>
      </c>
      <c r="N753" t="s">
        <v>2569</v>
      </c>
      <c r="O753" s="213">
        <v>44617</v>
      </c>
      <c r="R753" t="s">
        <v>138</v>
      </c>
      <c r="AA753" s="236"/>
      <c r="AD753" s="233">
        <v>44617</v>
      </c>
    </row>
    <row r="754" spans="1:30">
      <c r="A754" s="291">
        <f>COUNTA($E$3:E754)</f>
        <v>752</v>
      </c>
      <c r="B754" s="291" t="s">
        <v>2316</v>
      </c>
      <c r="C754" s="291" t="s">
        <v>295</v>
      </c>
      <c r="D754" s="291" t="s">
        <v>38</v>
      </c>
      <c r="E754" s="291" t="s">
        <v>1265</v>
      </c>
      <c r="F754" s="292">
        <v>44547</v>
      </c>
      <c r="G754" s="292"/>
      <c r="H754" s="292"/>
      <c r="I754" s="292"/>
      <c r="J754" s="292" t="s">
        <v>4</v>
      </c>
      <c r="K754" s="291" t="s">
        <v>1227</v>
      </c>
      <c r="L754" t="s">
        <v>2058</v>
      </c>
      <c r="M754" s="20">
        <v>44610</v>
      </c>
      <c r="N754" t="s">
        <v>2537</v>
      </c>
      <c r="O754" s="213">
        <v>44610</v>
      </c>
      <c r="R754" t="s">
        <v>26</v>
      </c>
      <c r="AA754" s="236"/>
      <c r="AD754" s="233">
        <v>44610</v>
      </c>
    </row>
    <row r="755" spans="1:30">
      <c r="A755" s="291">
        <f>COUNTA($E$3:E755)</f>
        <v>753</v>
      </c>
      <c r="B755" s="291" t="s">
        <v>2517</v>
      </c>
      <c r="C755" s="291" t="s">
        <v>1090</v>
      </c>
      <c r="D755" s="291" t="s">
        <v>1279</v>
      </c>
      <c r="E755" s="291" t="s">
        <v>1703</v>
      </c>
      <c r="F755" s="292">
        <v>44600</v>
      </c>
      <c r="G755" s="292">
        <v>44603</v>
      </c>
      <c r="H755" s="292"/>
      <c r="I755" s="292">
        <v>44603</v>
      </c>
      <c r="J755" s="292" t="s">
        <v>5</v>
      </c>
      <c r="K755" s="291" t="s">
        <v>1722</v>
      </c>
      <c r="L755" t="s">
        <v>297</v>
      </c>
      <c r="M755" s="20">
        <v>44610</v>
      </c>
      <c r="N755" t="s">
        <v>2538</v>
      </c>
      <c r="O755" s="213">
        <v>44613</v>
      </c>
      <c r="R755" t="s">
        <v>26</v>
      </c>
      <c r="AA755" s="236"/>
      <c r="AD755" s="233">
        <v>44613</v>
      </c>
    </row>
    <row r="756" spans="1:30">
      <c r="A756" s="291">
        <f>COUNTA($E$3:E756)</f>
        <v>754</v>
      </c>
      <c r="B756" s="291" t="s">
        <v>2518</v>
      </c>
      <c r="C756" s="291" t="s">
        <v>1090</v>
      </c>
      <c r="D756" s="291" t="s">
        <v>1138</v>
      </c>
      <c r="E756" s="291" t="s">
        <v>2519</v>
      </c>
      <c r="F756" s="292">
        <v>44600</v>
      </c>
      <c r="G756" s="292">
        <v>44603</v>
      </c>
      <c r="H756" s="292"/>
      <c r="I756" s="292">
        <v>44603</v>
      </c>
      <c r="J756" s="292" t="s">
        <v>5</v>
      </c>
      <c r="K756" s="291" t="s">
        <v>2527</v>
      </c>
      <c r="L756" t="s">
        <v>297</v>
      </c>
      <c r="M756" s="20">
        <v>44610</v>
      </c>
      <c r="N756" t="s">
        <v>2538</v>
      </c>
      <c r="O756" s="213">
        <v>44613</v>
      </c>
      <c r="R756" t="s">
        <v>26</v>
      </c>
      <c r="AA756" s="236"/>
      <c r="AD756" s="233">
        <v>44613</v>
      </c>
    </row>
    <row r="757" spans="1:30">
      <c r="A757" s="291">
        <f>COUNTA($E$3:E757)</f>
        <v>755</v>
      </c>
      <c r="B757" s="291" t="s">
        <v>2526</v>
      </c>
      <c r="C757" s="291" t="s">
        <v>41</v>
      </c>
      <c r="D757" s="291" t="s">
        <v>38</v>
      </c>
      <c r="E757" s="291" t="s">
        <v>1158</v>
      </c>
      <c r="F757" s="292">
        <v>44603.512870370374</v>
      </c>
      <c r="G757" s="292"/>
      <c r="H757" s="292"/>
      <c r="I757" s="292"/>
      <c r="J757" s="292" t="s">
        <v>4</v>
      </c>
      <c r="K757" s="291" t="s">
        <v>1681</v>
      </c>
      <c r="L757" t="s">
        <v>1302</v>
      </c>
      <c r="M757" s="20">
        <v>44610</v>
      </c>
      <c r="N757" t="s">
        <v>2539</v>
      </c>
      <c r="O757" s="213">
        <v>44610</v>
      </c>
      <c r="R757" t="s">
        <v>138</v>
      </c>
      <c r="AA757" s="236"/>
      <c r="AD757" s="233">
        <v>44610</v>
      </c>
    </row>
    <row r="758" spans="1:30">
      <c r="A758" s="291">
        <f>COUNTA($E$3:E758)</f>
        <v>756</v>
      </c>
      <c r="B758" s="291" t="s">
        <v>2528</v>
      </c>
      <c r="C758" s="291" t="s">
        <v>78</v>
      </c>
      <c r="D758" s="291" t="s">
        <v>55</v>
      </c>
      <c r="E758" s="291" t="s">
        <v>1140</v>
      </c>
      <c r="F758" s="292">
        <v>44609.737217000002</v>
      </c>
      <c r="G758" s="292"/>
      <c r="H758" s="292"/>
      <c r="I758" s="292"/>
      <c r="J758" s="292" t="s">
        <v>3</v>
      </c>
      <c r="K758" s="291" t="s">
        <v>21</v>
      </c>
      <c r="L758" t="s">
        <v>1302</v>
      </c>
      <c r="M758" s="20">
        <v>44610</v>
      </c>
      <c r="N758" t="s">
        <v>3120</v>
      </c>
      <c r="O758" s="213">
        <v>44687</v>
      </c>
      <c r="R758" t="s">
        <v>138</v>
      </c>
      <c r="AA758" s="236"/>
      <c r="AD758" s="233">
        <v>44687</v>
      </c>
    </row>
    <row r="759" spans="1:30">
      <c r="A759" s="291">
        <f>COUNTA($E$3:E759)</f>
        <v>757</v>
      </c>
      <c r="B759" s="291" t="s">
        <v>2230</v>
      </c>
      <c r="C759" s="291" t="s">
        <v>25</v>
      </c>
      <c r="D759" s="291" t="s">
        <v>38</v>
      </c>
      <c r="E759" s="291" t="s">
        <v>2231</v>
      </c>
      <c r="F759" s="292">
        <v>44518</v>
      </c>
      <c r="G759" s="292"/>
      <c r="H759" s="292"/>
      <c r="I759" s="292" t="s">
        <v>59</v>
      </c>
      <c r="J759" s="292" t="s">
        <v>3</v>
      </c>
      <c r="K759" s="291" t="s">
        <v>2259</v>
      </c>
      <c r="L759" t="s">
        <v>1310</v>
      </c>
      <c r="M759" s="20">
        <v>44610</v>
      </c>
      <c r="N759" t="s">
        <v>2550</v>
      </c>
      <c r="O759" s="213">
        <v>44610</v>
      </c>
      <c r="R759" t="s">
        <v>138</v>
      </c>
      <c r="AA759" s="236"/>
      <c r="AD759" s="233">
        <v>44610</v>
      </c>
    </row>
    <row r="760" spans="1:30">
      <c r="A760" s="291">
        <f>COUNTA($E$3:E760)</f>
        <v>758</v>
      </c>
      <c r="B760" s="291" t="s">
        <v>2534</v>
      </c>
      <c r="C760" s="291" t="s">
        <v>78</v>
      </c>
      <c r="D760" s="291" t="s">
        <v>53</v>
      </c>
      <c r="E760" s="291" t="s">
        <v>1169</v>
      </c>
      <c r="F760" s="292">
        <v>44609</v>
      </c>
      <c r="G760" s="292"/>
      <c r="H760" s="292"/>
      <c r="I760" s="292"/>
      <c r="J760" s="292" t="s">
        <v>3</v>
      </c>
      <c r="K760" s="291" t="s">
        <v>1909</v>
      </c>
      <c r="L760" t="s">
        <v>37</v>
      </c>
      <c r="M760" s="20">
        <v>44610</v>
      </c>
      <c r="N760" t="s">
        <v>2540</v>
      </c>
      <c r="O760" s="213">
        <v>44610</v>
      </c>
      <c r="R760" t="s">
        <v>138</v>
      </c>
      <c r="AA760" s="236"/>
      <c r="AD760" s="233">
        <v>44610</v>
      </c>
    </row>
    <row r="761" spans="1:30">
      <c r="A761" s="291">
        <f>COUNTA($E$3:E761)</f>
        <v>759</v>
      </c>
      <c r="B761" s="291" t="s">
        <v>2532</v>
      </c>
      <c r="C761" s="291" t="s">
        <v>41</v>
      </c>
      <c r="D761" s="291" t="s">
        <v>34</v>
      </c>
      <c r="E761" s="291" t="s">
        <v>1305</v>
      </c>
      <c r="F761" s="292">
        <v>44610.599216099501</v>
      </c>
      <c r="G761" s="292"/>
      <c r="H761" s="292"/>
      <c r="I761" s="292"/>
      <c r="J761" s="292" t="s">
        <v>4</v>
      </c>
      <c r="K761" s="291" t="s">
        <v>2549</v>
      </c>
      <c r="L761" t="s">
        <v>1310</v>
      </c>
      <c r="M761" s="20">
        <v>44610</v>
      </c>
      <c r="N761" t="s">
        <v>2551</v>
      </c>
      <c r="O761" s="213">
        <v>44616</v>
      </c>
      <c r="R761" t="s">
        <v>138</v>
      </c>
      <c r="AA761" s="236"/>
      <c r="AD761" s="233">
        <v>44616</v>
      </c>
    </row>
    <row r="762" spans="1:30">
      <c r="A762" s="291">
        <f>COUNTA($E$3:E762)</f>
        <v>760</v>
      </c>
      <c r="B762" s="291" t="s">
        <v>2480</v>
      </c>
      <c r="C762" s="291" t="s">
        <v>48</v>
      </c>
      <c r="D762" s="291" t="s">
        <v>53</v>
      </c>
      <c r="E762" s="291" t="s">
        <v>65</v>
      </c>
      <c r="F762" s="292">
        <v>44586</v>
      </c>
      <c r="G762" s="292">
        <v>44589</v>
      </c>
      <c r="H762" s="292"/>
      <c r="I762" s="292" t="s">
        <v>70</v>
      </c>
      <c r="J762" s="292" t="s">
        <v>3</v>
      </c>
      <c r="K762" s="291" t="s">
        <v>2481</v>
      </c>
      <c r="L762" t="s">
        <v>28</v>
      </c>
      <c r="M762" s="20">
        <v>44603</v>
      </c>
      <c r="O762" s="213">
        <v>44603</v>
      </c>
      <c r="R762" t="s">
        <v>26</v>
      </c>
      <c r="AA762" s="236"/>
      <c r="AD762" s="233">
        <v>44603</v>
      </c>
    </row>
    <row r="763" spans="1:30">
      <c r="A763" s="291">
        <f>COUNTA($E$3:E763)</f>
        <v>761</v>
      </c>
      <c r="B763" s="291" t="s">
        <v>2052</v>
      </c>
      <c r="C763" s="291" t="s">
        <v>48</v>
      </c>
      <c r="D763" s="291" t="s">
        <v>34</v>
      </c>
      <c r="E763" s="291" t="s">
        <v>121</v>
      </c>
      <c r="F763" s="292">
        <v>44484</v>
      </c>
      <c r="G763" s="292">
        <v>44491</v>
      </c>
      <c r="H763" s="292">
        <v>44491</v>
      </c>
      <c r="I763" s="292" t="s">
        <v>70</v>
      </c>
      <c r="J763" s="292" t="s">
        <v>3</v>
      </c>
      <c r="K763" s="291" t="s">
        <v>2071</v>
      </c>
      <c r="M763" s="20">
        <v>44603</v>
      </c>
      <c r="N763" t="s">
        <v>2525</v>
      </c>
      <c r="O763" s="213">
        <v>44603</v>
      </c>
      <c r="R763" t="s">
        <v>138</v>
      </c>
      <c r="AA763" s="236"/>
      <c r="AD763" s="233">
        <v>44603</v>
      </c>
    </row>
    <row r="764" spans="1:30">
      <c r="A764" s="291">
        <f>COUNTA($E$3:E764)</f>
        <v>762</v>
      </c>
      <c r="B764" s="291" t="s">
        <v>2402</v>
      </c>
      <c r="C764" s="291" t="s">
        <v>2371</v>
      </c>
      <c r="D764" s="291" t="s">
        <v>20</v>
      </c>
      <c r="E764" s="291" t="s">
        <v>2403</v>
      </c>
      <c r="F764" s="292">
        <v>44567</v>
      </c>
      <c r="G764" s="292">
        <v>44575</v>
      </c>
      <c r="H764" s="292"/>
      <c r="I764" s="292">
        <v>44575</v>
      </c>
      <c r="J764" s="292" t="s">
        <v>3</v>
      </c>
      <c r="K764" s="291" t="s">
        <v>1686</v>
      </c>
      <c r="L764" t="s">
        <v>1101</v>
      </c>
      <c r="M764" s="20">
        <v>44603</v>
      </c>
      <c r="O764" s="213">
        <v>44609</v>
      </c>
      <c r="R764" t="s">
        <v>3977</v>
      </c>
      <c r="AA764" s="236"/>
      <c r="AD764" s="233">
        <v>44609</v>
      </c>
    </row>
    <row r="765" spans="1:30">
      <c r="A765" s="291">
        <f>COUNTA($E$3:E765)</f>
        <v>763</v>
      </c>
      <c r="B765" s="291" t="s">
        <v>2488</v>
      </c>
      <c r="C765" s="291" t="s">
        <v>1112</v>
      </c>
      <c r="D765" s="291" t="s">
        <v>62</v>
      </c>
      <c r="E765" s="291" t="s">
        <v>2489</v>
      </c>
      <c r="F765" s="292">
        <v>44588.730624999997</v>
      </c>
      <c r="G765" s="292"/>
      <c r="H765" s="292"/>
      <c r="I765" s="292"/>
      <c r="J765" s="292" t="s">
        <v>4</v>
      </c>
      <c r="K765" s="291" t="s">
        <v>1500</v>
      </c>
      <c r="L765" t="s">
        <v>37</v>
      </c>
      <c r="M765" s="20">
        <v>44589</v>
      </c>
      <c r="N765" t="s">
        <v>2503</v>
      </c>
      <c r="O765" s="213">
        <v>44599</v>
      </c>
      <c r="R765" t="s">
        <v>3977</v>
      </c>
      <c r="AA765" s="236"/>
      <c r="AD765" s="233">
        <v>44599</v>
      </c>
    </row>
    <row r="766" spans="1:30">
      <c r="A766" s="291">
        <f>COUNTA($E$3:E766)</f>
        <v>764</v>
      </c>
      <c r="B766" s="291" t="s">
        <v>2486</v>
      </c>
      <c r="C766" s="291" t="s">
        <v>45</v>
      </c>
      <c r="D766" s="291" t="s">
        <v>38</v>
      </c>
      <c r="E766" s="291" t="s">
        <v>2487</v>
      </c>
      <c r="F766" s="292">
        <v>44588.571562999998</v>
      </c>
      <c r="G766" s="292"/>
      <c r="H766" s="292"/>
      <c r="I766" s="292"/>
      <c r="J766" s="292" t="s">
        <v>4</v>
      </c>
      <c r="K766" s="291" t="s">
        <v>1775</v>
      </c>
      <c r="L766" t="s">
        <v>37</v>
      </c>
      <c r="M766" s="20">
        <v>44589</v>
      </c>
      <c r="N766" t="s">
        <v>2502</v>
      </c>
      <c r="O766" s="213">
        <v>44589</v>
      </c>
      <c r="R766" t="s">
        <v>138</v>
      </c>
      <c r="AA766" s="236"/>
      <c r="AD766" s="233">
        <v>44589</v>
      </c>
    </row>
    <row r="767" spans="1:30">
      <c r="A767" s="291">
        <f>COUNTA($E$3:E767)</f>
        <v>765</v>
      </c>
      <c r="B767" s="291" t="s">
        <v>2210</v>
      </c>
      <c r="C767" s="291" t="s">
        <v>1246</v>
      </c>
      <c r="D767" s="291" t="s">
        <v>1141</v>
      </c>
      <c r="E767" s="291" t="s">
        <v>2211</v>
      </c>
      <c r="F767" s="292">
        <v>44512</v>
      </c>
      <c r="G767" s="292">
        <v>44519</v>
      </c>
      <c r="H767" s="292">
        <v>44575</v>
      </c>
      <c r="I767" s="292">
        <v>44519</v>
      </c>
      <c r="J767" s="292" t="s">
        <v>3</v>
      </c>
      <c r="K767" s="291" t="s">
        <v>1870</v>
      </c>
      <c r="L767" t="s">
        <v>2058</v>
      </c>
      <c r="M767" s="20">
        <v>44589</v>
      </c>
      <c r="N767" t="s">
        <v>2493</v>
      </c>
      <c r="O767" s="213">
        <v>44589</v>
      </c>
      <c r="R767" t="s">
        <v>26</v>
      </c>
      <c r="AA767" s="236"/>
      <c r="AD767" s="233">
        <v>44589</v>
      </c>
    </row>
    <row r="768" spans="1:30">
      <c r="A768" s="291">
        <f>COUNTA($E$3:E768)</f>
        <v>766</v>
      </c>
      <c r="B768" s="291" t="s">
        <v>2065</v>
      </c>
      <c r="C768" s="291" t="s">
        <v>1112</v>
      </c>
      <c r="D768" s="291" t="s">
        <v>34</v>
      </c>
      <c r="E768" s="291" t="s">
        <v>1663</v>
      </c>
      <c r="F768" s="292">
        <v>44489</v>
      </c>
      <c r="G768" s="292">
        <v>44491</v>
      </c>
      <c r="H768" s="292">
        <v>44568</v>
      </c>
      <c r="I768" s="292">
        <v>44496</v>
      </c>
      <c r="J768" s="292" t="s">
        <v>3</v>
      </c>
      <c r="K768" s="291" t="s">
        <v>2066</v>
      </c>
      <c r="L768" t="s">
        <v>37</v>
      </c>
      <c r="M768" s="20">
        <v>44589</v>
      </c>
      <c r="N768" t="s">
        <v>2499</v>
      </c>
      <c r="O768" s="213">
        <v>44589</v>
      </c>
      <c r="R768" t="s">
        <v>138</v>
      </c>
      <c r="AA768" s="236"/>
      <c r="AD768" s="233">
        <v>44589</v>
      </c>
    </row>
    <row r="769" spans="1:30">
      <c r="A769" s="291">
        <f>COUNTA($E$3:E769)</f>
        <v>767</v>
      </c>
      <c r="B769" s="291" t="s">
        <v>2490</v>
      </c>
      <c r="C769" s="291" t="s">
        <v>48</v>
      </c>
      <c r="D769" s="291" t="s">
        <v>34</v>
      </c>
      <c r="E769" s="291" t="s">
        <v>2491</v>
      </c>
      <c r="F769" s="292">
        <v>44588</v>
      </c>
      <c r="G769" s="292">
        <v>44589</v>
      </c>
      <c r="H769" s="292"/>
      <c r="I769" s="292" t="s">
        <v>70</v>
      </c>
      <c r="J769" s="292" t="s">
        <v>3</v>
      </c>
      <c r="K769" s="291" t="s">
        <v>2492</v>
      </c>
      <c r="L769" t="s">
        <v>28</v>
      </c>
      <c r="M769" s="20">
        <v>44589</v>
      </c>
      <c r="N769" t="s">
        <v>2504</v>
      </c>
      <c r="O769" s="213">
        <v>44589</v>
      </c>
      <c r="R769" t="s">
        <v>26</v>
      </c>
      <c r="AA769" s="236"/>
      <c r="AD769" s="233">
        <v>44589</v>
      </c>
    </row>
    <row r="770" spans="1:30">
      <c r="A770" s="291">
        <f>COUNTA($E$3:E770)</f>
        <v>768</v>
      </c>
      <c r="B770" s="291" t="s">
        <v>2229</v>
      </c>
      <c r="C770" s="291" t="s">
        <v>25</v>
      </c>
      <c r="D770" s="291" t="s">
        <v>38</v>
      </c>
      <c r="E770" s="291" t="s">
        <v>1697</v>
      </c>
      <c r="F770" s="292">
        <v>44518</v>
      </c>
      <c r="G770" s="292"/>
      <c r="H770" s="292"/>
      <c r="I770" s="292" t="s">
        <v>59</v>
      </c>
      <c r="J770" s="292" t="s">
        <v>4</v>
      </c>
      <c r="K770" s="291" t="s">
        <v>1680</v>
      </c>
      <c r="L770" t="s">
        <v>1302</v>
      </c>
      <c r="M770" s="20">
        <v>44589</v>
      </c>
      <c r="N770" t="s">
        <v>2494</v>
      </c>
      <c r="O770" s="213">
        <v>44589</v>
      </c>
      <c r="R770" t="s">
        <v>138</v>
      </c>
      <c r="AD770" s="233">
        <v>44589</v>
      </c>
    </row>
    <row r="771" spans="1:30">
      <c r="A771" s="291">
        <f>COUNTA($E$3:E771)</f>
        <v>769</v>
      </c>
      <c r="B771" s="291" t="s">
        <v>2479</v>
      </c>
      <c r="C771" s="291" t="s">
        <v>41</v>
      </c>
      <c r="D771" s="291" t="s">
        <v>34</v>
      </c>
      <c r="E771" s="291" t="s">
        <v>1199</v>
      </c>
      <c r="F771" s="292">
        <v>44586.655230999997</v>
      </c>
      <c r="G771" s="292"/>
      <c r="H771" s="292"/>
      <c r="I771" s="292"/>
      <c r="J771" s="292" t="s">
        <v>4</v>
      </c>
      <c r="K771" s="291" t="s">
        <v>2179</v>
      </c>
      <c r="L771" t="s">
        <v>1302</v>
      </c>
      <c r="M771" s="20">
        <v>44589</v>
      </c>
      <c r="N771" t="s">
        <v>2495</v>
      </c>
      <c r="O771" s="213">
        <v>44616</v>
      </c>
      <c r="R771" t="s">
        <v>138</v>
      </c>
      <c r="AD771" s="233">
        <v>44616</v>
      </c>
    </row>
    <row r="772" spans="1:30">
      <c r="A772" s="291">
        <f>COUNTA($E$3:E772)</f>
        <v>770</v>
      </c>
      <c r="B772" s="291" t="s">
        <v>2019</v>
      </c>
      <c r="C772" s="291" t="s">
        <v>1767</v>
      </c>
      <c r="D772" s="291" t="s">
        <v>53</v>
      </c>
      <c r="E772" s="291" t="s">
        <v>1768</v>
      </c>
      <c r="F772" s="292">
        <v>44475</v>
      </c>
      <c r="G772" s="292">
        <v>44479</v>
      </c>
      <c r="H772" s="292">
        <v>44479</v>
      </c>
      <c r="I772" s="292">
        <v>44479</v>
      </c>
      <c r="J772" s="292" t="s">
        <v>3</v>
      </c>
      <c r="K772" s="291" t="s">
        <v>21</v>
      </c>
      <c r="L772" t="s">
        <v>110</v>
      </c>
      <c r="M772" s="20">
        <v>44589</v>
      </c>
      <c r="N772" t="s">
        <v>1774</v>
      </c>
      <c r="O772" s="213">
        <v>44589</v>
      </c>
      <c r="R772" t="s">
        <v>26</v>
      </c>
      <c r="AD772" s="233">
        <v>44589</v>
      </c>
    </row>
    <row r="773" spans="1:30">
      <c r="A773" s="291">
        <f>COUNTA($E$3:E773)</f>
        <v>771</v>
      </c>
      <c r="B773" s="291" t="s">
        <v>2464</v>
      </c>
      <c r="C773" s="291" t="s">
        <v>1118</v>
      </c>
      <c r="D773" s="291" t="s">
        <v>62</v>
      </c>
      <c r="E773" s="291" t="s">
        <v>1220</v>
      </c>
      <c r="F773" s="292">
        <v>44579.489005000003</v>
      </c>
      <c r="G773" s="292"/>
      <c r="H773" s="292"/>
      <c r="I773" s="292"/>
      <c r="J773" s="292" t="s">
        <v>4</v>
      </c>
      <c r="K773" s="291" t="s">
        <v>1662</v>
      </c>
      <c r="L773" t="s">
        <v>1310</v>
      </c>
      <c r="M773" s="20">
        <v>44582</v>
      </c>
      <c r="N773" t="s">
        <v>2980</v>
      </c>
      <c r="O773" s="213">
        <v>44579</v>
      </c>
      <c r="R773" t="s">
        <v>138</v>
      </c>
      <c r="AD773" s="233">
        <v>44579</v>
      </c>
    </row>
    <row r="774" spans="1:30">
      <c r="A774" s="291">
        <f>COUNTA($E$3:E774)</f>
        <v>772</v>
      </c>
      <c r="B774" s="291" t="s">
        <v>2468</v>
      </c>
      <c r="C774" s="291" t="s">
        <v>41</v>
      </c>
      <c r="D774" s="291" t="s">
        <v>38</v>
      </c>
      <c r="E774" s="291" t="s">
        <v>2469</v>
      </c>
      <c r="F774" s="292">
        <v>44580.743842999997</v>
      </c>
      <c r="G774" s="292"/>
      <c r="H774" s="292"/>
      <c r="I774" s="292"/>
      <c r="J774" s="292" t="s">
        <v>4</v>
      </c>
      <c r="K774" s="291" t="s">
        <v>1681</v>
      </c>
      <c r="L774" t="s">
        <v>1302</v>
      </c>
      <c r="M774" s="20">
        <v>44582</v>
      </c>
      <c r="N774" t="s">
        <v>2477</v>
      </c>
      <c r="O774" s="213">
        <v>44616</v>
      </c>
      <c r="R774" t="s">
        <v>138</v>
      </c>
      <c r="AD774" s="233">
        <v>44616</v>
      </c>
    </row>
    <row r="775" spans="1:30">
      <c r="A775" s="291">
        <f>COUNTA($E$3:E775)</f>
        <v>773</v>
      </c>
      <c r="B775" s="291" t="s">
        <v>2439</v>
      </c>
      <c r="C775" s="291" t="s">
        <v>1112</v>
      </c>
      <c r="D775" s="291" t="s">
        <v>38</v>
      </c>
      <c r="E775" s="291" t="s">
        <v>1113</v>
      </c>
      <c r="F775" s="292">
        <v>44574.711817000003</v>
      </c>
      <c r="G775" s="292"/>
      <c r="H775" s="292"/>
      <c r="I775" s="292"/>
      <c r="J775" s="292" t="s">
        <v>3</v>
      </c>
      <c r="K775" s="291" t="s">
        <v>1762</v>
      </c>
      <c r="L775" t="s">
        <v>1310</v>
      </c>
      <c r="M775" s="20">
        <v>44582</v>
      </c>
      <c r="N775" t="s">
        <v>2472</v>
      </c>
      <c r="O775" s="213">
        <v>44582</v>
      </c>
      <c r="R775" t="s">
        <v>138</v>
      </c>
      <c r="AD775" s="233">
        <v>44582</v>
      </c>
    </row>
    <row r="776" spans="1:30">
      <c r="A776" s="291">
        <f>COUNTA($E$3:E776)</f>
        <v>774</v>
      </c>
      <c r="B776" s="291" t="s">
        <v>2445</v>
      </c>
      <c r="C776" s="291" t="s">
        <v>69</v>
      </c>
      <c r="D776" s="291" t="s">
        <v>1115</v>
      </c>
      <c r="E776" s="291" t="s">
        <v>2446</v>
      </c>
      <c r="F776" s="292">
        <v>44572</v>
      </c>
      <c r="G776" s="292">
        <v>44575</v>
      </c>
      <c r="H776" s="292"/>
      <c r="I776" s="292">
        <v>44575</v>
      </c>
      <c r="J776" s="292" t="s">
        <v>4</v>
      </c>
      <c r="K776" s="291" t="s">
        <v>1681</v>
      </c>
      <c r="M776" s="20">
        <v>44582</v>
      </c>
      <c r="N776" t="s">
        <v>2473</v>
      </c>
      <c r="O776" s="213">
        <v>44582</v>
      </c>
      <c r="R776" t="s">
        <v>26</v>
      </c>
      <c r="AD776" s="233">
        <v>44582</v>
      </c>
    </row>
    <row r="777" spans="1:30">
      <c r="A777" s="291">
        <f>COUNTA($E$3:E777)</f>
        <v>775</v>
      </c>
      <c r="B777" s="291" t="s">
        <v>2397</v>
      </c>
      <c r="C777" s="291" t="s">
        <v>1246</v>
      </c>
      <c r="D777" s="291" t="s">
        <v>60</v>
      </c>
      <c r="E777" s="291" t="s">
        <v>1260</v>
      </c>
      <c r="F777" s="292">
        <v>44565</v>
      </c>
      <c r="G777" s="292">
        <v>44575</v>
      </c>
      <c r="H777" s="292">
        <v>44578</v>
      </c>
      <c r="I777" s="292">
        <v>44575</v>
      </c>
      <c r="J777" s="292" t="s">
        <v>4</v>
      </c>
      <c r="K777" s="291" t="s">
        <v>1692</v>
      </c>
      <c r="L777" t="s">
        <v>297</v>
      </c>
      <c r="M777" s="20">
        <v>44582</v>
      </c>
      <c r="N777" t="s">
        <v>2476</v>
      </c>
      <c r="O777" s="213">
        <v>44582</v>
      </c>
      <c r="R777" t="s">
        <v>26</v>
      </c>
      <c r="AD777" s="233">
        <v>44582</v>
      </c>
    </row>
    <row r="778" spans="1:30">
      <c r="A778" s="291">
        <f>COUNTA($E$3:E778)</f>
        <v>776</v>
      </c>
      <c r="B778" s="291" t="s">
        <v>2453</v>
      </c>
      <c r="C778" s="291" t="s">
        <v>45</v>
      </c>
      <c r="D778" s="291" t="s">
        <v>36</v>
      </c>
      <c r="E778" s="291" t="s">
        <v>1171</v>
      </c>
      <c r="F778" s="292">
        <v>44573</v>
      </c>
      <c r="G778" s="292"/>
      <c r="H778" s="292"/>
      <c r="I778" s="292"/>
      <c r="J778" s="292" t="s">
        <v>3</v>
      </c>
      <c r="K778" s="291" t="s">
        <v>1870</v>
      </c>
      <c r="M778" s="20">
        <v>44582</v>
      </c>
      <c r="N778" t="s">
        <v>2474</v>
      </c>
      <c r="O778" s="213">
        <v>44582</v>
      </c>
      <c r="R778" t="s">
        <v>138</v>
      </c>
      <c r="AD778" s="233">
        <v>44582</v>
      </c>
    </row>
    <row r="779" spans="1:30">
      <c r="A779" s="291">
        <f>COUNTA($E$3:E779)</f>
        <v>777</v>
      </c>
      <c r="B779" s="291" t="s">
        <v>2463</v>
      </c>
      <c r="C779" s="291" t="s">
        <v>48</v>
      </c>
      <c r="D779" s="291" t="s">
        <v>34</v>
      </c>
      <c r="E779" s="291" t="s">
        <v>1129</v>
      </c>
      <c r="F779" s="292">
        <v>44579.472083000001</v>
      </c>
      <c r="G779" s="292"/>
      <c r="H779" s="292"/>
      <c r="I779" s="292"/>
      <c r="J779" s="292" t="s">
        <v>4</v>
      </c>
      <c r="K779" s="291" t="s">
        <v>2233</v>
      </c>
      <c r="L779" t="s">
        <v>1309</v>
      </c>
      <c r="M779" s="20">
        <v>44582</v>
      </c>
      <c r="N779" t="s">
        <v>2474</v>
      </c>
      <c r="O779" s="213">
        <v>44582</v>
      </c>
      <c r="R779" t="s">
        <v>26</v>
      </c>
      <c r="AD779" s="233">
        <v>44582</v>
      </c>
    </row>
    <row r="780" spans="1:30">
      <c r="A780" s="291">
        <f>COUNTA($E$3:E780)</f>
        <v>778</v>
      </c>
      <c r="B780" s="291" t="s">
        <v>2454</v>
      </c>
      <c r="C780" s="291" t="s">
        <v>1183</v>
      </c>
      <c r="D780" s="291" t="s">
        <v>1279</v>
      </c>
      <c r="E780" s="291" t="s">
        <v>2455</v>
      </c>
      <c r="F780" s="292">
        <v>44573.839583333334</v>
      </c>
      <c r="G780" s="292"/>
      <c r="H780" s="292"/>
      <c r="I780" s="292"/>
      <c r="J780" s="292" t="s">
        <v>4</v>
      </c>
      <c r="K780" s="291" t="s">
        <v>2220</v>
      </c>
      <c r="M780" s="20">
        <v>44582</v>
      </c>
      <c r="N780" t="s">
        <v>2475</v>
      </c>
      <c r="O780" s="213">
        <v>44582</v>
      </c>
      <c r="R780" t="s">
        <v>26</v>
      </c>
      <c r="AD780" s="233">
        <v>44582</v>
      </c>
    </row>
    <row r="781" spans="1:30">
      <c r="A781" s="291">
        <f>COUNTA($E$3:E781)</f>
        <v>779</v>
      </c>
      <c r="B781" s="291" t="s">
        <v>2153</v>
      </c>
      <c r="C781" s="291" t="s">
        <v>1212</v>
      </c>
      <c r="D781" s="291" t="s">
        <v>42</v>
      </c>
      <c r="E781" s="291" t="s">
        <v>1237</v>
      </c>
      <c r="F781" s="292">
        <v>44504</v>
      </c>
      <c r="G781" s="292">
        <v>44512</v>
      </c>
      <c r="H781" s="292">
        <v>44551</v>
      </c>
      <c r="I781" s="292">
        <v>44508</v>
      </c>
      <c r="J781" s="292" t="s">
        <v>3</v>
      </c>
      <c r="K781" s="291" t="s">
        <v>1733</v>
      </c>
      <c r="M781" s="20">
        <v>44582</v>
      </c>
      <c r="N781" t="s">
        <v>2471</v>
      </c>
      <c r="O781" s="213">
        <v>44582</v>
      </c>
      <c r="R781" t="s">
        <v>26</v>
      </c>
      <c r="AD781" s="233">
        <v>44582</v>
      </c>
    </row>
    <row r="782" spans="1:30">
      <c r="A782" s="291">
        <f>COUNTA($E$3:E782)</f>
        <v>780</v>
      </c>
      <c r="B782" s="291" t="s">
        <v>2022</v>
      </c>
      <c r="C782" s="291" t="s">
        <v>1183</v>
      </c>
      <c r="D782" s="291" t="s">
        <v>1135</v>
      </c>
      <c r="E782" s="291" t="s">
        <v>2023</v>
      </c>
      <c r="F782" s="292">
        <v>44476</v>
      </c>
      <c r="G782" s="292">
        <v>44497</v>
      </c>
      <c r="H782" s="292">
        <v>44508</v>
      </c>
      <c r="I782" s="292">
        <v>44494</v>
      </c>
      <c r="J782" s="292" t="s">
        <v>3</v>
      </c>
      <c r="K782" s="291" t="s">
        <v>369</v>
      </c>
      <c r="M782" s="20">
        <v>44582</v>
      </c>
      <c r="O782" s="213">
        <v>44621</v>
      </c>
      <c r="R782" t="s">
        <v>26</v>
      </c>
      <c r="AD782" s="233">
        <v>44621</v>
      </c>
    </row>
    <row r="783" spans="1:30">
      <c r="A783" s="291">
        <f>COUNTA($E$3:E783)</f>
        <v>781</v>
      </c>
      <c r="B783" s="291" t="s">
        <v>2462</v>
      </c>
      <c r="C783" s="291" t="s">
        <v>1118</v>
      </c>
      <c r="D783" s="291" t="s">
        <v>62</v>
      </c>
      <c r="E783" s="291" t="s">
        <v>1659</v>
      </c>
      <c r="F783" s="292">
        <v>44579.470694444448</v>
      </c>
      <c r="G783" s="292"/>
      <c r="H783" s="292"/>
      <c r="I783" s="292"/>
      <c r="J783" s="292" t="s">
        <v>3</v>
      </c>
      <c r="K783" s="291" t="s">
        <v>21</v>
      </c>
      <c r="L783" t="s">
        <v>1289</v>
      </c>
      <c r="M783" s="20">
        <v>44582</v>
      </c>
      <c r="N783" t="s">
        <v>2474</v>
      </c>
      <c r="O783" s="213">
        <v>44582</v>
      </c>
      <c r="R783" t="s">
        <v>138</v>
      </c>
      <c r="AD783" s="233">
        <v>44582</v>
      </c>
    </row>
    <row r="784" spans="1:30">
      <c r="A784" s="291">
        <f>COUNTA($E$3:E784)</f>
        <v>782</v>
      </c>
      <c r="B784" s="291" t="s">
        <v>2308</v>
      </c>
      <c r="C784" s="291" t="s">
        <v>1128</v>
      </c>
      <c r="D784" s="291" t="s">
        <v>68</v>
      </c>
      <c r="E784" s="291" t="s">
        <v>2309</v>
      </c>
      <c r="F784" s="292">
        <v>44543</v>
      </c>
      <c r="G784" s="292">
        <v>44547</v>
      </c>
      <c r="H784" s="292">
        <v>44551</v>
      </c>
      <c r="I784" s="292">
        <v>44545</v>
      </c>
      <c r="J784" s="292" t="s">
        <v>3</v>
      </c>
      <c r="K784" s="291" t="s">
        <v>2310</v>
      </c>
      <c r="M784" s="20">
        <v>44579</v>
      </c>
      <c r="N784" t="s">
        <v>2436</v>
      </c>
      <c r="O784" s="213">
        <v>44579</v>
      </c>
      <c r="R784" t="s">
        <v>26</v>
      </c>
      <c r="AD784" s="233">
        <v>44579</v>
      </c>
    </row>
    <row r="785" spans="1:30">
      <c r="A785" s="291">
        <f>COUNTA($E$3:E785)</f>
        <v>783</v>
      </c>
      <c r="B785" s="291" t="s">
        <v>2442</v>
      </c>
      <c r="C785" s="291" t="s">
        <v>45</v>
      </c>
      <c r="D785" s="291" t="s">
        <v>1115</v>
      </c>
      <c r="E785" s="291" t="s">
        <v>1116</v>
      </c>
      <c r="F785" s="292">
        <v>44571.714525462965</v>
      </c>
      <c r="G785" s="292"/>
      <c r="H785" s="292"/>
      <c r="I785" s="292"/>
      <c r="J785" s="292" t="s">
        <v>4</v>
      </c>
      <c r="K785" s="291"/>
      <c r="L785" t="s">
        <v>297</v>
      </c>
      <c r="M785" s="20">
        <v>44579</v>
      </c>
      <c r="O785" s="213">
        <v>44579</v>
      </c>
      <c r="R785" t="s">
        <v>26</v>
      </c>
      <c r="AD785" s="233">
        <v>44579</v>
      </c>
    </row>
    <row r="786" spans="1:30">
      <c r="A786" s="291">
        <f>COUNTA($E$3:E786)</f>
        <v>784</v>
      </c>
      <c r="B786" s="291" t="s">
        <v>2440</v>
      </c>
      <c r="C786" s="291" t="s">
        <v>1131</v>
      </c>
      <c r="D786" s="291" t="s">
        <v>42</v>
      </c>
      <c r="E786" s="291" t="s">
        <v>1957</v>
      </c>
      <c r="F786" s="292">
        <v>44573.73333333333</v>
      </c>
      <c r="G786" s="292"/>
      <c r="H786" s="292"/>
      <c r="I786" s="292"/>
      <c r="J786" s="292" t="s">
        <v>3</v>
      </c>
      <c r="K786" s="291"/>
      <c r="L786" t="s">
        <v>1289</v>
      </c>
      <c r="M786" s="20">
        <v>44579</v>
      </c>
      <c r="O786" s="213">
        <v>44579</v>
      </c>
      <c r="R786" t="s">
        <v>26</v>
      </c>
      <c r="AD786" s="233">
        <v>44579</v>
      </c>
    </row>
    <row r="787" spans="1:30">
      <c r="A787" s="291">
        <f>COUNTA($E$3:E787)</f>
        <v>785</v>
      </c>
      <c r="B787" s="291" t="s">
        <v>2258</v>
      </c>
      <c r="C787" s="291" t="s">
        <v>1174</v>
      </c>
      <c r="D787" s="291" t="s">
        <v>1135</v>
      </c>
      <c r="E787" s="291" t="s">
        <v>1188</v>
      </c>
      <c r="F787" s="292">
        <v>44523</v>
      </c>
      <c r="G787" s="292">
        <v>44540</v>
      </c>
      <c r="H787" s="292">
        <v>44550</v>
      </c>
      <c r="I787" s="292">
        <v>44538</v>
      </c>
      <c r="J787" s="292" t="s">
        <v>3</v>
      </c>
      <c r="K787" s="291" t="s">
        <v>1679</v>
      </c>
      <c r="M787" s="20">
        <v>44579</v>
      </c>
      <c r="N787" t="s">
        <v>2436</v>
      </c>
      <c r="O787" s="213">
        <v>44579</v>
      </c>
      <c r="R787" t="s">
        <v>26</v>
      </c>
      <c r="AD787" s="233">
        <v>44579</v>
      </c>
    </row>
    <row r="788" spans="1:30">
      <c r="A788" s="291">
        <f>COUNTA($E$3:E788)</f>
        <v>786</v>
      </c>
      <c r="B788" s="291" t="s">
        <v>2395</v>
      </c>
      <c r="C788" s="291" t="s">
        <v>2396</v>
      </c>
      <c r="D788" s="291" t="s">
        <v>1135</v>
      </c>
      <c r="E788" s="291" t="s">
        <v>1653</v>
      </c>
      <c r="F788" s="292">
        <v>44565.627025463</v>
      </c>
      <c r="G788" s="292"/>
      <c r="H788" s="292"/>
      <c r="I788" s="292"/>
      <c r="J788" s="292"/>
      <c r="K788" s="291"/>
      <c r="M788" s="20">
        <v>44579</v>
      </c>
      <c r="N788" t="s">
        <v>2437</v>
      </c>
      <c r="O788" s="213">
        <v>44579</v>
      </c>
      <c r="R788" t="s">
        <v>26</v>
      </c>
      <c r="AD788" s="233">
        <v>44579</v>
      </c>
    </row>
    <row r="789" spans="1:30">
      <c r="A789" s="291">
        <f>COUNTA($E$3:E789)</f>
        <v>787</v>
      </c>
      <c r="B789" s="291" t="s">
        <v>2441</v>
      </c>
      <c r="C789" s="291" t="s">
        <v>100</v>
      </c>
      <c r="D789" s="291" t="s">
        <v>1123</v>
      </c>
      <c r="E789" s="291" t="s">
        <v>1124</v>
      </c>
      <c r="F789" s="292">
        <v>44572.558148148149</v>
      </c>
      <c r="G789" s="292"/>
      <c r="H789" s="292"/>
      <c r="I789" s="292"/>
      <c r="J789" s="292" t="s">
        <v>4</v>
      </c>
      <c r="K789" s="291"/>
      <c r="L789" t="s">
        <v>1309</v>
      </c>
      <c r="M789" s="20">
        <v>44579</v>
      </c>
      <c r="N789" t="s">
        <v>2980</v>
      </c>
      <c r="O789" s="213">
        <v>44599</v>
      </c>
      <c r="R789" t="s">
        <v>138</v>
      </c>
      <c r="AD789" s="233">
        <v>44599</v>
      </c>
    </row>
    <row r="790" spans="1:30">
      <c r="A790" s="291">
        <f>COUNTA($E$3:E790)</f>
        <v>788</v>
      </c>
      <c r="B790" s="291" t="s">
        <v>2443</v>
      </c>
      <c r="C790" s="291" t="s">
        <v>45</v>
      </c>
      <c r="D790" s="291" t="s">
        <v>20</v>
      </c>
      <c r="E790" s="291" t="s">
        <v>1173</v>
      </c>
      <c r="F790" s="292">
        <v>44571.714004629626</v>
      </c>
      <c r="G790" s="292"/>
      <c r="H790" s="292"/>
      <c r="I790" s="292"/>
      <c r="J790" s="292" t="s">
        <v>4</v>
      </c>
      <c r="K790" s="291"/>
      <c r="L790" t="s">
        <v>1309</v>
      </c>
      <c r="M790" s="20">
        <v>44579</v>
      </c>
      <c r="O790" s="213">
        <v>44579</v>
      </c>
      <c r="R790" t="s">
        <v>26</v>
      </c>
      <c r="AD790" s="233">
        <v>44579</v>
      </c>
    </row>
    <row r="791" spans="1:30">
      <c r="A791" s="291">
        <f>COUNTA($E$3:E791)</f>
        <v>789</v>
      </c>
      <c r="B791" s="291" t="s">
        <v>2180</v>
      </c>
      <c r="C791" s="291" t="s">
        <v>25</v>
      </c>
      <c r="D791" s="291" t="s">
        <v>34</v>
      </c>
      <c r="E791" s="291" t="s">
        <v>2051</v>
      </c>
      <c r="F791" s="292">
        <v>44508</v>
      </c>
      <c r="G791" s="292"/>
      <c r="H791" s="292"/>
      <c r="I791" s="292" t="s">
        <v>59</v>
      </c>
      <c r="J791" s="292" t="s">
        <v>3</v>
      </c>
      <c r="K791" s="291" t="s">
        <v>1500</v>
      </c>
      <c r="M791" s="20">
        <v>44579</v>
      </c>
      <c r="N791" t="s">
        <v>2438</v>
      </c>
      <c r="O791" s="213">
        <v>44579</v>
      </c>
      <c r="R791" t="s">
        <v>138</v>
      </c>
      <c r="AD791" s="233">
        <v>44579</v>
      </c>
    </row>
    <row r="792" spans="1:30">
      <c r="A792" s="291">
        <f>COUNTA($E$3:E792)</f>
        <v>790</v>
      </c>
      <c r="B792" s="291" t="s">
        <v>2048</v>
      </c>
      <c r="C792" s="291" t="s">
        <v>25</v>
      </c>
      <c r="D792" s="291" t="s">
        <v>34</v>
      </c>
      <c r="E792" s="291" t="s">
        <v>2049</v>
      </c>
      <c r="F792" s="292">
        <v>44484</v>
      </c>
      <c r="G792" s="292">
        <v>44484</v>
      </c>
      <c r="H792" s="292">
        <v>44491</v>
      </c>
      <c r="I792" s="292"/>
      <c r="J792" s="292" t="s">
        <v>3</v>
      </c>
      <c r="K792" s="291" t="s">
        <v>1500</v>
      </c>
      <c r="M792" s="20">
        <v>44579</v>
      </c>
      <c r="N792" t="s">
        <v>2437</v>
      </c>
      <c r="O792" s="213">
        <v>44579</v>
      </c>
      <c r="R792" t="s">
        <v>138</v>
      </c>
      <c r="AD792" s="233">
        <v>44579</v>
      </c>
    </row>
    <row r="793" spans="1:30">
      <c r="A793" s="291">
        <f>COUNTA($E$3:E793)</f>
        <v>791</v>
      </c>
      <c r="B793" s="291" t="s">
        <v>2334</v>
      </c>
      <c r="C793" s="291" t="s">
        <v>45</v>
      </c>
      <c r="D793" s="291" t="s">
        <v>291</v>
      </c>
      <c r="E793" s="291" t="s">
        <v>2335</v>
      </c>
      <c r="F793" s="292">
        <v>44550</v>
      </c>
      <c r="G793" s="292"/>
      <c r="H793" s="292"/>
      <c r="I793" s="292"/>
      <c r="J793" s="292" t="s">
        <v>3</v>
      </c>
      <c r="K793" s="291" t="s">
        <v>1795</v>
      </c>
      <c r="M793" s="20">
        <v>44579</v>
      </c>
      <c r="N793" t="s">
        <v>2437</v>
      </c>
      <c r="O793" s="213">
        <v>44579</v>
      </c>
      <c r="R793" t="s">
        <v>138</v>
      </c>
      <c r="AD793" s="233">
        <v>44579</v>
      </c>
    </row>
    <row r="794" spans="1:30">
      <c r="A794" s="291">
        <f>COUNTA($E$3:E794)</f>
        <v>792</v>
      </c>
      <c r="B794" s="291" t="s">
        <v>2351</v>
      </c>
      <c r="C794" s="291" t="s">
        <v>45</v>
      </c>
      <c r="D794" s="291" t="s">
        <v>34</v>
      </c>
      <c r="E794" s="291" t="s">
        <v>1699</v>
      </c>
      <c r="F794" s="292">
        <v>44559.773310185199</v>
      </c>
      <c r="G794" s="292"/>
      <c r="H794" s="292"/>
      <c r="I794" s="292"/>
      <c r="J794" s="292" t="s">
        <v>4</v>
      </c>
      <c r="K794" s="291"/>
      <c r="L794" t="s">
        <v>1311</v>
      </c>
      <c r="M794" s="20">
        <v>44569</v>
      </c>
      <c r="N794" t="s">
        <v>2413</v>
      </c>
      <c r="O794" s="213">
        <v>44569</v>
      </c>
      <c r="R794" t="s">
        <v>138</v>
      </c>
      <c r="AD794" s="233">
        <v>44569</v>
      </c>
    </row>
    <row r="795" spans="1:30">
      <c r="A795" s="291">
        <f>COUNTA($E$3:E795)</f>
        <v>793</v>
      </c>
      <c r="B795" s="291" t="s">
        <v>2401</v>
      </c>
      <c r="C795" s="291" t="s">
        <v>25</v>
      </c>
      <c r="D795" s="291" t="s">
        <v>1154</v>
      </c>
      <c r="E795" s="291" t="s">
        <v>1219</v>
      </c>
      <c r="F795" s="292">
        <v>44567.547025462998</v>
      </c>
      <c r="G795" s="292"/>
      <c r="H795" s="292"/>
      <c r="I795" s="292"/>
      <c r="J795" s="292" t="s">
        <v>4</v>
      </c>
      <c r="K795" s="291" t="s">
        <v>1658</v>
      </c>
      <c r="L795" t="s">
        <v>1132</v>
      </c>
      <c r="M795" s="20">
        <v>44569</v>
      </c>
      <c r="O795" s="213">
        <v>44616</v>
      </c>
      <c r="R795" t="s">
        <v>138</v>
      </c>
      <c r="AD795" s="233">
        <v>44616</v>
      </c>
    </row>
    <row r="796" spans="1:30">
      <c r="A796" s="291">
        <f>COUNTA($E$3:E796)</f>
        <v>794</v>
      </c>
      <c r="B796" s="291" t="s">
        <v>2423</v>
      </c>
      <c r="C796" s="291" t="s">
        <v>1246</v>
      </c>
      <c r="D796" s="291" t="s">
        <v>1279</v>
      </c>
      <c r="E796" s="291" t="s">
        <v>2424</v>
      </c>
      <c r="F796" s="292">
        <v>44565.662800925929</v>
      </c>
      <c r="G796" s="292"/>
      <c r="H796" s="292"/>
      <c r="I796" s="292"/>
      <c r="J796" s="292" t="s">
        <v>4</v>
      </c>
      <c r="K796" s="291" t="s">
        <v>2220</v>
      </c>
      <c r="L796" t="s">
        <v>1189</v>
      </c>
      <c r="M796" s="20">
        <v>44569</v>
      </c>
      <c r="N796" t="s">
        <v>2433</v>
      </c>
      <c r="O796" s="213">
        <v>44569</v>
      </c>
      <c r="R796" t="s">
        <v>26</v>
      </c>
      <c r="AD796" s="233">
        <v>44569</v>
      </c>
    </row>
    <row r="797" spans="1:30">
      <c r="A797" s="291">
        <f>COUNTA($E$3:E797)</f>
        <v>795</v>
      </c>
      <c r="B797" s="291" t="s">
        <v>2421</v>
      </c>
      <c r="C797" s="291" t="s">
        <v>1246</v>
      </c>
      <c r="D797" s="291" t="s">
        <v>1193</v>
      </c>
      <c r="E797" s="291" t="s">
        <v>2422</v>
      </c>
      <c r="F797" s="292">
        <v>44565.659733796296</v>
      </c>
      <c r="G797" s="292"/>
      <c r="H797" s="292"/>
      <c r="I797" s="292"/>
      <c r="J797" s="292" t="s">
        <v>4</v>
      </c>
      <c r="K797" s="291" t="s">
        <v>2220</v>
      </c>
      <c r="L797" t="s">
        <v>1189</v>
      </c>
      <c r="M797" s="20">
        <v>44569</v>
      </c>
      <c r="N797" t="s">
        <v>2433</v>
      </c>
      <c r="O797" s="213">
        <v>44569</v>
      </c>
      <c r="R797" t="s">
        <v>26</v>
      </c>
      <c r="AD797" s="233">
        <v>44569</v>
      </c>
    </row>
    <row r="798" spans="1:30">
      <c r="A798" s="291">
        <f>COUNTA($E$3:E798)</f>
        <v>796</v>
      </c>
      <c r="B798" s="291" t="s">
        <v>2419</v>
      </c>
      <c r="C798" s="291" t="s">
        <v>1246</v>
      </c>
      <c r="D798" s="291" t="s">
        <v>1193</v>
      </c>
      <c r="E798" s="291" t="s">
        <v>2420</v>
      </c>
      <c r="F798" s="292">
        <v>44565.637997685182</v>
      </c>
      <c r="G798" s="292"/>
      <c r="H798" s="292"/>
      <c r="I798" s="292"/>
      <c r="J798" s="292" t="s">
        <v>4</v>
      </c>
      <c r="K798" s="291" t="s">
        <v>2220</v>
      </c>
      <c r="L798" t="s">
        <v>1189</v>
      </c>
      <c r="M798" s="20">
        <v>44569</v>
      </c>
      <c r="N798" t="s">
        <v>2433</v>
      </c>
      <c r="O798" s="213">
        <v>44569</v>
      </c>
      <c r="R798" t="s">
        <v>26</v>
      </c>
      <c r="AD798" s="233">
        <v>44569</v>
      </c>
    </row>
    <row r="799" spans="1:30">
      <c r="A799" s="291">
        <f>COUNTA($E$3:E799)</f>
        <v>797</v>
      </c>
      <c r="B799" s="291" t="s">
        <v>2428</v>
      </c>
      <c r="C799" s="291" t="s">
        <v>2429</v>
      </c>
      <c r="D799" s="291" t="s">
        <v>1193</v>
      </c>
      <c r="E799" s="291" t="s">
        <v>2430</v>
      </c>
      <c r="F799" s="292">
        <v>44565.671712962961</v>
      </c>
      <c r="G799" s="292"/>
      <c r="H799" s="292"/>
      <c r="I799" s="292"/>
      <c r="J799" s="292" t="s">
        <v>4</v>
      </c>
      <c r="K799" s="291" t="s">
        <v>2220</v>
      </c>
      <c r="L799" t="s">
        <v>1189</v>
      </c>
      <c r="M799" s="20">
        <v>44569</v>
      </c>
      <c r="N799" t="s">
        <v>2433</v>
      </c>
      <c r="O799" s="213">
        <v>44569</v>
      </c>
      <c r="R799" t="s">
        <v>26</v>
      </c>
      <c r="AD799" s="233">
        <v>44569</v>
      </c>
    </row>
    <row r="800" spans="1:30">
      <c r="A800" s="291">
        <f>COUNTA($E$3:E800)</f>
        <v>798</v>
      </c>
      <c r="B800" s="291" t="s">
        <v>2425</v>
      </c>
      <c r="C800" s="291" t="s">
        <v>2426</v>
      </c>
      <c r="D800" s="291" t="s">
        <v>1193</v>
      </c>
      <c r="E800" s="291" t="s">
        <v>2427</v>
      </c>
      <c r="F800" s="292">
        <v>44565.666458333333</v>
      </c>
      <c r="G800" s="292"/>
      <c r="H800" s="292"/>
      <c r="I800" s="292"/>
      <c r="J800" s="292" t="s">
        <v>4</v>
      </c>
      <c r="K800" s="291" t="s">
        <v>2220</v>
      </c>
      <c r="L800" t="s">
        <v>1189</v>
      </c>
      <c r="M800" s="20">
        <v>44569</v>
      </c>
      <c r="N800" t="s">
        <v>2433</v>
      </c>
      <c r="O800" s="213">
        <v>44569</v>
      </c>
      <c r="R800" t="s">
        <v>26</v>
      </c>
      <c r="AD800" s="233">
        <v>44569</v>
      </c>
    </row>
    <row r="801" spans="1:30">
      <c r="A801" s="291">
        <f>COUNTA($E$3:E801)</f>
        <v>799</v>
      </c>
      <c r="B801" s="291" t="s">
        <v>2431</v>
      </c>
      <c r="C801" s="291" t="s">
        <v>2356</v>
      </c>
      <c r="D801" s="291" t="s">
        <v>1193</v>
      </c>
      <c r="E801" s="291" t="s">
        <v>2432</v>
      </c>
      <c r="F801" s="292">
        <v>44565.674270833333</v>
      </c>
      <c r="G801" s="292"/>
      <c r="H801" s="292"/>
      <c r="I801" s="292"/>
      <c r="J801" s="292" t="s">
        <v>4</v>
      </c>
      <c r="K801" s="291" t="s">
        <v>2220</v>
      </c>
      <c r="L801" t="s">
        <v>1189</v>
      </c>
      <c r="M801" s="20">
        <v>44569</v>
      </c>
      <c r="N801" t="s">
        <v>2433</v>
      </c>
      <c r="O801" s="213">
        <v>44569</v>
      </c>
      <c r="R801" t="s">
        <v>26</v>
      </c>
      <c r="AD801" s="233">
        <v>44569</v>
      </c>
    </row>
    <row r="802" spans="1:30">
      <c r="A802" s="291">
        <f>COUNTA($E$3:E802)</f>
        <v>800</v>
      </c>
      <c r="B802" s="291" t="s">
        <v>2398</v>
      </c>
      <c r="C802" s="291" t="s">
        <v>45</v>
      </c>
      <c r="D802" s="291" t="s">
        <v>2399</v>
      </c>
      <c r="E802" s="291" t="s">
        <v>2400</v>
      </c>
      <c r="F802" s="292">
        <v>44566.430115740739</v>
      </c>
      <c r="G802" s="292"/>
      <c r="H802" s="292"/>
      <c r="I802" s="292"/>
      <c r="J802" s="292" t="s">
        <v>5</v>
      </c>
      <c r="K802" s="291" t="s">
        <v>1856</v>
      </c>
      <c r="L802" t="s">
        <v>1309</v>
      </c>
      <c r="M802" s="20">
        <v>44569</v>
      </c>
      <c r="O802" s="213">
        <v>44569</v>
      </c>
      <c r="R802" t="s">
        <v>26</v>
      </c>
      <c r="AD802" s="233">
        <v>44569</v>
      </c>
    </row>
    <row r="803" spans="1:30">
      <c r="A803" s="291">
        <f>COUNTA($E$3:E803)</f>
        <v>801</v>
      </c>
      <c r="B803" s="291" t="s">
        <v>2289</v>
      </c>
      <c r="C803" s="291" t="s">
        <v>1248</v>
      </c>
      <c r="D803" s="291" t="s">
        <v>62</v>
      </c>
      <c r="E803" s="291" t="s">
        <v>1249</v>
      </c>
      <c r="F803" s="292">
        <v>44536</v>
      </c>
      <c r="G803" s="292">
        <v>44540</v>
      </c>
      <c r="H803" s="292"/>
      <c r="I803" s="292">
        <v>44543</v>
      </c>
      <c r="J803" s="292" t="s">
        <v>3</v>
      </c>
      <c r="K803" s="291" t="s">
        <v>2290</v>
      </c>
      <c r="L803" t="s">
        <v>1309</v>
      </c>
      <c r="M803" s="20">
        <v>44569</v>
      </c>
      <c r="N803" t="s">
        <v>2412</v>
      </c>
      <c r="O803" s="213">
        <v>44569</v>
      </c>
      <c r="R803" t="s">
        <v>26</v>
      </c>
      <c r="AD803" s="233">
        <v>44569</v>
      </c>
    </row>
    <row r="804" spans="1:30">
      <c r="A804" s="291">
        <f>COUNTA($E$3:E804)</f>
        <v>802</v>
      </c>
      <c r="B804" s="291" t="s">
        <v>2389</v>
      </c>
      <c r="C804" s="291" t="s">
        <v>25</v>
      </c>
      <c r="D804" s="291" t="s">
        <v>27</v>
      </c>
      <c r="E804" s="291" t="s">
        <v>1668</v>
      </c>
      <c r="F804" s="292">
        <v>44550.521527777775</v>
      </c>
      <c r="G804" s="292"/>
      <c r="H804" s="292"/>
      <c r="I804" s="292"/>
      <c r="J804" s="292" t="s">
        <v>4</v>
      </c>
      <c r="K804" s="291"/>
      <c r="L804" t="s">
        <v>1302</v>
      </c>
      <c r="M804" s="20">
        <v>44561</v>
      </c>
      <c r="N804" t="s">
        <v>2347</v>
      </c>
      <c r="O804" s="213">
        <v>44561</v>
      </c>
      <c r="R804" t="s">
        <v>138</v>
      </c>
      <c r="AD804" s="233">
        <v>44561</v>
      </c>
    </row>
    <row r="805" spans="1:30">
      <c r="A805" s="291">
        <f>COUNTA($E$3:E805)</f>
        <v>803</v>
      </c>
      <c r="B805" s="291" t="s">
        <v>2376</v>
      </c>
      <c r="C805" s="291" t="s">
        <v>48</v>
      </c>
      <c r="D805" s="291" t="s">
        <v>1216</v>
      </c>
      <c r="E805" s="291" t="s">
        <v>109</v>
      </c>
      <c r="F805" s="292">
        <v>44508</v>
      </c>
      <c r="G805" s="292">
        <v>44512</v>
      </c>
      <c r="H805" s="292"/>
      <c r="I805" s="292" t="s">
        <v>70</v>
      </c>
      <c r="J805" s="292" t="s">
        <v>3</v>
      </c>
      <c r="K805" s="291" t="s">
        <v>1672</v>
      </c>
      <c r="L805" t="s">
        <v>108</v>
      </c>
      <c r="M805" s="20">
        <v>44561</v>
      </c>
      <c r="N805" t="s">
        <v>2377</v>
      </c>
      <c r="O805" s="213">
        <v>44561</v>
      </c>
      <c r="R805" t="s">
        <v>138</v>
      </c>
      <c r="AD805" s="233">
        <v>44561</v>
      </c>
    </row>
    <row r="806" spans="1:30">
      <c r="A806" s="291">
        <f>COUNTA($E$3:E806)</f>
        <v>804</v>
      </c>
      <c r="B806" s="291" t="s">
        <v>2317</v>
      </c>
      <c r="C806" s="291" t="s">
        <v>2318</v>
      </c>
      <c r="D806" s="291" t="s">
        <v>53</v>
      </c>
      <c r="E806" s="291" t="s">
        <v>1187</v>
      </c>
      <c r="F806" s="292">
        <v>44545.699316655096</v>
      </c>
      <c r="G806" s="292"/>
      <c r="H806" s="292"/>
      <c r="I806" s="292"/>
      <c r="J806" s="292" t="s">
        <v>4</v>
      </c>
      <c r="K806" s="291"/>
      <c r="L806" t="s">
        <v>1310</v>
      </c>
      <c r="M806" s="20">
        <v>44561</v>
      </c>
      <c r="N806" t="s">
        <v>2391</v>
      </c>
      <c r="O806" s="213">
        <v>44576</v>
      </c>
      <c r="R806" t="s">
        <v>138</v>
      </c>
      <c r="AD806" s="233">
        <v>44576</v>
      </c>
    </row>
    <row r="807" spans="1:30">
      <c r="A807" s="291">
        <f>COUNTA($E$3:E807)</f>
        <v>805</v>
      </c>
      <c r="B807" s="291" t="s">
        <v>2364</v>
      </c>
      <c r="C807" s="291" t="s">
        <v>41</v>
      </c>
      <c r="D807" s="291" t="s">
        <v>38</v>
      </c>
      <c r="E807" s="291" t="s">
        <v>1860</v>
      </c>
      <c r="F807" s="292">
        <v>44558.590590277781</v>
      </c>
      <c r="G807" s="292"/>
      <c r="H807" s="292"/>
      <c r="I807" s="292"/>
      <c r="J807" s="292" t="s">
        <v>4</v>
      </c>
      <c r="K807" s="291"/>
      <c r="L807" t="s">
        <v>1302</v>
      </c>
      <c r="M807" s="20">
        <v>44561</v>
      </c>
      <c r="N807" t="s">
        <v>2392</v>
      </c>
      <c r="O807" s="213">
        <v>44561</v>
      </c>
      <c r="R807" t="s">
        <v>138</v>
      </c>
      <c r="AD807" s="233">
        <v>44561</v>
      </c>
    </row>
    <row r="808" spans="1:30">
      <c r="A808" s="291">
        <f>COUNTA($E$3:E808)</f>
        <v>806</v>
      </c>
      <c r="B808" s="291" t="s">
        <v>2368</v>
      </c>
      <c r="C808" s="291" t="s">
        <v>48</v>
      </c>
      <c r="D808" s="291" t="s">
        <v>55</v>
      </c>
      <c r="E808" s="291" t="s">
        <v>268</v>
      </c>
      <c r="F808" s="292">
        <v>44560.528368055559</v>
      </c>
      <c r="G808" s="292"/>
      <c r="H808" s="292"/>
      <c r="I808" s="292"/>
      <c r="J808" s="292" t="s">
        <v>4</v>
      </c>
      <c r="K808" s="291"/>
      <c r="M808" s="20">
        <v>44561</v>
      </c>
      <c r="N808" t="s">
        <v>2392</v>
      </c>
      <c r="O808" s="213">
        <v>44561</v>
      </c>
      <c r="R808" t="s">
        <v>138</v>
      </c>
      <c r="AD808" s="233">
        <v>44561</v>
      </c>
    </row>
    <row r="809" spans="1:30">
      <c r="A809" s="291">
        <f>COUNTA($E$3:E809)</f>
        <v>807</v>
      </c>
      <c r="B809" s="291" t="s">
        <v>2340</v>
      </c>
      <c r="C809" s="291" t="s">
        <v>45</v>
      </c>
      <c r="D809" s="291" t="s">
        <v>60</v>
      </c>
      <c r="E809" s="291" t="s">
        <v>1253</v>
      </c>
      <c r="F809" s="292">
        <v>44551.769918981503</v>
      </c>
      <c r="G809" s="292"/>
      <c r="H809" s="292"/>
      <c r="I809" s="292"/>
      <c r="J809" s="292" t="s">
        <v>4</v>
      </c>
      <c r="K809" s="291"/>
      <c r="L809" t="s">
        <v>1310</v>
      </c>
      <c r="M809" s="20">
        <v>44561</v>
      </c>
      <c r="N809" t="s">
        <v>2393</v>
      </c>
      <c r="O809" s="213">
        <v>44561</v>
      </c>
      <c r="R809" t="s">
        <v>138</v>
      </c>
      <c r="AD809" s="233">
        <v>44561</v>
      </c>
    </row>
    <row r="810" spans="1:30">
      <c r="A810" s="291">
        <f>COUNTA($E$3:E810)</f>
        <v>808</v>
      </c>
      <c r="B810" s="291" t="s">
        <v>2336</v>
      </c>
      <c r="C810" s="291" t="s">
        <v>45</v>
      </c>
      <c r="D810" s="291" t="s">
        <v>36</v>
      </c>
      <c r="E810" s="291" t="s">
        <v>1297</v>
      </c>
      <c r="F810" s="292">
        <v>44550.552314814799</v>
      </c>
      <c r="G810" s="292"/>
      <c r="H810" s="292"/>
      <c r="I810" s="292"/>
      <c r="J810" s="292" t="s">
        <v>4</v>
      </c>
      <c r="K810" s="291"/>
      <c r="L810" t="s">
        <v>1311</v>
      </c>
      <c r="M810" s="20">
        <v>44561</v>
      </c>
      <c r="N810" t="s">
        <v>2392</v>
      </c>
      <c r="O810" s="213">
        <v>44561</v>
      </c>
      <c r="R810" t="s">
        <v>138</v>
      </c>
      <c r="AD810" s="233">
        <v>44561</v>
      </c>
    </row>
    <row r="811" spans="1:30">
      <c r="A811" s="291">
        <f>COUNTA($E$3:E811)</f>
        <v>809</v>
      </c>
      <c r="B811" s="291" t="s">
        <v>2379</v>
      </c>
      <c r="C811" s="291" t="s">
        <v>45</v>
      </c>
      <c r="D811" s="291" t="s">
        <v>20</v>
      </c>
      <c r="E811" s="291" t="s">
        <v>1165</v>
      </c>
      <c r="F811" s="292">
        <v>44537</v>
      </c>
      <c r="G811" s="292">
        <v>44543</v>
      </c>
      <c r="H811" s="292"/>
      <c r="I811" s="292" t="s">
        <v>70</v>
      </c>
      <c r="J811" s="292" t="s">
        <v>4</v>
      </c>
      <c r="K811" s="291"/>
      <c r="L811" t="s">
        <v>37</v>
      </c>
      <c r="M811" s="20">
        <v>44561</v>
      </c>
      <c r="O811" s="213">
        <v>44561</v>
      </c>
      <c r="R811" t="s">
        <v>138</v>
      </c>
      <c r="AD811" s="233">
        <v>44561</v>
      </c>
    </row>
    <row r="812" spans="1:30">
      <c r="A812" s="291">
        <f>COUNTA($E$3:E812)</f>
        <v>810</v>
      </c>
      <c r="B812" s="291" t="s">
        <v>2382</v>
      </c>
      <c r="C812" s="291" t="s">
        <v>25</v>
      </c>
      <c r="D812" s="291" t="s">
        <v>1154</v>
      </c>
      <c r="E812" s="291" t="s">
        <v>1257</v>
      </c>
      <c r="F812" s="292">
        <v>44550.522349537037</v>
      </c>
      <c r="G812" s="292"/>
      <c r="H812" s="292"/>
      <c r="I812" s="292"/>
      <c r="J812" s="292" t="s">
        <v>4</v>
      </c>
      <c r="K812" s="291"/>
      <c r="L812" t="s">
        <v>1310</v>
      </c>
      <c r="M812" s="20">
        <v>44561</v>
      </c>
      <c r="N812" t="s">
        <v>2347</v>
      </c>
      <c r="O812" s="213">
        <v>44561</v>
      </c>
      <c r="R812" t="s">
        <v>138</v>
      </c>
      <c r="AD812" s="233">
        <v>44561</v>
      </c>
    </row>
    <row r="813" spans="1:30">
      <c r="A813" s="291">
        <f>COUNTA($E$3:E813)</f>
        <v>811</v>
      </c>
      <c r="B813" s="291" t="s">
        <v>2381</v>
      </c>
      <c r="C813" s="291" t="s">
        <v>308</v>
      </c>
      <c r="D813" s="291" t="s">
        <v>1279</v>
      </c>
      <c r="E813" s="291" t="s">
        <v>2331</v>
      </c>
      <c r="F813" s="292">
        <v>44547.553893541699</v>
      </c>
      <c r="G813" s="292"/>
      <c r="H813" s="292"/>
      <c r="I813" s="292"/>
      <c r="J813" s="292" t="s">
        <v>4</v>
      </c>
      <c r="K813" s="291" t="s">
        <v>2220</v>
      </c>
      <c r="M813" s="20">
        <v>44561</v>
      </c>
      <c r="N813" t="s">
        <v>2346</v>
      </c>
      <c r="O813" s="213">
        <v>44561</v>
      </c>
      <c r="R813" t="s">
        <v>26</v>
      </c>
      <c r="AD813" s="233">
        <v>44561</v>
      </c>
    </row>
    <row r="814" spans="1:30">
      <c r="A814" s="291">
        <f>COUNTA($E$3:E814)</f>
        <v>812</v>
      </c>
      <c r="B814" s="291" t="s">
        <v>2386</v>
      </c>
      <c r="C814" s="291" t="s">
        <v>2341</v>
      </c>
      <c r="D814" s="291" t="s">
        <v>62</v>
      </c>
      <c r="E814" s="291" t="s">
        <v>2342</v>
      </c>
      <c r="F814" s="292">
        <v>44552.560312499998</v>
      </c>
      <c r="G814" s="292"/>
      <c r="H814" s="292"/>
      <c r="I814" s="292"/>
      <c r="J814" s="292" t="s">
        <v>4</v>
      </c>
      <c r="K814" s="291"/>
      <c r="L814" t="s">
        <v>1289</v>
      </c>
      <c r="M814" s="20">
        <v>44561</v>
      </c>
      <c r="N814" t="s">
        <v>2348</v>
      </c>
      <c r="O814" s="213">
        <v>44561</v>
      </c>
      <c r="R814" t="s">
        <v>3977</v>
      </c>
      <c r="AD814" s="233">
        <v>44561</v>
      </c>
    </row>
    <row r="815" spans="1:30">
      <c r="A815" s="291">
        <f>COUNTA($E$3:E815)</f>
        <v>813</v>
      </c>
      <c r="B815" s="291" t="s">
        <v>2375</v>
      </c>
      <c r="C815" s="291" t="s">
        <v>45</v>
      </c>
      <c r="D815" s="291" t="s">
        <v>62</v>
      </c>
      <c r="E815" s="291" t="s">
        <v>1185</v>
      </c>
      <c r="F815" s="292">
        <v>44553</v>
      </c>
      <c r="G815" s="292"/>
      <c r="H815" s="292"/>
      <c r="I815" s="292"/>
      <c r="J815" s="292" t="s">
        <v>3</v>
      </c>
      <c r="K815" s="291"/>
      <c r="L815" t="s">
        <v>37</v>
      </c>
      <c r="M815" s="20">
        <v>44561</v>
      </c>
      <c r="N815" t="s">
        <v>2350</v>
      </c>
      <c r="O815" s="213">
        <v>44561</v>
      </c>
      <c r="R815" t="s">
        <v>3977</v>
      </c>
      <c r="AD815" s="233">
        <v>44561</v>
      </c>
    </row>
    <row r="816" spans="1:30">
      <c r="A816" s="291">
        <f>COUNTA($E$3:E816)</f>
        <v>814</v>
      </c>
      <c r="B816" s="291" t="s">
        <v>2369</v>
      </c>
      <c r="C816" s="291" t="s">
        <v>41</v>
      </c>
      <c r="D816" s="291" t="s">
        <v>38</v>
      </c>
      <c r="E816" s="291" t="s">
        <v>1153</v>
      </c>
      <c r="F816" s="292">
        <v>44550.564050925903</v>
      </c>
      <c r="G816" s="292"/>
      <c r="H816" s="292"/>
      <c r="I816" s="292"/>
      <c r="J816" s="292"/>
      <c r="K816" s="291"/>
      <c r="L816" t="s">
        <v>1289</v>
      </c>
      <c r="M816" s="20">
        <v>44561</v>
      </c>
      <c r="N816" t="s">
        <v>2348</v>
      </c>
      <c r="O816" s="213">
        <v>44561</v>
      </c>
      <c r="R816" t="s">
        <v>138</v>
      </c>
      <c r="AD816" s="233">
        <v>44561</v>
      </c>
    </row>
    <row r="817" spans="1:30">
      <c r="A817" s="291">
        <f>COUNTA($E$3:E817)</f>
        <v>815</v>
      </c>
      <c r="B817" s="291" t="s">
        <v>2284</v>
      </c>
      <c r="C817" s="291" t="s">
        <v>1254</v>
      </c>
      <c r="D817" s="291" t="s">
        <v>42</v>
      </c>
      <c r="E817" s="291" t="s">
        <v>1770</v>
      </c>
      <c r="F817" s="292">
        <v>44533</v>
      </c>
      <c r="G817" s="292"/>
      <c r="H817" s="292"/>
      <c r="I817" s="292">
        <v>44533</v>
      </c>
      <c r="J817" s="292" t="s">
        <v>4</v>
      </c>
      <c r="K817" s="291" t="s">
        <v>2285</v>
      </c>
      <c r="L817" t="s">
        <v>2058</v>
      </c>
      <c r="M817" s="20">
        <v>44561</v>
      </c>
      <c r="N817" t="s">
        <v>2390</v>
      </c>
      <c r="O817" s="213">
        <v>44561</v>
      </c>
      <c r="R817" t="s">
        <v>26</v>
      </c>
      <c r="AD817" s="233">
        <v>44561</v>
      </c>
    </row>
    <row r="818" spans="1:30">
      <c r="A818" s="291">
        <f>COUNTA($E$3:E818)</f>
        <v>816</v>
      </c>
      <c r="B818" s="291" t="s">
        <v>2383</v>
      </c>
      <c r="C818" s="291" t="s">
        <v>308</v>
      </c>
      <c r="D818" s="291" t="s">
        <v>1138</v>
      </c>
      <c r="E818" s="291" t="s">
        <v>2337</v>
      </c>
      <c r="F818" s="292">
        <v>44550.80091435185</v>
      </c>
      <c r="G818" s="292"/>
      <c r="H818" s="292"/>
      <c r="I818" s="292"/>
      <c r="J818" s="292" t="s">
        <v>4</v>
      </c>
      <c r="K818" s="291"/>
      <c r="L818" t="s">
        <v>2384</v>
      </c>
      <c r="M818" s="20">
        <v>44561</v>
      </c>
      <c r="N818" t="s">
        <v>2349</v>
      </c>
      <c r="O818" s="213">
        <v>44561</v>
      </c>
      <c r="R818" t="s">
        <v>26</v>
      </c>
      <c r="AD818">
        <v>44561</v>
      </c>
    </row>
    <row r="819" spans="1:30">
      <c r="A819" s="291">
        <f>COUNTA($E$3:E819)</f>
        <v>817</v>
      </c>
      <c r="B819" s="291" t="s">
        <v>2385</v>
      </c>
      <c r="C819" s="291" t="s">
        <v>308</v>
      </c>
      <c r="D819" s="291" t="s">
        <v>1138</v>
      </c>
      <c r="E819" s="291" t="s">
        <v>2338</v>
      </c>
      <c r="F819" s="292">
        <v>44550.804895833331</v>
      </c>
      <c r="G819" s="292"/>
      <c r="H819" s="292"/>
      <c r="I819" s="292"/>
      <c r="J819" s="292" t="s">
        <v>4</v>
      </c>
      <c r="K819" s="291"/>
      <c r="L819" t="s">
        <v>2384</v>
      </c>
      <c r="M819" s="20">
        <v>44561</v>
      </c>
      <c r="N819" t="s">
        <v>2349</v>
      </c>
      <c r="O819" s="213">
        <v>44561</v>
      </c>
      <c r="R819" t="s">
        <v>26</v>
      </c>
      <c r="AD819">
        <v>44561</v>
      </c>
    </row>
    <row r="820" spans="1:30">
      <c r="A820" s="291">
        <f>COUNTA($E$3:E820)</f>
        <v>818</v>
      </c>
      <c r="B820" s="291" t="s">
        <v>2373</v>
      </c>
      <c r="C820" s="291" t="s">
        <v>45</v>
      </c>
      <c r="D820" s="291" t="s">
        <v>27</v>
      </c>
      <c r="E820" s="291" t="s">
        <v>1056</v>
      </c>
      <c r="F820" s="292">
        <v>44546</v>
      </c>
      <c r="G820" s="292"/>
      <c r="H820" s="292"/>
      <c r="I820" s="292"/>
      <c r="J820" s="292" t="s">
        <v>3</v>
      </c>
      <c r="K820" s="291" t="s">
        <v>2310</v>
      </c>
      <c r="L820" t="s">
        <v>1309</v>
      </c>
      <c r="M820" s="20">
        <v>44561</v>
      </c>
      <c r="N820" t="s">
        <v>2374</v>
      </c>
      <c r="O820" s="213">
        <v>44561</v>
      </c>
      <c r="R820" t="s">
        <v>26</v>
      </c>
      <c r="AD820">
        <v>44561</v>
      </c>
    </row>
    <row r="821" spans="1:30">
      <c r="A821" s="291">
        <f>COUNTA($E$3:E821)</f>
        <v>819</v>
      </c>
      <c r="B821" s="291" t="s">
        <v>2387</v>
      </c>
      <c r="C821" s="291" t="s">
        <v>2341</v>
      </c>
      <c r="D821" s="291" t="s">
        <v>20</v>
      </c>
      <c r="E821" s="291" t="s">
        <v>1229</v>
      </c>
      <c r="F821" s="292">
        <v>44552.56108796296</v>
      </c>
      <c r="G821" s="292"/>
      <c r="H821" s="292"/>
      <c r="I821" s="292"/>
      <c r="J821" s="292" t="s">
        <v>4</v>
      </c>
      <c r="K821" s="291"/>
      <c r="L821" t="s">
        <v>1302</v>
      </c>
      <c r="M821" s="20">
        <v>44561</v>
      </c>
      <c r="N821" t="s">
        <v>2349</v>
      </c>
      <c r="O821" s="213">
        <v>44561</v>
      </c>
      <c r="R821" t="s">
        <v>138</v>
      </c>
      <c r="AD821">
        <v>44561</v>
      </c>
    </row>
    <row r="822" spans="1:30">
      <c r="A822" s="291">
        <f>COUNTA($E$3:E822)</f>
        <v>820</v>
      </c>
      <c r="B822" s="291" t="s">
        <v>2388</v>
      </c>
      <c r="C822" s="291" t="s">
        <v>2341</v>
      </c>
      <c r="D822" s="291" t="s">
        <v>34</v>
      </c>
      <c r="E822" s="291" t="s">
        <v>2343</v>
      </c>
      <c r="F822" s="292">
        <v>44552</v>
      </c>
      <c r="G822" s="292">
        <v>44555</v>
      </c>
      <c r="H822" s="292"/>
      <c r="I822" s="292">
        <v>44555</v>
      </c>
      <c r="J822" s="292" t="s">
        <v>4</v>
      </c>
      <c r="K822" s="291"/>
      <c r="L822" t="s">
        <v>37</v>
      </c>
      <c r="M822" s="20">
        <v>44561</v>
      </c>
      <c r="O822" s="213">
        <v>44561</v>
      </c>
      <c r="R822" t="s">
        <v>138</v>
      </c>
      <c r="AD822">
        <v>44561</v>
      </c>
    </row>
    <row r="823" spans="1:30">
      <c r="A823" s="291">
        <f>COUNTA($E$3:E823)</f>
        <v>821</v>
      </c>
      <c r="B823" s="291" t="s">
        <v>2378</v>
      </c>
      <c r="C823" s="291" t="s">
        <v>41</v>
      </c>
      <c r="D823" s="291" t="s">
        <v>34</v>
      </c>
      <c r="E823" s="291" t="s">
        <v>1224</v>
      </c>
      <c r="F823" s="292">
        <v>44550.529386574075</v>
      </c>
      <c r="G823" s="292"/>
      <c r="H823" s="292"/>
      <c r="I823" s="292"/>
      <c r="J823" s="292" t="s">
        <v>4</v>
      </c>
      <c r="K823" s="291"/>
      <c r="L823" t="s">
        <v>1289</v>
      </c>
      <c r="M823" s="20">
        <v>44561</v>
      </c>
      <c r="N823" t="s">
        <v>2348</v>
      </c>
      <c r="O823" s="213">
        <v>44561</v>
      </c>
      <c r="R823" t="s">
        <v>138</v>
      </c>
      <c r="AD823">
        <v>44561</v>
      </c>
    </row>
    <row r="824" spans="1:30">
      <c r="A824" s="291">
        <f>COUNTA($E$3:E824)</f>
        <v>822</v>
      </c>
      <c r="B824" s="291" t="s">
        <v>2380</v>
      </c>
      <c r="C824" s="291" t="s">
        <v>41</v>
      </c>
      <c r="D824" s="291" t="s">
        <v>34</v>
      </c>
      <c r="E824" s="291" t="s">
        <v>1303</v>
      </c>
      <c r="F824" s="292">
        <v>44540.728877314818</v>
      </c>
      <c r="G824" s="292"/>
      <c r="H824" s="292"/>
      <c r="I824" s="292"/>
      <c r="J824" s="292" t="s">
        <v>4</v>
      </c>
      <c r="K824" s="291" t="s">
        <v>1664</v>
      </c>
      <c r="L824" t="s">
        <v>1311</v>
      </c>
      <c r="M824" s="20">
        <v>44561</v>
      </c>
      <c r="N824" t="s">
        <v>2348</v>
      </c>
      <c r="O824" s="213">
        <v>44561</v>
      </c>
      <c r="R824" t="s">
        <v>138</v>
      </c>
      <c r="AD824">
        <v>44561</v>
      </c>
    </row>
    <row r="825" spans="1:30">
      <c r="A825" s="291">
        <f>COUNTA($E$3:E825)</f>
        <v>823</v>
      </c>
      <c r="B825" s="291" t="s">
        <v>2363</v>
      </c>
      <c r="C825" s="291" t="s">
        <v>41</v>
      </c>
      <c r="D825" s="291" t="s">
        <v>34</v>
      </c>
      <c r="E825" s="291" t="s">
        <v>1290</v>
      </c>
      <c r="F825" s="292">
        <v>44558.590150462966</v>
      </c>
      <c r="G825" s="292"/>
      <c r="H825" s="292"/>
      <c r="I825" s="292"/>
      <c r="J825" s="292" t="s">
        <v>3</v>
      </c>
      <c r="K825" s="291"/>
      <c r="M825" s="20">
        <v>44561</v>
      </c>
      <c r="N825" t="s">
        <v>2394</v>
      </c>
      <c r="O825" s="213">
        <v>44561</v>
      </c>
      <c r="R825" t="s">
        <v>138</v>
      </c>
      <c r="AD825">
        <v>44561</v>
      </c>
    </row>
    <row r="826" spans="1:30">
      <c r="A826" s="291">
        <f>COUNTA($E$3:E826)</f>
        <v>824</v>
      </c>
      <c r="B826" s="291" t="s">
        <v>2370</v>
      </c>
      <c r="C826" s="291" t="s">
        <v>2371</v>
      </c>
      <c r="D826" s="291" t="s">
        <v>20</v>
      </c>
      <c r="E826" s="291" t="s">
        <v>2372</v>
      </c>
      <c r="F826" s="292">
        <v>44533</v>
      </c>
      <c r="G826" s="292"/>
      <c r="H826" s="292"/>
      <c r="I826" s="292" t="s">
        <v>59</v>
      </c>
      <c r="J826" s="292" t="s">
        <v>3</v>
      </c>
      <c r="K826" s="291" t="s">
        <v>1679</v>
      </c>
      <c r="L826" t="s">
        <v>1311</v>
      </c>
      <c r="M826" s="20">
        <v>44561</v>
      </c>
      <c r="O826" s="213">
        <v>44561</v>
      </c>
      <c r="R826" t="s">
        <v>138</v>
      </c>
      <c r="AD826">
        <v>44561</v>
      </c>
    </row>
    <row r="827" spans="1:30">
      <c r="A827" s="291">
        <f>COUNTA($E$3:E827)</f>
        <v>825</v>
      </c>
      <c r="B827" s="291" t="s">
        <v>1968</v>
      </c>
      <c r="C827" s="291" t="s">
        <v>45</v>
      </c>
      <c r="D827" s="291" t="s">
        <v>1115</v>
      </c>
      <c r="E827" s="291" t="s">
        <v>1217</v>
      </c>
      <c r="F827" s="292">
        <v>44467</v>
      </c>
      <c r="G827" s="292">
        <v>44471</v>
      </c>
      <c r="H827" s="292"/>
      <c r="I827" s="292" t="s">
        <v>70</v>
      </c>
      <c r="J827" s="292" t="s">
        <v>3</v>
      </c>
      <c r="K827" s="291" t="s">
        <v>1677</v>
      </c>
      <c r="M827" s="20">
        <v>44547</v>
      </c>
      <c r="N827" t="s">
        <v>3983</v>
      </c>
      <c r="O827" s="213">
        <v>44547</v>
      </c>
      <c r="R827" t="s">
        <v>138</v>
      </c>
      <c r="AD827">
        <v>44547</v>
      </c>
    </row>
    <row r="828" spans="1:30">
      <c r="A828" s="291">
        <f>COUNTA($E$3:E828)</f>
        <v>826</v>
      </c>
      <c r="B828" s="291" t="s">
        <v>2324</v>
      </c>
      <c r="C828" s="291" t="s">
        <v>45</v>
      </c>
      <c r="D828" s="291" t="s">
        <v>1115</v>
      </c>
      <c r="E828" s="291" t="s">
        <v>1221</v>
      </c>
      <c r="F828" s="292">
        <v>44546</v>
      </c>
      <c r="G828" s="292"/>
      <c r="H828" s="292"/>
      <c r="I828" s="292"/>
      <c r="J828" s="292" t="s">
        <v>3</v>
      </c>
      <c r="K828" s="291" t="s">
        <v>2325</v>
      </c>
      <c r="L828" t="s">
        <v>28</v>
      </c>
      <c r="M828" s="20">
        <v>44547</v>
      </c>
      <c r="N828" t="s">
        <v>2328</v>
      </c>
      <c r="O828" s="213">
        <v>44621</v>
      </c>
      <c r="R828" t="s">
        <v>26</v>
      </c>
      <c r="AD828">
        <v>44621</v>
      </c>
    </row>
    <row r="829" spans="1:30">
      <c r="A829" s="291">
        <f>COUNTA($E$3:E829)</f>
        <v>827</v>
      </c>
      <c r="B829" s="291" t="s">
        <v>2319</v>
      </c>
      <c r="C829" s="291" t="s">
        <v>45</v>
      </c>
      <c r="D829" s="291" t="s">
        <v>1127</v>
      </c>
      <c r="E829" s="291" t="s">
        <v>1243</v>
      </c>
      <c r="F829" s="292">
        <v>44545.498506944445</v>
      </c>
      <c r="G829" s="292"/>
      <c r="H829" s="292"/>
      <c r="I829" s="292"/>
      <c r="J829" s="292" t="s">
        <v>4</v>
      </c>
      <c r="K829" s="291" t="s">
        <v>1662</v>
      </c>
      <c r="M829" s="20">
        <v>44547</v>
      </c>
      <c r="N829" t="s">
        <v>2330</v>
      </c>
      <c r="O829" s="213">
        <v>44547</v>
      </c>
      <c r="R829" t="s">
        <v>138</v>
      </c>
      <c r="AD829">
        <v>44547</v>
      </c>
    </row>
    <row r="830" spans="1:30">
      <c r="A830" s="291">
        <f>COUNTA($E$3:E830)</f>
        <v>828</v>
      </c>
      <c r="B830" s="291" t="s">
        <v>2321</v>
      </c>
      <c r="C830" s="291" t="s">
        <v>45</v>
      </c>
      <c r="D830" s="291" t="s">
        <v>1216</v>
      </c>
      <c r="E830" s="291" t="s">
        <v>2322</v>
      </c>
      <c r="F830" s="292">
        <v>44545.539270833331</v>
      </c>
      <c r="G830" s="292"/>
      <c r="H830" s="292"/>
      <c r="I830" s="292"/>
      <c r="J830" s="292" t="s">
        <v>4</v>
      </c>
      <c r="K830" s="291" t="s">
        <v>1824</v>
      </c>
      <c r="L830" t="s">
        <v>1311</v>
      </c>
      <c r="M830" s="20">
        <v>44547</v>
      </c>
      <c r="N830" t="s">
        <v>2329</v>
      </c>
      <c r="O830" s="213">
        <v>44547</v>
      </c>
      <c r="R830" t="s">
        <v>138</v>
      </c>
      <c r="AD830">
        <v>44547</v>
      </c>
    </row>
    <row r="831" spans="1:30">
      <c r="A831" s="291">
        <f>COUNTA($E$3:E831)</f>
        <v>829</v>
      </c>
      <c r="B831" s="291" t="s">
        <v>2303</v>
      </c>
      <c r="C831" s="291" t="s">
        <v>45</v>
      </c>
      <c r="D831" s="291" t="s">
        <v>38</v>
      </c>
      <c r="E831" s="291" t="s">
        <v>1057</v>
      </c>
      <c r="F831" s="292">
        <v>44543</v>
      </c>
      <c r="G831" s="292"/>
      <c r="H831" s="292"/>
      <c r="I831" s="292"/>
      <c r="J831" s="292" t="s">
        <v>3</v>
      </c>
      <c r="K831" s="291" t="s">
        <v>2304</v>
      </c>
      <c r="L831" t="s">
        <v>28</v>
      </c>
      <c r="M831" s="20">
        <v>44547</v>
      </c>
      <c r="N831" t="s">
        <v>2327</v>
      </c>
      <c r="O831" s="213">
        <v>44547</v>
      </c>
      <c r="AD831">
        <v>44547</v>
      </c>
    </row>
    <row r="832" spans="1:30">
      <c r="A832" s="291">
        <f>COUNTA($E$3:E832)</f>
        <v>830</v>
      </c>
      <c r="B832" s="291" t="s">
        <v>2079</v>
      </c>
      <c r="C832" s="291" t="s">
        <v>48</v>
      </c>
      <c r="D832" s="291" t="s">
        <v>38</v>
      </c>
      <c r="E832" s="291" t="s">
        <v>52</v>
      </c>
      <c r="F832" s="292">
        <v>44494</v>
      </c>
      <c r="G832" s="292">
        <v>44497</v>
      </c>
      <c r="H832" s="292"/>
      <c r="I832" s="292" t="s">
        <v>70</v>
      </c>
      <c r="J832" s="292" t="s">
        <v>3</v>
      </c>
      <c r="K832" s="291" t="s">
        <v>21</v>
      </c>
      <c r="L832" t="s">
        <v>297</v>
      </c>
      <c r="M832" s="20">
        <v>44547</v>
      </c>
      <c r="N832" t="s">
        <v>2293</v>
      </c>
      <c r="O832" s="213">
        <v>44547</v>
      </c>
      <c r="AD832">
        <v>44547</v>
      </c>
    </row>
    <row r="833" spans="1:30">
      <c r="A833" s="291">
        <f>COUNTA($E$3:E833)</f>
        <v>831</v>
      </c>
      <c r="B833" s="291" t="s">
        <v>2034</v>
      </c>
      <c r="C833" s="291" t="s">
        <v>48</v>
      </c>
      <c r="D833" s="291" t="s">
        <v>38</v>
      </c>
      <c r="E833" s="291" t="s">
        <v>264</v>
      </c>
      <c r="F833" s="292">
        <v>44481</v>
      </c>
      <c r="G833" s="292">
        <v>44491</v>
      </c>
      <c r="H833" s="292"/>
      <c r="I833" s="292" t="s">
        <v>70</v>
      </c>
      <c r="J833" s="292" t="s">
        <v>3</v>
      </c>
      <c r="K833" s="291" t="s">
        <v>2044</v>
      </c>
      <c r="M833" s="20">
        <v>44547</v>
      </c>
      <c r="N833" t="s">
        <v>2293</v>
      </c>
      <c r="O833" s="213">
        <v>44547</v>
      </c>
      <c r="AD833">
        <v>44547</v>
      </c>
    </row>
    <row r="834" spans="1:30">
      <c r="A834" s="291">
        <f>COUNTA($E$3:E834)</f>
        <v>832</v>
      </c>
      <c r="B834" s="291" t="s">
        <v>2301</v>
      </c>
      <c r="C834" s="291" t="s">
        <v>41</v>
      </c>
      <c r="D834" s="291" t="s">
        <v>38</v>
      </c>
      <c r="E834" s="291" t="s">
        <v>1119</v>
      </c>
      <c r="F834" s="292">
        <v>44540.729733796295</v>
      </c>
      <c r="G834" s="292"/>
      <c r="H834" s="292"/>
      <c r="I834" s="292"/>
      <c r="J834" s="292" t="s">
        <v>4</v>
      </c>
      <c r="K834" s="291" t="s">
        <v>1775</v>
      </c>
      <c r="L834" t="s">
        <v>1310</v>
      </c>
      <c r="M834" s="20">
        <v>44547</v>
      </c>
      <c r="N834" t="s">
        <v>2326</v>
      </c>
      <c r="O834" s="213">
        <v>44547</v>
      </c>
      <c r="AD834">
        <v>44547</v>
      </c>
    </row>
    <row r="835" spans="1:30">
      <c r="A835" s="291">
        <f>COUNTA($E$3:E835)</f>
        <v>833</v>
      </c>
      <c r="B835" s="291" t="s">
        <v>2298</v>
      </c>
      <c r="C835" s="291" t="s">
        <v>41</v>
      </c>
      <c r="D835" s="291" t="s">
        <v>34</v>
      </c>
      <c r="E835" s="291" t="s">
        <v>2299</v>
      </c>
      <c r="F835" s="292">
        <v>44540.728414351855</v>
      </c>
      <c r="G835" s="292"/>
      <c r="H835" s="292"/>
      <c r="I835" s="292"/>
      <c r="J835" s="292" t="s">
        <v>4</v>
      </c>
      <c r="K835" s="291" t="s">
        <v>1775</v>
      </c>
      <c r="L835" t="s">
        <v>1310</v>
      </c>
      <c r="M835" s="20">
        <v>44547</v>
      </c>
      <c r="N835" t="s">
        <v>2326</v>
      </c>
      <c r="O835" s="213">
        <v>44547</v>
      </c>
      <c r="AD835">
        <v>44547</v>
      </c>
    </row>
    <row r="836" spans="1:30">
      <c r="A836" s="291">
        <f>COUNTA($E$3:E836)</f>
        <v>834</v>
      </c>
      <c r="B836" s="291" t="s">
        <v>2305</v>
      </c>
      <c r="C836" s="291" t="s">
        <v>45</v>
      </c>
      <c r="D836" s="291" t="s">
        <v>56</v>
      </c>
      <c r="E836" s="291" t="s">
        <v>2306</v>
      </c>
      <c r="F836" s="292">
        <v>44543</v>
      </c>
      <c r="G836" s="292"/>
      <c r="H836" s="292"/>
      <c r="I836" s="292"/>
      <c r="J836" s="292" t="s">
        <v>5</v>
      </c>
      <c r="K836" s="291" t="s">
        <v>2307</v>
      </c>
      <c r="L836" t="s">
        <v>28</v>
      </c>
      <c r="M836" s="20">
        <v>44547</v>
      </c>
      <c r="N836" t="s">
        <v>2328</v>
      </c>
      <c r="O836" s="213">
        <v>44547</v>
      </c>
      <c r="AD836">
        <v>44547</v>
      </c>
    </row>
    <row r="837" spans="1:30">
      <c r="A837" s="291">
        <f>COUNTA($E$3:E837)</f>
        <v>835</v>
      </c>
      <c r="B837" s="291" t="s">
        <v>2250</v>
      </c>
      <c r="C837" s="291" t="s">
        <v>41</v>
      </c>
      <c r="D837" s="291" t="s">
        <v>31</v>
      </c>
      <c r="E837" s="291" t="s">
        <v>2251</v>
      </c>
      <c r="F837" s="292">
        <v>44519</v>
      </c>
      <c r="G837" s="292">
        <v>44526</v>
      </c>
      <c r="H837" s="292"/>
      <c r="I837" s="292">
        <v>44524</v>
      </c>
      <c r="J837" s="292" t="s">
        <v>5</v>
      </c>
      <c r="K837" s="291" t="s">
        <v>1105</v>
      </c>
      <c r="L837" t="s">
        <v>1302</v>
      </c>
      <c r="M837" s="20">
        <v>44547</v>
      </c>
      <c r="N837" t="s">
        <v>2294</v>
      </c>
      <c r="O837" s="213">
        <v>44547</v>
      </c>
      <c r="AD837">
        <v>44547</v>
      </c>
    </row>
    <row r="838" spans="1:30">
      <c r="A838" s="291">
        <f>COUNTA($E$3:E838)</f>
        <v>836</v>
      </c>
      <c r="B838" s="291" t="s">
        <v>2288</v>
      </c>
      <c r="C838" s="291" t="s">
        <v>45</v>
      </c>
      <c r="D838" s="291" t="s">
        <v>20</v>
      </c>
      <c r="E838" s="291" t="s">
        <v>1200</v>
      </c>
      <c r="F838" s="292">
        <v>44536.655115740738</v>
      </c>
      <c r="G838" s="292"/>
      <c r="H838" s="292"/>
      <c r="I838" s="292"/>
      <c r="J838" s="292" t="s">
        <v>4</v>
      </c>
      <c r="K838" s="291" t="s">
        <v>1500</v>
      </c>
      <c r="L838" t="s">
        <v>1310</v>
      </c>
      <c r="M838" s="20">
        <v>44547</v>
      </c>
      <c r="N838" t="s">
        <v>2294</v>
      </c>
      <c r="O838" s="213">
        <v>44547</v>
      </c>
      <c r="AD838">
        <v>44547</v>
      </c>
    </row>
    <row r="839" spans="1:30">
      <c r="A839" s="291">
        <f>COUNTA($E$3:E839)</f>
        <v>837</v>
      </c>
      <c r="B839" s="291" t="s">
        <v>2320</v>
      </c>
      <c r="C839" s="291" t="s">
        <v>45</v>
      </c>
      <c r="D839" s="291" t="s">
        <v>20</v>
      </c>
      <c r="E839" s="291" t="s">
        <v>1173</v>
      </c>
      <c r="F839" s="292">
        <v>44545.538726851853</v>
      </c>
      <c r="G839" s="292"/>
      <c r="H839" s="292"/>
      <c r="I839" s="292"/>
      <c r="J839" s="292" t="s">
        <v>4</v>
      </c>
      <c r="K839" s="291" t="s">
        <v>1681</v>
      </c>
      <c r="L839" t="s">
        <v>1289</v>
      </c>
      <c r="M839" s="20">
        <v>44547</v>
      </c>
      <c r="N839" t="s">
        <v>2329</v>
      </c>
      <c r="O839" s="213">
        <v>44547</v>
      </c>
      <c r="AD839">
        <v>44547</v>
      </c>
    </row>
    <row r="840" spans="1:30">
      <c r="A840" s="291">
        <f>COUNTA($E$3:E840)</f>
        <v>838</v>
      </c>
      <c r="B840" s="291" t="s">
        <v>2323</v>
      </c>
      <c r="C840" s="291" t="s">
        <v>1294</v>
      </c>
      <c r="D840" s="291" t="s">
        <v>1115</v>
      </c>
      <c r="E840" s="291" t="s">
        <v>1296</v>
      </c>
      <c r="F840" s="292">
        <v>44545</v>
      </c>
      <c r="G840" s="292"/>
      <c r="H840" s="292"/>
      <c r="I840" s="292"/>
      <c r="J840" s="292" t="s">
        <v>4</v>
      </c>
      <c r="K840" s="291" t="s">
        <v>1682</v>
      </c>
      <c r="L840" t="s">
        <v>37</v>
      </c>
      <c r="M840" s="20">
        <v>44547</v>
      </c>
      <c r="N840" t="s">
        <v>2328</v>
      </c>
      <c r="O840" s="213">
        <v>44547</v>
      </c>
      <c r="AD840">
        <v>44547</v>
      </c>
    </row>
    <row r="841" spans="1:30">
      <c r="A841" s="291">
        <f>COUNTA($E$3:E841)</f>
        <v>839</v>
      </c>
      <c r="B841" s="291" t="s">
        <v>2186</v>
      </c>
      <c r="C841" s="291" t="s">
        <v>2187</v>
      </c>
      <c r="D841" s="291" t="s">
        <v>60</v>
      </c>
      <c r="E841" s="291" t="s">
        <v>2188</v>
      </c>
      <c r="F841" s="292">
        <v>44518</v>
      </c>
      <c r="G841" s="292"/>
      <c r="H841" s="292"/>
      <c r="I841" s="292"/>
      <c r="J841" s="292" t="s">
        <v>4</v>
      </c>
      <c r="K841" s="291" t="s">
        <v>471</v>
      </c>
      <c r="L841" t="s">
        <v>28</v>
      </c>
      <c r="M841" s="20">
        <v>44547</v>
      </c>
      <c r="N841" t="s">
        <v>2293</v>
      </c>
      <c r="O841" s="213">
        <v>44547</v>
      </c>
      <c r="AD841">
        <v>44547</v>
      </c>
    </row>
    <row r="842" spans="1:30">
      <c r="A842" s="291">
        <f>COUNTA($E$3:E842)</f>
        <v>840</v>
      </c>
      <c r="B842" s="291" t="s">
        <v>2314</v>
      </c>
      <c r="C842" s="291" t="s">
        <v>2312</v>
      </c>
      <c r="D842" s="291" t="s">
        <v>20</v>
      </c>
      <c r="E842" s="291" t="s">
        <v>2315</v>
      </c>
      <c r="F842" s="292">
        <v>44545.492627314816</v>
      </c>
      <c r="G842" s="292"/>
      <c r="H842" s="292"/>
      <c r="I842" s="292"/>
      <c r="J842" s="292" t="s">
        <v>4</v>
      </c>
      <c r="K842" s="291" t="s">
        <v>1500</v>
      </c>
      <c r="L842" t="s">
        <v>2058</v>
      </c>
      <c r="M842" s="20">
        <v>44547</v>
      </c>
      <c r="N842" t="s">
        <v>2326</v>
      </c>
      <c r="O842" s="213">
        <v>44621</v>
      </c>
      <c r="AD842">
        <v>44621</v>
      </c>
    </row>
    <row r="843" spans="1:30">
      <c r="A843" s="291">
        <f>COUNTA($E$3:E843)</f>
        <v>841</v>
      </c>
      <c r="B843" s="291" t="s">
        <v>2286</v>
      </c>
      <c r="C843" s="291" t="s">
        <v>1261</v>
      </c>
      <c r="D843" s="291" t="s">
        <v>20</v>
      </c>
      <c r="E843" s="291" t="s">
        <v>2287</v>
      </c>
      <c r="F843" s="292">
        <v>44533.652957905098</v>
      </c>
      <c r="G843" s="292"/>
      <c r="H843" s="292"/>
      <c r="I843" s="292"/>
      <c r="J843" s="292" t="s">
        <v>4</v>
      </c>
      <c r="K843" s="291" t="s">
        <v>1665</v>
      </c>
      <c r="L843" t="s">
        <v>297</v>
      </c>
      <c r="M843" s="20">
        <v>44547</v>
      </c>
      <c r="N843" t="s">
        <v>2294</v>
      </c>
      <c r="O843" s="213">
        <v>44547</v>
      </c>
      <c r="AD843">
        <v>44547</v>
      </c>
    </row>
    <row r="844" spans="1:30">
      <c r="A844" s="291">
        <f>COUNTA($E$3:E844)</f>
        <v>842</v>
      </c>
      <c r="B844" s="291" t="s">
        <v>2221</v>
      </c>
      <c r="C844" s="291" t="s">
        <v>44</v>
      </c>
      <c r="D844" s="291" t="s">
        <v>55</v>
      </c>
      <c r="E844" s="291" t="s">
        <v>1059</v>
      </c>
      <c r="F844" s="292">
        <v>44516</v>
      </c>
      <c r="G844" s="292"/>
      <c r="H844" s="292"/>
      <c r="I844" s="292"/>
      <c r="J844" s="292" t="s">
        <v>3</v>
      </c>
      <c r="K844" s="291" t="s">
        <v>2222</v>
      </c>
      <c r="L844" t="s">
        <v>37</v>
      </c>
      <c r="M844" s="20">
        <v>44519</v>
      </c>
      <c r="N844" t="s">
        <v>2242</v>
      </c>
      <c r="O844" s="213">
        <v>44519</v>
      </c>
      <c r="AD844">
        <v>44519</v>
      </c>
    </row>
    <row r="845" spans="1:30">
      <c r="A845" s="291">
        <f>COUNTA($E$3:E845)</f>
        <v>843</v>
      </c>
      <c r="B845" s="291" t="s">
        <v>2217</v>
      </c>
      <c r="C845" s="291" t="s">
        <v>45</v>
      </c>
      <c r="D845" s="291" t="s">
        <v>1151</v>
      </c>
      <c r="E845" s="291" t="s">
        <v>1152</v>
      </c>
      <c r="F845" s="292">
        <v>44515.504328703704</v>
      </c>
      <c r="G845" s="292"/>
      <c r="H845" s="292"/>
      <c r="I845" s="292"/>
      <c r="J845" s="292" t="s">
        <v>4</v>
      </c>
      <c r="K845" s="291" t="s">
        <v>1500</v>
      </c>
      <c r="L845" t="s">
        <v>1289</v>
      </c>
      <c r="M845" s="20">
        <v>44519</v>
      </c>
      <c r="N845" t="s">
        <v>2246</v>
      </c>
      <c r="O845" s="213">
        <v>44519</v>
      </c>
      <c r="AD845">
        <v>44519</v>
      </c>
    </row>
    <row r="846" spans="1:30">
      <c r="A846" s="291">
        <f>COUNTA($E$3:E846)</f>
        <v>844</v>
      </c>
      <c r="B846" s="291" t="s">
        <v>2200</v>
      </c>
      <c r="C846" s="291" t="s">
        <v>45</v>
      </c>
      <c r="D846" s="291" t="s">
        <v>49</v>
      </c>
      <c r="E846" s="291" t="s">
        <v>1805</v>
      </c>
      <c r="F846" s="292">
        <v>44512.464895833335</v>
      </c>
      <c r="G846" s="292"/>
      <c r="H846" s="292"/>
      <c r="I846" s="292"/>
      <c r="J846" s="292" t="s">
        <v>5</v>
      </c>
      <c r="K846" s="291" t="s">
        <v>1683</v>
      </c>
      <c r="L846" t="s">
        <v>1302</v>
      </c>
      <c r="M846" s="20">
        <v>44519</v>
      </c>
      <c r="N846" t="s">
        <v>2245</v>
      </c>
      <c r="O846" s="213">
        <v>44519</v>
      </c>
      <c r="AD846">
        <v>44519</v>
      </c>
    </row>
    <row r="847" spans="1:30">
      <c r="A847" s="291">
        <f>COUNTA($E$3:E847)</f>
        <v>845</v>
      </c>
      <c r="B847" s="291" t="s">
        <v>2223</v>
      </c>
      <c r="C847" s="291" t="s">
        <v>1089</v>
      </c>
      <c r="D847" s="291" t="s">
        <v>56</v>
      </c>
      <c r="E847" s="291" t="s">
        <v>1784</v>
      </c>
      <c r="F847" s="292">
        <v>44517.441932870373</v>
      </c>
      <c r="G847" s="292"/>
      <c r="H847" s="292"/>
      <c r="I847" s="292"/>
      <c r="J847" s="292" t="s">
        <v>5</v>
      </c>
      <c r="K847" s="291" t="s">
        <v>2056</v>
      </c>
      <c r="L847" t="s">
        <v>297</v>
      </c>
      <c r="M847" s="20">
        <v>44519</v>
      </c>
      <c r="N847" t="s">
        <v>2244</v>
      </c>
      <c r="O847" s="213">
        <v>44519</v>
      </c>
      <c r="AD847">
        <v>44519</v>
      </c>
    </row>
    <row r="848" spans="1:30">
      <c r="A848" s="291">
        <f>COUNTA($E$3:E848)</f>
        <v>846</v>
      </c>
      <c r="B848" s="291" t="s">
        <v>2131</v>
      </c>
      <c r="C848" s="291" t="s">
        <v>1174</v>
      </c>
      <c r="D848" s="291" t="s">
        <v>34</v>
      </c>
      <c r="E848" s="291" t="s">
        <v>2132</v>
      </c>
      <c r="F848" s="292">
        <v>44502</v>
      </c>
      <c r="G848" s="292">
        <v>44507</v>
      </c>
      <c r="H848" s="292"/>
      <c r="I848" s="292"/>
      <c r="J848" s="292" t="s">
        <v>3</v>
      </c>
      <c r="K848" s="291" t="s">
        <v>2087</v>
      </c>
      <c r="L848" t="s">
        <v>1309</v>
      </c>
      <c r="M848" s="20">
        <v>44519</v>
      </c>
      <c r="N848" t="s">
        <v>2255</v>
      </c>
      <c r="O848" s="213">
        <v>44589</v>
      </c>
      <c r="AD848">
        <v>44589</v>
      </c>
    </row>
    <row r="849" spans="1:30">
      <c r="A849" s="291">
        <f>COUNTA($E$3:E849)</f>
        <v>847</v>
      </c>
      <c r="B849" s="291" t="s">
        <v>2232</v>
      </c>
      <c r="C849" s="291" t="s">
        <v>25</v>
      </c>
      <c r="D849" s="291" t="s">
        <v>34</v>
      </c>
      <c r="E849" s="291" t="s">
        <v>1267</v>
      </c>
      <c r="F849" s="292">
        <v>44517.679918981485</v>
      </c>
      <c r="G849" s="292"/>
      <c r="H849" s="292"/>
      <c r="I849" s="292"/>
      <c r="J849" s="292" t="s">
        <v>4</v>
      </c>
      <c r="K849" s="291" t="s">
        <v>2233</v>
      </c>
      <c r="L849" t="s">
        <v>1289</v>
      </c>
      <c r="M849" s="20">
        <v>44519</v>
      </c>
      <c r="N849" t="s">
        <v>2257</v>
      </c>
      <c r="O849" s="213">
        <v>44519</v>
      </c>
      <c r="AD849">
        <v>44519</v>
      </c>
    </row>
    <row r="850" spans="1:30">
      <c r="A850" s="291">
        <f>COUNTA($E$3:E850)</f>
        <v>848</v>
      </c>
      <c r="B850" s="291" t="s">
        <v>2198</v>
      </c>
      <c r="C850" s="291" t="s">
        <v>48</v>
      </c>
      <c r="D850" s="291" t="s">
        <v>34</v>
      </c>
      <c r="E850" s="291" t="s">
        <v>252</v>
      </c>
      <c r="F850" s="292">
        <v>44512.462631828697</v>
      </c>
      <c r="G850" s="292"/>
      <c r="H850" s="292"/>
      <c r="I850" s="292"/>
      <c r="J850" s="292" t="s">
        <v>4</v>
      </c>
      <c r="K850" s="291" t="s">
        <v>2235</v>
      </c>
      <c r="L850" t="s">
        <v>1310</v>
      </c>
      <c r="M850" s="20">
        <v>44519</v>
      </c>
      <c r="N850" t="s">
        <v>2244</v>
      </c>
      <c r="O850" s="213">
        <v>44519</v>
      </c>
      <c r="AD850">
        <v>44519</v>
      </c>
    </row>
    <row r="851" spans="1:30">
      <c r="A851" s="291">
        <f>COUNTA($E$3:E851)</f>
        <v>849</v>
      </c>
      <c r="B851" s="291" t="s">
        <v>2225</v>
      </c>
      <c r="C851" s="291" t="s">
        <v>41</v>
      </c>
      <c r="D851" s="291" t="s">
        <v>31</v>
      </c>
      <c r="E851" s="291" t="s">
        <v>1688</v>
      </c>
      <c r="F851" s="292">
        <v>44517.661064814813</v>
      </c>
      <c r="G851" s="292"/>
      <c r="H851" s="292"/>
      <c r="I851" s="292"/>
      <c r="J851" s="292" t="s">
        <v>5</v>
      </c>
      <c r="K851" s="291" t="s">
        <v>1105</v>
      </c>
      <c r="L851" t="s">
        <v>1311</v>
      </c>
      <c r="M851" s="20">
        <v>44519</v>
      </c>
      <c r="N851" t="s">
        <v>2246</v>
      </c>
      <c r="O851" s="213">
        <v>44519</v>
      </c>
      <c r="AD851">
        <v>44519</v>
      </c>
    </row>
    <row r="852" spans="1:30">
      <c r="A852" s="291">
        <f>COUNTA($E$3:E852)</f>
        <v>850</v>
      </c>
      <c r="B852" s="291" t="s">
        <v>1877</v>
      </c>
      <c r="C852" s="291" t="s">
        <v>41</v>
      </c>
      <c r="D852" s="291" t="s">
        <v>31</v>
      </c>
      <c r="E852" s="291" t="s">
        <v>1878</v>
      </c>
      <c r="F852" s="292">
        <v>44432</v>
      </c>
      <c r="G852" s="292">
        <v>44437</v>
      </c>
      <c r="H852" s="292"/>
      <c r="I852" s="292"/>
      <c r="J852" s="292" t="s">
        <v>5</v>
      </c>
      <c r="K852" s="291" t="s">
        <v>1105</v>
      </c>
      <c r="L852" t="s">
        <v>1302</v>
      </c>
      <c r="M852" s="20">
        <v>44519</v>
      </c>
      <c r="N852" t="s">
        <v>2240</v>
      </c>
      <c r="O852" s="213">
        <v>44519</v>
      </c>
      <c r="AD852">
        <v>44519</v>
      </c>
    </row>
    <row r="853" spans="1:30">
      <c r="A853" s="291">
        <f>COUNTA($E$3:E853)</f>
        <v>851</v>
      </c>
      <c r="B853" s="291" t="s">
        <v>2216</v>
      </c>
      <c r="C853" s="291" t="s">
        <v>45</v>
      </c>
      <c r="D853" s="291" t="s">
        <v>1279</v>
      </c>
      <c r="E853" s="291" t="s">
        <v>1897</v>
      </c>
      <c r="F853" s="292">
        <v>44515</v>
      </c>
      <c r="G853" s="292"/>
      <c r="H853" s="292"/>
      <c r="I853" s="292"/>
      <c r="J853" s="292" t="s">
        <v>5</v>
      </c>
      <c r="K853" s="291" t="s">
        <v>1105</v>
      </c>
      <c r="L853" t="s">
        <v>1302</v>
      </c>
      <c r="M853" s="20">
        <v>44519</v>
      </c>
      <c r="N853" t="s">
        <v>2242</v>
      </c>
      <c r="O853" s="213">
        <v>44519</v>
      </c>
      <c r="AD853">
        <v>44519</v>
      </c>
    </row>
    <row r="854" spans="1:30">
      <c r="A854" s="291">
        <f>COUNTA($E$3:E854)</f>
        <v>852</v>
      </c>
      <c r="B854" s="291" t="s">
        <v>2215</v>
      </c>
      <c r="C854" s="291" t="s">
        <v>45</v>
      </c>
      <c r="D854" s="291" t="s">
        <v>1138</v>
      </c>
      <c r="E854" s="291" t="s">
        <v>1293</v>
      </c>
      <c r="F854" s="292">
        <v>44518</v>
      </c>
      <c r="G854" s="292">
        <v>44519</v>
      </c>
      <c r="H854" s="292"/>
      <c r="I854" s="292" t="s">
        <v>70</v>
      </c>
      <c r="J854" s="292" t="s">
        <v>5</v>
      </c>
      <c r="K854" s="291" t="s">
        <v>1683</v>
      </c>
      <c r="L854" t="s">
        <v>1302</v>
      </c>
      <c r="M854" s="20">
        <v>44519</v>
      </c>
      <c r="N854" t="s">
        <v>2242</v>
      </c>
      <c r="O854" s="213">
        <v>44519</v>
      </c>
      <c r="AD854">
        <v>44519</v>
      </c>
    </row>
    <row r="855" spans="1:30">
      <c r="A855" s="291">
        <f>COUNTA($E$3:E855)</f>
        <v>853</v>
      </c>
      <c r="B855" s="291" t="s">
        <v>2218</v>
      </c>
      <c r="C855" s="291" t="s">
        <v>45</v>
      </c>
      <c r="D855" s="291" t="s">
        <v>1178</v>
      </c>
      <c r="E855" s="291" t="s">
        <v>2219</v>
      </c>
      <c r="F855" s="292">
        <v>44515</v>
      </c>
      <c r="G855" s="292"/>
      <c r="H855" s="292"/>
      <c r="I855" s="292"/>
      <c r="J855" s="292" t="s">
        <v>5</v>
      </c>
      <c r="K855" s="291" t="s">
        <v>2220</v>
      </c>
      <c r="L855" t="s">
        <v>1310</v>
      </c>
      <c r="M855" s="20">
        <v>44519</v>
      </c>
      <c r="N855" t="s">
        <v>2256</v>
      </c>
      <c r="O855" s="213">
        <v>44519</v>
      </c>
      <c r="AD855">
        <v>44519</v>
      </c>
    </row>
    <row r="856" spans="1:30">
      <c r="A856" s="291">
        <f>COUNTA($E$3:E856)</f>
        <v>854</v>
      </c>
      <c r="B856" s="291" t="s">
        <v>2209</v>
      </c>
      <c r="C856" s="291" t="s">
        <v>1294</v>
      </c>
      <c r="D856" s="291" t="s">
        <v>1115</v>
      </c>
      <c r="E856" s="291" t="s">
        <v>1296</v>
      </c>
      <c r="F856" s="292">
        <v>44512.583673669003</v>
      </c>
      <c r="G856" s="292"/>
      <c r="H856" s="292"/>
      <c r="I856" s="292"/>
      <c r="J856" s="292" t="s">
        <v>4</v>
      </c>
      <c r="K856" s="291" t="s">
        <v>1681</v>
      </c>
      <c r="L856" t="s">
        <v>1311</v>
      </c>
      <c r="M856" s="20">
        <v>44519</v>
      </c>
      <c r="N856" t="s">
        <v>2247</v>
      </c>
      <c r="O856" s="213">
        <v>44519</v>
      </c>
      <c r="AD856">
        <v>44519</v>
      </c>
    </row>
    <row r="857" spans="1:30">
      <c r="A857" s="291">
        <f>COUNTA($E$3:E857)</f>
        <v>855</v>
      </c>
      <c r="B857" s="291" t="s">
        <v>2208</v>
      </c>
      <c r="C857" s="291" t="s">
        <v>1285</v>
      </c>
      <c r="D857" s="291" t="s">
        <v>62</v>
      </c>
      <c r="E857" s="291" t="s">
        <v>1288</v>
      </c>
      <c r="F857" s="292">
        <v>44512.574113634299</v>
      </c>
      <c r="G857" s="292"/>
      <c r="H857" s="292"/>
      <c r="I857" s="292"/>
      <c r="J857" s="292" t="s">
        <v>4</v>
      </c>
      <c r="K857" s="291" t="s">
        <v>1682</v>
      </c>
      <c r="L857" t="s">
        <v>1289</v>
      </c>
      <c r="M857" s="20">
        <v>44519</v>
      </c>
      <c r="N857" t="s">
        <v>2246</v>
      </c>
      <c r="O857" s="213">
        <v>44519</v>
      </c>
      <c r="AD857">
        <v>44519</v>
      </c>
    </row>
    <row r="858" spans="1:30">
      <c r="A858" s="291">
        <f>COUNTA($E$3:E858)</f>
        <v>856</v>
      </c>
      <c r="B858" s="291" t="s">
        <v>2177</v>
      </c>
      <c r="C858" s="291" t="s">
        <v>25</v>
      </c>
      <c r="D858" s="291" t="s">
        <v>38</v>
      </c>
      <c r="E858" s="291" t="s">
        <v>1271</v>
      </c>
      <c r="F858" s="292">
        <v>44508.664664351854</v>
      </c>
      <c r="G858" s="292"/>
      <c r="H858" s="292"/>
      <c r="I858" s="292"/>
      <c r="J858" s="292" t="s">
        <v>4</v>
      </c>
      <c r="K858" s="291" t="s">
        <v>1773</v>
      </c>
      <c r="L858" t="s">
        <v>1289</v>
      </c>
      <c r="M858" s="20">
        <v>44512</v>
      </c>
      <c r="N858" t="s">
        <v>2212</v>
      </c>
      <c r="O858" s="213">
        <v>44512</v>
      </c>
      <c r="AD858">
        <v>44512</v>
      </c>
    </row>
    <row r="859" spans="1:30">
      <c r="A859" s="291">
        <f>COUNTA($E$3:E859)</f>
        <v>857</v>
      </c>
      <c r="B859" s="291" t="s">
        <v>2184</v>
      </c>
      <c r="C859" s="291" t="s">
        <v>45</v>
      </c>
      <c r="D859" s="291" t="s">
        <v>34</v>
      </c>
      <c r="E859" s="291" t="s">
        <v>1058</v>
      </c>
      <c r="F859" s="292">
        <v>44509.834687499999</v>
      </c>
      <c r="G859" s="292"/>
      <c r="H859" s="292"/>
      <c r="I859" s="292"/>
      <c r="J859" s="292" t="s">
        <v>3</v>
      </c>
      <c r="K859" s="291" t="s">
        <v>1679</v>
      </c>
      <c r="L859" t="s">
        <v>1310</v>
      </c>
      <c r="M859" s="20">
        <v>44512</v>
      </c>
      <c r="N859" t="s">
        <v>2192</v>
      </c>
      <c r="O859" s="213">
        <v>44512</v>
      </c>
      <c r="AD859">
        <v>44512</v>
      </c>
    </row>
    <row r="860" spans="1:30">
      <c r="A860" s="291">
        <f>COUNTA($E$3:E860)</f>
        <v>858</v>
      </c>
      <c r="B860" s="291" t="s">
        <v>2149</v>
      </c>
      <c r="C860" s="291" t="s">
        <v>45</v>
      </c>
      <c r="D860" s="291" t="s">
        <v>1136</v>
      </c>
      <c r="E860" s="291" t="s">
        <v>1197</v>
      </c>
      <c r="F860" s="292">
        <v>44504</v>
      </c>
      <c r="G860" s="292">
        <v>44507</v>
      </c>
      <c r="H860" s="292"/>
      <c r="I860" s="292" t="s">
        <v>70</v>
      </c>
      <c r="J860" s="292" t="s">
        <v>4</v>
      </c>
      <c r="K860" s="291" t="s">
        <v>1664</v>
      </c>
      <c r="L860" t="s">
        <v>1302</v>
      </c>
      <c r="M860" s="20">
        <v>44512</v>
      </c>
      <c r="N860" t="s">
        <v>2191</v>
      </c>
      <c r="O860" s="213">
        <v>44512</v>
      </c>
      <c r="AD860">
        <v>44512</v>
      </c>
    </row>
    <row r="861" spans="1:30">
      <c r="A861" s="291">
        <f>COUNTA($E$3:E861)</f>
        <v>859</v>
      </c>
      <c r="B861" s="291" t="s">
        <v>2142</v>
      </c>
      <c r="C861" s="291" t="s">
        <v>45</v>
      </c>
      <c r="D861" s="291" t="s">
        <v>1136</v>
      </c>
      <c r="E861" s="291" t="s">
        <v>1150</v>
      </c>
      <c r="F861" s="292">
        <v>44504</v>
      </c>
      <c r="G861" s="292">
        <v>44507</v>
      </c>
      <c r="H861" s="292"/>
      <c r="I861" s="292" t="s">
        <v>70</v>
      </c>
      <c r="J861" s="292" t="s">
        <v>4</v>
      </c>
      <c r="K861" s="291" t="s">
        <v>2143</v>
      </c>
      <c r="L861" t="s">
        <v>297</v>
      </c>
      <c r="M861" s="20">
        <v>44512</v>
      </c>
      <c r="N861" t="s">
        <v>2192</v>
      </c>
      <c r="O861" s="213">
        <v>44621</v>
      </c>
      <c r="AD861">
        <v>44621</v>
      </c>
    </row>
    <row r="862" spans="1:30">
      <c r="A862" s="291">
        <f>COUNTA($E$3:E862)</f>
        <v>860</v>
      </c>
      <c r="B862" s="291" t="s">
        <v>2133</v>
      </c>
      <c r="C862" s="291" t="s">
        <v>45</v>
      </c>
      <c r="D862" s="291" t="s">
        <v>36</v>
      </c>
      <c r="E862" s="291" t="s">
        <v>2134</v>
      </c>
      <c r="F862" s="292">
        <v>44502</v>
      </c>
      <c r="G862" s="292"/>
      <c r="H862" s="292"/>
      <c r="I862" s="292"/>
      <c r="J862" s="292" t="s">
        <v>4</v>
      </c>
      <c r="K862" s="291" t="s">
        <v>1667</v>
      </c>
      <c r="L862" t="s">
        <v>134</v>
      </c>
      <c r="M862" s="20">
        <v>44512</v>
      </c>
      <c r="N862" t="s">
        <v>2190</v>
      </c>
      <c r="O862" s="213">
        <v>44512</v>
      </c>
      <c r="AD862">
        <v>44512</v>
      </c>
    </row>
    <row r="863" spans="1:30">
      <c r="A863" s="291">
        <f>COUNTA($E$3:E863)</f>
        <v>861</v>
      </c>
      <c r="B863" s="291" t="s">
        <v>2176</v>
      </c>
      <c r="C863" s="291" t="s">
        <v>117</v>
      </c>
      <c r="D863" s="291" t="s">
        <v>20</v>
      </c>
      <c r="E863" s="291" t="s">
        <v>1142</v>
      </c>
      <c r="F863" s="292">
        <v>44508.664363425924</v>
      </c>
      <c r="G863" s="292"/>
      <c r="H863" s="292"/>
      <c r="I863" s="292"/>
      <c r="J863" s="292" t="s">
        <v>4</v>
      </c>
      <c r="K863" s="291" t="s">
        <v>1681</v>
      </c>
      <c r="L863" t="s">
        <v>1311</v>
      </c>
      <c r="M863" s="20">
        <v>44512</v>
      </c>
      <c r="N863" t="s">
        <v>2194</v>
      </c>
      <c r="O863" s="213">
        <v>44512</v>
      </c>
      <c r="AD863">
        <v>44512</v>
      </c>
    </row>
    <row r="864" spans="1:30">
      <c r="A864" s="291">
        <f>COUNTA($E$3:E864)</f>
        <v>862</v>
      </c>
      <c r="B864" s="291" t="s">
        <v>2135</v>
      </c>
      <c r="C864" s="291" t="s">
        <v>1117</v>
      </c>
      <c r="D864" s="291" t="s">
        <v>31</v>
      </c>
      <c r="E864" s="291" t="s">
        <v>2136</v>
      </c>
      <c r="F864" s="292">
        <v>44503.582164155101</v>
      </c>
      <c r="G864" s="292"/>
      <c r="H864" s="292"/>
      <c r="I864" s="292"/>
      <c r="J864" s="292" t="s">
        <v>5</v>
      </c>
      <c r="K864" s="291" t="s">
        <v>1105</v>
      </c>
      <c r="L864" t="s">
        <v>1302</v>
      </c>
      <c r="M864" s="20">
        <v>44512</v>
      </c>
      <c r="N864" t="s">
        <v>2191</v>
      </c>
      <c r="O864" s="213">
        <v>44512</v>
      </c>
      <c r="AD864">
        <v>44512</v>
      </c>
    </row>
    <row r="865" spans="1:30">
      <c r="A865" s="291">
        <f>COUNTA($E$3:E865)</f>
        <v>863</v>
      </c>
      <c r="B865" s="291" t="s">
        <v>2178</v>
      </c>
      <c r="C865" s="291" t="s">
        <v>25</v>
      </c>
      <c r="D865" s="291" t="s">
        <v>29</v>
      </c>
      <c r="E865" s="291" t="s">
        <v>310</v>
      </c>
      <c r="F865" s="292">
        <v>44508.667673611111</v>
      </c>
      <c r="G865" s="292"/>
      <c r="H865" s="292"/>
      <c r="I865" s="292"/>
      <c r="J865" s="292" t="s">
        <v>3</v>
      </c>
      <c r="K865" s="291" t="s">
        <v>2179</v>
      </c>
      <c r="L865" t="s">
        <v>1289</v>
      </c>
      <c r="M865" s="20">
        <v>44512</v>
      </c>
      <c r="N865" t="s">
        <v>2213</v>
      </c>
      <c r="O865" s="213">
        <v>44512</v>
      </c>
      <c r="AD865">
        <v>44512</v>
      </c>
    </row>
    <row r="866" spans="1:30">
      <c r="A866" s="291">
        <f>COUNTA($E$3:E866)</f>
        <v>864</v>
      </c>
      <c r="B866" s="291" t="s">
        <v>2130</v>
      </c>
      <c r="C866" s="291" t="s">
        <v>45</v>
      </c>
      <c r="D866" s="291" t="s">
        <v>20</v>
      </c>
      <c r="E866" s="291" t="s">
        <v>1173</v>
      </c>
      <c r="F866" s="292">
        <v>44501</v>
      </c>
      <c r="G866" s="292">
        <v>44507</v>
      </c>
      <c r="H866" s="292"/>
      <c r="I866" s="292" t="s">
        <v>70</v>
      </c>
      <c r="J866" s="292" t="s">
        <v>3</v>
      </c>
      <c r="K866" s="291" t="s">
        <v>369</v>
      </c>
      <c r="L866" t="s">
        <v>1289</v>
      </c>
      <c r="M866" s="20">
        <v>44512</v>
      </c>
      <c r="N866" t="s">
        <v>2212</v>
      </c>
      <c r="O866" s="213">
        <v>44512</v>
      </c>
      <c r="AD866">
        <v>44512</v>
      </c>
    </row>
    <row r="867" spans="1:30">
      <c r="A867" s="291">
        <f>COUNTA($E$3:E867)</f>
        <v>865</v>
      </c>
      <c r="B867" s="291" t="s">
        <v>2173</v>
      </c>
      <c r="C867" s="291" t="s">
        <v>1810</v>
      </c>
      <c r="D867" s="291" t="s">
        <v>1133</v>
      </c>
      <c r="E867" s="291" t="s">
        <v>2174</v>
      </c>
      <c r="F867" s="292">
        <v>44508.659131944441</v>
      </c>
      <c r="G867" s="292"/>
      <c r="H867" s="292"/>
      <c r="I867" s="292"/>
      <c r="J867" s="292" t="s">
        <v>4</v>
      </c>
      <c r="K867" s="291" t="s">
        <v>2175</v>
      </c>
      <c r="L867" t="s">
        <v>1310</v>
      </c>
      <c r="M867" s="20">
        <v>44512</v>
      </c>
      <c r="N867" t="s">
        <v>2193</v>
      </c>
      <c r="O867" s="213">
        <v>44512</v>
      </c>
      <c r="AD867">
        <v>44512</v>
      </c>
    </row>
    <row r="868" spans="1:30">
      <c r="A868" s="291">
        <f>COUNTA($E$3:E868)</f>
        <v>866</v>
      </c>
      <c r="B868" s="291" t="s">
        <v>2129</v>
      </c>
      <c r="C868" s="291" t="s">
        <v>45</v>
      </c>
      <c r="D868" s="291" t="s">
        <v>111</v>
      </c>
      <c r="E868" s="291" t="s">
        <v>304</v>
      </c>
      <c r="F868" s="292">
        <v>44501.517638888887</v>
      </c>
      <c r="G868" s="292"/>
      <c r="H868" s="292"/>
      <c r="I868" s="292"/>
      <c r="J868" s="292" t="s">
        <v>4</v>
      </c>
      <c r="K868" s="291" t="s">
        <v>1500</v>
      </c>
      <c r="L868" t="s">
        <v>297</v>
      </c>
      <c r="M868" s="20">
        <v>44507</v>
      </c>
      <c r="N868" t="s">
        <v>1270</v>
      </c>
      <c r="O868" s="213">
        <v>44621</v>
      </c>
      <c r="AD868">
        <v>44621</v>
      </c>
    </row>
    <row r="869" spans="1:30">
      <c r="A869" s="291">
        <f>COUNTA($E$3:E869)</f>
        <v>867</v>
      </c>
      <c r="B869" s="291" t="s">
        <v>2122</v>
      </c>
      <c r="C869" s="291" t="s">
        <v>313</v>
      </c>
      <c r="D869" s="291" t="s">
        <v>68</v>
      </c>
      <c r="E869" s="291" t="s">
        <v>1853</v>
      </c>
      <c r="F869" s="292">
        <v>44501.487083333333</v>
      </c>
      <c r="G869" s="292"/>
      <c r="H869" s="292"/>
      <c r="I869" s="292"/>
      <c r="J869" s="292" t="s">
        <v>4</v>
      </c>
      <c r="K869" s="291" t="s">
        <v>1681</v>
      </c>
      <c r="L869" t="s">
        <v>58</v>
      </c>
      <c r="M869" s="20">
        <v>44507</v>
      </c>
      <c r="N869" t="s">
        <v>2163</v>
      </c>
      <c r="O869" s="213">
        <v>44507</v>
      </c>
      <c r="AD869">
        <v>44507</v>
      </c>
    </row>
    <row r="870" spans="1:30">
      <c r="A870" s="291">
        <f>COUNTA($E$3:E870)</f>
        <v>868</v>
      </c>
      <c r="B870" s="291" t="s">
        <v>2138</v>
      </c>
      <c r="C870" s="291" t="s">
        <v>48</v>
      </c>
      <c r="D870" s="291" t="s">
        <v>38</v>
      </c>
      <c r="E870" s="291" t="s">
        <v>95</v>
      </c>
      <c r="F870" s="292">
        <v>44503.70517361111</v>
      </c>
      <c r="G870" s="292"/>
      <c r="H870" s="292"/>
      <c r="I870" s="292"/>
      <c r="J870" s="292" t="s">
        <v>4</v>
      </c>
      <c r="K870" s="291" t="s">
        <v>1500</v>
      </c>
      <c r="L870" t="s">
        <v>24</v>
      </c>
      <c r="M870" s="20">
        <v>44507</v>
      </c>
      <c r="N870" t="s">
        <v>2163</v>
      </c>
      <c r="O870" s="213">
        <v>44507</v>
      </c>
      <c r="AD870">
        <v>44507</v>
      </c>
    </row>
    <row r="871" spans="1:30">
      <c r="A871" s="291">
        <f>COUNTA($E$3:E871)</f>
        <v>869</v>
      </c>
      <c r="B871" s="291" t="s">
        <v>2154</v>
      </c>
      <c r="C871" s="291" t="s">
        <v>45</v>
      </c>
      <c r="D871" s="291" t="s">
        <v>2155</v>
      </c>
      <c r="E871" s="291" t="s">
        <v>2156</v>
      </c>
      <c r="F871" s="292">
        <v>44504.760340879599</v>
      </c>
      <c r="G871" s="292"/>
      <c r="H871" s="292"/>
      <c r="I871" s="292"/>
      <c r="J871" s="292" t="s">
        <v>4</v>
      </c>
      <c r="K871" s="291" t="s">
        <v>1664</v>
      </c>
      <c r="L871" t="s">
        <v>1101</v>
      </c>
      <c r="M871" s="20">
        <v>44507</v>
      </c>
      <c r="N871" t="s">
        <v>2167</v>
      </c>
      <c r="O871" s="213">
        <v>44507</v>
      </c>
      <c r="AD871">
        <v>44507</v>
      </c>
    </row>
    <row r="872" spans="1:30">
      <c r="A872" s="291">
        <f>COUNTA($E$3:E872)</f>
        <v>870</v>
      </c>
      <c r="B872" s="291" t="s">
        <v>2152</v>
      </c>
      <c r="C872" s="291" t="s">
        <v>45</v>
      </c>
      <c r="D872" s="291" t="s">
        <v>34</v>
      </c>
      <c r="E872" s="291" t="s">
        <v>1655</v>
      </c>
      <c r="F872" s="292">
        <v>44504</v>
      </c>
      <c r="G872" s="292"/>
      <c r="H872" s="292"/>
      <c r="I872" s="292"/>
      <c r="J872" s="292" t="s">
        <v>3</v>
      </c>
      <c r="K872" s="291" t="s">
        <v>1679</v>
      </c>
      <c r="L872" t="s">
        <v>2169</v>
      </c>
      <c r="M872" s="20">
        <v>44507</v>
      </c>
      <c r="O872" s="213">
        <v>44507</v>
      </c>
      <c r="AD872">
        <v>44507</v>
      </c>
    </row>
    <row r="873" spans="1:30">
      <c r="A873" s="291">
        <f>COUNTA($E$3:E873)</f>
        <v>871</v>
      </c>
      <c r="B873" s="291" t="s">
        <v>2091</v>
      </c>
      <c r="C873" s="291" t="s">
        <v>44</v>
      </c>
      <c r="D873" s="291" t="s">
        <v>53</v>
      </c>
      <c r="E873" s="291" t="s">
        <v>1149</v>
      </c>
      <c r="F873" s="292">
        <v>44496</v>
      </c>
      <c r="G873" s="292">
        <v>44497</v>
      </c>
      <c r="H873" s="292"/>
      <c r="I873" s="292">
        <v>44497</v>
      </c>
      <c r="J873" s="292" t="s">
        <v>3</v>
      </c>
      <c r="K873" s="291" t="s">
        <v>1870</v>
      </c>
      <c r="L873" t="s">
        <v>28</v>
      </c>
      <c r="M873" s="20">
        <v>44507</v>
      </c>
      <c r="N873" t="s">
        <v>2165</v>
      </c>
      <c r="O873" s="213">
        <v>44507</v>
      </c>
      <c r="AD873">
        <v>44507</v>
      </c>
    </row>
    <row r="874" spans="1:30">
      <c r="A874" s="291">
        <f>COUNTA($E$3:E874)</f>
        <v>872</v>
      </c>
      <c r="B874" s="291" t="s">
        <v>2086</v>
      </c>
      <c r="C874" s="291" t="s">
        <v>44</v>
      </c>
      <c r="D874" s="291" t="s">
        <v>53</v>
      </c>
      <c r="E874" s="291" t="s">
        <v>1148</v>
      </c>
      <c r="F874" s="292">
        <v>44496.430324074077</v>
      </c>
      <c r="G874" s="292"/>
      <c r="H874" s="292"/>
      <c r="I874" s="292"/>
      <c r="J874" s="292" t="s">
        <v>3</v>
      </c>
      <c r="K874" s="291" t="s">
        <v>2087</v>
      </c>
      <c r="L874" t="s">
        <v>24</v>
      </c>
      <c r="M874" s="20">
        <v>44507</v>
      </c>
      <c r="N874" t="s">
        <v>2164</v>
      </c>
      <c r="O874" s="213">
        <v>44507</v>
      </c>
      <c r="AD874">
        <v>44507</v>
      </c>
    </row>
    <row r="875" spans="1:30">
      <c r="A875" s="291">
        <f>COUNTA($E$3:E875)</f>
        <v>873</v>
      </c>
      <c r="B875" s="291" t="s">
        <v>2150</v>
      </c>
      <c r="C875" s="291" t="s">
        <v>45</v>
      </c>
      <c r="D875" s="291" t="s">
        <v>1193</v>
      </c>
      <c r="E875" s="291" t="s">
        <v>1194</v>
      </c>
      <c r="F875" s="292">
        <v>44504.559322141198</v>
      </c>
      <c r="G875" s="292"/>
      <c r="H875" s="292"/>
      <c r="I875" s="292"/>
      <c r="J875" s="292" t="s">
        <v>5</v>
      </c>
      <c r="K875" s="291" t="s">
        <v>1683</v>
      </c>
      <c r="L875" t="s">
        <v>1101</v>
      </c>
      <c r="M875" s="20">
        <v>44507</v>
      </c>
      <c r="N875" t="s">
        <v>2167</v>
      </c>
      <c r="O875" s="213">
        <v>44507</v>
      </c>
      <c r="AD875">
        <v>44507</v>
      </c>
    </row>
    <row r="876" spans="1:30">
      <c r="A876" s="291">
        <f>COUNTA($E$3:E876)</f>
        <v>874</v>
      </c>
      <c r="B876" s="291" t="s">
        <v>2144</v>
      </c>
      <c r="C876" s="291" t="s">
        <v>45</v>
      </c>
      <c r="D876" s="291" t="s">
        <v>1193</v>
      </c>
      <c r="E876" s="291" t="s">
        <v>1299</v>
      </c>
      <c r="F876" s="292">
        <v>44504.533378252301</v>
      </c>
      <c r="G876" s="292"/>
      <c r="H876" s="292"/>
      <c r="I876" s="292"/>
      <c r="J876" s="292" t="s">
        <v>5</v>
      </c>
      <c r="K876" s="291" t="s">
        <v>1105</v>
      </c>
      <c r="L876" t="s">
        <v>28</v>
      </c>
      <c r="M876" s="20">
        <v>44507</v>
      </c>
      <c r="N876" t="s">
        <v>2167</v>
      </c>
      <c r="O876" s="213">
        <v>44507</v>
      </c>
      <c r="AD876">
        <v>44507</v>
      </c>
    </row>
    <row r="877" spans="1:30">
      <c r="A877" s="291">
        <f>COUNTA($E$3:E877)</f>
        <v>875</v>
      </c>
      <c r="B877" s="291" t="s">
        <v>2137</v>
      </c>
      <c r="C877" s="291" t="s">
        <v>48</v>
      </c>
      <c r="D877" s="291" t="s">
        <v>55</v>
      </c>
      <c r="E877" s="291" t="s">
        <v>268</v>
      </c>
      <c r="F877" s="292">
        <v>44503.702106481483</v>
      </c>
      <c r="G877" s="292"/>
      <c r="H877" s="292"/>
      <c r="I877" s="292"/>
      <c r="J877" s="292" t="s">
        <v>4</v>
      </c>
      <c r="K877" s="291" t="s">
        <v>1656</v>
      </c>
      <c r="L877" t="s">
        <v>24</v>
      </c>
      <c r="M877" s="20">
        <v>44507</v>
      </c>
      <c r="N877" t="s">
        <v>2163</v>
      </c>
      <c r="O877" s="213">
        <v>44507</v>
      </c>
      <c r="AD877">
        <v>44507</v>
      </c>
    </row>
    <row r="878" spans="1:30">
      <c r="A878" s="291">
        <f>COUNTA($E$3:E878)</f>
        <v>876</v>
      </c>
      <c r="B878" s="291" t="s">
        <v>2053</v>
      </c>
      <c r="C878" s="291" t="s">
        <v>2054</v>
      </c>
      <c r="D878" s="291" t="s">
        <v>56</v>
      </c>
      <c r="E878" s="291" t="s">
        <v>2055</v>
      </c>
      <c r="F878" s="292">
        <v>44484</v>
      </c>
      <c r="G878" s="292">
        <v>44491</v>
      </c>
      <c r="H878" s="292"/>
      <c r="I878" s="292">
        <v>44487</v>
      </c>
      <c r="J878" s="292" t="s">
        <v>5</v>
      </c>
      <c r="K878" s="291" t="s">
        <v>2056</v>
      </c>
      <c r="L878" t="s">
        <v>28</v>
      </c>
      <c r="M878" s="20">
        <v>44507</v>
      </c>
      <c r="N878" t="s">
        <v>2160</v>
      </c>
      <c r="O878" s="213">
        <v>44507</v>
      </c>
      <c r="AD878">
        <v>44507</v>
      </c>
    </row>
    <row r="879" spans="1:30">
      <c r="A879" s="291">
        <f>COUNTA($E$3:E879)</f>
        <v>877</v>
      </c>
      <c r="B879" s="291" t="s">
        <v>2139</v>
      </c>
      <c r="C879" s="291" t="s">
        <v>45</v>
      </c>
      <c r="D879" s="291" t="s">
        <v>2078</v>
      </c>
      <c r="E879" s="291" t="s">
        <v>2140</v>
      </c>
      <c r="F879" s="292">
        <v>44504.525810185187</v>
      </c>
      <c r="G879" s="292"/>
      <c r="H879" s="292"/>
      <c r="I879" s="292"/>
      <c r="J879" s="292" t="s">
        <v>4</v>
      </c>
      <c r="K879" s="291" t="s">
        <v>1664</v>
      </c>
      <c r="L879" t="s">
        <v>297</v>
      </c>
      <c r="M879" s="20">
        <v>44507</v>
      </c>
      <c r="N879" t="s">
        <v>2163</v>
      </c>
      <c r="O879" s="213">
        <v>44507</v>
      </c>
      <c r="AD879">
        <v>44507</v>
      </c>
    </row>
    <row r="880" spans="1:30">
      <c r="A880" s="291">
        <f>COUNTA($E$3:E880)</f>
        <v>878</v>
      </c>
      <c r="B880" s="291" t="s">
        <v>2123</v>
      </c>
      <c r="C880" s="291" t="s">
        <v>313</v>
      </c>
      <c r="D880" s="291" t="s">
        <v>42</v>
      </c>
      <c r="E880" s="291" t="s">
        <v>2124</v>
      </c>
      <c r="F880" s="292">
        <v>44501</v>
      </c>
      <c r="G880" s="292"/>
      <c r="H880" s="292"/>
      <c r="I880" s="292"/>
      <c r="J880" s="292" t="s">
        <v>3</v>
      </c>
      <c r="K880" s="291" t="s">
        <v>2125</v>
      </c>
      <c r="L880" t="s">
        <v>1114</v>
      </c>
      <c r="M880" s="20">
        <v>44507</v>
      </c>
      <c r="O880" s="213">
        <v>44507</v>
      </c>
      <c r="AD880">
        <v>44507</v>
      </c>
    </row>
    <row r="881" spans="1:30">
      <c r="A881" s="291">
        <f>COUNTA($E$3:E881)</f>
        <v>879</v>
      </c>
      <c r="B881" s="291" t="s">
        <v>2092</v>
      </c>
      <c r="C881" s="291" t="s">
        <v>1126</v>
      </c>
      <c r="D881" s="291" t="s">
        <v>31</v>
      </c>
      <c r="E881" s="291" t="s">
        <v>2093</v>
      </c>
      <c r="F881" s="292">
        <v>44496.724680972198</v>
      </c>
      <c r="G881" s="292"/>
      <c r="H881" s="292"/>
      <c r="I881" s="292"/>
      <c r="J881" s="292" t="s">
        <v>5</v>
      </c>
      <c r="K881" s="291" t="s">
        <v>1683</v>
      </c>
      <c r="L881" t="s">
        <v>134</v>
      </c>
      <c r="M881" s="20">
        <v>44507</v>
      </c>
      <c r="N881" t="s">
        <v>2166</v>
      </c>
      <c r="O881" s="213">
        <v>44507</v>
      </c>
      <c r="AD881">
        <v>44507</v>
      </c>
    </row>
    <row r="882" spans="1:30">
      <c r="A882" s="291">
        <f>COUNTA($E$3:E882)</f>
        <v>880</v>
      </c>
      <c r="B882" s="291" t="s">
        <v>2090</v>
      </c>
      <c r="C882" s="291" t="s">
        <v>1689</v>
      </c>
      <c r="D882" s="291" t="s">
        <v>40</v>
      </c>
      <c r="E882" s="291" t="s">
        <v>1690</v>
      </c>
      <c r="F882" s="292">
        <v>44496.5378042593</v>
      </c>
      <c r="G882" s="292"/>
      <c r="H882" s="292"/>
      <c r="I882" s="292"/>
      <c r="J882" s="292" t="s">
        <v>4</v>
      </c>
      <c r="K882" s="291" t="s">
        <v>1738</v>
      </c>
      <c r="L882" t="s">
        <v>37</v>
      </c>
      <c r="M882" s="20">
        <v>44507</v>
      </c>
      <c r="N882" t="s">
        <v>2163</v>
      </c>
      <c r="O882" s="213">
        <v>44507</v>
      </c>
      <c r="AD882">
        <v>44507</v>
      </c>
    </row>
    <row r="883" spans="1:30">
      <c r="A883" s="291">
        <f>COUNTA($E$3:E883)</f>
        <v>881</v>
      </c>
      <c r="B883" s="291" t="s">
        <v>2084</v>
      </c>
      <c r="C883" s="291" t="s">
        <v>25</v>
      </c>
      <c r="D883" s="291" t="s">
        <v>38</v>
      </c>
      <c r="E883" s="291" t="s">
        <v>2085</v>
      </c>
      <c r="F883" s="292">
        <v>44495.4818391667</v>
      </c>
      <c r="G883" s="292"/>
      <c r="H883" s="292"/>
      <c r="I883" s="292"/>
      <c r="J883" s="292" t="s">
        <v>4</v>
      </c>
      <c r="K883" s="291" t="s">
        <v>2159</v>
      </c>
      <c r="L883" t="s">
        <v>37</v>
      </c>
      <c r="M883" s="20">
        <v>44507</v>
      </c>
      <c r="N883" t="s">
        <v>2163</v>
      </c>
      <c r="O883" s="213">
        <v>44507</v>
      </c>
      <c r="AD883">
        <v>44507</v>
      </c>
    </row>
    <row r="884" spans="1:30">
      <c r="A884" s="291">
        <f>COUNTA($E$3:E884)</f>
        <v>882</v>
      </c>
      <c r="B884" s="291" t="s">
        <v>2097</v>
      </c>
      <c r="C884" s="291" t="s">
        <v>45</v>
      </c>
      <c r="D884" s="291" t="s">
        <v>38</v>
      </c>
      <c r="E884" s="291" t="s">
        <v>1940</v>
      </c>
      <c r="F884" s="292">
        <v>44495.487627314818</v>
      </c>
      <c r="G884" s="292"/>
      <c r="H884" s="292"/>
      <c r="I884" s="292"/>
      <c r="J884" s="292" t="s">
        <v>4</v>
      </c>
      <c r="K884" s="291" t="s">
        <v>1794</v>
      </c>
      <c r="L884" t="s">
        <v>1101</v>
      </c>
      <c r="M884" s="20">
        <v>44498</v>
      </c>
      <c r="N884" t="s">
        <v>2119</v>
      </c>
      <c r="O884" s="213">
        <v>44498</v>
      </c>
      <c r="AD884">
        <v>44498</v>
      </c>
    </row>
    <row r="885" spans="1:30">
      <c r="A885" s="291">
        <f>COUNTA($E$3:E885)</f>
        <v>883</v>
      </c>
      <c r="B885" s="291" t="s">
        <v>2098</v>
      </c>
      <c r="C885" s="291" t="s">
        <v>48</v>
      </c>
      <c r="D885" s="291" t="s">
        <v>49</v>
      </c>
      <c r="E885" s="291" t="s">
        <v>185</v>
      </c>
      <c r="F885" s="292">
        <v>44495.743750000001</v>
      </c>
      <c r="G885" s="292"/>
      <c r="H885" s="292"/>
      <c r="I885" s="292"/>
      <c r="J885" s="292" t="s">
        <v>5</v>
      </c>
      <c r="K885" s="291" t="s">
        <v>1654</v>
      </c>
      <c r="L885" t="s">
        <v>134</v>
      </c>
      <c r="M885" s="20">
        <v>44498</v>
      </c>
      <c r="N885" t="s">
        <v>2119</v>
      </c>
      <c r="O885" s="213">
        <v>44498</v>
      </c>
      <c r="AD885">
        <v>44498</v>
      </c>
    </row>
    <row r="886" spans="1:30">
      <c r="A886" s="291">
        <f>COUNTA($E$3:E886)</f>
        <v>884</v>
      </c>
      <c r="B886" s="291" t="s">
        <v>2094</v>
      </c>
      <c r="C886" s="291" t="s">
        <v>44</v>
      </c>
      <c r="D886" s="291" t="s">
        <v>34</v>
      </c>
      <c r="E886" s="291" t="s">
        <v>1660</v>
      </c>
      <c r="F886" s="292">
        <v>44494.44599537037</v>
      </c>
      <c r="G886" s="292"/>
      <c r="H886" s="292"/>
      <c r="I886" s="292"/>
      <c r="J886" s="292" t="s">
        <v>3</v>
      </c>
      <c r="K886" s="291" t="s">
        <v>369</v>
      </c>
      <c r="L886" t="s">
        <v>134</v>
      </c>
      <c r="M886" s="20">
        <v>44498</v>
      </c>
      <c r="N886" t="s">
        <v>2118</v>
      </c>
      <c r="O886" s="213">
        <v>44498</v>
      </c>
      <c r="AD886">
        <v>44498</v>
      </c>
    </row>
    <row r="887" spans="1:30">
      <c r="A887" s="291">
        <f>COUNTA($E$3:E887)</f>
        <v>885</v>
      </c>
      <c r="B887" s="291" t="s">
        <v>2083</v>
      </c>
      <c r="C887" s="291" t="s">
        <v>25</v>
      </c>
      <c r="D887" s="291" t="s">
        <v>1154</v>
      </c>
      <c r="E887" s="291" t="s">
        <v>1219</v>
      </c>
      <c r="F887" s="292">
        <v>44495.481030092589</v>
      </c>
      <c r="G887" s="292"/>
      <c r="H887" s="292"/>
      <c r="I887" s="292"/>
      <c r="J887" s="292" t="s">
        <v>4</v>
      </c>
      <c r="K887" s="291" t="s">
        <v>1938</v>
      </c>
      <c r="L887" t="s">
        <v>57</v>
      </c>
      <c r="M887" s="20">
        <v>44498</v>
      </c>
      <c r="N887" t="s">
        <v>2118</v>
      </c>
      <c r="O887" s="213">
        <v>44498</v>
      </c>
      <c r="AD887">
        <v>44498</v>
      </c>
    </row>
    <row r="888" spans="1:30">
      <c r="A888" s="291">
        <f>COUNTA($E$3:E888)</f>
        <v>886</v>
      </c>
      <c r="B888" s="291" t="s">
        <v>2076</v>
      </c>
      <c r="C888" s="291" t="s">
        <v>112</v>
      </c>
      <c r="D888" s="291" t="s">
        <v>34</v>
      </c>
      <c r="E888" s="291" t="s">
        <v>1301</v>
      </c>
      <c r="F888" s="292">
        <v>44491.643642766197</v>
      </c>
      <c r="G888" s="292"/>
      <c r="H888" s="292"/>
      <c r="I888" s="292"/>
      <c r="J888" s="292" t="s">
        <v>4</v>
      </c>
      <c r="K888" s="291" t="s">
        <v>1658</v>
      </c>
      <c r="L888" t="s">
        <v>110</v>
      </c>
      <c r="M888" s="20">
        <v>44498</v>
      </c>
      <c r="O888" s="213">
        <v>44523</v>
      </c>
      <c r="AD888">
        <v>44523</v>
      </c>
    </row>
    <row r="889" spans="1:30">
      <c r="A889" s="291">
        <f>COUNTA($E$3:E889)</f>
        <v>887</v>
      </c>
      <c r="B889" s="291" t="s">
        <v>2064</v>
      </c>
      <c r="C889" s="291" t="s">
        <v>45</v>
      </c>
      <c r="D889" s="291" t="s">
        <v>34</v>
      </c>
      <c r="E889" s="291" t="s">
        <v>1671</v>
      </c>
      <c r="F889" s="292">
        <v>44489.503252314818</v>
      </c>
      <c r="G889" s="292"/>
      <c r="H889" s="292"/>
      <c r="I889" s="292"/>
      <c r="J889" s="292" t="s">
        <v>3</v>
      </c>
      <c r="K889" s="291" t="s">
        <v>1673</v>
      </c>
      <c r="L889" t="s">
        <v>1101</v>
      </c>
      <c r="M889" s="20">
        <v>44498</v>
      </c>
      <c r="N889" t="s">
        <v>2119</v>
      </c>
      <c r="O889" s="213">
        <v>44498</v>
      </c>
      <c r="AD889">
        <v>44498</v>
      </c>
    </row>
    <row r="890" spans="1:30">
      <c r="A890" s="291">
        <f>COUNTA($E$3:E890)</f>
        <v>888</v>
      </c>
      <c r="B890" s="291" t="s">
        <v>2060</v>
      </c>
      <c r="C890" s="291" t="s">
        <v>41</v>
      </c>
      <c r="D890" s="291" t="s">
        <v>38</v>
      </c>
      <c r="E890" s="291" t="s">
        <v>2061</v>
      </c>
      <c r="F890" s="292">
        <v>44488.686331018522</v>
      </c>
      <c r="G890" s="292"/>
      <c r="H890" s="292"/>
      <c r="I890" s="292"/>
      <c r="J890" s="292" t="s">
        <v>4</v>
      </c>
      <c r="K890" s="291" t="s">
        <v>2062</v>
      </c>
      <c r="L890" t="s">
        <v>28</v>
      </c>
      <c r="M890" s="20">
        <v>44484</v>
      </c>
      <c r="N890" t="s">
        <v>2118</v>
      </c>
      <c r="O890" s="213">
        <v>44484</v>
      </c>
      <c r="AD890">
        <v>44484</v>
      </c>
    </row>
    <row r="891" spans="1:30">
      <c r="A891" s="291">
        <f>COUNTA($E$3:E891)</f>
        <v>889</v>
      </c>
      <c r="B891" s="291" t="s">
        <v>2024</v>
      </c>
      <c r="C891" s="291" t="s">
        <v>48</v>
      </c>
      <c r="D891" s="291" t="s">
        <v>38</v>
      </c>
      <c r="E891" s="291" t="s">
        <v>52</v>
      </c>
      <c r="F891" s="292">
        <v>44476</v>
      </c>
      <c r="G891" s="292">
        <v>44479</v>
      </c>
      <c r="H891" s="292"/>
      <c r="I891" s="292" t="s">
        <v>70</v>
      </c>
      <c r="J891" s="292" t="s">
        <v>3</v>
      </c>
      <c r="K891" s="291" t="s">
        <v>1672</v>
      </c>
      <c r="L891" t="s">
        <v>134</v>
      </c>
      <c r="M891" s="20">
        <v>44484</v>
      </c>
      <c r="N891" t="s">
        <v>2119</v>
      </c>
      <c r="O891" s="213">
        <v>44484</v>
      </c>
      <c r="AD891">
        <v>44484</v>
      </c>
    </row>
    <row r="892" spans="1:30">
      <c r="A892" s="291">
        <f>COUNTA($E$3:E892)</f>
        <v>890</v>
      </c>
      <c r="B892" s="291" t="s">
        <v>2015</v>
      </c>
      <c r="C892" s="291" t="s">
        <v>2016</v>
      </c>
      <c r="D892" s="291" t="s">
        <v>42</v>
      </c>
      <c r="E892" s="291" t="s">
        <v>2017</v>
      </c>
      <c r="F892" s="292">
        <v>44474</v>
      </c>
      <c r="G892" s="292">
        <v>44484</v>
      </c>
      <c r="H892" s="292"/>
      <c r="I892" s="292"/>
      <c r="J892" s="292" t="s">
        <v>3</v>
      </c>
      <c r="K892" s="291" t="s">
        <v>2018</v>
      </c>
      <c r="L892" t="s">
        <v>134</v>
      </c>
      <c r="M892" s="20">
        <v>44484</v>
      </c>
      <c r="N892" t="s">
        <v>2120</v>
      </c>
      <c r="O892" s="213">
        <v>44484</v>
      </c>
      <c r="AD892">
        <v>44484</v>
      </c>
    </row>
    <row r="893" spans="1:30">
      <c r="A893" s="291">
        <f>COUNTA($E$3:E893)</f>
        <v>891</v>
      </c>
      <c r="B893" s="291" t="s">
        <v>2036</v>
      </c>
      <c r="C893" s="291" t="s">
        <v>1112</v>
      </c>
      <c r="D893" s="291" t="s">
        <v>34</v>
      </c>
      <c r="E893" s="291" t="s">
        <v>2037</v>
      </c>
      <c r="F893" s="292">
        <v>44481.70171296296</v>
      </c>
      <c r="G893" s="292"/>
      <c r="H893" s="292"/>
      <c r="I893" s="292"/>
      <c r="J893" s="292" t="s">
        <v>3</v>
      </c>
      <c r="K893" s="291" t="s">
        <v>2038</v>
      </c>
      <c r="L893" t="s">
        <v>1101</v>
      </c>
      <c r="M893" s="20">
        <v>44484</v>
      </c>
      <c r="O893" s="213">
        <v>44484</v>
      </c>
      <c r="AD893">
        <v>44484</v>
      </c>
    </row>
    <row r="894" spans="1:30">
      <c r="A894" s="291">
        <f>COUNTA($E$3:E894)</f>
        <v>892</v>
      </c>
      <c r="B894" s="291" t="s">
        <v>2032</v>
      </c>
      <c r="C894" s="291" t="s">
        <v>1254</v>
      </c>
      <c r="D894" s="291" t="s">
        <v>42</v>
      </c>
      <c r="E894" s="291" t="s">
        <v>1770</v>
      </c>
      <c r="F894" s="292">
        <v>44481</v>
      </c>
      <c r="G894" s="292"/>
      <c r="H894" s="292"/>
      <c r="I894" s="292"/>
      <c r="J894" s="292" t="s">
        <v>3</v>
      </c>
      <c r="K894" s="291" t="s">
        <v>1771</v>
      </c>
      <c r="L894" t="s">
        <v>1101</v>
      </c>
      <c r="M894" s="20">
        <v>44484</v>
      </c>
      <c r="N894" t="s">
        <v>2120</v>
      </c>
      <c r="O894" s="213">
        <v>44484</v>
      </c>
      <c r="AD894">
        <v>44484</v>
      </c>
    </row>
    <row r="895" spans="1:30">
      <c r="A895" s="291">
        <f>COUNTA($E$3:E895)</f>
        <v>893</v>
      </c>
      <c r="B895" s="291" t="s">
        <v>2059</v>
      </c>
      <c r="C895" s="291" t="s">
        <v>45</v>
      </c>
      <c r="D895" s="291" t="s">
        <v>29</v>
      </c>
      <c r="E895" s="291" t="s">
        <v>1214</v>
      </c>
      <c r="F895" s="292">
        <v>44488.578136574077</v>
      </c>
      <c r="G895" s="292"/>
      <c r="H895" s="292"/>
      <c r="I895" s="292"/>
      <c r="J895" s="292" t="s">
        <v>4</v>
      </c>
      <c r="K895" s="291" t="s">
        <v>1664</v>
      </c>
      <c r="L895" t="s">
        <v>37</v>
      </c>
      <c r="M895" s="20">
        <v>44484</v>
      </c>
      <c r="N895" t="s">
        <v>2119</v>
      </c>
      <c r="O895" s="213">
        <v>44484</v>
      </c>
      <c r="AD895">
        <v>44484</v>
      </c>
    </row>
    <row r="896" spans="1:30">
      <c r="A896" s="291">
        <f>COUNTA($E$3:E896)</f>
        <v>894</v>
      </c>
      <c r="B896" s="291" t="s">
        <v>2050</v>
      </c>
      <c r="C896" s="291" t="s">
        <v>25</v>
      </c>
      <c r="D896" s="291" t="s">
        <v>34</v>
      </c>
      <c r="E896" s="291" t="s">
        <v>2051</v>
      </c>
      <c r="F896" s="292">
        <v>44484.645379826397</v>
      </c>
      <c r="G896" s="292"/>
      <c r="H896" s="292"/>
      <c r="I896" s="292"/>
      <c r="J896" s="292" t="s">
        <v>4</v>
      </c>
      <c r="K896" s="291" t="s">
        <v>526</v>
      </c>
      <c r="L896" t="s">
        <v>28</v>
      </c>
      <c r="M896" s="20">
        <v>44484</v>
      </c>
      <c r="N896" t="s">
        <v>2118</v>
      </c>
      <c r="O896" s="213">
        <v>44484</v>
      </c>
      <c r="AD896">
        <v>44484</v>
      </c>
    </row>
    <row r="897" spans="1:30">
      <c r="A897" s="291">
        <f>COUNTA($E$3:E897)</f>
        <v>895</v>
      </c>
      <c r="B897" s="291" t="s">
        <v>2045</v>
      </c>
      <c r="C897" s="291" t="s">
        <v>48</v>
      </c>
      <c r="D897" s="291" t="s">
        <v>49</v>
      </c>
      <c r="E897" s="291" t="s">
        <v>187</v>
      </c>
      <c r="F897" s="292">
        <v>44483</v>
      </c>
      <c r="G897" s="292"/>
      <c r="H897" s="292"/>
      <c r="I897" s="292"/>
      <c r="J897" s="292" t="s">
        <v>5</v>
      </c>
      <c r="K897" s="291" t="s">
        <v>1765</v>
      </c>
      <c r="L897" t="s">
        <v>58</v>
      </c>
      <c r="M897" s="20">
        <v>44457</v>
      </c>
      <c r="N897" t="s">
        <v>2119</v>
      </c>
      <c r="O897" s="213">
        <v>44457</v>
      </c>
      <c r="AD897">
        <v>44457</v>
      </c>
    </row>
    <row r="898" spans="1:30">
      <c r="A898" s="291">
        <f>COUNTA($E$3:E898)</f>
        <v>896</v>
      </c>
      <c r="B898" s="291" t="s">
        <v>2035</v>
      </c>
      <c r="C898" s="291" t="s">
        <v>1190</v>
      </c>
      <c r="D898" s="291" t="s">
        <v>62</v>
      </c>
      <c r="E898" s="291" t="s">
        <v>1191</v>
      </c>
      <c r="F898" s="292">
        <v>44481</v>
      </c>
      <c r="G898" s="292">
        <v>44484</v>
      </c>
      <c r="H898" s="292"/>
      <c r="I898" s="292">
        <v>44484</v>
      </c>
      <c r="J898" s="292" t="s">
        <v>4</v>
      </c>
      <c r="K898" s="291" t="s">
        <v>2057</v>
      </c>
      <c r="L898" t="s">
        <v>58</v>
      </c>
      <c r="M898" s="20">
        <v>44457</v>
      </c>
      <c r="N898" t="s">
        <v>2118</v>
      </c>
      <c r="O898" s="213">
        <v>44457</v>
      </c>
      <c r="AD898">
        <v>44457</v>
      </c>
    </row>
    <row r="899" spans="1:30">
      <c r="A899" s="291">
        <f>COUNTA($E$3:E899)</f>
        <v>897</v>
      </c>
      <c r="B899" s="291" t="s">
        <v>2020</v>
      </c>
      <c r="C899" s="291" t="s">
        <v>78</v>
      </c>
      <c r="D899" s="291" t="s">
        <v>20</v>
      </c>
      <c r="E899" s="291" t="s">
        <v>79</v>
      </c>
      <c r="F899" s="292">
        <v>44475.568437499998</v>
      </c>
      <c r="G899" s="292"/>
      <c r="H899" s="292"/>
      <c r="I899" s="292"/>
      <c r="J899" s="292" t="s">
        <v>3</v>
      </c>
      <c r="K899" s="291" t="s">
        <v>2021</v>
      </c>
      <c r="L899" t="s">
        <v>58</v>
      </c>
      <c r="M899" s="20">
        <v>44457</v>
      </c>
      <c r="N899" t="s">
        <v>2120</v>
      </c>
      <c r="O899" s="213">
        <v>44457</v>
      </c>
      <c r="AD899">
        <v>44457</v>
      </c>
    </row>
    <row r="900" spans="1:30">
      <c r="A900" s="291">
        <f>COUNTA($E$3:E900)</f>
        <v>898</v>
      </c>
      <c r="B900" s="291" t="s">
        <v>2014</v>
      </c>
      <c r="C900" s="291" t="s">
        <v>69</v>
      </c>
      <c r="D900" s="291" t="s">
        <v>35</v>
      </c>
      <c r="E900" s="291" t="s">
        <v>1241</v>
      </c>
      <c r="F900" s="292">
        <v>44473</v>
      </c>
      <c r="G900" s="292"/>
      <c r="H900" s="292"/>
      <c r="I900" s="292" t="s">
        <v>59</v>
      </c>
      <c r="J900" s="292" t="s">
        <v>3</v>
      </c>
      <c r="K900" s="291" t="s">
        <v>1500</v>
      </c>
      <c r="L900" t="s">
        <v>1101</v>
      </c>
      <c r="M900" s="20">
        <v>44457</v>
      </c>
      <c r="N900" t="s">
        <v>2120</v>
      </c>
      <c r="O900" s="213">
        <v>44491</v>
      </c>
      <c r="AD900">
        <v>44491</v>
      </c>
    </row>
    <row r="901" spans="1:30">
      <c r="A901" s="291">
        <f>COUNTA($E$3:E901)</f>
        <v>899</v>
      </c>
      <c r="B901" s="291" t="s">
        <v>2046</v>
      </c>
      <c r="C901" s="291" t="s">
        <v>45</v>
      </c>
      <c r="D901" s="291" t="s">
        <v>1138</v>
      </c>
      <c r="E901" s="291" t="s">
        <v>2047</v>
      </c>
      <c r="F901" s="292">
        <v>44483</v>
      </c>
      <c r="G901" s="292"/>
      <c r="H901" s="292"/>
      <c r="I901" s="292"/>
      <c r="J901" s="292" t="s">
        <v>5</v>
      </c>
      <c r="K901" s="291" t="s">
        <v>1765</v>
      </c>
      <c r="L901" t="s">
        <v>58</v>
      </c>
      <c r="M901" s="20">
        <v>44457</v>
      </c>
      <c r="N901" t="s">
        <v>2119</v>
      </c>
      <c r="O901" s="213">
        <v>44457</v>
      </c>
      <c r="AD901">
        <v>44457</v>
      </c>
    </row>
    <row r="902" spans="1:30">
      <c r="A902" s="291">
        <f>COUNTA($E$3:E902)</f>
        <v>900</v>
      </c>
      <c r="B902" s="291" t="s">
        <v>2042</v>
      </c>
      <c r="C902" s="291" t="s">
        <v>45</v>
      </c>
      <c r="D902" s="291" t="s">
        <v>56</v>
      </c>
      <c r="E902" s="291" t="s">
        <v>2043</v>
      </c>
      <c r="F902" s="292">
        <v>44483.6986901157</v>
      </c>
      <c r="G902" s="292"/>
      <c r="H902" s="292"/>
      <c r="I902" s="292"/>
      <c r="J902" s="292" t="s">
        <v>4</v>
      </c>
      <c r="K902" s="291" t="s">
        <v>1170</v>
      </c>
      <c r="L902" t="s">
        <v>108</v>
      </c>
      <c r="M902" s="20">
        <v>44457</v>
      </c>
      <c r="N902" t="s">
        <v>2119</v>
      </c>
      <c r="O902" s="213">
        <v>44457</v>
      </c>
      <c r="AD902">
        <v>44457</v>
      </c>
    </row>
    <row r="903" spans="1:30">
      <c r="A903" s="291">
        <f>COUNTA($E$3:E903)</f>
        <v>901</v>
      </c>
      <c r="B903" s="291" t="s">
        <v>2027</v>
      </c>
      <c r="C903" s="291" t="s">
        <v>25</v>
      </c>
      <c r="D903" s="291" t="s">
        <v>38</v>
      </c>
      <c r="E903" s="291" t="s">
        <v>1697</v>
      </c>
      <c r="F903" s="292">
        <v>44476.744615798598</v>
      </c>
      <c r="G903" s="292"/>
      <c r="H903" s="292"/>
      <c r="I903" s="292"/>
      <c r="J903" s="292" t="s">
        <v>4</v>
      </c>
      <c r="K903" s="291" t="s">
        <v>1664</v>
      </c>
      <c r="L903" t="s">
        <v>58</v>
      </c>
      <c r="M903" s="20">
        <v>44457</v>
      </c>
      <c r="N903" t="s">
        <v>2118</v>
      </c>
      <c r="O903" s="213">
        <v>44457</v>
      </c>
      <c r="AD903">
        <v>44457</v>
      </c>
    </row>
    <row r="904" spans="1:30">
      <c r="A904" s="291">
        <f>COUNTA($E$3:E904)</f>
        <v>902</v>
      </c>
      <c r="B904" s="291" t="s">
        <v>1907</v>
      </c>
      <c r="C904" s="291" t="s">
        <v>25</v>
      </c>
      <c r="D904" s="291" t="s">
        <v>1205</v>
      </c>
      <c r="E904" s="291" t="s">
        <v>1908</v>
      </c>
      <c r="F904" s="292">
        <v>44446</v>
      </c>
      <c r="G904" s="292">
        <v>44451</v>
      </c>
      <c r="H904" s="292"/>
      <c r="I904" s="292">
        <v>44479</v>
      </c>
      <c r="J904" s="292" t="s">
        <v>4</v>
      </c>
      <c r="K904" s="291" t="s">
        <v>526</v>
      </c>
      <c r="L904" t="s">
        <v>58</v>
      </c>
      <c r="M904" s="20">
        <v>44457</v>
      </c>
      <c r="N904" t="s">
        <v>2118</v>
      </c>
      <c r="O904" s="213">
        <v>44457</v>
      </c>
      <c r="AD904">
        <v>44457</v>
      </c>
    </row>
    <row r="905" spans="1:30">
      <c r="A905" s="291">
        <f>COUNTA($E$3:E905)</f>
        <v>903</v>
      </c>
      <c r="B905" s="291" t="s">
        <v>1974</v>
      </c>
      <c r="C905" s="291" t="s">
        <v>1131</v>
      </c>
      <c r="D905" s="291" t="s">
        <v>42</v>
      </c>
      <c r="E905" s="291" t="s">
        <v>2033</v>
      </c>
      <c r="F905" s="292">
        <v>44468</v>
      </c>
      <c r="G905" s="292">
        <v>44471</v>
      </c>
      <c r="H905" s="292"/>
      <c r="I905" s="292">
        <v>44471</v>
      </c>
      <c r="J905" s="292" t="s">
        <v>3</v>
      </c>
      <c r="K905" s="291" t="s">
        <v>1500</v>
      </c>
      <c r="L905" t="s">
        <v>108</v>
      </c>
      <c r="M905" s="20">
        <v>44457</v>
      </c>
      <c r="O905" s="213">
        <v>44457</v>
      </c>
      <c r="AD905">
        <v>44457</v>
      </c>
    </row>
    <row r="906" spans="1:30">
      <c r="A906" s="291">
        <f>COUNTA($E$3:E906)</f>
        <v>904</v>
      </c>
      <c r="B906" s="291" t="s">
        <v>1905</v>
      </c>
      <c r="C906" s="291" t="s">
        <v>25</v>
      </c>
      <c r="D906" s="291" t="s">
        <v>34</v>
      </c>
      <c r="E906" s="291" t="s">
        <v>1906</v>
      </c>
      <c r="F906" s="292">
        <v>44446</v>
      </c>
      <c r="G906" s="292"/>
      <c r="H906" s="292"/>
      <c r="I906" s="292" t="s">
        <v>59</v>
      </c>
      <c r="J906" s="292" t="s">
        <v>3</v>
      </c>
      <c r="K906" s="291" t="s">
        <v>1500</v>
      </c>
      <c r="L906" t="s">
        <v>108</v>
      </c>
      <c r="M906" s="20">
        <v>44457</v>
      </c>
      <c r="N906" t="s">
        <v>2118</v>
      </c>
      <c r="O906" s="213">
        <v>44457</v>
      </c>
      <c r="AD906">
        <v>44457</v>
      </c>
    </row>
    <row r="907" spans="1:30">
      <c r="A907" s="291">
        <f>COUNTA($E$3:E907)</f>
        <v>905</v>
      </c>
      <c r="B907" s="291" t="s">
        <v>2030</v>
      </c>
      <c r="C907" s="291" t="s">
        <v>1102</v>
      </c>
      <c r="D907" s="291" t="s">
        <v>51</v>
      </c>
      <c r="E907" s="291" t="s">
        <v>1103</v>
      </c>
      <c r="F907" s="292">
        <v>44480</v>
      </c>
      <c r="G907" s="292"/>
      <c r="H907" s="292"/>
      <c r="I907" s="292"/>
      <c r="J907" s="292" t="s">
        <v>4</v>
      </c>
      <c r="K907" s="291" t="s">
        <v>1500</v>
      </c>
      <c r="L907" t="s">
        <v>58</v>
      </c>
      <c r="M907" s="20">
        <v>44457</v>
      </c>
      <c r="N907" t="s">
        <v>2120</v>
      </c>
      <c r="O907" s="213">
        <v>44457</v>
      </c>
      <c r="AD907">
        <v>44457</v>
      </c>
    </row>
    <row r="908" spans="1:30">
      <c r="A908" s="291">
        <f>COUNTA($E$3:E908)</f>
        <v>906</v>
      </c>
      <c r="B908" s="291" t="s">
        <v>1978</v>
      </c>
      <c r="C908" s="291" t="s">
        <v>1111</v>
      </c>
      <c r="D908" s="291" t="s">
        <v>42</v>
      </c>
      <c r="E908" s="291" t="s">
        <v>1676</v>
      </c>
      <c r="F908" s="292">
        <v>44467.663136574076</v>
      </c>
      <c r="G908" s="292"/>
      <c r="H908" s="292"/>
      <c r="I908" s="292"/>
      <c r="J908" s="292" t="s">
        <v>3</v>
      </c>
      <c r="K908" s="291" t="s">
        <v>1677</v>
      </c>
      <c r="L908" t="s">
        <v>134</v>
      </c>
      <c r="M908" s="20">
        <v>44451</v>
      </c>
      <c r="O908" s="213">
        <v>44453</v>
      </c>
      <c r="AD908">
        <v>44453</v>
      </c>
    </row>
    <row r="909" spans="1:30">
      <c r="A909" s="291">
        <f>COUNTA($E$3:E909)</f>
        <v>907</v>
      </c>
      <c r="B909" s="291" t="s">
        <v>1977</v>
      </c>
      <c r="C909" s="291" t="s">
        <v>1112</v>
      </c>
      <c r="D909" s="291" t="s">
        <v>34</v>
      </c>
      <c r="E909" s="291" t="s">
        <v>1275</v>
      </c>
      <c r="F909" s="292">
        <v>44470.559803240743</v>
      </c>
      <c r="G909" s="292"/>
      <c r="H909" s="292"/>
      <c r="I909" s="292"/>
      <c r="J909" s="292" t="s">
        <v>3</v>
      </c>
      <c r="K909" s="291" t="s">
        <v>1679</v>
      </c>
      <c r="L909" t="s">
        <v>58</v>
      </c>
      <c r="M909" s="20">
        <v>44451</v>
      </c>
      <c r="O909" s="213">
        <v>44452</v>
      </c>
      <c r="AD909">
        <v>44452</v>
      </c>
    </row>
    <row r="910" spans="1:30">
      <c r="A910" s="291">
        <f>COUNTA($E$3:E910)</f>
        <v>908</v>
      </c>
      <c r="B910" s="291" t="s">
        <v>1975</v>
      </c>
      <c r="C910" s="291" t="s">
        <v>1239</v>
      </c>
      <c r="D910" s="291" t="s">
        <v>62</v>
      </c>
      <c r="E910" s="291" t="s">
        <v>1240</v>
      </c>
      <c r="F910" s="292">
        <v>44470.649687500001</v>
      </c>
      <c r="G910" s="292"/>
      <c r="H910" s="292"/>
      <c r="I910" s="292"/>
      <c r="J910" s="292" t="s">
        <v>3</v>
      </c>
      <c r="K910" s="291" t="s">
        <v>1976</v>
      </c>
      <c r="L910" t="s">
        <v>58</v>
      </c>
      <c r="M910" s="20">
        <v>44451</v>
      </c>
      <c r="N910" t="s">
        <v>2120</v>
      </c>
      <c r="O910" s="213">
        <v>44451</v>
      </c>
      <c r="AD910">
        <v>44451</v>
      </c>
    </row>
    <row r="911" spans="1:30">
      <c r="A911" s="291">
        <f>COUNTA($E$3:E911)</f>
        <v>909</v>
      </c>
      <c r="B911" s="291" t="s">
        <v>1873</v>
      </c>
      <c r="C911" s="291" t="s">
        <v>313</v>
      </c>
      <c r="D911" s="291" t="s">
        <v>42</v>
      </c>
      <c r="E911" s="291" t="s">
        <v>1295</v>
      </c>
      <c r="F911" s="292">
        <v>44403</v>
      </c>
      <c r="G911" s="292">
        <v>44403</v>
      </c>
      <c r="H911" s="292"/>
      <c r="I911" s="292">
        <v>44403</v>
      </c>
      <c r="J911" s="292" t="s">
        <v>3</v>
      </c>
      <c r="K911" s="291" t="s">
        <v>1715</v>
      </c>
      <c r="L911" t="s">
        <v>58</v>
      </c>
      <c r="M911" s="20">
        <v>44451</v>
      </c>
      <c r="O911" s="213">
        <v>44451</v>
      </c>
      <c r="AD911">
        <v>44451</v>
      </c>
    </row>
    <row r="912" spans="1:30">
      <c r="A912" s="291">
        <f>COUNTA($E$3:E912)</f>
        <v>910</v>
      </c>
      <c r="B912" s="291" t="s">
        <v>1962</v>
      </c>
      <c r="C912" s="291" t="s">
        <v>45</v>
      </c>
      <c r="D912" s="291" t="s">
        <v>31</v>
      </c>
      <c r="E912" s="291" t="s">
        <v>1657</v>
      </c>
      <c r="F912" s="292">
        <v>44463.652083333334</v>
      </c>
      <c r="G912" s="292"/>
      <c r="H912" s="292"/>
      <c r="I912" s="292"/>
      <c r="J912" s="292" t="s">
        <v>1122</v>
      </c>
      <c r="K912" s="291" t="s">
        <v>1683</v>
      </c>
      <c r="L912" t="s">
        <v>58</v>
      </c>
      <c r="M912" s="20">
        <v>44451</v>
      </c>
      <c r="N912" t="s">
        <v>2119</v>
      </c>
      <c r="O912" s="213">
        <v>44451</v>
      </c>
      <c r="AD912">
        <v>44451</v>
      </c>
    </row>
    <row r="913" spans="1:30">
      <c r="A913" s="291">
        <f>COUNTA($E$3:E913)</f>
        <v>911</v>
      </c>
      <c r="B913" s="291" t="s">
        <v>1959</v>
      </c>
      <c r="C913" s="291" t="s">
        <v>1190</v>
      </c>
      <c r="D913" s="291" t="s">
        <v>20</v>
      </c>
      <c r="E913" s="291" t="s">
        <v>1725</v>
      </c>
      <c r="F913" s="292">
        <v>44462</v>
      </c>
      <c r="G913" s="292">
        <v>44462</v>
      </c>
      <c r="H913" s="292"/>
      <c r="I913" s="292">
        <v>44462</v>
      </c>
      <c r="J913" s="292" t="s">
        <v>3</v>
      </c>
      <c r="K913" s="291" t="s">
        <v>1891</v>
      </c>
      <c r="L913" t="s">
        <v>58</v>
      </c>
      <c r="M913" s="20">
        <v>44451</v>
      </c>
      <c r="N913" t="s">
        <v>2118</v>
      </c>
      <c r="O913" s="213">
        <v>44501</v>
      </c>
      <c r="AD913">
        <v>44501</v>
      </c>
    </row>
    <row r="914" spans="1:30">
      <c r="A914" s="291">
        <f>COUNTA($E$3:E914)</f>
        <v>912</v>
      </c>
      <c r="B914" s="291" t="s">
        <v>1979</v>
      </c>
      <c r="C914" s="291" t="s">
        <v>41</v>
      </c>
      <c r="D914" s="291" t="s">
        <v>38</v>
      </c>
      <c r="E914" s="291" t="s">
        <v>1980</v>
      </c>
      <c r="F914" s="292">
        <v>44468.707870370374</v>
      </c>
      <c r="G914" s="292">
        <v>44468.707870370374</v>
      </c>
      <c r="H914" s="292"/>
      <c r="I914" s="292">
        <v>44468.707870370374</v>
      </c>
      <c r="J914" s="292" t="s">
        <v>4</v>
      </c>
      <c r="K914" s="291" t="s">
        <v>1681</v>
      </c>
      <c r="L914" t="s">
        <v>1101</v>
      </c>
      <c r="M914" s="20">
        <v>44422</v>
      </c>
      <c r="N914" t="s">
        <v>2118</v>
      </c>
      <c r="O914" s="213">
        <v>44422</v>
      </c>
      <c r="AD914">
        <v>44422</v>
      </c>
    </row>
    <row r="915" spans="1:30">
      <c r="A915" s="291">
        <f>COUNTA($D$3:$D$915)</f>
        <v>913</v>
      </c>
      <c r="B915" s="291" t="s">
        <v>1983</v>
      </c>
      <c r="C915" s="291" t="s">
        <v>45</v>
      </c>
      <c r="D915" s="291" t="s">
        <v>34</v>
      </c>
      <c r="E915" s="291" t="s">
        <v>1736</v>
      </c>
      <c r="F915" s="292">
        <v>44468</v>
      </c>
      <c r="G915" s="292"/>
      <c r="H915" s="292"/>
      <c r="I915" s="292"/>
      <c r="J915" s="292" t="s">
        <v>4</v>
      </c>
      <c r="K915" s="291" t="s">
        <v>1664</v>
      </c>
      <c r="L915" t="s">
        <v>58</v>
      </c>
      <c r="M915" s="20">
        <v>44409</v>
      </c>
      <c r="N915" t="s">
        <v>2119</v>
      </c>
      <c r="O915" s="213">
        <v>44409</v>
      </c>
      <c r="AD915">
        <v>44409</v>
      </c>
    </row>
    <row r="916" spans="1:30">
      <c r="A916" s="291">
        <f>COUNTA($D$3:$D$916)</f>
        <v>914</v>
      </c>
      <c r="B916" s="291" t="s">
        <v>1984</v>
      </c>
      <c r="C916" s="291" t="s">
        <v>45</v>
      </c>
      <c r="D916" s="291" t="s">
        <v>53</v>
      </c>
      <c r="E916" s="291" t="s">
        <v>1156</v>
      </c>
      <c r="F916" s="292">
        <v>44468.516215277778</v>
      </c>
      <c r="G916" s="292"/>
      <c r="H916" s="292"/>
      <c r="I916" s="292"/>
      <c r="J916" s="292" t="s">
        <v>4</v>
      </c>
      <c r="K916" s="291" t="s">
        <v>1985</v>
      </c>
      <c r="L916" t="s">
        <v>58</v>
      </c>
      <c r="M916" s="20">
        <v>44409</v>
      </c>
      <c r="N916" t="s">
        <v>2119</v>
      </c>
      <c r="O916" s="213">
        <v>44409</v>
      </c>
      <c r="AD916">
        <v>44409</v>
      </c>
    </row>
    <row r="917" spans="1:30">
      <c r="A917" s="291">
        <f>COUNTA($D$3:$D$917)</f>
        <v>915</v>
      </c>
      <c r="B917" s="291" t="s">
        <v>1981</v>
      </c>
      <c r="C917" s="291" t="s">
        <v>41</v>
      </c>
      <c r="D917" s="291" t="s">
        <v>38</v>
      </c>
      <c r="E917" s="291" t="s">
        <v>1823</v>
      </c>
      <c r="F917" s="292">
        <v>44468</v>
      </c>
      <c r="G917" s="292"/>
      <c r="H917" s="292"/>
      <c r="I917" s="292"/>
      <c r="J917" s="292" t="s">
        <v>4</v>
      </c>
      <c r="K917" s="291" t="s">
        <v>1982</v>
      </c>
      <c r="L917" t="s">
        <v>37</v>
      </c>
      <c r="M917" s="20">
        <v>44409</v>
      </c>
      <c r="N917" t="s">
        <v>2118</v>
      </c>
      <c r="O917" s="213">
        <v>44409</v>
      </c>
      <c r="AD917">
        <v>44409</v>
      </c>
    </row>
    <row r="918" spans="1:30">
      <c r="A918" s="291">
        <f>COUNTA($D$3:$D$918)</f>
        <v>916</v>
      </c>
      <c r="B918" s="291" t="s">
        <v>1950</v>
      </c>
      <c r="C918" s="291" t="s">
        <v>48</v>
      </c>
      <c r="D918" s="291" t="s">
        <v>38</v>
      </c>
      <c r="E918" s="291" t="s">
        <v>135</v>
      </c>
      <c r="F918" s="292">
        <v>44454.79105324074</v>
      </c>
      <c r="G918" s="292"/>
      <c r="H918" s="292"/>
      <c r="I918" s="292"/>
      <c r="J918" s="292" t="s">
        <v>4</v>
      </c>
      <c r="K918" s="291" t="s">
        <v>1681</v>
      </c>
      <c r="L918" t="s">
        <v>134</v>
      </c>
      <c r="M918" s="20">
        <v>44402</v>
      </c>
      <c r="N918" t="s">
        <v>2119</v>
      </c>
      <c r="O918" s="213">
        <v>44402</v>
      </c>
      <c r="AD918">
        <v>44402</v>
      </c>
    </row>
    <row r="919" spans="1:30">
      <c r="A919" s="291">
        <f>COUNTA($D$3:$D$919)</f>
        <v>917</v>
      </c>
      <c r="B919" s="291" t="s">
        <v>1829</v>
      </c>
      <c r="C919" s="291" t="s">
        <v>45</v>
      </c>
      <c r="D919" s="291" t="s">
        <v>53</v>
      </c>
      <c r="E919" s="291" t="s">
        <v>1100</v>
      </c>
      <c r="F919" s="292">
        <v>44385</v>
      </c>
      <c r="G919" s="292"/>
      <c r="H919" s="292"/>
      <c r="I919" s="292"/>
      <c r="J919" s="292" t="s">
        <v>4</v>
      </c>
      <c r="K919" s="291" t="s">
        <v>1739</v>
      </c>
      <c r="L919" t="s">
        <v>37</v>
      </c>
      <c r="M919" s="20">
        <v>44402</v>
      </c>
      <c r="N919" t="s">
        <v>2119</v>
      </c>
      <c r="O919" s="213">
        <v>44402</v>
      </c>
      <c r="AD919">
        <v>44402</v>
      </c>
    </row>
    <row r="920" spans="1:30">
      <c r="A920" s="291">
        <f>COUNTA($D$3:$D$920)</f>
        <v>918</v>
      </c>
      <c r="B920" s="291" t="s">
        <v>1943</v>
      </c>
      <c r="C920" s="291" t="s">
        <v>100</v>
      </c>
      <c r="D920" s="291" t="s">
        <v>20</v>
      </c>
      <c r="E920" s="291" t="s">
        <v>1251</v>
      </c>
      <c r="F920" s="292">
        <v>44455.706797557898</v>
      </c>
      <c r="G920" s="292"/>
      <c r="H920" s="292"/>
      <c r="I920" s="292"/>
      <c r="J920" s="292" t="s">
        <v>4</v>
      </c>
      <c r="K920" s="291" t="s">
        <v>1951</v>
      </c>
      <c r="L920" t="s">
        <v>1101</v>
      </c>
      <c r="M920" s="20">
        <v>44402</v>
      </c>
      <c r="N920" t="s">
        <v>2120</v>
      </c>
      <c r="O920" s="213">
        <v>44402</v>
      </c>
      <c r="AD920">
        <v>44402</v>
      </c>
    </row>
    <row r="921" spans="1:30">
      <c r="A921" s="291">
        <f>COUNTA($D$3:$D$921)</f>
        <v>919</v>
      </c>
      <c r="B921" s="291" t="s">
        <v>1955</v>
      </c>
      <c r="C921" s="291" t="s">
        <v>48</v>
      </c>
      <c r="D921" s="291" t="s">
        <v>34</v>
      </c>
      <c r="E921" s="291" t="s">
        <v>88</v>
      </c>
      <c r="F921" s="292">
        <v>44459.790324074071</v>
      </c>
      <c r="G921" s="292"/>
      <c r="H921" s="292"/>
      <c r="I921" s="292"/>
      <c r="J921" s="292" t="s">
        <v>4</v>
      </c>
      <c r="K921" s="291" t="s">
        <v>1735</v>
      </c>
      <c r="L921" t="s">
        <v>1101</v>
      </c>
      <c r="M921" s="20">
        <v>44402</v>
      </c>
      <c r="N921" t="s">
        <v>2119</v>
      </c>
      <c r="O921" s="213">
        <v>44402</v>
      </c>
      <c r="AD921">
        <v>44402</v>
      </c>
    </row>
    <row r="922" spans="1:30">
      <c r="A922" s="291">
        <f>COUNTA($D$3:$D$922)</f>
        <v>920</v>
      </c>
      <c r="B922" s="291" t="s">
        <v>1960</v>
      </c>
      <c r="C922" s="291" t="s">
        <v>48</v>
      </c>
      <c r="D922" s="291" t="s">
        <v>31</v>
      </c>
      <c r="E922" s="291" t="s">
        <v>1961</v>
      </c>
      <c r="F922" s="292">
        <v>44462</v>
      </c>
      <c r="G922" s="292"/>
      <c r="H922" s="292"/>
      <c r="I922" s="292"/>
      <c r="J922" s="292" t="s">
        <v>5</v>
      </c>
      <c r="K922" s="291" t="s">
        <v>1683</v>
      </c>
      <c r="L922" t="s">
        <v>108</v>
      </c>
      <c r="M922" s="20">
        <v>44402</v>
      </c>
      <c r="N922" t="s">
        <v>2119</v>
      </c>
      <c r="O922" s="213">
        <v>44402</v>
      </c>
      <c r="AD922">
        <v>44402</v>
      </c>
    </row>
    <row r="923" spans="1:30">
      <c r="A923" s="291">
        <f>COUNTA($D$3:$D$923)</f>
        <v>921</v>
      </c>
      <c r="B923" s="291" t="s">
        <v>1879</v>
      </c>
      <c r="C923" s="291" t="s">
        <v>78</v>
      </c>
      <c r="D923" s="291" t="s">
        <v>55</v>
      </c>
      <c r="E923" s="291" t="s">
        <v>1140</v>
      </c>
      <c r="F923" s="292">
        <v>44434.888287037</v>
      </c>
      <c r="G923" s="292"/>
      <c r="H923" s="292"/>
      <c r="I923" s="292"/>
      <c r="J923" s="292" t="s">
        <v>3</v>
      </c>
      <c r="K923" s="291" t="s">
        <v>1782</v>
      </c>
      <c r="L923" t="s">
        <v>24</v>
      </c>
      <c r="M923" s="20">
        <v>44402</v>
      </c>
      <c r="N923" t="s">
        <v>2120</v>
      </c>
      <c r="O923" s="213">
        <v>44402</v>
      </c>
      <c r="AD923">
        <v>44402</v>
      </c>
    </row>
    <row r="924" spans="1:30">
      <c r="A924" s="291">
        <f>COUNTA($D$3:$D$924)</f>
        <v>922</v>
      </c>
      <c r="B924" s="291" t="s">
        <v>1958</v>
      </c>
      <c r="C924" s="291" t="s">
        <v>1233</v>
      </c>
      <c r="D924" s="291" t="s">
        <v>34</v>
      </c>
      <c r="E924" s="291" t="s">
        <v>1291</v>
      </c>
      <c r="F924" s="292">
        <v>44461.649375000001</v>
      </c>
      <c r="G924" s="292"/>
      <c r="H924" s="292"/>
      <c r="I924" s="292"/>
      <c r="J924" s="292" t="s">
        <v>4</v>
      </c>
      <c r="K924" s="291" t="s">
        <v>1264</v>
      </c>
      <c r="L924" t="s">
        <v>24</v>
      </c>
      <c r="M924" s="20">
        <v>44402</v>
      </c>
      <c r="N924" t="s">
        <v>2120</v>
      </c>
      <c r="O924" s="213">
        <v>44402</v>
      </c>
      <c r="AD924">
        <v>44402</v>
      </c>
    </row>
    <row r="925" spans="1:30">
      <c r="A925" s="291">
        <f>COUNTA($D$3:$D$925)</f>
        <v>923</v>
      </c>
      <c r="B925" s="291" t="s">
        <v>1880</v>
      </c>
      <c r="C925" s="291" t="s">
        <v>1881</v>
      </c>
      <c r="D925" s="291" t="s">
        <v>20</v>
      </c>
      <c r="E925" s="291" t="s">
        <v>1882</v>
      </c>
      <c r="F925" s="292">
        <v>44440</v>
      </c>
      <c r="G925" s="292"/>
      <c r="H925" s="292"/>
      <c r="I925" s="292"/>
      <c r="J925" s="292" t="s">
        <v>3</v>
      </c>
      <c r="K925" s="291" t="s">
        <v>1679</v>
      </c>
      <c r="L925" t="s">
        <v>24</v>
      </c>
      <c r="M925" s="20">
        <v>44402</v>
      </c>
      <c r="N925" t="s">
        <v>2120</v>
      </c>
      <c r="O925" s="213">
        <v>44402</v>
      </c>
      <c r="AD925">
        <v>44402</v>
      </c>
    </row>
    <row r="926" spans="1:30">
      <c r="A926" s="291">
        <f>COUNTA($D$3:$D$926)</f>
        <v>924</v>
      </c>
      <c r="B926" s="291" t="s">
        <v>1941</v>
      </c>
      <c r="C926" s="291" t="s">
        <v>25</v>
      </c>
      <c r="D926" s="291" t="s">
        <v>27</v>
      </c>
      <c r="E926" s="291" t="s">
        <v>1942</v>
      </c>
      <c r="F926" s="292">
        <v>44452.734578611096</v>
      </c>
      <c r="G926" s="292"/>
      <c r="H926" s="292"/>
      <c r="I926" s="292"/>
      <c r="J926" s="292" t="s">
        <v>4</v>
      </c>
      <c r="K926" s="291" t="s">
        <v>1681</v>
      </c>
      <c r="L926" t="s">
        <v>134</v>
      </c>
      <c r="M926" s="20">
        <v>44394</v>
      </c>
      <c r="N926" t="s">
        <v>2118</v>
      </c>
      <c r="O926" s="213">
        <v>44394</v>
      </c>
      <c r="AD926">
        <v>44394</v>
      </c>
    </row>
    <row r="927" spans="1:30">
      <c r="A927" s="291">
        <f>COUNTA($D$3:$D$927)</f>
        <v>925</v>
      </c>
      <c r="B927" s="291" t="s">
        <v>1930</v>
      </c>
      <c r="C927" s="291" t="s">
        <v>25</v>
      </c>
      <c r="D927" s="291" t="s">
        <v>1181</v>
      </c>
      <c r="E927" s="291" t="s">
        <v>1182</v>
      </c>
      <c r="F927" s="292">
        <v>44452.726817129631</v>
      </c>
      <c r="G927" s="292"/>
      <c r="H927" s="292"/>
      <c r="I927" s="292"/>
      <c r="J927" s="292" t="s">
        <v>4</v>
      </c>
      <c r="K927" s="291" t="s">
        <v>1500</v>
      </c>
      <c r="L927" t="s">
        <v>134</v>
      </c>
      <c r="M927" s="20">
        <v>44394</v>
      </c>
      <c r="N927" t="s">
        <v>2118</v>
      </c>
      <c r="O927" s="213">
        <v>44394</v>
      </c>
      <c r="AD927">
        <v>44394</v>
      </c>
    </row>
    <row r="928" spans="1:30">
      <c r="A928" s="291">
        <f>COUNTA($D$3:$D$928)</f>
        <v>926</v>
      </c>
      <c r="B928" s="291" t="s">
        <v>1931</v>
      </c>
      <c r="C928" s="291" t="s">
        <v>25</v>
      </c>
      <c r="D928" s="291" t="s">
        <v>38</v>
      </c>
      <c r="E928" s="291" t="s">
        <v>1271</v>
      </c>
      <c r="F928" s="292">
        <v>44452.727569444447</v>
      </c>
      <c r="G928" s="292"/>
      <c r="H928" s="292"/>
      <c r="I928" s="292"/>
      <c r="J928" s="292" t="s">
        <v>4</v>
      </c>
      <c r="K928" s="291" t="s">
        <v>1500</v>
      </c>
      <c r="L928" t="s">
        <v>1101</v>
      </c>
      <c r="M928" s="20">
        <v>44394</v>
      </c>
      <c r="N928" t="s">
        <v>2118</v>
      </c>
      <c r="O928" s="213">
        <v>44394</v>
      </c>
      <c r="AD928">
        <v>44394</v>
      </c>
    </row>
    <row r="929" spans="1:30">
      <c r="A929" s="291">
        <f>COUNTA($D$3:$D$929)</f>
        <v>927</v>
      </c>
      <c r="B929" s="291" t="s">
        <v>1939</v>
      </c>
      <c r="C929" s="291" t="s">
        <v>45</v>
      </c>
      <c r="D929" s="291" t="s">
        <v>38</v>
      </c>
      <c r="E929" s="291" t="s">
        <v>1940</v>
      </c>
      <c r="F929" s="292">
        <v>44452.733541666668</v>
      </c>
      <c r="G929" s="292"/>
      <c r="H929" s="292"/>
      <c r="I929" s="292"/>
      <c r="J929" s="292" t="s">
        <v>4</v>
      </c>
      <c r="K929" s="291" t="s">
        <v>1735</v>
      </c>
      <c r="L929" t="s">
        <v>134</v>
      </c>
      <c r="M929" s="20">
        <v>44394</v>
      </c>
      <c r="N929" t="s">
        <v>2119</v>
      </c>
      <c r="O929" s="213">
        <v>44394</v>
      </c>
      <c r="AD929">
        <v>44394</v>
      </c>
    </row>
    <row r="930" spans="1:30">
      <c r="A930" s="291">
        <f>COUNTA($D$3:$D$930)</f>
        <v>928</v>
      </c>
      <c r="B930" s="291" t="s">
        <v>1932</v>
      </c>
      <c r="C930" s="291" t="s">
        <v>45</v>
      </c>
      <c r="D930" s="291" t="s">
        <v>1137</v>
      </c>
      <c r="E930" s="291" t="s">
        <v>1147</v>
      </c>
      <c r="F930" s="292">
        <v>44452.728761574072</v>
      </c>
      <c r="G930" s="292"/>
      <c r="H930" s="292"/>
      <c r="I930" s="292"/>
      <c r="J930" s="292" t="s">
        <v>4</v>
      </c>
      <c r="K930" s="291" t="s">
        <v>1933</v>
      </c>
      <c r="L930" t="s">
        <v>37</v>
      </c>
      <c r="M930" s="20">
        <v>44394</v>
      </c>
      <c r="N930" t="s">
        <v>2119</v>
      </c>
      <c r="O930" s="213">
        <v>44394</v>
      </c>
      <c r="AD930">
        <v>44394</v>
      </c>
    </row>
    <row r="931" spans="1:30">
      <c r="A931" s="291">
        <f>COUNTA($D$3:$D$931)</f>
        <v>929</v>
      </c>
      <c r="B931" s="291" t="s">
        <v>1948</v>
      </c>
      <c r="C931" s="291" t="s">
        <v>1161</v>
      </c>
      <c r="D931" s="291" t="s">
        <v>62</v>
      </c>
      <c r="E931" s="291" t="s">
        <v>1162</v>
      </c>
      <c r="F931" s="292">
        <v>44454.789722222224</v>
      </c>
      <c r="G931" s="292"/>
      <c r="H931" s="292"/>
      <c r="I931" s="292"/>
      <c r="J931" s="292" t="s">
        <v>4</v>
      </c>
      <c r="K931" s="291" t="s">
        <v>1949</v>
      </c>
      <c r="L931" t="s">
        <v>1101</v>
      </c>
      <c r="M931" s="20">
        <v>44394</v>
      </c>
      <c r="N931" t="s">
        <v>2118</v>
      </c>
      <c r="O931" s="213">
        <v>44394</v>
      </c>
      <c r="AD931">
        <v>44394</v>
      </c>
    </row>
    <row r="932" spans="1:30">
      <c r="A932" s="291">
        <f>COUNTA($D$3:$D$932)</f>
        <v>930</v>
      </c>
      <c r="B932" s="291" t="s">
        <v>1937</v>
      </c>
      <c r="C932" s="291" t="s">
        <v>25</v>
      </c>
      <c r="D932" s="291" t="s">
        <v>29</v>
      </c>
      <c r="E932" s="291" t="s">
        <v>310</v>
      </c>
      <c r="F932" s="292">
        <v>44455.657258622698</v>
      </c>
      <c r="G932" s="292"/>
      <c r="H932" s="292"/>
      <c r="I932" s="292"/>
      <c r="J932" s="292" t="s">
        <v>4</v>
      </c>
      <c r="K932" s="291" t="s">
        <v>1938</v>
      </c>
      <c r="L932" t="s">
        <v>37</v>
      </c>
      <c r="M932" s="20">
        <v>44394</v>
      </c>
      <c r="N932" t="s">
        <v>2118</v>
      </c>
      <c r="O932" s="213">
        <v>44394</v>
      </c>
      <c r="AD932">
        <v>44394</v>
      </c>
    </row>
    <row r="933" spans="1:30">
      <c r="A933" s="291">
        <f>COUNTA($D$3:$D$933)</f>
        <v>931</v>
      </c>
      <c r="B933" s="291" t="s">
        <v>1944</v>
      </c>
      <c r="C933" s="291" t="s">
        <v>41</v>
      </c>
      <c r="D933" s="291" t="s">
        <v>38</v>
      </c>
      <c r="E933" s="291" t="s">
        <v>1153</v>
      </c>
      <c r="F933" s="292">
        <v>44454.786829375</v>
      </c>
      <c r="G933" s="292"/>
      <c r="H933" s="292"/>
      <c r="I933" s="292"/>
      <c r="J933" s="292" t="s">
        <v>4</v>
      </c>
      <c r="K933" s="291" t="s">
        <v>1662</v>
      </c>
      <c r="L933" t="s">
        <v>1292</v>
      </c>
      <c r="M933" s="20">
        <v>44394</v>
      </c>
      <c r="N933" t="s">
        <v>2118</v>
      </c>
      <c r="O933" s="213">
        <v>44394</v>
      </c>
      <c r="AD933">
        <v>44394</v>
      </c>
    </row>
    <row r="934" spans="1:30">
      <c r="A934" s="291">
        <f>COUNTA($D$3:$D$934)</f>
        <v>932</v>
      </c>
      <c r="B934" s="291" t="s">
        <v>1936</v>
      </c>
      <c r="C934" s="291" t="s">
        <v>25</v>
      </c>
      <c r="D934" s="291" t="s">
        <v>38</v>
      </c>
      <c r="E934" s="291" t="s">
        <v>1697</v>
      </c>
      <c r="F934" s="292">
        <v>44452.731087962966</v>
      </c>
      <c r="G934" s="292"/>
      <c r="H934" s="292"/>
      <c r="I934" s="292"/>
      <c r="J934" s="292" t="s">
        <v>4</v>
      </c>
      <c r="K934" s="291" t="s">
        <v>1500</v>
      </c>
      <c r="L934" t="s">
        <v>37</v>
      </c>
      <c r="M934" s="20">
        <v>44394</v>
      </c>
      <c r="N934" t="s">
        <v>2118</v>
      </c>
      <c r="O934" s="213">
        <v>44394</v>
      </c>
      <c r="AD934">
        <v>44394</v>
      </c>
    </row>
    <row r="935" spans="1:30">
      <c r="A935" s="291">
        <f>COUNTA($D$3:$D$935)</f>
        <v>933</v>
      </c>
      <c r="B935" s="291" t="s">
        <v>1945</v>
      </c>
      <c r="C935" s="291" t="s">
        <v>41</v>
      </c>
      <c r="D935" s="291" t="s">
        <v>38</v>
      </c>
      <c r="E935" s="291" t="s">
        <v>1158</v>
      </c>
      <c r="F935" s="292">
        <v>44454.788151724497</v>
      </c>
      <c r="G935" s="292"/>
      <c r="H935" s="292"/>
      <c r="I935" s="292"/>
      <c r="J935" s="292" t="s">
        <v>4</v>
      </c>
      <c r="K935" s="291" t="s">
        <v>1662</v>
      </c>
      <c r="L935" t="s">
        <v>134</v>
      </c>
      <c r="M935" s="20">
        <v>44394</v>
      </c>
      <c r="N935" t="s">
        <v>2118</v>
      </c>
      <c r="O935" s="213">
        <v>44394</v>
      </c>
      <c r="AD935">
        <v>44394</v>
      </c>
    </row>
    <row r="936" spans="1:30">
      <c r="A936" s="291">
        <f>COUNTA($D$3:$D$936)</f>
        <v>934</v>
      </c>
      <c r="B936" s="291" t="s">
        <v>1946</v>
      </c>
      <c r="C936" s="291" t="s">
        <v>41</v>
      </c>
      <c r="D936" s="291" t="s">
        <v>34</v>
      </c>
      <c r="E936" s="291" t="s">
        <v>1247</v>
      </c>
      <c r="F936" s="292">
        <v>44454.789085648146</v>
      </c>
      <c r="G936" s="292"/>
      <c r="H936" s="292"/>
      <c r="I936" s="292"/>
      <c r="J936" s="292" t="s">
        <v>4</v>
      </c>
      <c r="K936" s="291" t="s">
        <v>1947</v>
      </c>
      <c r="L936" t="s">
        <v>37</v>
      </c>
      <c r="M936" s="20">
        <v>44394</v>
      </c>
      <c r="N936" t="s">
        <v>2118</v>
      </c>
      <c r="O936" s="213">
        <v>44394</v>
      </c>
    </row>
    <row r="937" spans="1:30">
      <c r="A937" s="291">
        <f>COUNTA($D$3:$D$937)</f>
        <v>935</v>
      </c>
      <c r="B937" s="291" t="s">
        <v>1901</v>
      </c>
      <c r="C937" s="291" t="s">
        <v>48</v>
      </c>
      <c r="D937" s="291" t="s">
        <v>53</v>
      </c>
      <c r="E937" s="291" t="s">
        <v>65</v>
      </c>
      <c r="F937" s="292">
        <v>44446.748553240737</v>
      </c>
      <c r="G937" s="292"/>
      <c r="H937" s="292"/>
      <c r="I937" s="292"/>
      <c r="J937" s="292" t="s">
        <v>4</v>
      </c>
      <c r="K937" s="291" t="s">
        <v>1500</v>
      </c>
      <c r="L937" t="s">
        <v>57</v>
      </c>
      <c r="M937" s="20">
        <v>44387</v>
      </c>
      <c r="N937" t="s">
        <v>2119</v>
      </c>
      <c r="O937" s="213">
        <v>44387</v>
      </c>
    </row>
    <row r="938" spans="1:30">
      <c r="A938" s="291">
        <f>COUNTA($D$3:$D$938)</f>
        <v>936</v>
      </c>
      <c r="B938" s="291" t="s">
        <v>1902</v>
      </c>
      <c r="C938" s="291" t="s">
        <v>48</v>
      </c>
      <c r="D938" s="291" t="s">
        <v>60</v>
      </c>
      <c r="E938" s="291" t="s">
        <v>127</v>
      </c>
      <c r="F938" s="292">
        <v>44446.748993055553</v>
      </c>
      <c r="G938" s="292"/>
      <c r="H938" s="292"/>
      <c r="I938" s="292"/>
      <c r="J938" s="292" t="s">
        <v>4</v>
      </c>
      <c r="K938" s="291" t="s">
        <v>1500</v>
      </c>
      <c r="L938" t="s">
        <v>37</v>
      </c>
      <c r="M938" s="20">
        <v>44387</v>
      </c>
      <c r="N938" t="s">
        <v>2119</v>
      </c>
      <c r="O938" s="213">
        <v>44387</v>
      </c>
    </row>
    <row r="939" spans="1:30">
      <c r="A939" s="291">
        <f>COUNTA($D$3:$D$939)</f>
        <v>937</v>
      </c>
      <c r="B939" s="291" t="s">
        <v>1896</v>
      </c>
      <c r="C939" s="291" t="s">
        <v>45</v>
      </c>
      <c r="D939" s="291" t="s">
        <v>1279</v>
      </c>
      <c r="E939" s="291" t="s">
        <v>1897</v>
      </c>
      <c r="F939" s="292">
        <v>44446.74559027778</v>
      </c>
      <c r="G939" s="292"/>
      <c r="H939" s="292"/>
      <c r="I939" s="292"/>
      <c r="J939" s="292" t="s">
        <v>5</v>
      </c>
      <c r="K939" s="291" t="s">
        <v>1895</v>
      </c>
      <c r="L939" t="s">
        <v>57</v>
      </c>
      <c r="M939" s="20">
        <v>44387</v>
      </c>
      <c r="N939" t="s">
        <v>2119</v>
      </c>
      <c r="O939" s="213">
        <v>44387</v>
      </c>
    </row>
    <row r="940" spans="1:30">
      <c r="A940" s="291">
        <f>COUNTA($D$3:$D$940)</f>
        <v>938</v>
      </c>
      <c r="B940" s="291" t="s">
        <v>1894</v>
      </c>
      <c r="C940" s="291" t="s">
        <v>45</v>
      </c>
      <c r="D940" s="291" t="s">
        <v>1138</v>
      </c>
      <c r="E940" s="291" t="s">
        <v>1293</v>
      </c>
      <c r="F940" s="292">
        <v>44446.745092592595</v>
      </c>
      <c r="G940" s="292"/>
      <c r="H940" s="292"/>
      <c r="I940" s="292"/>
      <c r="J940" s="292" t="s">
        <v>1122</v>
      </c>
      <c r="K940" s="291" t="s">
        <v>1895</v>
      </c>
      <c r="L940" t="s">
        <v>24</v>
      </c>
      <c r="M940" s="20">
        <v>44387</v>
      </c>
      <c r="N940" t="s">
        <v>2119</v>
      </c>
      <c r="O940" s="213">
        <v>44387</v>
      </c>
    </row>
    <row r="941" spans="1:30">
      <c r="A941" s="291">
        <f>COUNTA($D$3:$D$941)</f>
        <v>939</v>
      </c>
      <c r="B941" s="291" t="s">
        <v>1888</v>
      </c>
      <c r="C941" s="291" t="s">
        <v>1106</v>
      </c>
      <c r="D941" s="291" t="s">
        <v>1115</v>
      </c>
      <c r="E941" s="291" t="s">
        <v>1234</v>
      </c>
      <c r="F941" s="292">
        <v>44447.829940405099</v>
      </c>
      <c r="G941" s="292"/>
      <c r="H941" s="292"/>
      <c r="I941" s="292"/>
      <c r="J941" s="292" t="s">
        <v>4</v>
      </c>
      <c r="K941" s="291" t="s">
        <v>1951</v>
      </c>
      <c r="L941" t="s">
        <v>58</v>
      </c>
      <c r="M941" s="20">
        <v>44387</v>
      </c>
      <c r="N941" t="s">
        <v>2118</v>
      </c>
      <c r="O941" s="213">
        <v>44387</v>
      </c>
    </row>
    <row r="942" spans="1:30">
      <c r="A942" s="291">
        <f>COUNTA($D$3:$D$942)</f>
        <v>940</v>
      </c>
      <c r="B942" s="291" t="s">
        <v>1886</v>
      </c>
      <c r="C942" s="291" t="s">
        <v>1130</v>
      </c>
      <c r="D942" s="291" t="s">
        <v>20</v>
      </c>
      <c r="E942" s="291" t="s">
        <v>1700</v>
      </c>
      <c r="F942" s="292">
        <v>44440.688298611101</v>
      </c>
      <c r="G942" s="292"/>
      <c r="H942" s="292"/>
      <c r="I942" s="292"/>
      <c r="J942" s="292" t="s">
        <v>4</v>
      </c>
      <c r="K942" s="291" t="s">
        <v>1664</v>
      </c>
      <c r="L942" t="s">
        <v>57</v>
      </c>
      <c r="M942" s="20">
        <v>44387</v>
      </c>
      <c r="N942" t="s">
        <v>2120</v>
      </c>
      <c r="O942" s="213">
        <v>44387</v>
      </c>
    </row>
    <row r="943" spans="1:30">
      <c r="A943" s="291">
        <f>COUNTA($D$3:$D$943)</f>
        <v>941</v>
      </c>
      <c r="B943" s="291" t="s">
        <v>1898</v>
      </c>
      <c r="C943" s="291" t="s">
        <v>45</v>
      </c>
      <c r="D943" s="291" t="s">
        <v>1184</v>
      </c>
      <c r="E943" s="291" t="s">
        <v>1899</v>
      </c>
      <c r="F943" s="292">
        <v>44446.748020833336</v>
      </c>
      <c r="G943" s="292"/>
      <c r="H943" s="292"/>
      <c r="I943" s="292"/>
      <c r="J943" s="292" t="s">
        <v>5</v>
      </c>
      <c r="K943" s="291" t="s">
        <v>1900</v>
      </c>
      <c r="L943" t="s">
        <v>297</v>
      </c>
      <c r="M943" s="20">
        <v>44387</v>
      </c>
      <c r="N943" t="s">
        <v>2119</v>
      </c>
      <c r="O943" s="213">
        <v>44387</v>
      </c>
    </row>
    <row r="944" spans="1:30">
      <c r="A944" s="291">
        <f>COUNTA($D$3:$D$944)</f>
        <v>942</v>
      </c>
      <c r="B944" s="291" t="s">
        <v>2074</v>
      </c>
      <c r="C944" s="291" t="s">
        <v>48</v>
      </c>
      <c r="D944" s="291" t="s">
        <v>34</v>
      </c>
      <c r="E944" s="291" t="s">
        <v>86</v>
      </c>
      <c r="F944" s="292">
        <v>44491</v>
      </c>
      <c r="G944" s="292"/>
      <c r="H944" s="292"/>
      <c r="I944" s="292"/>
      <c r="J944" s="292"/>
      <c r="K944" s="291"/>
      <c r="M944" s="20">
        <v>44603</v>
      </c>
      <c r="N944" t="s">
        <v>2983</v>
      </c>
      <c r="O944" s="213">
        <v>44876</v>
      </c>
      <c r="R944" t="s">
        <v>26</v>
      </c>
    </row>
    <row r="945" spans="1:18">
      <c r="A945" s="291">
        <f>COUNTA($D$3:$D$945)</f>
        <v>943</v>
      </c>
      <c r="B945" s="291" t="s">
        <v>2943</v>
      </c>
      <c r="C945" s="291" t="s">
        <v>48</v>
      </c>
      <c r="D945" s="291" t="s">
        <v>34</v>
      </c>
      <c r="E945" s="291" t="s">
        <v>129</v>
      </c>
      <c r="F945" s="292">
        <v>44266</v>
      </c>
      <c r="G945" s="292"/>
      <c r="H945" s="292"/>
      <c r="I945" s="292"/>
      <c r="J945" s="292"/>
      <c r="K945" s="291"/>
      <c r="M945" s="20">
        <v>44420</v>
      </c>
      <c r="N945" t="s">
        <v>2983</v>
      </c>
      <c r="O945" s="213">
        <v>44876</v>
      </c>
      <c r="R945" t="s">
        <v>26</v>
      </c>
    </row>
    <row r="946" spans="1:18">
      <c r="A946" s="291">
        <f>COUNTA($D$3:$D$946)</f>
        <v>944</v>
      </c>
      <c r="B946" s="291" t="s">
        <v>2944</v>
      </c>
      <c r="C946" s="291" t="s">
        <v>48</v>
      </c>
      <c r="D946" s="291" t="s">
        <v>38</v>
      </c>
      <c r="E946" s="291" t="s">
        <v>123</v>
      </c>
      <c r="F946" s="292">
        <v>44138</v>
      </c>
      <c r="G946" s="292"/>
      <c r="H946" s="292"/>
      <c r="I946" s="292"/>
      <c r="J946" s="292"/>
      <c r="K946" s="291"/>
      <c r="M946" s="20">
        <v>44264</v>
      </c>
      <c r="N946" t="s">
        <v>2983</v>
      </c>
      <c r="O946" s="213">
        <v>44844</v>
      </c>
      <c r="R946" t="s">
        <v>26</v>
      </c>
    </row>
    <row r="947" spans="1:18">
      <c r="A947" s="291">
        <f>COUNTA($D$3:$D$947)</f>
        <v>945</v>
      </c>
      <c r="B947" s="291" t="s">
        <v>1934</v>
      </c>
      <c r="C947" s="291" t="s">
        <v>48</v>
      </c>
      <c r="D947" s="291" t="s">
        <v>34</v>
      </c>
      <c r="E947" s="291" t="s">
        <v>91</v>
      </c>
      <c r="F947" s="292">
        <v>44452</v>
      </c>
      <c r="G947" s="292"/>
      <c r="H947" s="292"/>
      <c r="I947" s="292"/>
      <c r="J947" s="292"/>
      <c r="K947" s="291"/>
      <c r="M947" s="20">
        <v>44565</v>
      </c>
      <c r="N947" t="s">
        <v>2983</v>
      </c>
      <c r="O947" s="213">
        <v>44876</v>
      </c>
      <c r="R947" t="s">
        <v>26</v>
      </c>
    </row>
    <row r="948" spans="1:18">
      <c r="A948" s="291">
        <f>COUNTA($D$3:$D$948)</f>
        <v>946</v>
      </c>
      <c r="B948" s="291" t="s">
        <v>1786</v>
      </c>
      <c r="C948" s="291" t="s">
        <v>48</v>
      </c>
      <c r="D948" s="291" t="s">
        <v>38</v>
      </c>
      <c r="E948" s="291" t="s">
        <v>137</v>
      </c>
      <c r="F948" s="292">
        <v>44357</v>
      </c>
      <c r="G948" s="292"/>
      <c r="H948" s="292"/>
      <c r="I948" s="292"/>
      <c r="J948" s="292"/>
      <c r="K948" s="291"/>
      <c r="M948" s="20">
        <v>44503</v>
      </c>
      <c r="N948" t="s">
        <v>2983</v>
      </c>
      <c r="O948" s="213">
        <v>44876</v>
      </c>
      <c r="R948" t="s">
        <v>26</v>
      </c>
    </row>
    <row r="949" spans="1:18">
      <c r="A949" s="291">
        <f>COUNTA($D$3:$D$949)</f>
        <v>947</v>
      </c>
      <c r="B949" s="291" t="s">
        <v>2945</v>
      </c>
      <c r="C949" s="291" t="s">
        <v>48</v>
      </c>
      <c r="D949" s="291" t="s">
        <v>1135</v>
      </c>
      <c r="E949" s="291" t="s">
        <v>229</v>
      </c>
      <c r="F949" s="292">
        <v>44214</v>
      </c>
      <c r="G949" s="292"/>
      <c r="H949" s="292"/>
      <c r="I949" s="292"/>
      <c r="J949" s="292"/>
      <c r="K949" s="291"/>
      <c r="M949" s="20">
        <v>44326</v>
      </c>
      <c r="N949" t="s">
        <v>2983</v>
      </c>
      <c r="O949" s="213">
        <v>44876</v>
      </c>
      <c r="R949" t="s">
        <v>26</v>
      </c>
    </row>
    <row r="950" spans="1:18">
      <c r="A950" s="291">
        <f>COUNTA($D$3:$D$950)</f>
        <v>948</v>
      </c>
      <c r="B950" s="291" t="s">
        <v>2946</v>
      </c>
      <c r="C950" s="291" t="s">
        <v>48</v>
      </c>
      <c r="D950" s="291" t="s">
        <v>60</v>
      </c>
      <c r="E950" s="291" t="s">
        <v>231</v>
      </c>
      <c r="F950" s="292">
        <v>43724</v>
      </c>
      <c r="G950" s="292"/>
      <c r="H950" s="292"/>
      <c r="I950" s="292"/>
      <c r="J950" s="292"/>
      <c r="K950" s="291"/>
      <c r="M950" s="20">
        <v>43875</v>
      </c>
      <c r="N950" t="s">
        <v>2983</v>
      </c>
      <c r="O950" s="213">
        <v>44876</v>
      </c>
      <c r="R950" t="s">
        <v>26</v>
      </c>
    </row>
    <row r="951" spans="1:18">
      <c r="A951" s="291">
        <f>COUNTA($D$3:$D$951)</f>
        <v>949</v>
      </c>
      <c r="B951" s="291" t="s">
        <v>3271</v>
      </c>
      <c r="C951" s="291" t="s">
        <v>45</v>
      </c>
      <c r="D951" s="291" t="s">
        <v>27</v>
      </c>
      <c r="E951" s="291" t="s">
        <v>1287</v>
      </c>
      <c r="F951" s="292">
        <v>44725</v>
      </c>
      <c r="G951" s="292"/>
      <c r="H951" s="292"/>
      <c r="I951" s="292"/>
      <c r="J951" s="292"/>
      <c r="K951" s="291"/>
      <c r="M951" s="20">
        <v>44357</v>
      </c>
      <c r="O951" s="213">
        <v>44725</v>
      </c>
    </row>
    <row r="952" spans="1:18">
      <c r="A952" s="291">
        <f>COUNTA($D$3:$D$952)</f>
        <v>950</v>
      </c>
      <c r="B952" s="291" t="s">
        <v>3981</v>
      </c>
      <c r="C952" s="291" t="s">
        <v>45</v>
      </c>
      <c r="D952" s="291" t="s">
        <v>1127</v>
      </c>
      <c r="E952" s="291" t="s">
        <v>3984</v>
      </c>
      <c r="F952" s="292">
        <v>44343</v>
      </c>
      <c r="G952" s="292"/>
      <c r="H952" s="292"/>
      <c r="I952" s="292"/>
      <c r="J952" s="292"/>
      <c r="K952" s="291"/>
      <c r="M952" s="20">
        <v>44250</v>
      </c>
      <c r="O952" s="213">
        <v>44708</v>
      </c>
    </row>
    <row r="953" spans="1:18">
      <c r="A953" s="291">
        <f>COUNTA($D$3:$D$953)</f>
        <v>951</v>
      </c>
      <c r="B953" s="291" t="s">
        <v>3982</v>
      </c>
      <c r="C953" s="291" t="s">
        <v>45</v>
      </c>
      <c r="D953" s="291" t="s">
        <v>20</v>
      </c>
      <c r="E953" s="291" t="s">
        <v>3985</v>
      </c>
      <c r="F953" s="292">
        <v>44250</v>
      </c>
      <c r="G953" s="292"/>
      <c r="H953" s="292"/>
      <c r="I953" s="292"/>
      <c r="J953" s="292"/>
      <c r="K953" s="291"/>
      <c r="O953" s="213">
        <v>44250</v>
      </c>
    </row>
    <row r="954" spans="1:18">
      <c r="F954" s="182"/>
    </row>
  </sheetData>
  <autoFilter ref="A2:AD953" xr:uid="{B8D90480-30C4-4808-B712-E9B05046BB60}"/>
  <conditionalFormatting sqref="E570:E1048576 E1:E2">
    <cfRule type="duplicateValues" dxfId="32" priority="20"/>
  </conditionalFormatting>
  <conditionalFormatting sqref="B570:B1048576 B1:B2">
    <cfRule type="duplicateValues" dxfId="31" priority="19"/>
  </conditionalFormatting>
  <conditionalFormatting sqref="E447:E569 E3:E16 E20:E442">
    <cfRule type="duplicateValues" dxfId="30" priority="12"/>
  </conditionalFormatting>
  <conditionalFormatting sqref="B376:B442 B453:B569 B444:B449 B3:B16 B20:B327">
    <cfRule type="duplicateValues" dxfId="29" priority="11"/>
  </conditionalFormatting>
  <conditionalFormatting sqref="E443">
    <cfRule type="duplicateValues" dxfId="28" priority="10"/>
  </conditionalFormatting>
  <conditionalFormatting sqref="E444:E446">
    <cfRule type="duplicateValues" dxfId="27" priority="9"/>
  </conditionalFormatting>
  <conditionalFormatting sqref="B17:B19">
    <cfRule type="duplicateValues" dxfId="26" priority="1"/>
  </conditionalFormatting>
  <conditionalFormatting sqref="E17:E19">
    <cfRule type="duplicateValues" dxfId="25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606"/>
  <sheetViews>
    <sheetView tabSelected="1" zoomScaleNormal="100" workbookViewId="0">
      <pane xSplit="6" ySplit="2" topLeftCell="L3" activePane="bottomRight" state="frozen"/>
      <selection pane="topRight" activeCell="G1" sqref="G1"/>
      <selection pane="bottomLeft" activeCell="A3" sqref="A3"/>
      <selection pane="bottomRight" activeCell="A3" sqref="A3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14" customWidth="1"/>
    <col min="9" max="9" width="10.5703125" style="181" customWidth="1"/>
    <col min="10" max="10" width="35.140625" bestFit="1" customWidth="1"/>
    <col min="11" max="11" width="9" style="20" customWidth="1"/>
    <col min="12" max="12" width="10.5703125" style="176" customWidth="1"/>
    <col min="13" max="13" width="17" customWidth="1"/>
    <col min="14" max="14" width="12.42578125" style="204" customWidth="1"/>
    <col min="15" max="15" width="37.85546875" customWidth="1"/>
    <col min="16" max="16" width="13" customWidth="1"/>
    <col min="17" max="17" width="22.5703125" bestFit="1" customWidth="1"/>
  </cols>
  <sheetData>
    <row r="1" spans="1:18" ht="27.75" customHeight="1">
      <c r="A1" t="s">
        <v>298</v>
      </c>
      <c r="B1" s="17" t="s">
        <v>314</v>
      </c>
      <c r="M1" s="167"/>
      <c r="O1" s="15" t="s">
        <v>4780</v>
      </c>
    </row>
    <row r="2" spans="1:18">
      <c r="A2" s="164" t="s">
        <v>101</v>
      </c>
      <c r="B2" s="164" t="s">
        <v>1088</v>
      </c>
      <c r="C2" s="164" t="s">
        <v>81</v>
      </c>
      <c r="D2" s="164" t="s">
        <v>82</v>
      </c>
      <c r="E2" s="164" t="s">
        <v>83</v>
      </c>
      <c r="F2" s="170" t="s">
        <v>105</v>
      </c>
      <c r="G2" s="170" t="s">
        <v>1988</v>
      </c>
      <c r="H2" s="170" t="s">
        <v>2434</v>
      </c>
      <c r="I2" s="170" t="s">
        <v>1989</v>
      </c>
      <c r="J2" s="164" t="s">
        <v>99</v>
      </c>
      <c r="K2" s="164" t="s">
        <v>104</v>
      </c>
      <c r="L2" s="164" t="s">
        <v>1987</v>
      </c>
      <c r="M2" s="19" t="s">
        <v>84</v>
      </c>
      <c r="N2" s="19" t="s">
        <v>1071</v>
      </c>
      <c r="O2" s="169" t="s">
        <v>1986</v>
      </c>
      <c r="P2" s="169" t="s">
        <v>2435</v>
      </c>
      <c r="Q2" s="169" t="s">
        <v>2696</v>
      </c>
      <c r="R2" s="169" t="s">
        <v>3083</v>
      </c>
    </row>
    <row r="3" spans="1:18">
      <c r="A3" s="301">
        <v>1</v>
      </c>
      <c r="B3" s="301" t="s">
        <v>5677</v>
      </c>
      <c r="C3" s="301" t="s">
        <v>2752</v>
      </c>
      <c r="D3" s="301" t="s">
        <v>31</v>
      </c>
      <c r="E3" s="301" t="s">
        <v>5678</v>
      </c>
      <c r="F3" s="302">
        <v>45099</v>
      </c>
      <c r="G3" s="302">
        <v>45103</v>
      </c>
      <c r="H3" s="302"/>
      <c r="I3" s="302">
        <v>45099</v>
      </c>
      <c r="J3" s="301"/>
      <c r="K3" s="301" t="s">
        <v>24</v>
      </c>
      <c r="L3" s="206">
        <v>45117</v>
      </c>
      <c r="M3" s="203" t="s">
        <v>5353</v>
      </c>
      <c r="N3" s="204">
        <v>45114</v>
      </c>
      <c r="O3" s="203"/>
      <c r="P3" s="203">
        <v>10335</v>
      </c>
      <c r="Q3" s="203" t="s">
        <v>3640</v>
      </c>
      <c r="R3" s="203" t="s">
        <v>26</v>
      </c>
    </row>
    <row r="4" spans="1:18">
      <c r="A4" s="303">
        <f>COUNTA($E$3:$E4)</f>
        <v>2</v>
      </c>
      <c r="B4" s="303" t="s">
        <v>5181</v>
      </c>
      <c r="C4" s="303" t="s">
        <v>2341</v>
      </c>
      <c r="D4" s="303" t="s">
        <v>31</v>
      </c>
      <c r="E4" s="303" t="s">
        <v>2093</v>
      </c>
      <c r="F4" s="304">
        <v>45043</v>
      </c>
      <c r="G4" s="304"/>
      <c r="H4" s="304"/>
      <c r="I4" s="304">
        <v>45043</v>
      </c>
      <c r="J4" s="303" t="s">
        <v>5936</v>
      </c>
      <c r="K4" s="303" t="s">
        <v>58</v>
      </c>
      <c r="L4" s="206">
        <v>45110</v>
      </c>
      <c r="M4" s="203" t="s">
        <v>5866</v>
      </c>
      <c r="O4" s="203"/>
      <c r="P4" s="203">
        <v>11866</v>
      </c>
      <c r="Q4" s="203" t="s">
        <v>3640</v>
      </c>
      <c r="R4" s="203" t="s">
        <v>138</v>
      </c>
    </row>
    <row r="5" spans="1:18">
      <c r="A5" s="303">
        <f>COUNTA($E$3:$E5)</f>
        <v>3</v>
      </c>
      <c r="B5" s="303" t="s">
        <v>4903</v>
      </c>
      <c r="C5" s="303" t="s">
        <v>41</v>
      </c>
      <c r="D5" s="303" t="s">
        <v>49</v>
      </c>
      <c r="E5" s="303" t="s">
        <v>4728</v>
      </c>
      <c r="F5" s="304">
        <v>45001</v>
      </c>
      <c r="G5" s="304"/>
      <c r="H5" s="304"/>
      <c r="I5" s="304">
        <v>45001</v>
      </c>
      <c r="J5" s="303" t="s">
        <v>4904</v>
      </c>
      <c r="K5" s="303" t="s">
        <v>58</v>
      </c>
      <c r="L5" s="206">
        <v>45110</v>
      </c>
      <c r="M5" s="203" t="s">
        <v>5353</v>
      </c>
      <c r="O5" s="203"/>
      <c r="P5" s="203">
        <v>1678</v>
      </c>
      <c r="Q5" s="203" t="s">
        <v>3640</v>
      </c>
      <c r="R5" s="203" t="s">
        <v>138</v>
      </c>
    </row>
    <row r="6" spans="1:18">
      <c r="A6" s="303">
        <f>COUNTA($E$3:$E6)</f>
        <v>4</v>
      </c>
      <c r="B6" s="303" t="s">
        <v>4978</v>
      </c>
      <c r="C6" s="303" t="s">
        <v>25</v>
      </c>
      <c r="D6" s="303" t="s">
        <v>34</v>
      </c>
      <c r="E6" s="303" t="s">
        <v>4979</v>
      </c>
      <c r="F6" s="304">
        <v>45100</v>
      </c>
      <c r="G6" s="304"/>
      <c r="H6" s="304"/>
      <c r="I6" s="304">
        <v>45100</v>
      </c>
      <c r="J6" s="303" t="s">
        <v>5937</v>
      </c>
      <c r="K6" s="303" t="s">
        <v>58</v>
      </c>
      <c r="L6" s="206">
        <v>45110</v>
      </c>
      <c r="M6" s="203" t="s">
        <v>3213</v>
      </c>
      <c r="O6" s="203"/>
      <c r="P6" s="203">
        <v>3053</v>
      </c>
      <c r="Q6" s="203" t="s">
        <v>39</v>
      </c>
      <c r="R6" s="203" t="s">
        <v>138</v>
      </c>
    </row>
    <row r="7" spans="1:18">
      <c r="A7" s="303">
        <f>COUNTA($E$3:$E7)</f>
        <v>5</v>
      </c>
      <c r="B7" s="303" t="s">
        <v>4869</v>
      </c>
      <c r="C7" s="303" t="s">
        <v>25</v>
      </c>
      <c r="D7" s="303" t="s">
        <v>34</v>
      </c>
      <c r="E7" s="303" t="s">
        <v>4870</v>
      </c>
      <c r="F7" s="304">
        <v>45008</v>
      </c>
      <c r="G7" s="304">
        <v>45005</v>
      </c>
      <c r="H7" s="304"/>
      <c r="I7" s="304">
        <v>45008</v>
      </c>
      <c r="J7" s="303" t="s">
        <v>5938</v>
      </c>
      <c r="K7" s="303" t="s">
        <v>58</v>
      </c>
      <c r="L7" s="206">
        <v>45110</v>
      </c>
      <c r="M7" s="203" t="s">
        <v>2410</v>
      </c>
      <c r="O7" s="203"/>
      <c r="P7" s="203">
        <v>2197</v>
      </c>
      <c r="Q7" s="203" t="s">
        <v>39</v>
      </c>
      <c r="R7" s="203" t="s">
        <v>138</v>
      </c>
    </row>
    <row r="8" spans="1:18">
      <c r="A8" s="303">
        <f>COUNTA($E$3:$E8)</f>
        <v>6</v>
      </c>
      <c r="B8" s="303" t="s">
        <v>4759</v>
      </c>
      <c r="C8" s="303" t="s">
        <v>44</v>
      </c>
      <c r="D8" s="303" t="s">
        <v>34</v>
      </c>
      <c r="E8" s="303" t="s">
        <v>1660</v>
      </c>
      <c r="F8" s="304">
        <v>44977</v>
      </c>
      <c r="G8" s="304">
        <v>44970</v>
      </c>
      <c r="H8" s="304"/>
      <c r="I8" s="304">
        <v>44977</v>
      </c>
      <c r="J8" s="303" t="s">
        <v>3279</v>
      </c>
      <c r="K8" s="303" t="s">
        <v>58</v>
      </c>
      <c r="L8" s="206">
        <v>45110</v>
      </c>
      <c r="M8" s="203" t="s">
        <v>2410</v>
      </c>
      <c r="O8" s="203"/>
      <c r="P8" s="203">
        <v>13066</v>
      </c>
      <c r="Q8" s="203" t="s">
        <v>39</v>
      </c>
      <c r="R8" s="203" t="s">
        <v>138</v>
      </c>
    </row>
    <row r="9" spans="1:18">
      <c r="A9" s="303">
        <f>COUNTA($E$3:$E9)</f>
        <v>7</v>
      </c>
      <c r="B9" s="303" t="s">
        <v>4800</v>
      </c>
      <c r="C9" s="303" t="s">
        <v>25</v>
      </c>
      <c r="D9" s="303" t="s">
        <v>1136</v>
      </c>
      <c r="E9" s="303" t="s">
        <v>4741</v>
      </c>
      <c r="F9" s="304">
        <v>44977</v>
      </c>
      <c r="G9" s="304"/>
      <c r="H9" s="304"/>
      <c r="I9" s="304">
        <v>44977</v>
      </c>
      <c r="J9" s="303" t="s">
        <v>5939</v>
      </c>
      <c r="K9" s="303" t="s">
        <v>58</v>
      </c>
      <c r="L9" s="206">
        <v>45110</v>
      </c>
      <c r="M9" s="203" t="s">
        <v>2410</v>
      </c>
      <c r="O9" s="203"/>
      <c r="P9" s="203">
        <v>3428</v>
      </c>
      <c r="Q9" s="203" t="s">
        <v>39</v>
      </c>
      <c r="R9" s="203" t="s">
        <v>138</v>
      </c>
    </row>
    <row r="10" spans="1:18">
      <c r="A10" s="303">
        <f>COUNTA($E$3:$E10)</f>
        <v>8</v>
      </c>
      <c r="B10" s="303" t="s">
        <v>4818</v>
      </c>
      <c r="C10" s="303" t="s">
        <v>1118</v>
      </c>
      <c r="D10" s="303" t="s">
        <v>20</v>
      </c>
      <c r="E10" s="303" t="s">
        <v>2868</v>
      </c>
      <c r="F10" s="304">
        <v>45020</v>
      </c>
      <c r="G10" s="304">
        <v>44984</v>
      </c>
      <c r="H10" s="304"/>
      <c r="I10" s="304">
        <v>45020</v>
      </c>
      <c r="J10" s="303" t="s">
        <v>4819</v>
      </c>
      <c r="K10" s="303" t="s">
        <v>58</v>
      </c>
      <c r="L10" s="206">
        <v>45110</v>
      </c>
      <c r="M10" s="203" t="s">
        <v>2410</v>
      </c>
      <c r="O10" s="203"/>
      <c r="P10" s="203">
        <v>4707</v>
      </c>
      <c r="Q10" s="203" t="s">
        <v>39</v>
      </c>
      <c r="R10" s="203" t="s">
        <v>138</v>
      </c>
    </row>
    <row r="11" spans="1:18">
      <c r="A11" s="303">
        <f>COUNTA($E$3:$E11)</f>
        <v>9</v>
      </c>
      <c r="B11" s="303" t="s">
        <v>4812</v>
      </c>
      <c r="C11" s="303" t="s">
        <v>41</v>
      </c>
      <c r="D11" s="303" t="s">
        <v>34</v>
      </c>
      <c r="E11" s="303" t="s">
        <v>2775</v>
      </c>
      <c r="F11" s="304">
        <v>44984</v>
      </c>
      <c r="G11" s="304">
        <v>44984</v>
      </c>
      <c r="H11" s="304"/>
      <c r="I11" s="304">
        <v>44984</v>
      </c>
      <c r="J11" s="303" t="s">
        <v>1672</v>
      </c>
      <c r="K11" s="303" t="s">
        <v>58</v>
      </c>
      <c r="L11" s="206">
        <v>45110</v>
      </c>
      <c r="M11" s="203" t="s">
        <v>2410</v>
      </c>
      <c r="O11" s="203"/>
      <c r="P11" s="203">
        <v>1252</v>
      </c>
      <c r="Q11" s="203" t="s">
        <v>39</v>
      </c>
      <c r="R11" s="203" t="s">
        <v>138</v>
      </c>
    </row>
    <row r="12" spans="1:18">
      <c r="A12" s="303">
        <f>COUNTA($E$3:$E12)</f>
        <v>10</v>
      </c>
      <c r="B12" s="303" t="s">
        <v>4813</v>
      </c>
      <c r="C12" s="303" t="s">
        <v>41</v>
      </c>
      <c r="D12" s="303" t="s">
        <v>34</v>
      </c>
      <c r="E12" s="303" t="s">
        <v>4814</v>
      </c>
      <c r="F12" s="304">
        <v>44984</v>
      </c>
      <c r="G12" s="304">
        <v>44984</v>
      </c>
      <c r="H12" s="304"/>
      <c r="I12" s="304">
        <v>44984</v>
      </c>
      <c r="J12" s="303" t="s">
        <v>5940</v>
      </c>
      <c r="K12" s="303" t="s">
        <v>58</v>
      </c>
      <c r="L12" s="206">
        <v>45110</v>
      </c>
      <c r="M12" s="203" t="s">
        <v>2410</v>
      </c>
      <c r="O12" s="203"/>
      <c r="P12" s="203">
        <v>1905</v>
      </c>
      <c r="Q12" s="203" t="s">
        <v>39</v>
      </c>
      <c r="R12" s="203" t="s">
        <v>138</v>
      </c>
    </row>
    <row r="13" spans="1:18">
      <c r="A13" s="303">
        <f>COUNTA($E$3:$E13)</f>
        <v>11</v>
      </c>
      <c r="B13" s="303" t="s">
        <v>4815</v>
      </c>
      <c r="C13" s="303" t="s">
        <v>41</v>
      </c>
      <c r="D13" s="303" t="s">
        <v>34</v>
      </c>
      <c r="E13" s="303" t="s">
        <v>4816</v>
      </c>
      <c r="F13" s="304">
        <v>44984</v>
      </c>
      <c r="G13" s="304">
        <v>44984</v>
      </c>
      <c r="H13" s="304"/>
      <c r="I13" s="304">
        <v>44984</v>
      </c>
      <c r="J13" s="303" t="s">
        <v>5941</v>
      </c>
      <c r="K13" s="303" t="s">
        <v>58</v>
      </c>
      <c r="L13" s="206">
        <v>45110</v>
      </c>
      <c r="M13" s="203" t="s">
        <v>2410</v>
      </c>
      <c r="O13" s="203"/>
      <c r="P13" s="203">
        <v>2197</v>
      </c>
      <c r="Q13" s="203" t="s">
        <v>39</v>
      </c>
      <c r="R13" s="203" t="s">
        <v>138</v>
      </c>
    </row>
    <row r="14" spans="1:18">
      <c r="A14" s="303">
        <f>COUNTA($E$3:$E14)</f>
        <v>12</v>
      </c>
      <c r="B14" s="303" t="s">
        <v>4842</v>
      </c>
      <c r="C14" s="303" t="s">
        <v>25</v>
      </c>
      <c r="D14" s="303" t="s">
        <v>34</v>
      </c>
      <c r="E14" s="303" t="s">
        <v>4843</v>
      </c>
      <c r="F14" s="304">
        <v>45008</v>
      </c>
      <c r="G14" s="304">
        <v>45005</v>
      </c>
      <c r="H14" s="304"/>
      <c r="I14" s="304">
        <v>45008</v>
      </c>
      <c r="J14" s="303" t="s">
        <v>5942</v>
      </c>
      <c r="K14" s="303" t="s">
        <v>58</v>
      </c>
      <c r="L14" s="206">
        <v>45110</v>
      </c>
      <c r="M14" s="203" t="s">
        <v>2410</v>
      </c>
      <c r="O14" s="203"/>
      <c r="P14" s="203">
        <v>11267</v>
      </c>
      <c r="Q14" s="203" t="s">
        <v>39</v>
      </c>
      <c r="R14" s="203" t="s">
        <v>138</v>
      </c>
    </row>
    <row r="15" spans="1:18">
      <c r="A15" s="303">
        <f>COUNTA($E$3:$E15)</f>
        <v>13</v>
      </c>
      <c r="B15" s="303" t="s">
        <v>4845</v>
      </c>
      <c r="C15" s="303" t="s">
        <v>25</v>
      </c>
      <c r="D15" s="303" t="s">
        <v>38</v>
      </c>
      <c r="E15" s="303" t="s">
        <v>3182</v>
      </c>
      <c r="F15" s="304">
        <v>45008</v>
      </c>
      <c r="G15" s="304">
        <v>45005</v>
      </c>
      <c r="H15" s="304"/>
      <c r="I15" s="304">
        <v>45008</v>
      </c>
      <c r="J15" s="303" t="s">
        <v>5943</v>
      </c>
      <c r="K15" s="303" t="s">
        <v>58</v>
      </c>
      <c r="L15" s="206">
        <v>45110</v>
      </c>
      <c r="M15" s="203" t="s">
        <v>2410</v>
      </c>
      <c r="O15" s="203"/>
      <c r="P15" s="203">
        <v>5977</v>
      </c>
      <c r="Q15" s="203" t="s">
        <v>39</v>
      </c>
      <c r="R15" s="203" t="s">
        <v>138</v>
      </c>
    </row>
    <row r="16" spans="1:18">
      <c r="A16" s="303">
        <f>COUNTA($E$3:$E16)</f>
        <v>14</v>
      </c>
      <c r="B16" s="303" t="s">
        <v>4742</v>
      </c>
      <c r="C16" s="303" t="s">
        <v>25</v>
      </c>
      <c r="D16" s="303" t="s">
        <v>38</v>
      </c>
      <c r="E16" s="303" t="s">
        <v>2231</v>
      </c>
      <c r="F16" s="304">
        <v>44977</v>
      </c>
      <c r="G16" s="304">
        <v>44967</v>
      </c>
      <c r="H16" s="304"/>
      <c r="I16" s="304">
        <v>44977</v>
      </c>
      <c r="J16" s="303" t="s">
        <v>5358</v>
      </c>
      <c r="K16" s="303" t="s">
        <v>58</v>
      </c>
      <c r="L16" s="206">
        <v>45110</v>
      </c>
      <c r="M16" s="203" t="s">
        <v>2410</v>
      </c>
      <c r="O16" s="203"/>
      <c r="P16" s="203">
        <v>4019</v>
      </c>
      <c r="Q16" s="203" t="s">
        <v>39</v>
      </c>
      <c r="R16" s="203" t="s">
        <v>138</v>
      </c>
    </row>
    <row r="17" spans="1:18">
      <c r="A17" s="303">
        <f>COUNTA($E$3:$E17)</f>
        <v>15</v>
      </c>
      <c r="B17" s="303" t="s">
        <v>4849</v>
      </c>
      <c r="C17" s="303" t="s">
        <v>1131</v>
      </c>
      <c r="D17" s="303" t="s">
        <v>42</v>
      </c>
      <c r="E17" s="303" t="s">
        <v>4850</v>
      </c>
      <c r="F17" s="304">
        <v>44986</v>
      </c>
      <c r="G17" s="304"/>
      <c r="H17" s="304"/>
      <c r="I17" s="304">
        <v>44986</v>
      </c>
      <c r="J17" s="303" t="s">
        <v>5361</v>
      </c>
      <c r="K17" s="303" t="s">
        <v>58</v>
      </c>
      <c r="L17" s="206">
        <v>45110</v>
      </c>
      <c r="M17" s="203" t="s">
        <v>2410</v>
      </c>
      <c r="O17" s="203"/>
      <c r="P17" s="203">
        <v>8118</v>
      </c>
      <c r="Q17" s="203" t="s">
        <v>39</v>
      </c>
      <c r="R17" s="203" t="s">
        <v>138</v>
      </c>
    </row>
    <row r="18" spans="1:18">
      <c r="A18" s="303">
        <f>COUNTA($E$3:$E18)</f>
        <v>16</v>
      </c>
      <c r="B18" s="303" t="s">
        <v>5226</v>
      </c>
      <c r="C18" s="303" t="s">
        <v>1212</v>
      </c>
      <c r="D18" s="303" t="s">
        <v>42</v>
      </c>
      <c r="E18" s="303" t="s">
        <v>1237</v>
      </c>
      <c r="F18" s="304">
        <v>45058</v>
      </c>
      <c r="G18" s="304">
        <v>45058</v>
      </c>
      <c r="H18" s="304"/>
      <c r="I18" s="304">
        <v>45058</v>
      </c>
      <c r="J18" s="303" t="s">
        <v>5384</v>
      </c>
      <c r="K18" s="303" t="s">
        <v>24</v>
      </c>
      <c r="L18" s="206">
        <v>45110</v>
      </c>
      <c r="M18" s="203" t="s">
        <v>2410</v>
      </c>
      <c r="O18" s="203"/>
      <c r="P18" s="203">
        <v>779</v>
      </c>
      <c r="Q18" s="203" t="s">
        <v>39</v>
      </c>
      <c r="R18" s="203" t="s">
        <v>26</v>
      </c>
    </row>
    <row r="19" spans="1:18">
      <c r="A19" s="303">
        <f>COUNTA($E$3:$E19)</f>
        <v>17</v>
      </c>
      <c r="B19" s="303" t="s">
        <v>4909</v>
      </c>
      <c r="C19" s="303" t="s">
        <v>41</v>
      </c>
      <c r="D19" s="303" t="s">
        <v>34</v>
      </c>
      <c r="E19" s="303" t="s">
        <v>3398</v>
      </c>
      <c r="F19" s="304">
        <v>45007</v>
      </c>
      <c r="G19" s="304"/>
      <c r="H19" s="304"/>
      <c r="I19" s="304">
        <v>45007</v>
      </c>
      <c r="J19" s="303" t="s">
        <v>5362</v>
      </c>
      <c r="K19" s="303" t="s">
        <v>58</v>
      </c>
      <c r="L19" s="206">
        <v>45110</v>
      </c>
      <c r="M19" s="203" t="s">
        <v>2410</v>
      </c>
      <c r="O19" s="203"/>
      <c r="P19" s="203">
        <v>2668</v>
      </c>
      <c r="Q19" s="203" t="s">
        <v>39</v>
      </c>
      <c r="R19" s="203" t="s">
        <v>138</v>
      </c>
    </row>
    <row r="20" spans="1:18">
      <c r="A20" s="303">
        <f>COUNTA($E$3:$E20)</f>
        <v>18</v>
      </c>
      <c r="B20" s="303" t="s">
        <v>4972</v>
      </c>
      <c r="C20" s="303" t="s">
        <v>3857</v>
      </c>
      <c r="D20" s="303" t="s">
        <v>111</v>
      </c>
      <c r="E20" s="303" t="s">
        <v>1281</v>
      </c>
      <c r="F20" s="304">
        <v>45030</v>
      </c>
      <c r="G20" s="304">
        <v>45020</v>
      </c>
      <c r="H20" s="304"/>
      <c r="I20" s="304">
        <v>45030</v>
      </c>
      <c r="J20" s="303" t="s">
        <v>3279</v>
      </c>
      <c r="K20" s="303" t="s">
        <v>58</v>
      </c>
      <c r="L20" s="206">
        <v>45110</v>
      </c>
      <c r="M20" s="203" t="s">
        <v>2410</v>
      </c>
      <c r="O20" s="203"/>
      <c r="P20" s="203">
        <v>7290</v>
      </c>
      <c r="Q20" s="203" t="s">
        <v>39</v>
      </c>
      <c r="R20" s="203" t="s">
        <v>138</v>
      </c>
    </row>
    <row r="21" spans="1:18">
      <c r="A21" s="303">
        <f>COUNTA($E$3:$E21)</f>
        <v>19</v>
      </c>
      <c r="B21" s="303" t="s">
        <v>4973</v>
      </c>
      <c r="C21" s="303" t="s">
        <v>25</v>
      </c>
      <c r="D21" s="303" t="s">
        <v>1092</v>
      </c>
      <c r="E21" s="303" t="s">
        <v>4974</v>
      </c>
      <c r="F21" s="304">
        <v>45030</v>
      </c>
      <c r="G21" s="304">
        <v>45020</v>
      </c>
      <c r="H21" s="304"/>
      <c r="I21" s="304">
        <v>45030</v>
      </c>
      <c r="J21" s="303" t="s">
        <v>5365</v>
      </c>
      <c r="K21" s="303" t="s">
        <v>58</v>
      </c>
      <c r="L21" s="206">
        <v>45110</v>
      </c>
      <c r="M21" s="203" t="s">
        <v>2410</v>
      </c>
      <c r="O21" s="203"/>
      <c r="P21" s="203">
        <v>10745</v>
      </c>
      <c r="Q21" s="203" t="s">
        <v>39</v>
      </c>
      <c r="R21" s="203" t="s">
        <v>138</v>
      </c>
    </row>
    <row r="22" spans="1:18">
      <c r="A22" s="303">
        <f>COUNTA($E$3:$E22)</f>
        <v>20</v>
      </c>
      <c r="B22" s="303" t="s">
        <v>5018</v>
      </c>
      <c r="C22" s="303" t="s">
        <v>41</v>
      </c>
      <c r="D22" s="303" t="s">
        <v>38</v>
      </c>
      <c r="E22" s="303" t="s">
        <v>3263</v>
      </c>
      <c r="F22" s="304">
        <v>45015</v>
      </c>
      <c r="G22" s="304"/>
      <c r="H22" s="304"/>
      <c r="I22" s="304">
        <v>45015</v>
      </c>
      <c r="J22" s="303" t="s">
        <v>5019</v>
      </c>
      <c r="K22" s="303" t="s">
        <v>58</v>
      </c>
      <c r="L22" s="206">
        <v>45110</v>
      </c>
      <c r="M22" s="203" t="s">
        <v>2410</v>
      </c>
      <c r="O22" s="203"/>
      <c r="P22" s="203">
        <v>1722</v>
      </c>
      <c r="Q22" s="203" t="s">
        <v>39</v>
      </c>
      <c r="R22" s="203" t="s">
        <v>138</v>
      </c>
    </row>
    <row r="23" spans="1:18">
      <c r="A23" s="303">
        <f>COUNTA($E$3:$E23)</f>
        <v>21</v>
      </c>
      <c r="B23" s="303" t="s">
        <v>5126</v>
      </c>
      <c r="C23" s="303" t="s">
        <v>1146</v>
      </c>
      <c r="D23" s="303" t="s">
        <v>20</v>
      </c>
      <c r="E23" s="303" t="s">
        <v>1250</v>
      </c>
      <c r="F23" s="304">
        <v>45044</v>
      </c>
      <c r="G23" s="304">
        <v>45036</v>
      </c>
      <c r="H23" s="304"/>
      <c r="I23" s="304">
        <v>45044</v>
      </c>
      <c r="J23" s="303" t="s">
        <v>5374</v>
      </c>
      <c r="K23" s="303" t="s">
        <v>58</v>
      </c>
      <c r="L23" s="206">
        <v>45110</v>
      </c>
      <c r="M23" s="203" t="s">
        <v>2410</v>
      </c>
      <c r="O23" s="203"/>
      <c r="P23" s="203">
        <v>8051</v>
      </c>
      <c r="Q23" s="203" t="s">
        <v>39</v>
      </c>
      <c r="R23" s="203" t="s">
        <v>138</v>
      </c>
    </row>
    <row r="24" spans="1:18">
      <c r="A24" s="303">
        <f>COUNTA($E$3:$E24)</f>
        <v>22</v>
      </c>
      <c r="B24" s="303" t="s">
        <v>5137</v>
      </c>
      <c r="C24" s="303" t="s">
        <v>1117</v>
      </c>
      <c r="D24" s="303" t="s">
        <v>20</v>
      </c>
      <c r="E24" s="303" t="s">
        <v>5138</v>
      </c>
      <c r="F24" s="304">
        <v>45044</v>
      </c>
      <c r="G24" s="304">
        <v>45036</v>
      </c>
      <c r="H24" s="304"/>
      <c r="I24" s="304">
        <v>45044</v>
      </c>
      <c r="J24" s="303" t="s">
        <v>5376</v>
      </c>
      <c r="K24" s="303" t="s">
        <v>58</v>
      </c>
      <c r="L24" s="206">
        <v>45110</v>
      </c>
      <c r="M24" s="203" t="s">
        <v>2410</v>
      </c>
      <c r="O24" s="203"/>
      <c r="P24" s="203">
        <v>3398</v>
      </c>
      <c r="Q24" s="203" t="s">
        <v>39</v>
      </c>
      <c r="R24" s="203" t="s">
        <v>138</v>
      </c>
    </row>
    <row r="25" spans="1:18">
      <c r="A25" s="303">
        <f>COUNTA($E$3:$E25)</f>
        <v>23</v>
      </c>
      <c r="B25" s="303" t="s">
        <v>4847</v>
      </c>
      <c r="C25" s="303" t="s">
        <v>25</v>
      </c>
      <c r="D25" s="303" t="s">
        <v>34</v>
      </c>
      <c r="E25" s="303" t="s">
        <v>4848</v>
      </c>
      <c r="F25" s="304">
        <v>45008</v>
      </c>
      <c r="G25" s="304">
        <v>45005</v>
      </c>
      <c r="H25" s="304"/>
      <c r="I25" s="304">
        <v>45008</v>
      </c>
      <c r="J25" s="303" t="s">
        <v>5360</v>
      </c>
      <c r="K25" s="303" t="s">
        <v>58</v>
      </c>
      <c r="L25" s="206">
        <v>45110</v>
      </c>
      <c r="M25" s="203" t="s">
        <v>2410</v>
      </c>
      <c r="O25" s="203"/>
      <c r="P25" s="203">
        <v>5871</v>
      </c>
      <c r="Q25" s="203" t="s">
        <v>39</v>
      </c>
      <c r="R25" s="203" t="s">
        <v>138</v>
      </c>
    </row>
    <row r="26" spans="1:18">
      <c r="A26" s="303">
        <f>COUNTA($E$3:$E26)</f>
        <v>24</v>
      </c>
      <c r="B26" s="303" t="s">
        <v>5454</v>
      </c>
      <c r="C26" s="303" t="s">
        <v>5162</v>
      </c>
      <c r="D26" s="303" t="s">
        <v>42</v>
      </c>
      <c r="E26" s="303" t="s">
        <v>5455</v>
      </c>
      <c r="F26" s="304"/>
      <c r="G26" s="304">
        <v>45075</v>
      </c>
      <c r="H26" s="304"/>
      <c r="I26" s="304"/>
      <c r="J26" s="303" t="s">
        <v>5549</v>
      </c>
      <c r="K26" s="303" t="s">
        <v>22</v>
      </c>
      <c r="L26" s="206">
        <v>45104</v>
      </c>
      <c r="M26" s="203" t="s">
        <v>5795</v>
      </c>
      <c r="O26" s="203" t="s">
        <v>72</v>
      </c>
      <c r="P26" s="203"/>
      <c r="Q26" s="203" t="s">
        <v>1041</v>
      </c>
      <c r="R26" s="203" t="s">
        <v>138</v>
      </c>
    </row>
    <row r="27" spans="1:18">
      <c r="A27" s="303">
        <f>COUNTA($E$3:$E27)</f>
        <v>25</v>
      </c>
      <c r="B27" s="303" t="s">
        <v>5622</v>
      </c>
      <c r="C27" s="303" t="s">
        <v>1118</v>
      </c>
      <c r="D27" s="303" t="s">
        <v>62</v>
      </c>
      <c r="E27" s="303" t="s">
        <v>2647</v>
      </c>
      <c r="F27" s="304"/>
      <c r="G27" s="304"/>
      <c r="H27" s="304"/>
      <c r="I27" s="304"/>
      <c r="J27" s="303" t="s">
        <v>5685</v>
      </c>
      <c r="K27" s="303" t="s">
        <v>1114</v>
      </c>
      <c r="L27" s="206">
        <v>45104</v>
      </c>
      <c r="M27" s="203" t="s">
        <v>4</v>
      </c>
      <c r="N27" s="204">
        <v>45093</v>
      </c>
      <c r="O27" s="203" t="s">
        <v>5832</v>
      </c>
      <c r="P27" s="203"/>
      <c r="Q27" s="203" t="s">
        <v>66</v>
      </c>
      <c r="R27" s="203" t="s">
        <v>138</v>
      </c>
    </row>
    <row r="28" spans="1:18">
      <c r="A28" s="303">
        <f>COUNTA($E$3:$E28)</f>
        <v>26</v>
      </c>
      <c r="B28" s="303" t="s">
        <v>5450</v>
      </c>
      <c r="C28" s="303" t="s">
        <v>1820</v>
      </c>
      <c r="D28" s="303" t="s">
        <v>1821</v>
      </c>
      <c r="E28" s="303" t="s">
        <v>1822</v>
      </c>
      <c r="F28" s="304">
        <v>45071</v>
      </c>
      <c r="G28" s="304">
        <v>45075</v>
      </c>
      <c r="H28" s="304"/>
      <c r="I28" s="304">
        <v>45071</v>
      </c>
      <c r="J28" s="303" t="s">
        <v>5548</v>
      </c>
      <c r="K28" s="303" t="s">
        <v>5521</v>
      </c>
      <c r="L28" s="206">
        <v>45104</v>
      </c>
      <c r="M28" s="203" t="s">
        <v>5726</v>
      </c>
      <c r="N28" s="204">
        <v>45093</v>
      </c>
      <c r="O28" s="203"/>
      <c r="P28" s="203">
        <v>14476</v>
      </c>
      <c r="Q28" s="203"/>
      <c r="R28" s="203" t="s">
        <v>26</v>
      </c>
    </row>
    <row r="29" spans="1:18">
      <c r="A29" s="303">
        <f>COUNTA($E$3:$E29)</f>
        <v>27</v>
      </c>
      <c r="B29" s="303" t="s">
        <v>5182</v>
      </c>
      <c r="C29" s="303" t="s">
        <v>3897</v>
      </c>
      <c r="D29" s="303" t="s">
        <v>68</v>
      </c>
      <c r="E29" s="303" t="s">
        <v>4465</v>
      </c>
      <c r="F29" s="304">
        <v>45044</v>
      </c>
      <c r="G29" s="304">
        <v>45043</v>
      </c>
      <c r="H29" s="304"/>
      <c r="I29" s="304">
        <v>45044</v>
      </c>
      <c r="J29" s="303"/>
      <c r="K29" s="303" t="s">
        <v>58</v>
      </c>
      <c r="L29" s="206">
        <v>45096</v>
      </c>
      <c r="M29" s="203" t="s">
        <v>2985</v>
      </c>
      <c r="N29" s="204">
        <v>45069</v>
      </c>
      <c r="O29" s="203" t="s">
        <v>5833</v>
      </c>
      <c r="P29" s="203">
        <v>1100</v>
      </c>
      <c r="Q29" s="203" t="s">
        <v>39</v>
      </c>
      <c r="R29" s="203" t="s">
        <v>138</v>
      </c>
    </row>
    <row r="30" spans="1:18">
      <c r="A30" s="303">
        <f>COUNTA($E$3:$E30)</f>
        <v>28</v>
      </c>
      <c r="B30" s="303" t="s">
        <v>4753</v>
      </c>
      <c r="C30" s="303" t="s">
        <v>4754</v>
      </c>
      <c r="D30" s="303" t="s">
        <v>20</v>
      </c>
      <c r="E30" s="303" t="s">
        <v>4755</v>
      </c>
      <c r="F30" s="304">
        <v>44965</v>
      </c>
      <c r="G30" s="304"/>
      <c r="H30" s="304"/>
      <c r="I30" s="304">
        <v>44965</v>
      </c>
      <c r="J30" s="303" t="s">
        <v>4756</v>
      </c>
      <c r="K30" s="303" t="s">
        <v>58</v>
      </c>
      <c r="L30" s="206">
        <v>45096</v>
      </c>
      <c r="M30" s="203" t="s">
        <v>5809</v>
      </c>
      <c r="N30" s="204">
        <v>45089</v>
      </c>
      <c r="O30" s="203" t="s">
        <v>5834</v>
      </c>
      <c r="P30" s="203">
        <v>4224</v>
      </c>
      <c r="Q30" s="203" t="s">
        <v>39</v>
      </c>
      <c r="R30" s="203" t="s">
        <v>138</v>
      </c>
    </row>
    <row r="31" spans="1:18">
      <c r="A31" s="303">
        <f>COUNTA($E$3:$E31)</f>
        <v>29</v>
      </c>
      <c r="B31" s="303" t="s">
        <v>5451</v>
      </c>
      <c r="C31" s="303" t="s">
        <v>48</v>
      </c>
      <c r="D31" s="303" t="s">
        <v>1141</v>
      </c>
      <c r="E31" s="303" t="s">
        <v>5452</v>
      </c>
      <c r="F31" s="304"/>
      <c r="G31" s="304"/>
      <c r="H31" s="304"/>
      <c r="I31" s="304"/>
      <c r="J31" s="303"/>
      <c r="K31" s="303" t="s">
        <v>22</v>
      </c>
      <c r="L31" s="206">
        <v>45089</v>
      </c>
      <c r="M31" s="203" t="s">
        <v>5606</v>
      </c>
      <c r="N31" s="204">
        <v>45076</v>
      </c>
      <c r="O31" s="203" t="s">
        <v>26</v>
      </c>
      <c r="P31" s="203"/>
      <c r="Q31" s="203"/>
      <c r="R31" s="203" t="s">
        <v>26</v>
      </c>
    </row>
    <row r="32" spans="1:18">
      <c r="A32" s="303">
        <f>COUNTA($E$3:$E32)</f>
        <v>30</v>
      </c>
      <c r="B32" s="303" t="s">
        <v>5273</v>
      </c>
      <c r="C32" s="303" t="s">
        <v>5274</v>
      </c>
      <c r="D32" s="303" t="s">
        <v>56</v>
      </c>
      <c r="E32" s="303" t="s">
        <v>5275</v>
      </c>
      <c r="F32" s="304"/>
      <c r="G32" s="304">
        <v>45082</v>
      </c>
      <c r="H32" s="304"/>
      <c r="I32" s="304"/>
      <c r="J32" s="303" t="s">
        <v>5420</v>
      </c>
      <c r="K32" s="303" t="s">
        <v>58</v>
      </c>
      <c r="L32" s="206">
        <v>45089</v>
      </c>
      <c r="M32" s="203" t="s">
        <v>5716</v>
      </c>
      <c r="N32" s="204">
        <v>45070</v>
      </c>
      <c r="O32" s="203" t="s">
        <v>5716</v>
      </c>
      <c r="P32" s="203"/>
      <c r="Q32" s="203" t="s">
        <v>1068</v>
      </c>
      <c r="R32" s="203" t="s">
        <v>138</v>
      </c>
    </row>
    <row r="33" spans="1:18">
      <c r="A33" s="303">
        <f>COUNTA($E$3:$E33)</f>
        <v>31</v>
      </c>
      <c r="B33" s="303" t="s">
        <v>5405</v>
      </c>
      <c r="C33" s="303" t="s">
        <v>1183</v>
      </c>
      <c r="D33" s="303" t="s">
        <v>1135</v>
      </c>
      <c r="E33" s="303" t="s">
        <v>2023</v>
      </c>
      <c r="F33" s="304"/>
      <c r="G33" s="304"/>
      <c r="H33" s="304"/>
      <c r="I33" s="304"/>
      <c r="J33" s="303"/>
      <c r="K33" s="303" t="s">
        <v>22</v>
      </c>
      <c r="L33" s="206">
        <v>45089</v>
      </c>
      <c r="M33" s="203" t="s">
        <v>5605</v>
      </c>
      <c r="N33" s="204">
        <v>45076</v>
      </c>
      <c r="O33" s="203" t="s">
        <v>26</v>
      </c>
      <c r="P33" s="203"/>
      <c r="Q33" s="203"/>
      <c r="R33" s="203" t="s">
        <v>26</v>
      </c>
    </row>
    <row r="34" spans="1:18">
      <c r="A34" s="303">
        <f>COUNTA($E$3:$E34)</f>
        <v>32</v>
      </c>
      <c r="B34" s="303" t="s">
        <v>5279</v>
      </c>
      <c r="C34" s="303" t="s">
        <v>48</v>
      </c>
      <c r="D34" s="303" t="s">
        <v>34</v>
      </c>
      <c r="E34" s="303" t="s">
        <v>1129</v>
      </c>
      <c r="F34" s="304"/>
      <c r="G34" s="304"/>
      <c r="H34" s="304"/>
      <c r="I34" s="304"/>
      <c r="J34" s="303"/>
      <c r="K34" s="303" t="s">
        <v>22</v>
      </c>
      <c r="L34" s="206">
        <v>45082</v>
      </c>
      <c r="M34" s="203" t="s">
        <v>5664</v>
      </c>
      <c r="N34" s="204">
        <v>45083</v>
      </c>
      <c r="O34" s="203" t="s">
        <v>26</v>
      </c>
      <c r="P34" s="203"/>
      <c r="Q34" s="203"/>
      <c r="R34" s="203" t="s">
        <v>26</v>
      </c>
    </row>
    <row r="35" spans="1:18">
      <c r="A35" s="303">
        <f>COUNTA($E$3:$E35)</f>
        <v>33</v>
      </c>
      <c r="B35" s="303" t="s">
        <v>5247</v>
      </c>
      <c r="C35" s="303" t="s">
        <v>5248</v>
      </c>
      <c r="D35" s="303" t="s">
        <v>42</v>
      </c>
      <c r="E35" s="303" t="s">
        <v>5249</v>
      </c>
      <c r="F35" s="304">
        <v>45069</v>
      </c>
      <c r="G35" s="304">
        <v>45057</v>
      </c>
      <c r="H35" s="304"/>
      <c r="I35" s="304">
        <v>45069</v>
      </c>
      <c r="J35" s="303"/>
      <c r="K35" s="303" t="s">
        <v>1292</v>
      </c>
      <c r="L35" s="206">
        <v>45082</v>
      </c>
      <c r="M35" s="203" t="s">
        <v>5468</v>
      </c>
      <c r="N35" s="204">
        <v>45069</v>
      </c>
      <c r="O35" s="203" t="s">
        <v>5717</v>
      </c>
      <c r="P35" s="203">
        <v>2616</v>
      </c>
      <c r="Q35" s="203" t="s">
        <v>39</v>
      </c>
      <c r="R35" s="203" t="s">
        <v>138</v>
      </c>
    </row>
    <row r="36" spans="1:18">
      <c r="A36" s="303">
        <f>COUNTA($E$3:$E36)</f>
        <v>34</v>
      </c>
      <c r="B36" s="303" t="s">
        <v>4738</v>
      </c>
      <c r="C36" s="303" t="s">
        <v>45</v>
      </c>
      <c r="D36" s="303" t="s">
        <v>1136</v>
      </c>
      <c r="E36" s="303" t="s">
        <v>1195</v>
      </c>
      <c r="F36" s="304" t="s">
        <v>70</v>
      </c>
      <c r="G36" s="304">
        <v>44963</v>
      </c>
      <c r="H36" s="304"/>
      <c r="I36" s="304" t="s">
        <v>70</v>
      </c>
      <c r="J36" s="303"/>
      <c r="K36" s="303" t="s">
        <v>2058</v>
      </c>
      <c r="L36" s="206">
        <v>45082</v>
      </c>
      <c r="M36" s="203" t="s">
        <v>5515</v>
      </c>
      <c r="O36" s="203" t="s">
        <v>5598</v>
      </c>
      <c r="P36" s="203">
        <v>1368</v>
      </c>
      <c r="Q36" s="203" t="s">
        <v>32</v>
      </c>
      <c r="R36" s="203" t="s">
        <v>26</v>
      </c>
    </row>
    <row r="37" spans="1:18">
      <c r="A37" s="303">
        <f>COUNTA($E$3:$E37)</f>
        <v>35</v>
      </c>
      <c r="B37" s="303" t="s">
        <v>5116</v>
      </c>
      <c r="C37" s="303" t="s">
        <v>3466</v>
      </c>
      <c r="D37" s="303" t="s">
        <v>34</v>
      </c>
      <c r="E37" s="303" t="s">
        <v>5117</v>
      </c>
      <c r="F37" s="304">
        <v>45030</v>
      </c>
      <c r="G37" s="304">
        <v>45029</v>
      </c>
      <c r="H37" s="304"/>
      <c r="I37" s="304">
        <v>45030</v>
      </c>
      <c r="J37" s="303"/>
      <c r="K37" s="303" t="s">
        <v>57</v>
      </c>
      <c r="L37" s="206">
        <v>45082</v>
      </c>
      <c r="M37" s="203" t="s">
        <v>5517</v>
      </c>
      <c r="N37" s="204">
        <v>45054</v>
      </c>
      <c r="O37" s="203" t="s">
        <v>5718</v>
      </c>
      <c r="P37" s="203">
        <v>8790</v>
      </c>
      <c r="Q37" s="203"/>
      <c r="R37" s="203" t="s">
        <v>138</v>
      </c>
    </row>
    <row r="38" spans="1:18">
      <c r="A38" s="303">
        <f>COUNTA($E$3:$E38)</f>
        <v>36</v>
      </c>
      <c r="B38" s="303" t="s">
        <v>4961</v>
      </c>
      <c r="C38" s="303" t="s">
        <v>1089</v>
      </c>
      <c r="D38" s="303" t="s">
        <v>20</v>
      </c>
      <c r="E38" s="303" t="s">
        <v>4108</v>
      </c>
      <c r="F38" s="304">
        <v>45015</v>
      </c>
      <c r="G38" s="304">
        <v>45009</v>
      </c>
      <c r="H38" s="304"/>
      <c r="I38" s="304">
        <v>45015</v>
      </c>
      <c r="J38" s="303"/>
      <c r="K38" s="303" t="s">
        <v>22</v>
      </c>
      <c r="L38" s="206">
        <v>45082</v>
      </c>
      <c r="M38" s="203" t="s">
        <v>5516</v>
      </c>
      <c r="N38" s="204">
        <v>45174</v>
      </c>
      <c r="O38" s="203"/>
      <c r="P38" s="203">
        <v>4358</v>
      </c>
      <c r="Q38" s="203"/>
      <c r="R38" s="203" t="s">
        <v>26</v>
      </c>
    </row>
    <row r="39" spans="1:18">
      <c r="A39" s="303">
        <f>COUNTA($E$3:$E39)</f>
        <v>37</v>
      </c>
      <c r="B39" s="303" t="s">
        <v>5091</v>
      </c>
      <c r="C39" s="303" t="s">
        <v>1177</v>
      </c>
      <c r="D39" s="303" t="s">
        <v>291</v>
      </c>
      <c r="E39" s="303" t="s">
        <v>5092</v>
      </c>
      <c r="F39" s="304"/>
      <c r="G39" s="304"/>
      <c r="H39" s="304"/>
      <c r="I39" s="304"/>
      <c r="J39" s="303" t="s">
        <v>5368</v>
      </c>
      <c r="K39" s="303" t="s">
        <v>297</v>
      </c>
      <c r="L39" s="206">
        <v>45069</v>
      </c>
      <c r="M39" s="203" t="s">
        <v>5433</v>
      </c>
      <c r="N39" s="204">
        <v>45068</v>
      </c>
      <c r="O39" s="203"/>
      <c r="P39" s="203"/>
      <c r="Q39" s="203" t="s">
        <v>66</v>
      </c>
      <c r="R39" s="203" t="s">
        <v>26</v>
      </c>
    </row>
    <row r="40" spans="1:18">
      <c r="A40" s="303">
        <f>COUNTA($E$3:$E40)</f>
        <v>38</v>
      </c>
      <c r="B40" s="303" t="s">
        <v>4664</v>
      </c>
      <c r="C40" s="303" t="s">
        <v>44</v>
      </c>
      <c r="D40" s="303" t="s">
        <v>31</v>
      </c>
      <c r="E40" s="303" t="s">
        <v>4655</v>
      </c>
      <c r="F40" s="304">
        <v>44936</v>
      </c>
      <c r="G40" s="304">
        <v>44938</v>
      </c>
      <c r="H40" s="304"/>
      <c r="I40" s="304">
        <v>44936</v>
      </c>
      <c r="J40" s="303" t="s">
        <v>1105</v>
      </c>
      <c r="K40" s="303" t="s">
        <v>134</v>
      </c>
      <c r="L40" s="206">
        <v>45061</v>
      </c>
      <c r="M40" s="203" t="s">
        <v>5353</v>
      </c>
      <c r="O40" s="203"/>
      <c r="P40" s="203">
        <v>10598</v>
      </c>
      <c r="Q40" s="203" t="s">
        <v>3640</v>
      </c>
      <c r="R40" s="203" t="s">
        <v>138</v>
      </c>
    </row>
    <row r="41" spans="1:18">
      <c r="A41" s="303">
        <f>COUNTA($E$3:$E41)</f>
        <v>39</v>
      </c>
      <c r="B41" s="303" t="s">
        <v>4663</v>
      </c>
      <c r="C41" s="303" t="s">
        <v>48</v>
      </c>
      <c r="D41" s="303" t="s">
        <v>31</v>
      </c>
      <c r="E41" s="303" t="s">
        <v>215</v>
      </c>
      <c r="F41" s="304" t="s">
        <v>70</v>
      </c>
      <c r="G41" s="304">
        <v>44938</v>
      </c>
      <c r="H41" s="304"/>
      <c r="I41" s="304" t="s">
        <v>70</v>
      </c>
      <c r="J41" s="303" t="s">
        <v>1105</v>
      </c>
      <c r="K41" s="303" t="s">
        <v>134</v>
      </c>
      <c r="L41" s="206">
        <v>45061</v>
      </c>
      <c r="M41" s="203" t="s">
        <v>5354</v>
      </c>
      <c r="O41" s="203"/>
      <c r="P41" s="203"/>
      <c r="Q41" s="203" t="s">
        <v>1067</v>
      </c>
      <c r="R41" s="203" t="s">
        <v>138</v>
      </c>
    </row>
    <row r="42" spans="1:18">
      <c r="A42" s="303">
        <f>COUNTA($E$3:$E42)</f>
        <v>40</v>
      </c>
      <c r="B42" s="303" t="s">
        <v>4690</v>
      </c>
      <c r="C42" s="303" t="s">
        <v>45</v>
      </c>
      <c r="D42" s="303" t="s">
        <v>34</v>
      </c>
      <c r="E42" s="303" t="s">
        <v>1671</v>
      </c>
      <c r="F42" s="304" t="s">
        <v>70</v>
      </c>
      <c r="G42" s="304">
        <v>44942</v>
      </c>
      <c r="H42" s="304"/>
      <c r="I42" s="304" t="s">
        <v>70</v>
      </c>
      <c r="J42" s="303" t="s">
        <v>4691</v>
      </c>
      <c r="K42" s="303" t="s">
        <v>1310</v>
      </c>
      <c r="L42" s="206">
        <v>45061</v>
      </c>
      <c r="M42" s="203" t="s">
        <v>5357</v>
      </c>
      <c r="O42" s="203"/>
      <c r="P42" s="203">
        <v>2820</v>
      </c>
      <c r="Q42" s="203" t="s">
        <v>64</v>
      </c>
      <c r="R42" s="203" t="s">
        <v>138</v>
      </c>
    </row>
    <row r="43" spans="1:18">
      <c r="A43" s="303">
        <f>COUNTA($E$3:$E43)</f>
        <v>41</v>
      </c>
      <c r="B43" s="303" t="s">
        <v>4705</v>
      </c>
      <c r="C43" s="303" t="s">
        <v>1731</v>
      </c>
      <c r="D43" s="303" t="s">
        <v>68</v>
      </c>
      <c r="E43" s="303" t="s">
        <v>4707</v>
      </c>
      <c r="F43" s="304">
        <v>44942</v>
      </c>
      <c r="G43" s="304">
        <v>44953</v>
      </c>
      <c r="H43" s="304"/>
      <c r="I43" s="304">
        <v>44942</v>
      </c>
      <c r="J43" s="303" t="s">
        <v>4708</v>
      </c>
      <c r="K43" s="303" t="s">
        <v>1309</v>
      </c>
      <c r="L43" s="206">
        <v>45061</v>
      </c>
      <c r="M43" s="203" t="s">
        <v>2410</v>
      </c>
      <c r="N43" s="204">
        <v>45054</v>
      </c>
      <c r="O43" s="203"/>
      <c r="P43" s="203">
        <v>6497</v>
      </c>
      <c r="Q43" s="203" t="s">
        <v>39</v>
      </c>
      <c r="R43" s="203" t="s">
        <v>26</v>
      </c>
    </row>
    <row r="44" spans="1:18">
      <c r="A44" s="303">
        <f>COUNTA($E$3:$E44)</f>
        <v>42</v>
      </c>
      <c r="B44" s="303" t="s">
        <v>4700</v>
      </c>
      <c r="C44" s="303" t="s">
        <v>1118</v>
      </c>
      <c r="D44" s="303" t="s">
        <v>20</v>
      </c>
      <c r="E44" s="303" t="s">
        <v>4701</v>
      </c>
      <c r="F44" s="304">
        <v>44958</v>
      </c>
      <c r="G44" s="304">
        <v>44953</v>
      </c>
      <c r="H44" s="304"/>
      <c r="I44" s="304">
        <v>44958</v>
      </c>
      <c r="J44" s="303" t="s">
        <v>4702</v>
      </c>
      <c r="K44" s="303" t="s">
        <v>1302</v>
      </c>
      <c r="L44" s="206">
        <v>45061</v>
      </c>
      <c r="M44" s="203" t="s">
        <v>2410</v>
      </c>
      <c r="O44" s="203"/>
      <c r="P44" s="203">
        <v>6677</v>
      </c>
      <c r="Q44" s="203" t="s">
        <v>39</v>
      </c>
      <c r="R44" s="203" t="s">
        <v>138</v>
      </c>
    </row>
    <row r="45" spans="1:18">
      <c r="A45" s="303">
        <f>COUNTA($E$3:$E45)</f>
        <v>43</v>
      </c>
      <c r="B45" s="303" t="s">
        <v>4672</v>
      </c>
      <c r="C45" s="303" t="s">
        <v>25</v>
      </c>
      <c r="D45" s="303" t="s">
        <v>36</v>
      </c>
      <c r="E45" s="303" t="s">
        <v>1670</v>
      </c>
      <c r="F45" s="304">
        <v>44936</v>
      </c>
      <c r="G45" s="304">
        <v>44938</v>
      </c>
      <c r="H45" s="304"/>
      <c r="I45" s="304">
        <v>44936</v>
      </c>
      <c r="J45" s="303" t="s">
        <v>1674</v>
      </c>
      <c r="K45" s="303" t="s">
        <v>57</v>
      </c>
      <c r="L45" s="206">
        <v>45061</v>
      </c>
      <c r="M45" s="203" t="s">
        <v>2410</v>
      </c>
      <c r="O45" s="203"/>
      <c r="P45" s="203">
        <v>4308</v>
      </c>
      <c r="Q45" s="203" t="s">
        <v>39</v>
      </c>
      <c r="R45" s="203" t="s">
        <v>138</v>
      </c>
    </row>
    <row r="46" spans="1:18">
      <c r="A46" s="303">
        <f>COUNTA($E$3:$E46)</f>
        <v>44</v>
      </c>
      <c r="B46" s="303" t="s">
        <v>4671</v>
      </c>
      <c r="C46" s="303" t="s">
        <v>25</v>
      </c>
      <c r="D46" s="303" t="s">
        <v>34</v>
      </c>
      <c r="E46" s="303" t="s">
        <v>4659</v>
      </c>
      <c r="F46" s="304">
        <v>44936</v>
      </c>
      <c r="G46" s="304">
        <v>44938</v>
      </c>
      <c r="H46" s="304"/>
      <c r="I46" s="304">
        <v>44936</v>
      </c>
      <c r="J46" s="303" t="s">
        <v>4862</v>
      </c>
      <c r="K46" s="303" t="s">
        <v>1311</v>
      </c>
      <c r="L46" s="206">
        <v>45061</v>
      </c>
      <c r="M46" s="203" t="s">
        <v>2410</v>
      </c>
      <c r="O46" s="203"/>
      <c r="P46" s="203">
        <v>2074</v>
      </c>
      <c r="Q46" s="203" t="s">
        <v>39</v>
      </c>
      <c r="R46" s="203" t="s">
        <v>138</v>
      </c>
    </row>
    <row r="47" spans="1:18">
      <c r="A47" s="303">
        <f>COUNTA($D$3:$D$47)</f>
        <v>45</v>
      </c>
      <c r="B47" s="303" t="s">
        <v>4670</v>
      </c>
      <c r="C47" s="303" t="s">
        <v>25</v>
      </c>
      <c r="D47" s="303" t="s">
        <v>34</v>
      </c>
      <c r="E47" s="304" t="s">
        <v>3341</v>
      </c>
      <c r="F47" s="304">
        <v>44936</v>
      </c>
      <c r="G47" s="304">
        <v>44938</v>
      </c>
      <c r="H47" s="304"/>
      <c r="I47" s="304">
        <v>44936</v>
      </c>
      <c r="J47" s="303" t="s">
        <v>1677</v>
      </c>
      <c r="K47" s="305" t="s">
        <v>1311</v>
      </c>
      <c r="L47" s="206">
        <v>45061</v>
      </c>
      <c r="M47" s="203" t="s">
        <v>2410</v>
      </c>
      <c r="O47" s="203"/>
      <c r="P47" s="203">
        <v>1549</v>
      </c>
      <c r="Q47" s="203" t="s">
        <v>39</v>
      </c>
      <c r="R47" s="203" t="s">
        <v>138</v>
      </c>
    </row>
    <row r="48" spans="1:18">
      <c r="A48" s="303">
        <f>COUNTA($D$3:$D$48)</f>
        <v>46</v>
      </c>
      <c r="B48" s="303" t="s">
        <v>4669</v>
      </c>
      <c r="C48" s="303" t="s">
        <v>25</v>
      </c>
      <c r="D48" s="303" t="s">
        <v>34</v>
      </c>
      <c r="E48" s="304" t="s">
        <v>4658</v>
      </c>
      <c r="F48" s="304">
        <v>44936</v>
      </c>
      <c r="G48" s="304">
        <v>44938</v>
      </c>
      <c r="H48" s="304"/>
      <c r="I48" s="304">
        <v>44936</v>
      </c>
      <c r="J48" s="303" t="s">
        <v>4861</v>
      </c>
      <c r="K48" s="305" t="s">
        <v>1311</v>
      </c>
      <c r="L48" s="206">
        <v>45061</v>
      </c>
      <c r="M48" s="203" t="s">
        <v>2410</v>
      </c>
      <c r="O48" s="203"/>
      <c r="P48" s="203">
        <v>1810</v>
      </c>
      <c r="Q48" s="203" t="s">
        <v>39</v>
      </c>
      <c r="R48" s="203" t="s">
        <v>138</v>
      </c>
    </row>
    <row r="49" spans="1:18">
      <c r="A49" s="303">
        <f>COUNTA($D$3:$D$49)</f>
        <v>47</v>
      </c>
      <c r="B49" s="303" t="s">
        <v>4681</v>
      </c>
      <c r="C49" s="303" t="s">
        <v>45</v>
      </c>
      <c r="D49" s="303" t="s">
        <v>20</v>
      </c>
      <c r="E49" s="304" t="s">
        <v>1173</v>
      </c>
      <c r="F49" s="304" t="s">
        <v>70</v>
      </c>
      <c r="G49" s="304">
        <v>44942</v>
      </c>
      <c r="H49" s="304"/>
      <c r="I49" s="304" t="s">
        <v>70</v>
      </c>
      <c r="J49" s="303" t="s">
        <v>4864</v>
      </c>
      <c r="K49" s="305" t="s">
        <v>1310</v>
      </c>
      <c r="L49" s="206">
        <v>45061</v>
      </c>
      <c r="M49" s="203" t="s">
        <v>5355</v>
      </c>
      <c r="O49" s="203"/>
      <c r="P49" s="203">
        <v>3865</v>
      </c>
      <c r="Q49" s="203" t="s">
        <v>32</v>
      </c>
      <c r="R49" s="203" t="s">
        <v>138</v>
      </c>
    </row>
    <row r="50" spans="1:18">
      <c r="A50" s="303">
        <f>COUNTA($D$3:$D$50)</f>
        <v>48</v>
      </c>
      <c r="B50" s="303" t="s">
        <v>4697</v>
      </c>
      <c r="C50" s="303" t="s">
        <v>295</v>
      </c>
      <c r="D50" s="303" t="s">
        <v>38</v>
      </c>
      <c r="E50" s="304" t="s">
        <v>1265</v>
      </c>
      <c r="F50" s="304" t="s">
        <v>70</v>
      </c>
      <c r="G50" s="304">
        <v>44956</v>
      </c>
      <c r="H50" s="304"/>
      <c r="I50" s="304" t="s">
        <v>70</v>
      </c>
      <c r="J50" s="303" t="s">
        <v>1739</v>
      </c>
      <c r="K50" s="305" t="s">
        <v>2058</v>
      </c>
      <c r="L50" s="206">
        <v>45061</v>
      </c>
      <c r="M50" s="203" t="s">
        <v>5356</v>
      </c>
      <c r="O50" s="203" t="s">
        <v>1078</v>
      </c>
      <c r="P50" s="203">
        <v>2138</v>
      </c>
      <c r="Q50" s="203" t="s">
        <v>32</v>
      </c>
      <c r="R50" s="203" t="s">
        <v>26</v>
      </c>
    </row>
    <row r="51" spans="1:18">
      <c r="A51" s="303">
        <f>COUNTA($D$3:$D$51)</f>
        <v>49</v>
      </c>
      <c r="B51" s="303" t="s">
        <v>4688</v>
      </c>
      <c r="C51" s="303" t="s">
        <v>45</v>
      </c>
      <c r="D51" s="303" t="s">
        <v>1136</v>
      </c>
      <c r="E51" s="304" t="s">
        <v>3334</v>
      </c>
      <c r="F51" s="304" t="s">
        <v>70</v>
      </c>
      <c r="G51" s="304">
        <v>44942</v>
      </c>
      <c r="H51" s="304"/>
      <c r="I51" s="304" t="s">
        <v>70</v>
      </c>
      <c r="J51" s="303" t="s">
        <v>4689</v>
      </c>
      <c r="K51" s="305" t="s">
        <v>297</v>
      </c>
      <c r="L51" s="206">
        <v>45061</v>
      </c>
      <c r="M51" s="203" t="s">
        <v>5356</v>
      </c>
      <c r="O51" s="203" t="s">
        <v>1074</v>
      </c>
      <c r="P51" s="203">
        <v>2243</v>
      </c>
      <c r="Q51" s="203" t="s">
        <v>32</v>
      </c>
      <c r="R51" s="203" t="s">
        <v>26</v>
      </c>
    </row>
    <row r="52" spans="1:18">
      <c r="A52" s="303">
        <f>COUNTA($D$3:$D$52)</f>
        <v>50</v>
      </c>
      <c r="B52" s="303" t="s">
        <v>4981</v>
      </c>
      <c r="C52" s="303" t="s">
        <v>2802</v>
      </c>
      <c r="D52" s="303" t="s">
        <v>1136</v>
      </c>
      <c r="E52" s="304" t="s">
        <v>2803</v>
      </c>
      <c r="F52" s="304"/>
      <c r="G52" s="304"/>
      <c r="H52" s="304"/>
      <c r="I52" s="304"/>
      <c r="J52" s="303"/>
      <c r="K52" s="305" t="s">
        <v>22</v>
      </c>
      <c r="L52" s="206">
        <v>45027</v>
      </c>
      <c r="M52" s="203" t="s">
        <v>5105</v>
      </c>
      <c r="N52" s="204">
        <v>45083</v>
      </c>
      <c r="O52" s="203" t="s">
        <v>5597</v>
      </c>
      <c r="P52" s="203"/>
      <c r="Q52" s="203" t="s">
        <v>1065</v>
      </c>
      <c r="R52" s="203" t="s">
        <v>26</v>
      </c>
    </row>
    <row r="53" spans="1:18">
      <c r="A53" s="303">
        <f>COUNTA($D$3:$D$53)</f>
        <v>51</v>
      </c>
      <c r="B53" s="303" t="s">
        <v>4857</v>
      </c>
      <c r="C53" s="303" t="s">
        <v>2040</v>
      </c>
      <c r="D53" s="303" t="s">
        <v>1133</v>
      </c>
      <c r="E53" s="304" t="s">
        <v>2041</v>
      </c>
      <c r="F53" s="304"/>
      <c r="G53" s="304">
        <v>45005</v>
      </c>
      <c r="H53" s="304"/>
      <c r="I53" s="304"/>
      <c r="J53" s="303" t="s">
        <v>4858</v>
      </c>
      <c r="K53" s="305" t="s">
        <v>58</v>
      </c>
      <c r="L53" s="206">
        <v>45020</v>
      </c>
      <c r="M53" s="203"/>
      <c r="N53" s="204">
        <v>45017</v>
      </c>
      <c r="O53" s="203" t="s">
        <v>5719</v>
      </c>
      <c r="P53" s="242"/>
      <c r="Q53" s="203" t="s">
        <v>1041</v>
      </c>
      <c r="R53" s="203" t="s">
        <v>138</v>
      </c>
    </row>
    <row r="54" spans="1:18">
      <c r="A54" s="303">
        <f>COUNTA($D$3:$D$54)</f>
        <v>52</v>
      </c>
      <c r="B54" s="303" t="s">
        <v>4453</v>
      </c>
      <c r="C54" s="303" t="s">
        <v>2786</v>
      </c>
      <c r="D54" s="303" t="s">
        <v>20</v>
      </c>
      <c r="E54" s="304" t="s">
        <v>4454</v>
      </c>
      <c r="F54" s="304">
        <v>44910</v>
      </c>
      <c r="G54" s="304">
        <v>44902</v>
      </c>
      <c r="H54" s="304"/>
      <c r="I54" s="304">
        <v>44910</v>
      </c>
      <c r="J54" s="303" t="s">
        <v>4455</v>
      </c>
      <c r="K54" s="305" t="s">
        <v>1310</v>
      </c>
      <c r="L54" s="206">
        <v>45020</v>
      </c>
      <c r="M54" s="203"/>
      <c r="N54" s="204">
        <v>44925</v>
      </c>
      <c r="O54" s="203" t="s">
        <v>5060</v>
      </c>
      <c r="P54" s="203">
        <v>5399</v>
      </c>
      <c r="Q54" s="203" t="s">
        <v>39</v>
      </c>
      <c r="R54" s="203" t="s">
        <v>138</v>
      </c>
    </row>
    <row r="55" spans="1:18">
      <c r="A55" s="303">
        <f>COUNTA($D$3:$D$55)</f>
        <v>53</v>
      </c>
      <c r="B55" s="303" t="s">
        <v>4493</v>
      </c>
      <c r="C55" s="303" t="s">
        <v>25</v>
      </c>
      <c r="D55" s="303" t="s">
        <v>1181</v>
      </c>
      <c r="E55" s="304" t="s">
        <v>1283</v>
      </c>
      <c r="F55" s="304">
        <v>44909</v>
      </c>
      <c r="G55" s="304">
        <v>44909</v>
      </c>
      <c r="H55" s="304"/>
      <c r="I55" s="304">
        <v>44909</v>
      </c>
      <c r="J55" s="303" t="s">
        <v>4494</v>
      </c>
      <c r="K55" s="305" t="s">
        <v>1310</v>
      </c>
      <c r="L55" s="206">
        <v>45020</v>
      </c>
      <c r="M55" s="203"/>
      <c r="O55" s="203"/>
      <c r="P55" s="203">
        <v>6231</v>
      </c>
      <c r="Q55" s="203" t="s">
        <v>39</v>
      </c>
      <c r="R55" s="203" t="s">
        <v>138</v>
      </c>
    </row>
    <row r="56" spans="1:18">
      <c r="A56" s="303">
        <f>COUNTA($D$3:$D$56)</f>
        <v>54</v>
      </c>
      <c r="B56" s="303" t="s">
        <v>4452</v>
      </c>
      <c r="C56" s="303" t="s">
        <v>3067</v>
      </c>
      <c r="D56" s="303" t="s">
        <v>111</v>
      </c>
      <c r="E56" s="304" t="s">
        <v>3068</v>
      </c>
      <c r="F56" s="304">
        <v>44910</v>
      </c>
      <c r="G56" s="304">
        <v>44909</v>
      </c>
      <c r="H56" s="304"/>
      <c r="I56" s="304">
        <v>44910</v>
      </c>
      <c r="J56" s="303" t="s">
        <v>2823</v>
      </c>
      <c r="K56" s="305" t="s">
        <v>1310</v>
      </c>
      <c r="L56" s="206">
        <v>45020</v>
      </c>
      <c r="M56" s="203"/>
      <c r="N56" s="204">
        <v>45070</v>
      </c>
      <c r="O56" s="203" t="s">
        <v>5720</v>
      </c>
      <c r="P56" s="203">
        <v>6520</v>
      </c>
      <c r="Q56" s="203" t="s">
        <v>39</v>
      </c>
      <c r="R56" s="203" t="s">
        <v>138</v>
      </c>
    </row>
    <row r="57" spans="1:18">
      <c r="A57" s="303">
        <f>COUNTA($D$3:$D$57)</f>
        <v>55</v>
      </c>
      <c r="B57" s="303" t="s">
        <v>4466</v>
      </c>
      <c r="C57" s="303" t="s">
        <v>25</v>
      </c>
      <c r="D57" s="303" t="s">
        <v>38</v>
      </c>
      <c r="E57" s="304" t="s">
        <v>3806</v>
      </c>
      <c r="F57" s="304">
        <v>44913</v>
      </c>
      <c r="G57" s="304">
        <v>44904</v>
      </c>
      <c r="H57" s="304"/>
      <c r="I57" s="304">
        <v>44913</v>
      </c>
      <c r="J57" s="303" t="s">
        <v>1687</v>
      </c>
      <c r="K57" s="305" t="s">
        <v>1310</v>
      </c>
      <c r="L57" s="206">
        <v>45020</v>
      </c>
      <c r="M57" s="203"/>
      <c r="O57" s="203"/>
      <c r="P57" s="203">
        <v>3297</v>
      </c>
      <c r="Q57" s="203" t="s">
        <v>39</v>
      </c>
      <c r="R57" s="203" t="s">
        <v>138</v>
      </c>
    </row>
    <row r="58" spans="1:18">
      <c r="A58" s="303">
        <f>COUNTA($D$3:$D$58)</f>
        <v>56</v>
      </c>
      <c r="B58" s="303" t="s">
        <v>4613</v>
      </c>
      <c r="C58" s="303" t="s">
        <v>41</v>
      </c>
      <c r="D58" s="303" t="s">
        <v>38</v>
      </c>
      <c r="E58" s="304" t="s">
        <v>3401</v>
      </c>
      <c r="F58" s="304">
        <v>44957</v>
      </c>
      <c r="G58" s="304">
        <v>44935</v>
      </c>
      <c r="H58" s="304"/>
      <c r="I58" s="304">
        <v>44957</v>
      </c>
      <c r="J58" s="303" t="s">
        <v>4646</v>
      </c>
      <c r="K58" s="305" t="s">
        <v>1310</v>
      </c>
      <c r="L58" s="206">
        <v>45020</v>
      </c>
      <c r="M58" s="203"/>
      <c r="O58" s="203" t="s">
        <v>72</v>
      </c>
      <c r="P58" s="242">
        <v>2476</v>
      </c>
      <c r="Q58" s="203" t="s">
        <v>39</v>
      </c>
      <c r="R58" s="203" t="s">
        <v>138</v>
      </c>
    </row>
    <row r="59" spans="1:18">
      <c r="A59" s="303">
        <f>COUNTA($D$3:$D$59)</f>
        <v>57</v>
      </c>
      <c r="B59" s="303" t="s">
        <v>4609</v>
      </c>
      <c r="C59" s="303" t="s">
        <v>41</v>
      </c>
      <c r="D59" s="303" t="s">
        <v>34</v>
      </c>
      <c r="E59" s="304" t="s">
        <v>3393</v>
      </c>
      <c r="F59" s="304">
        <v>44957</v>
      </c>
      <c r="G59" s="304">
        <v>44935</v>
      </c>
      <c r="H59" s="304"/>
      <c r="I59" s="304">
        <v>44957</v>
      </c>
      <c r="J59" s="303" t="s">
        <v>4645</v>
      </c>
      <c r="K59" s="305" t="s">
        <v>1310</v>
      </c>
      <c r="L59" s="206">
        <v>45020</v>
      </c>
      <c r="M59" s="203"/>
      <c r="O59" s="203" t="s">
        <v>72</v>
      </c>
      <c r="P59" s="203">
        <v>3514</v>
      </c>
      <c r="Q59" s="203" t="s">
        <v>39</v>
      </c>
      <c r="R59" s="203" t="s">
        <v>138</v>
      </c>
    </row>
    <row r="60" spans="1:18">
      <c r="A60" s="303">
        <f>COUNTA($D$3:$D$60)</f>
        <v>58</v>
      </c>
      <c r="B60" s="303" t="s">
        <v>4474</v>
      </c>
      <c r="C60" s="303" t="s">
        <v>25</v>
      </c>
      <c r="D60" s="303" t="s">
        <v>38</v>
      </c>
      <c r="E60" s="304" t="s">
        <v>3720</v>
      </c>
      <c r="F60" s="304">
        <v>44913</v>
      </c>
      <c r="G60" s="304">
        <v>44907</v>
      </c>
      <c r="H60" s="304"/>
      <c r="I60" s="304">
        <v>44913</v>
      </c>
      <c r="J60" s="303" t="s">
        <v>4475</v>
      </c>
      <c r="K60" s="305" t="s">
        <v>1310</v>
      </c>
      <c r="L60" s="206">
        <v>45020</v>
      </c>
      <c r="M60" s="203"/>
      <c r="O60" s="203"/>
      <c r="P60" s="203">
        <v>11164</v>
      </c>
      <c r="Q60" s="203" t="s">
        <v>39</v>
      </c>
      <c r="R60" s="203" t="s">
        <v>138</v>
      </c>
    </row>
    <row r="61" spans="1:18">
      <c r="A61" s="303">
        <f>COUNTA($D$3:$D$61)</f>
        <v>59</v>
      </c>
      <c r="B61" s="303" t="s">
        <v>4477</v>
      </c>
      <c r="C61" s="303" t="s">
        <v>25</v>
      </c>
      <c r="D61" s="303" t="s">
        <v>38</v>
      </c>
      <c r="E61" s="304" t="s">
        <v>3740</v>
      </c>
      <c r="F61" s="304">
        <v>44913</v>
      </c>
      <c r="G61" s="304">
        <v>44907</v>
      </c>
      <c r="H61" s="304"/>
      <c r="I61" s="304">
        <v>44913</v>
      </c>
      <c r="J61" s="303" t="s">
        <v>3878</v>
      </c>
      <c r="K61" s="305" t="s">
        <v>1302</v>
      </c>
      <c r="L61" s="206">
        <v>45020</v>
      </c>
      <c r="M61" s="203"/>
      <c r="O61" s="203"/>
      <c r="P61" s="203">
        <v>8687</v>
      </c>
      <c r="Q61" s="203" t="s">
        <v>39</v>
      </c>
      <c r="R61" s="203" t="s">
        <v>138</v>
      </c>
    </row>
    <row r="62" spans="1:18">
      <c r="A62" s="303">
        <f>COUNTA($D$3:$D$62)</f>
        <v>60</v>
      </c>
      <c r="B62" s="303" t="s">
        <v>4476</v>
      </c>
      <c r="C62" s="303" t="s">
        <v>25</v>
      </c>
      <c r="D62" s="303" t="s">
        <v>1092</v>
      </c>
      <c r="E62" s="303" t="s">
        <v>3810</v>
      </c>
      <c r="F62" s="304">
        <v>44913</v>
      </c>
      <c r="G62" s="304">
        <v>44907</v>
      </c>
      <c r="H62" s="304"/>
      <c r="I62" s="304">
        <v>44913</v>
      </c>
      <c r="J62" s="303" t="s">
        <v>1891</v>
      </c>
      <c r="K62" s="305" t="s">
        <v>1310</v>
      </c>
      <c r="L62" s="206">
        <v>45020</v>
      </c>
      <c r="M62" s="205"/>
      <c r="O62" s="203"/>
      <c r="P62" s="203">
        <v>8294</v>
      </c>
      <c r="Q62" s="203" t="s">
        <v>39</v>
      </c>
      <c r="R62" s="203" t="s">
        <v>138</v>
      </c>
    </row>
    <row r="63" spans="1:18">
      <c r="A63" s="303">
        <f>COUNTA($D$3:$D$63)</f>
        <v>61</v>
      </c>
      <c r="B63" s="303" t="s">
        <v>4471</v>
      </c>
      <c r="C63" s="303" t="s">
        <v>1248</v>
      </c>
      <c r="D63" s="303" t="s">
        <v>62</v>
      </c>
      <c r="E63" s="304" t="s">
        <v>1249</v>
      </c>
      <c r="F63" s="304">
        <v>44908</v>
      </c>
      <c r="G63" s="304">
        <v>44904</v>
      </c>
      <c r="H63" s="304"/>
      <c r="I63" s="304">
        <v>44908</v>
      </c>
      <c r="J63" s="303" t="s">
        <v>1685</v>
      </c>
      <c r="K63" s="305" t="s">
        <v>2058</v>
      </c>
      <c r="L63" s="206">
        <v>45020</v>
      </c>
      <c r="M63" s="203"/>
      <c r="N63" s="204">
        <v>45083</v>
      </c>
      <c r="O63" s="203" t="s">
        <v>5597</v>
      </c>
      <c r="P63" s="203">
        <v>2376</v>
      </c>
      <c r="Q63" s="203" t="s">
        <v>39</v>
      </c>
      <c r="R63" s="203" t="s">
        <v>26</v>
      </c>
    </row>
    <row r="64" spans="1:18">
      <c r="A64" s="303">
        <f>COUNTA($D$3:$D$64)</f>
        <v>62</v>
      </c>
      <c r="B64" s="303" t="s">
        <v>4468</v>
      </c>
      <c r="C64" s="303" t="s">
        <v>1118</v>
      </c>
      <c r="D64" s="303" t="s">
        <v>23</v>
      </c>
      <c r="E64" s="304" t="s">
        <v>4469</v>
      </c>
      <c r="F64" s="304">
        <v>44914</v>
      </c>
      <c r="G64" s="304">
        <v>44907</v>
      </c>
      <c r="H64" s="304"/>
      <c r="I64" s="304">
        <v>44914</v>
      </c>
      <c r="J64" s="303" t="s">
        <v>4483</v>
      </c>
      <c r="K64" s="305" t="s">
        <v>1310</v>
      </c>
      <c r="L64" s="206">
        <v>45020</v>
      </c>
      <c r="M64" s="203"/>
      <c r="O64" s="203"/>
      <c r="P64" s="203">
        <v>9835</v>
      </c>
      <c r="Q64" s="203" t="s">
        <v>39</v>
      </c>
      <c r="R64" s="203" t="s">
        <v>138</v>
      </c>
    </row>
    <row r="65" spans="1:18">
      <c r="A65" s="303">
        <f>COUNTA($D$3:$D$65)</f>
        <v>63</v>
      </c>
      <c r="B65" s="303" t="s">
        <v>4467</v>
      </c>
      <c r="C65" s="303" t="s">
        <v>25</v>
      </c>
      <c r="D65" s="303" t="s">
        <v>34</v>
      </c>
      <c r="E65" s="304" t="s">
        <v>1906</v>
      </c>
      <c r="F65" s="304">
        <v>44913</v>
      </c>
      <c r="G65" s="304">
        <v>44904</v>
      </c>
      <c r="H65" s="304"/>
      <c r="I65" s="304">
        <v>44913</v>
      </c>
      <c r="J65" s="303" t="s">
        <v>3878</v>
      </c>
      <c r="K65" s="305" t="s">
        <v>1302</v>
      </c>
      <c r="L65" s="206">
        <v>45020</v>
      </c>
      <c r="M65" s="203"/>
      <c r="O65" s="203"/>
      <c r="P65" s="203">
        <v>7946</v>
      </c>
      <c r="Q65" s="203" t="s">
        <v>39</v>
      </c>
      <c r="R65" s="203" t="s">
        <v>138</v>
      </c>
    </row>
    <row r="66" spans="1:18">
      <c r="A66" s="303">
        <f>COUNTA($D$3:$D$66)</f>
        <v>64</v>
      </c>
      <c r="B66" s="303" t="s">
        <v>4464</v>
      </c>
      <c r="C66" s="303" t="s">
        <v>3897</v>
      </c>
      <c r="D66" s="303" t="s">
        <v>68</v>
      </c>
      <c r="E66" s="304" t="s">
        <v>4465</v>
      </c>
      <c r="F66" s="304">
        <v>44932</v>
      </c>
      <c r="G66" s="304">
        <v>44907</v>
      </c>
      <c r="H66" s="304"/>
      <c r="I66" s="304">
        <v>44932</v>
      </c>
      <c r="J66" s="303" t="s">
        <v>1500</v>
      </c>
      <c r="K66" s="305" t="s">
        <v>1310</v>
      </c>
      <c r="L66" s="206">
        <v>45020</v>
      </c>
      <c r="M66" s="203"/>
      <c r="N66" s="204">
        <v>45051</v>
      </c>
      <c r="O66" s="203"/>
      <c r="P66" s="203">
        <v>1041</v>
      </c>
      <c r="Q66" s="203" t="s">
        <v>39</v>
      </c>
      <c r="R66" s="203" t="s">
        <v>138</v>
      </c>
    </row>
    <row r="67" spans="1:18">
      <c r="A67" s="303">
        <f>COUNTA($D$3:$D$67)</f>
        <v>65</v>
      </c>
      <c r="B67" s="303" t="s">
        <v>4462</v>
      </c>
      <c r="C67" s="303" t="s">
        <v>25</v>
      </c>
      <c r="D67" s="303" t="s">
        <v>34</v>
      </c>
      <c r="E67" s="304" t="s">
        <v>3185</v>
      </c>
      <c r="F67" s="304">
        <v>44913</v>
      </c>
      <c r="G67" s="304">
        <v>44904</v>
      </c>
      <c r="H67" s="304">
        <v>44921</v>
      </c>
      <c r="I67" s="304">
        <v>44913</v>
      </c>
      <c r="J67" s="303" t="s">
        <v>1674</v>
      </c>
      <c r="K67" s="305" t="s">
        <v>1302</v>
      </c>
      <c r="L67" s="206">
        <v>45020</v>
      </c>
      <c r="M67" s="203"/>
      <c r="O67" s="203"/>
      <c r="P67" s="203">
        <v>1594</v>
      </c>
      <c r="Q67" s="203" t="s">
        <v>39</v>
      </c>
      <c r="R67" s="203" t="s">
        <v>138</v>
      </c>
    </row>
    <row r="68" spans="1:18">
      <c r="A68" s="303">
        <f>COUNTA($D$3:$D$68)</f>
        <v>66</v>
      </c>
      <c r="B68" s="303" t="s">
        <v>4501</v>
      </c>
      <c r="C68" s="303" t="s">
        <v>25</v>
      </c>
      <c r="D68" s="303" t="s">
        <v>20</v>
      </c>
      <c r="E68" s="304" t="s">
        <v>4502</v>
      </c>
      <c r="F68" s="304">
        <v>44909</v>
      </c>
      <c r="G68" s="304">
        <v>44909</v>
      </c>
      <c r="H68" s="304"/>
      <c r="I68" s="304">
        <v>44909</v>
      </c>
      <c r="J68" s="303" t="s">
        <v>4503</v>
      </c>
      <c r="K68" s="305" t="s">
        <v>1310</v>
      </c>
      <c r="L68" s="206">
        <v>45020</v>
      </c>
      <c r="M68" s="207"/>
      <c r="O68" s="203"/>
      <c r="P68" s="203">
        <v>7887</v>
      </c>
      <c r="Q68" s="203" t="s">
        <v>39</v>
      </c>
      <c r="R68" s="203" t="s">
        <v>138</v>
      </c>
    </row>
    <row r="69" spans="1:18">
      <c r="A69" s="303">
        <f>COUNTA($D$3:$D$69)</f>
        <v>67</v>
      </c>
      <c r="B69" s="303" t="s">
        <v>4485</v>
      </c>
      <c r="C69" s="303" t="s">
        <v>25</v>
      </c>
      <c r="D69" s="303" t="s">
        <v>1181</v>
      </c>
      <c r="E69" s="304" t="s">
        <v>1274</v>
      </c>
      <c r="F69" s="304">
        <v>44908</v>
      </c>
      <c r="G69" s="304">
        <v>44909</v>
      </c>
      <c r="H69" s="304"/>
      <c r="I69" s="304">
        <v>44908</v>
      </c>
      <c r="J69" s="303" t="s">
        <v>4486</v>
      </c>
      <c r="K69" s="305" t="s">
        <v>1310</v>
      </c>
      <c r="L69" s="206">
        <v>45020</v>
      </c>
      <c r="M69" s="203"/>
      <c r="O69" s="203"/>
      <c r="P69" s="203">
        <v>5486</v>
      </c>
      <c r="Q69" s="203" t="s">
        <v>39</v>
      </c>
      <c r="R69" s="203" t="s">
        <v>138</v>
      </c>
    </row>
    <row r="70" spans="1:18">
      <c r="A70" s="303">
        <f>COUNTA($D$3:$D$70)</f>
        <v>68</v>
      </c>
      <c r="B70" s="303" t="s">
        <v>4605</v>
      </c>
      <c r="C70" s="303" t="s">
        <v>41</v>
      </c>
      <c r="D70" s="303" t="s">
        <v>34</v>
      </c>
      <c r="E70" s="304" t="s">
        <v>3403</v>
      </c>
      <c r="F70" s="304">
        <v>44957</v>
      </c>
      <c r="G70" s="304">
        <v>44935</v>
      </c>
      <c r="H70" s="304"/>
      <c r="I70" s="304">
        <v>44957</v>
      </c>
      <c r="J70" s="303" t="s">
        <v>4644</v>
      </c>
      <c r="K70" s="305" t="s">
        <v>1310</v>
      </c>
      <c r="L70" s="206">
        <v>45020</v>
      </c>
      <c r="M70" s="203"/>
      <c r="O70" s="203" t="s">
        <v>72</v>
      </c>
      <c r="P70" s="203">
        <v>2388</v>
      </c>
      <c r="Q70" s="203" t="s">
        <v>39</v>
      </c>
      <c r="R70" s="203" t="s">
        <v>138</v>
      </c>
    </row>
    <row r="71" spans="1:18">
      <c r="A71" s="303">
        <f>COUNTA($D$3:$D$71)</f>
        <v>69</v>
      </c>
      <c r="B71" s="303" t="s">
        <v>4481</v>
      </c>
      <c r="C71" s="303" t="s">
        <v>25</v>
      </c>
      <c r="D71" s="303" t="s">
        <v>34</v>
      </c>
      <c r="E71" s="304" t="s">
        <v>3729</v>
      </c>
      <c r="F71" s="304">
        <v>44909</v>
      </c>
      <c r="G71" s="304">
        <v>44909</v>
      </c>
      <c r="H71" s="304"/>
      <c r="I71" s="304">
        <v>44909</v>
      </c>
      <c r="J71" s="303" t="s">
        <v>4482</v>
      </c>
      <c r="K71" s="305" t="s">
        <v>1310</v>
      </c>
      <c r="L71" s="206">
        <v>45020</v>
      </c>
      <c r="M71" s="203"/>
      <c r="O71" s="203"/>
      <c r="P71" s="203">
        <v>10400</v>
      </c>
      <c r="Q71" s="203" t="s">
        <v>39</v>
      </c>
      <c r="R71" s="203" t="s">
        <v>138</v>
      </c>
    </row>
    <row r="72" spans="1:18">
      <c r="A72" s="303">
        <f>COUNTA($D$3:$D$72)</f>
        <v>70</v>
      </c>
      <c r="B72" s="303" t="s">
        <v>4504</v>
      </c>
      <c r="C72" s="303" t="s">
        <v>25</v>
      </c>
      <c r="D72" s="303" t="s">
        <v>36</v>
      </c>
      <c r="E72" s="304" t="s">
        <v>3717</v>
      </c>
      <c r="F72" s="304">
        <v>44909</v>
      </c>
      <c r="G72" s="304">
        <v>44909</v>
      </c>
      <c r="H72" s="304"/>
      <c r="I72" s="304">
        <v>44909</v>
      </c>
      <c r="J72" s="303" t="s">
        <v>4505</v>
      </c>
      <c r="K72" s="305" t="s">
        <v>1310</v>
      </c>
      <c r="L72" s="206">
        <v>45020</v>
      </c>
      <c r="M72" s="203"/>
      <c r="O72" s="203"/>
      <c r="P72" s="203">
        <v>8759</v>
      </c>
      <c r="Q72" s="203" t="s">
        <v>39</v>
      </c>
      <c r="R72" s="203" t="s">
        <v>138</v>
      </c>
    </row>
    <row r="73" spans="1:18">
      <c r="A73" s="303">
        <f>COUNTA($D$3:$D$73)</f>
        <v>71</v>
      </c>
      <c r="B73" s="303" t="s">
        <v>4506</v>
      </c>
      <c r="C73" s="303" t="s">
        <v>25</v>
      </c>
      <c r="D73" s="303" t="s">
        <v>36</v>
      </c>
      <c r="E73" s="304" t="s">
        <v>3716</v>
      </c>
      <c r="F73" s="304">
        <v>44909</v>
      </c>
      <c r="G73" s="304">
        <v>44909</v>
      </c>
      <c r="H73" s="304"/>
      <c r="I73" s="304">
        <v>44909</v>
      </c>
      <c r="J73" s="303" t="s">
        <v>4507</v>
      </c>
      <c r="K73" s="305" t="s">
        <v>1302</v>
      </c>
      <c r="L73" s="206">
        <v>45020</v>
      </c>
      <c r="M73" s="203"/>
      <c r="O73" s="203"/>
      <c r="P73" s="203">
        <v>8106</v>
      </c>
      <c r="Q73" s="203" t="s">
        <v>39</v>
      </c>
      <c r="R73" s="203" t="s">
        <v>138</v>
      </c>
    </row>
    <row r="74" spans="1:18">
      <c r="A74" s="303">
        <f>COUNTA($D$3:$D$74)</f>
        <v>72</v>
      </c>
      <c r="B74" s="303" t="s">
        <v>4497</v>
      </c>
      <c r="C74" s="303" t="s">
        <v>25</v>
      </c>
      <c r="D74" s="303" t="s">
        <v>34</v>
      </c>
      <c r="E74" s="304" t="s">
        <v>3714</v>
      </c>
      <c r="F74" s="304">
        <v>44909</v>
      </c>
      <c r="G74" s="304">
        <v>44909</v>
      </c>
      <c r="H74" s="304"/>
      <c r="I74" s="304">
        <v>44909</v>
      </c>
      <c r="J74" s="303" t="s">
        <v>4498</v>
      </c>
      <c r="K74" s="305" t="s">
        <v>1302</v>
      </c>
      <c r="L74" s="206">
        <v>45020</v>
      </c>
      <c r="M74" s="203"/>
      <c r="O74" s="203"/>
      <c r="P74" s="203">
        <v>9272</v>
      </c>
      <c r="Q74" s="203" t="s">
        <v>39</v>
      </c>
      <c r="R74" s="203" t="s">
        <v>138</v>
      </c>
    </row>
    <row r="75" spans="1:18">
      <c r="A75" s="303">
        <f>COUNTA($D$3:$D$75)</f>
        <v>73</v>
      </c>
      <c r="B75" s="303" t="s">
        <v>4495</v>
      </c>
      <c r="C75" s="303" t="s">
        <v>25</v>
      </c>
      <c r="D75" s="303" t="s">
        <v>38</v>
      </c>
      <c r="E75" s="304" t="s">
        <v>3707</v>
      </c>
      <c r="F75" s="304">
        <v>44909</v>
      </c>
      <c r="G75" s="304">
        <v>44909</v>
      </c>
      <c r="H75" s="304"/>
      <c r="I75" s="304">
        <v>44909</v>
      </c>
      <c r="J75" s="303" t="s">
        <v>4496</v>
      </c>
      <c r="K75" s="305" t="s">
        <v>1310</v>
      </c>
      <c r="L75" s="206">
        <v>45020</v>
      </c>
      <c r="M75" s="203"/>
      <c r="O75" s="203"/>
      <c r="P75" s="203">
        <v>6088</v>
      </c>
      <c r="Q75" s="203" t="s">
        <v>39</v>
      </c>
      <c r="R75" s="203" t="s">
        <v>138</v>
      </c>
    </row>
    <row r="76" spans="1:18">
      <c r="A76" s="303">
        <f>COUNTA($D$3:$D$76)</f>
        <v>74</v>
      </c>
      <c r="B76" s="303" t="s">
        <v>4470</v>
      </c>
      <c r="C76" s="303" t="s">
        <v>69</v>
      </c>
      <c r="D76" s="303" t="s">
        <v>35</v>
      </c>
      <c r="E76" s="304" t="s">
        <v>1241</v>
      </c>
      <c r="F76" s="304">
        <v>44909</v>
      </c>
      <c r="G76" s="304">
        <v>44909</v>
      </c>
      <c r="H76" s="304"/>
      <c r="I76" s="304">
        <v>44909</v>
      </c>
      <c r="J76" s="303" t="s">
        <v>1773</v>
      </c>
      <c r="K76" s="305" t="s">
        <v>297</v>
      </c>
      <c r="L76" s="206">
        <v>45020</v>
      </c>
      <c r="M76" s="203"/>
      <c r="O76" s="203" t="s">
        <v>1078</v>
      </c>
      <c r="P76" s="203">
        <v>8158</v>
      </c>
      <c r="Q76" s="203" t="s">
        <v>39</v>
      </c>
      <c r="R76" s="203" t="s">
        <v>26</v>
      </c>
    </row>
    <row r="77" spans="1:18">
      <c r="A77" s="303">
        <f>COUNTA($D$3:$D$77)</f>
        <v>75</v>
      </c>
      <c r="B77" s="303" t="s">
        <v>4509</v>
      </c>
      <c r="C77" s="303" t="s">
        <v>25</v>
      </c>
      <c r="D77" s="303" t="s">
        <v>34</v>
      </c>
      <c r="E77" s="304" t="s">
        <v>1219</v>
      </c>
      <c r="F77" s="304">
        <v>44911</v>
      </c>
      <c r="G77" s="304">
        <v>44910</v>
      </c>
      <c r="H77" s="304"/>
      <c r="I77" s="304">
        <v>44911</v>
      </c>
      <c r="J77" s="303" t="s">
        <v>4510</v>
      </c>
      <c r="K77" s="305" t="s">
        <v>1310</v>
      </c>
      <c r="L77" s="206">
        <v>45020</v>
      </c>
      <c r="M77" s="203"/>
      <c r="O77" s="203"/>
      <c r="P77" s="203">
        <v>4630</v>
      </c>
      <c r="Q77" s="203" t="s">
        <v>39</v>
      </c>
      <c r="R77" s="203" t="s">
        <v>138</v>
      </c>
    </row>
    <row r="78" spans="1:18">
      <c r="A78" s="303">
        <f>COUNTA($D$3:$D$78)</f>
        <v>76</v>
      </c>
      <c r="B78" s="303" t="s">
        <v>4536</v>
      </c>
      <c r="C78" s="303" t="s">
        <v>25</v>
      </c>
      <c r="D78" s="303" t="s">
        <v>1279</v>
      </c>
      <c r="E78" s="304" t="s">
        <v>3506</v>
      </c>
      <c r="F78" s="304">
        <v>44911</v>
      </c>
      <c r="G78" s="304">
        <v>44910</v>
      </c>
      <c r="H78" s="304"/>
      <c r="I78" s="304">
        <v>44911</v>
      </c>
      <c r="J78" s="303" t="s">
        <v>1105</v>
      </c>
      <c r="K78" s="305" t="s">
        <v>1310</v>
      </c>
      <c r="L78" s="206">
        <v>45020</v>
      </c>
      <c r="M78" s="203"/>
      <c r="O78" s="203"/>
      <c r="P78" s="203">
        <v>2042</v>
      </c>
      <c r="Q78" s="203" t="s">
        <v>3640</v>
      </c>
      <c r="R78" s="203" t="s">
        <v>138</v>
      </c>
    </row>
    <row r="79" spans="1:18">
      <c r="A79" s="303">
        <f>COUNTA($D$3:$D$79)</f>
        <v>77</v>
      </c>
      <c r="B79" s="303" t="s">
        <v>4537</v>
      </c>
      <c r="C79" s="303" t="s">
        <v>25</v>
      </c>
      <c r="D79" s="303" t="s">
        <v>31</v>
      </c>
      <c r="E79" s="304" t="s">
        <v>3336</v>
      </c>
      <c r="F79" s="304">
        <v>44911</v>
      </c>
      <c r="G79" s="304">
        <v>44910</v>
      </c>
      <c r="H79" s="304"/>
      <c r="I79" s="304">
        <v>44911</v>
      </c>
      <c r="J79" s="303" t="s">
        <v>1105</v>
      </c>
      <c r="K79" s="305" t="s">
        <v>1310</v>
      </c>
      <c r="L79" s="206">
        <v>45020</v>
      </c>
      <c r="M79" s="203"/>
      <c r="O79" s="203"/>
      <c r="P79" s="203">
        <v>10212</v>
      </c>
      <c r="Q79" s="203" t="s">
        <v>3640</v>
      </c>
      <c r="R79" s="203" t="s">
        <v>138</v>
      </c>
    </row>
    <row r="80" spans="1:18">
      <c r="A80" s="303">
        <f>COUNTA($D$3:$D$80)</f>
        <v>78</v>
      </c>
      <c r="B80" s="303" t="s">
        <v>4540</v>
      </c>
      <c r="C80" s="303" t="s">
        <v>25</v>
      </c>
      <c r="D80" s="303" t="s">
        <v>49</v>
      </c>
      <c r="E80" s="304" t="s">
        <v>3338</v>
      </c>
      <c r="F80" s="304">
        <v>44914</v>
      </c>
      <c r="G80" s="304"/>
      <c r="H80" s="304"/>
      <c r="I80" s="304">
        <v>44914</v>
      </c>
      <c r="J80" s="303" t="s">
        <v>1654</v>
      </c>
      <c r="K80" s="305" t="s">
        <v>1310</v>
      </c>
      <c r="L80" s="206">
        <v>45020</v>
      </c>
      <c r="M80" s="203"/>
      <c r="O80" s="203"/>
      <c r="P80" s="203">
        <v>1545</v>
      </c>
      <c r="Q80" s="203" t="s">
        <v>3640</v>
      </c>
      <c r="R80" s="203" t="s">
        <v>138</v>
      </c>
    </row>
    <row r="81" spans="1:18">
      <c r="A81" s="303">
        <f>COUNTA($D$3:$D$81)</f>
        <v>79</v>
      </c>
      <c r="B81" s="303" t="s">
        <v>4531</v>
      </c>
      <c r="C81" s="303" t="s">
        <v>25</v>
      </c>
      <c r="D81" s="303" t="s">
        <v>38</v>
      </c>
      <c r="E81" s="304" t="s">
        <v>3718</v>
      </c>
      <c r="F81" s="304">
        <v>44923</v>
      </c>
      <c r="G81" s="304">
        <v>44921</v>
      </c>
      <c r="H81" s="304"/>
      <c r="I81" s="304">
        <v>44923</v>
      </c>
      <c r="J81" s="303" t="s">
        <v>4532</v>
      </c>
      <c r="K81" s="305" t="s">
        <v>1311</v>
      </c>
      <c r="L81" s="206">
        <v>45020</v>
      </c>
      <c r="M81" s="203"/>
      <c r="O81" s="203"/>
      <c r="P81" s="203">
        <v>3290</v>
      </c>
      <c r="Q81" s="203" t="s">
        <v>39</v>
      </c>
      <c r="R81" s="203" t="s">
        <v>138</v>
      </c>
    </row>
    <row r="82" spans="1:18">
      <c r="A82" s="303">
        <f>COUNTA($D$3:$D$82)</f>
        <v>80</v>
      </c>
      <c r="B82" s="303" t="s">
        <v>4530</v>
      </c>
      <c r="C82" s="303" t="s">
        <v>25</v>
      </c>
      <c r="D82" s="303" t="s">
        <v>3191</v>
      </c>
      <c r="E82" s="304" t="s">
        <v>3192</v>
      </c>
      <c r="F82" s="304">
        <v>44911</v>
      </c>
      <c r="G82" s="304">
        <v>44910</v>
      </c>
      <c r="H82" s="304"/>
      <c r="I82" s="304">
        <v>44911</v>
      </c>
      <c r="J82" s="303" t="s">
        <v>3193</v>
      </c>
      <c r="K82" s="305" t="s">
        <v>1310</v>
      </c>
      <c r="L82" s="206">
        <v>45020</v>
      </c>
      <c r="M82" s="203"/>
      <c r="O82" s="203"/>
      <c r="P82" s="203">
        <v>10962</v>
      </c>
      <c r="Q82" s="203" t="s">
        <v>39</v>
      </c>
      <c r="R82" s="203" t="s">
        <v>138</v>
      </c>
    </row>
    <row r="83" spans="1:18">
      <c r="A83" s="303">
        <f>COUNTA($D$3:$D$83)</f>
        <v>81</v>
      </c>
      <c r="B83" s="303" t="s">
        <v>4533</v>
      </c>
      <c r="C83" s="303" t="s">
        <v>25</v>
      </c>
      <c r="D83" s="303" t="s">
        <v>34</v>
      </c>
      <c r="E83" s="304" t="s">
        <v>1266</v>
      </c>
      <c r="F83" s="304">
        <v>44911</v>
      </c>
      <c r="G83" s="304">
        <v>44910</v>
      </c>
      <c r="H83" s="304"/>
      <c r="I83" s="304">
        <v>44911</v>
      </c>
      <c r="J83" s="303" t="s">
        <v>2282</v>
      </c>
      <c r="K83" s="305" t="s">
        <v>1302</v>
      </c>
      <c r="L83" s="206">
        <v>45020</v>
      </c>
      <c r="M83" s="203"/>
      <c r="O83" s="203"/>
      <c r="P83" s="203">
        <v>2964</v>
      </c>
      <c r="Q83" s="203" t="s">
        <v>39</v>
      </c>
      <c r="R83" s="203" t="s">
        <v>138</v>
      </c>
    </row>
    <row r="84" spans="1:18">
      <c r="A84" s="303">
        <f>COUNTA($D$3:$D$84)</f>
        <v>82</v>
      </c>
      <c r="B84" s="303" t="s">
        <v>4534</v>
      </c>
      <c r="C84" s="303" t="s">
        <v>25</v>
      </c>
      <c r="D84" s="303" t="s">
        <v>36</v>
      </c>
      <c r="E84" s="304" t="s">
        <v>3722</v>
      </c>
      <c r="F84" s="304">
        <v>44911</v>
      </c>
      <c r="G84" s="304">
        <v>44910</v>
      </c>
      <c r="H84" s="304"/>
      <c r="I84" s="304">
        <v>44911</v>
      </c>
      <c r="J84" s="303" t="s">
        <v>4535</v>
      </c>
      <c r="K84" s="305" t="s">
        <v>1310</v>
      </c>
      <c r="L84" s="206">
        <v>45020</v>
      </c>
      <c r="M84" s="203"/>
      <c r="O84" s="203"/>
      <c r="P84" s="203">
        <v>4953</v>
      </c>
      <c r="Q84" s="203" t="s">
        <v>39</v>
      </c>
      <c r="R84" s="203" t="s">
        <v>138</v>
      </c>
    </row>
    <row r="85" spans="1:18">
      <c r="A85" s="303">
        <f>COUNTA($D$3:$D$85)</f>
        <v>83</v>
      </c>
      <c r="B85" s="303" t="s">
        <v>4538</v>
      </c>
      <c r="C85" s="303" t="s">
        <v>25</v>
      </c>
      <c r="D85" s="303" t="s">
        <v>20</v>
      </c>
      <c r="E85" s="304" t="s">
        <v>3728</v>
      </c>
      <c r="F85" s="304">
        <v>44923</v>
      </c>
      <c r="G85" s="304">
        <v>44921</v>
      </c>
      <c r="H85" s="304"/>
      <c r="I85" s="304">
        <v>44923</v>
      </c>
      <c r="J85" s="303" t="s">
        <v>4539</v>
      </c>
      <c r="K85" s="305" t="s">
        <v>1311</v>
      </c>
      <c r="L85" s="206">
        <v>45020</v>
      </c>
      <c r="M85" s="203"/>
      <c r="O85" s="203"/>
      <c r="P85" s="203">
        <v>7628</v>
      </c>
      <c r="Q85" s="203" t="s">
        <v>39</v>
      </c>
      <c r="R85" s="203" t="s">
        <v>138</v>
      </c>
    </row>
    <row r="86" spans="1:18">
      <c r="A86" s="303">
        <f>COUNTA($D$3:$D$86)</f>
        <v>84</v>
      </c>
      <c r="B86" s="303" t="s">
        <v>4511</v>
      </c>
      <c r="C86" s="303" t="s">
        <v>25</v>
      </c>
      <c r="D86" s="303" t="s">
        <v>36</v>
      </c>
      <c r="E86" s="304" t="s">
        <v>3726</v>
      </c>
      <c r="F86" s="304">
        <v>44911</v>
      </c>
      <c r="G86" s="304">
        <v>44910</v>
      </c>
      <c r="H86" s="304"/>
      <c r="I86" s="304">
        <v>44911</v>
      </c>
      <c r="J86" s="303" t="s">
        <v>4512</v>
      </c>
      <c r="K86" s="305" t="s">
        <v>1302</v>
      </c>
      <c r="L86" s="206">
        <v>45020</v>
      </c>
      <c r="M86" s="203"/>
      <c r="O86" s="203"/>
      <c r="P86" s="203">
        <v>5847</v>
      </c>
      <c r="Q86" s="203" t="s">
        <v>39</v>
      </c>
      <c r="R86" s="203" t="s">
        <v>138</v>
      </c>
    </row>
    <row r="87" spans="1:18">
      <c r="A87" s="303">
        <f>COUNTA($D$3:$D$87)</f>
        <v>85</v>
      </c>
      <c r="B87" s="303" t="s">
        <v>4521</v>
      </c>
      <c r="C87" s="303" t="s">
        <v>25</v>
      </c>
      <c r="D87" s="303" t="s">
        <v>38</v>
      </c>
      <c r="E87" s="304" t="s">
        <v>3719</v>
      </c>
      <c r="F87" s="304">
        <v>44923</v>
      </c>
      <c r="G87" s="304">
        <v>44921</v>
      </c>
      <c r="H87" s="304"/>
      <c r="I87" s="304">
        <v>44923</v>
      </c>
      <c r="J87" s="303" t="s">
        <v>4522</v>
      </c>
      <c r="K87" s="305" t="s">
        <v>1311</v>
      </c>
      <c r="L87" s="206">
        <v>45020</v>
      </c>
      <c r="M87" s="203"/>
      <c r="O87" s="203"/>
      <c r="P87" s="203">
        <v>10050</v>
      </c>
      <c r="Q87" s="203" t="s">
        <v>39</v>
      </c>
      <c r="R87" s="203" t="s">
        <v>138</v>
      </c>
    </row>
    <row r="88" spans="1:18">
      <c r="A88" s="303">
        <f>COUNTA($D$3:$D$88)</f>
        <v>86</v>
      </c>
      <c r="B88" s="303" t="s">
        <v>4541</v>
      </c>
      <c r="C88" s="303" t="s">
        <v>25</v>
      </c>
      <c r="D88" s="303" t="s">
        <v>36</v>
      </c>
      <c r="E88" s="304" t="s">
        <v>3715</v>
      </c>
      <c r="F88" s="304">
        <v>44911</v>
      </c>
      <c r="G88" s="304"/>
      <c r="H88" s="304"/>
      <c r="I88" s="304">
        <v>44911</v>
      </c>
      <c r="J88" s="303" t="s">
        <v>4542</v>
      </c>
      <c r="K88" s="305" t="s">
        <v>1302</v>
      </c>
      <c r="L88" s="206">
        <v>45020</v>
      </c>
      <c r="M88" s="203"/>
      <c r="O88" s="203"/>
      <c r="P88" s="203">
        <v>8106</v>
      </c>
      <c r="Q88" s="203" t="s">
        <v>39</v>
      </c>
      <c r="R88" s="203" t="s">
        <v>138</v>
      </c>
    </row>
    <row r="89" spans="1:18">
      <c r="A89" s="303">
        <f>COUNTA($D$3:$D$89)</f>
        <v>87</v>
      </c>
      <c r="B89" s="303" t="s">
        <v>4513</v>
      </c>
      <c r="C89" s="303" t="s">
        <v>2628</v>
      </c>
      <c r="D89" s="303" t="s">
        <v>1157</v>
      </c>
      <c r="E89" s="304" t="s">
        <v>2629</v>
      </c>
      <c r="F89" s="304">
        <v>44911</v>
      </c>
      <c r="G89" s="304">
        <v>44910</v>
      </c>
      <c r="H89" s="304">
        <v>45012</v>
      </c>
      <c r="I89" s="304">
        <v>44911</v>
      </c>
      <c r="J89" s="303" t="s">
        <v>4514</v>
      </c>
      <c r="K89" s="305" t="s">
        <v>2058</v>
      </c>
      <c r="L89" s="206">
        <v>45020</v>
      </c>
      <c r="M89" s="203" t="s">
        <v>5158</v>
      </c>
      <c r="N89" s="204">
        <v>45012</v>
      </c>
      <c r="O89" s="203" t="s">
        <v>26</v>
      </c>
      <c r="P89" s="203">
        <v>45076</v>
      </c>
      <c r="Q89" s="203" t="s">
        <v>32</v>
      </c>
      <c r="R89" s="203" t="s">
        <v>26</v>
      </c>
    </row>
    <row r="90" spans="1:18">
      <c r="A90" s="303">
        <f>COUNTA($D$3:$D$90)</f>
        <v>88</v>
      </c>
      <c r="B90" s="303" t="s">
        <v>4559</v>
      </c>
      <c r="C90" s="303" t="s">
        <v>25</v>
      </c>
      <c r="D90" s="303" t="s">
        <v>36</v>
      </c>
      <c r="E90" s="304" t="s">
        <v>1272</v>
      </c>
      <c r="F90" s="304">
        <v>44922</v>
      </c>
      <c r="G90" s="304">
        <v>44921</v>
      </c>
      <c r="H90" s="304"/>
      <c r="I90" s="304">
        <v>44922</v>
      </c>
      <c r="J90" s="303" t="s">
        <v>4560</v>
      </c>
      <c r="K90" s="305" t="s">
        <v>1311</v>
      </c>
      <c r="L90" s="206">
        <v>45020</v>
      </c>
      <c r="M90" s="203"/>
      <c r="O90" s="203"/>
      <c r="P90" s="203">
        <v>2349</v>
      </c>
      <c r="Q90" s="203" t="s">
        <v>39</v>
      </c>
      <c r="R90" s="203" t="s">
        <v>138</v>
      </c>
    </row>
    <row r="91" spans="1:18">
      <c r="A91" s="303">
        <f>COUNTA($D$3:$D$91)</f>
        <v>89</v>
      </c>
      <c r="B91" s="303" t="s">
        <v>4516</v>
      </c>
      <c r="C91" s="303" t="s">
        <v>69</v>
      </c>
      <c r="D91" s="303" t="s">
        <v>4517</v>
      </c>
      <c r="E91" s="304" t="s">
        <v>4518</v>
      </c>
      <c r="F91" s="304">
        <v>44911</v>
      </c>
      <c r="G91" s="304">
        <v>44911</v>
      </c>
      <c r="H91" s="304"/>
      <c r="I91" s="304">
        <v>44911</v>
      </c>
      <c r="J91" s="303" t="s">
        <v>2282</v>
      </c>
      <c r="K91" s="305" t="s">
        <v>1309</v>
      </c>
      <c r="L91" s="206">
        <v>45020</v>
      </c>
      <c r="M91" s="203"/>
      <c r="O91" s="203" t="s">
        <v>1078</v>
      </c>
      <c r="P91" s="203">
        <v>2400</v>
      </c>
      <c r="Q91" s="203" t="s">
        <v>39</v>
      </c>
      <c r="R91" s="203" t="s">
        <v>26</v>
      </c>
    </row>
    <row r="92" spans="1:18">
      <c r="A92" s="303">
        <f>COUNTA($D$3:$D$92)</f>
        <v>90</v>
      </c>
      <c r="B92" s="303" t="s">
        <v>4557</v>
      </c>
      <c r="C92" s="303" t="s">
        <v>25</v>
      </c>
      <c r="D92" s="303" t="s">
        <v>36</v>
      </c>
      <c r="E92" s="304" t="s">
        <v>3727</v>
      </c>
      <c r="F92" s="304">
        <v>44923</v>
      </c>
      <c r="G92" s="304">
        <v>44921</v>
      </c>
      <c r="H92" s="304"/>
      <c r="I92" s="304">
        <v>44923</v>
      </c>
      <c r="J92" s="303" t="s">
        <v>4558</v>
      </c>
      <c r="K92" s="305" t="s">
        <v>1311</v>
      </c>
      <c r="L92" s="206">
        <v>45020</v>
      </c>
      <c r="M92" s="203"/>
      <c r="O92" s="203"/>
      <c r="P92" s="203">
        <v>5853</v>
      </c>
      <c r="Q92" s="203" t="s">
        <v>39</v>
      </c>
      <c r="R92" s="203" t="s">
        <v>138</v>
      </c>
    </row>
    <row r="93" spans="1:18">
      <c r="A93" s="303">
        <f>COUNTA($D$3:$D$93)</f>
        <v>91</v>
      </c>
      <c r="B93" s="303" t="s">
        <v>4425</v>
      </c>
      <c r="C93" s="303" t="s">
        <v>45</v>
      </c>
      <c r="D93" s="303" t="s">
        <v>38</v>
      </c>
      <c r="E93" s="304" t="s">
        <v>2829</v>
      </c>
      <c r="F93" s="304" t="s">
        <v>70</v>
      </c>
      <c r="G93" s="304">
        <v>44914</v>
      </c>
      <c r="H93" s="304">
        <v>44967</v>
      </c>
      <c r="I93" s="304" t="s">
        <v>70</v>
      </c>
      <c r="J93" s="303" t="s">
        <v>4561</v>
      </c>
      <c r="K93" s="305" t="s">
        <v>1309</v>
      </c>
      <c r="L93" s="206">
        <v>45020</v>
      </c>
      <c r="M93" s="203"/>
      <c r="O93" s="203" t="s">
        <v>1078</v>
      </c>
      <c r="P93" s="203">
        <v>2284</v>
      </c>
      <c r="Q93" s="203" t="s">
        <v>32</v>
      </c>
      <c r="R93" s="203" t="s">
        <v>26</v>
      </c>
    </row>
    <row r="94" spans="1:18">
      <c r="A94" s="303">
        <f>COUNTA($D$3:$D$94)</f>
        <v>92</v>
      </c>
      <c r="B94" s="303" t="s">
        <v>4524</v>
      </c>
      <c r="C94" s="303" t="s">
        <v>4525</v>
      </c>
      <c r="D94" s="303" t="s">
        <v>36</v>
      </c>
      <c r="E94" s="304" t="s">
        <v>4526</v>
      </c>
      <c r="F94" s="304">
        <v>44911</v>
      </c>
      <c r="G94" s="304">
        <v>44911</v>
      </c>
      <c r="H94" s="304">
        <v>45012</v>
      </c>
      <c r="I94" s="304">
        <v>44911</v>
      </c>
      <c r="J94" s="303" t="s">
        <v>4562</v>
      </c>
      <c r="K94" s="305" t="s">
        <v>1309</v>
      </c>
      <c r="L94" s="206">
        <v>45020</v>
      </c>
      <c r="M94" s="203" t="s">
        <v>5158</v>
      </c>
      <c r="O94" s="203" t="s">
        <v>1078</v>
      </c>
      <c r="P94" s="203">
        <v>45076</v>
      </c>
      <c r="Q94" s="203" t="s">
        <v>32</v>
      </c>
      <c r="R94" s="203" t="s">
        <v>26</v>
      </c>
    </row>
    <row r="95" spans="1:18">
      <c r="A95" s="303">
        <f>COUNTA($D$3:$D$95)</f>
        <v>93</v>
      </c>
      <c r="B95" s="303" t="s">
        <v>4554</v>
      </c>
      <c r="C95" s="303" t="s">
        <v>25</v>
      </c>
      <c r="D95" s="303" t="s">
        <v>36</v>
      </c>
      <c r="E95" s="304" t="s">
        <v>4555</v>
      </c>
      <c r="F95" s="304">
        <v>44923</v>
      </c>
      <c r="G95" s="304">
        <v>44914</v>
      </c>
      <c r="H95" s="304"/>
      <c r="I95" s="304">
        <v>44923</v>
      </c>
      <c r="J95" s="303" t="s">
        <v>4556</v>
      </c>
      <c r="K95" s="305" t="s">
        <v>1310</v>
      </c>
      <c r="L95" s="206">
        <v>45020</v>
      </c>
      <c r="M95" s="203"/>
      <c r="O95" s="203"/>
      <c r="P95" s="203">
        <v>8106</v>
      </c>
      <c r="Q95" s="203" t="s">
        <v>39</v>
      </c>
      <c r="R95" s="203" t="s">
        <v>138</v>
      </c>
    </row>
    <row r="96" spans="1:18">
      <c r="A96" s="303">
        <f>COUNTA($D$3:$D$96)</f>
        <v>94</v>
      </c>
      <c r="B96" s="303" t="s">
        <v>4456</v>
      </c>
      <c r="C96" s="303" t="s">
        <v>25</v>
      </c>
      <c r="D96" s="303" t="s">
        <v>34</v>
      </c>
      <c r="E96" s="304" t="s">
        <v>1257</v>
      </c>
      <c r="F96" s="304">
        <v>44913</v>
      </c>
      <c r="G96" s="304">
        <v>44904</v>
      </c>
      <c r="H96" s="304"/>
      <c r="I96" s="304">
        <v>44913</v>
      </c>
      <c r="J96" s="303" t="s">
        <v>4457</v>
      </c>
      <c r="K96" s="305" t="s">
        <v>1302</v>
      </c>
      <c r="L96" s="206">
        <v>45020</v>
      </c>
      <c r="M96" s="203"/>
      <c r="O96" s="203"/>
      <c r="P96" s="203">
        <v>2183</v>
      </c>
      <c r="Q96" s="203" t="s">
        <v>39</v>
      </c>
      <c r="R96" s="203" t="s">
        <v>138</v>
      </c>
    </row>
    <row r="97" spans="1:18">
      <c r="A97" s="303">
        <f>COUNTA($D$3:$D97)</f>
        <v>95</v>
      </c>
      <c r="B97" s="303" t="s">
        <v>4567</v>
      </c>
      <c r="C97" s="303" t="s">
        <v>4568</v>
      </c>
      <c r="D97" s="303" t="s">
        <v>56</v>
      </c>
      <c r="E97" s="304" t="s">
        <v>4569</v>
      </c>
      <c r="F97" s="304">
        <v>44922</v>
      </c>
      <c r="G97" s="304">
        <v>44918</v>
      </c>
      <c r="H97" s="304"/>
      <c r="I97" s="304">
        <v>44922</v>
      </c>
      <c r="J97" s="303" t="s">
        <v>4595</v>
      </c>
      <c r="K97" s="305" t="s">
        <v>297</v>
      </c>
      <c r="L97" s="206">
        <v>45020</v>
      </c>
      <c r="M97" s="203"/>
      <c r="N97" s="204">
        <v>45083</v>
      </c>
      <c r="O97" s="203" t="s">
        <v>5597</v>
      </c>
      <c r="P97" s="203">
        <v>1519</v>
      </c>
      <c r="Q97" s="203" t="s">
        <v>3640</v>
      </c>
      <c r="R97" s="203" t="s">
        <v>26</v>
      </c>
    </row>
    <row r="98" spans="1:18">
      <c r="A98" s="303">
        <f>COUNTA($D$3:$D98)</f>
        <v>96</v>
      </c>
      <c r="B98" s="303" t="s">
        <v>4523</v>
      </c>
      <c r="C98" s="303" t="s">
        <v>45</v>
      </c>
      <c r="D98" s="303" t="s">
        <v>1136</v>
      </c>
      <c r="E98" s="303" t="s">
        <v>1197</v>
      </c>
      <c r="F98" s="304" t="s">
        <v>70</v>
      </c>
      <c r="G98" s="304">
        <v>44914</v>
      </c>
      <c r="H98" s="304"/>
      <c r="I98" s="304" t="s">
        <v>70</v>
      </c>
      <c r="J98" s="303" t="s">
        <v>4575</v>
      </c>
      <c r="K98" s="305" t="s">
        <v>2058</v>
      </c>
      <c r="L98" s="206">
        <v>45020</v>
      </c>
      <c r="M98" s="203"/>
      <c r="O98" s="203" t="s">
        <v>1078</v>
      </c>
      <c r="P98" s="203">
        <v>852</v>
      </c>
      <c r="Q98" s="203" t="s">
        <v>32</v>
      </c>
      <c r="R98" s="203" t="s">
        <v>26</v>
      </c>
    </row>
    <row r="99" spans="1:18">
      <c r="A99" s="303">
        <f>COUNTA($D$3:$D99)</f>
        <v>97</v>
      </c>
      <c r="B99" s="303" t="s">
        <v>4565</v>
      </c>
      <c r="C99" s="303" t="s">
        <v>25</v>
      </c>
      <c r="D99" s="303" t="s">
        <v>36</v>
      </c>
      <c r="E99" s="303" t="s">
        <v>3667</v>
      </c>
      <c r="F99" s="304">
        <v>44932</v>
      </c>
      <c r="G99" s="304">
        <v>44918</v>
      </c>
      <c r="H99" s="304"/>
      <c r="I99" s="304">
        <v>44932</v>
      </c>
      <c r="J99" s="303" t="s">
        <v>4566</v>
      </c>
      <c r="K99" s="305" t="s">
        <v>2058</v>
      </c>
      <c r="L99" s="206">
        <v>45020</v>
      </c>
      <c r="M99" s="203"/>
      <c r="O99" s="203" t="s">
        <v>1078</v>
      </c>
      <c r="P99" s="203">
        <v>7825</v>
      </c>
      <c r="Q99" s="203" t="s">
        <v>39</v>
      </c>
      <c r="R99" s="203" t="s">
        <v>26</v>
      </c>
    </row>
    <row r="100" spans="1:18">
      <c r="A100" s="303">
        <f>COUNTA($D$3:$D100)</f>
        <v>98</v>
      </c>
      <c r="B100" s="303" t="s">
        <v>4515</v>
      </c>
      <c r="C100" s="303" t="s">
        <v>45</v>
      </c>
      <c r="D100" s="303" t="s">
        <v>1115</v>
      </c>
      <c r="E100" s="303" t="s">
        <v>3746</v>
      </c>
      <c r="F100" s="304" t="s">
        <v>70</v>
      </c>
      <c r="G100" s="304">
        <v>44929</v>
      </c>
      <c r="H100" s="304"/>
      <c r="I100" s="304" t="s">
        <v>70</v>
      </c>
      <c r="J100" s="303" t="s">
        <v>2682</v>
      </c>
      <c r="K100" s="305" t="s">
        <v>1309</v>
      </c>
      <c r="L100" s="206">
        <v>45020</v>
      </c>
      <c r="M100" s="203"/>
      <c r="O100" s="203" t="s">
        <v>1078</v>
      </c>
      <c r="P100" s="203">
        <v>2769</v>
      </c>
      <c r="Q100" s="203" t="s">
        <v>32</v>
      </c>
      <c r="R100" s="203" t="s">
        <v>26</v>
      </c>
    </row>
    <row r="101" spans="1:18">
      <c r="A101" s="303">
        <f>COUNTA($D$3:$D101)</f>
        <v>99</v>
      </c>
      <c r="B101" s="303" t="s">
        <v>4549</v>
      </c>
      <c r="C101" s="303" t="s">
        <v>1104</v>
      </c>
      <c r="D101" s="303" t="s">
        <v>1157</v>
      </c>
      <c r="E101" s="303" t="s">
        <v>4550</v>
      </c>
      <c r="F101" s="304">
        <v>44932</v>
      </c>
      <c r="G101" s="304">
        <v>44929</v>
      </c>
      <c r="H101" s="304"/>
      <c r="I101" s="304">
        <v>44932</v>
      </c>
      <c r="J101" s="303" t="s">
        <v>21</v>
      </c>
      <c r="K101" s="305" t="s">
        <v>1289</v>
      </c>
      <c r="L101" s="206">
        <v>45020</v>
      </c>
      <c r="M101" s="203"/>
      <c r="O101" s="203"/>
      <c r="P101" s="203">
        <v>9758</v>
      </c>
      <c r="Q101" s="203" t="s">
        <v>39</v>
      </c>
      <c r="R101" s="203" t="s">
        <v>138</v>
      </c>
    </row>
    <row r="102" spans="1:18">
      <c r="A102" s="303">
        <f>COUNTA($D$3:$D102)</f>
        <v>100</v>
      </c>
      <c r="B102" s="303" t="s">
        <v>4508</v>
      </c>
      <c r="C102" s="303" t="s">
        <v>4326</v>
      </c>
      <c r="D102" s="303" t="s">
        <v>1133</v>
      </c>
      <c r="E102" s="303" t="s">
        <v>4327</v>
      </c>
      <c r="F102" s="304">
        <v>44957</v>
      </c>
      <c r="G102" s="304">
        <v>44930</v>
      </c>
      <c r="H102" s="304"/>
      <c r="I102" s="304">
        <v>44957</v>
      </c>
      <c r="J102" s="303" t="s">
        <v>4594</v>
      </c>
      <c r="K102" s="305" t="s">
        <v>1310</v>
      </c>
      <c r="L102" s="206">
        <v>45020</v>
      </c>
      <c r="M102" s="203"/>
      <c r="N102" s="204">
        <v>45027</v>
      </c>
      <c r="O102" s="203" t="s">
        <v>5721</v>
      </c>
      <c r="P102" s="203">
        <v>9277</v>
      </c>
      <c r="Q102" s="203" t="s">
        <v>39</v>
      </c>
      <c r="R102" s="203" t="s">
        <v>138</v>
      </c>
    </row>
    <row r="103" spans="1:18">
      <c r="A103" s="303">
        <f>COUNTA($D$3:$D103)</f>
        <v>101</v>
      </c>
      <c r="B103" s="303" t="s">
        <v>4587</v>
      </c>
      <c r="C103" s="303" t="s">
        <v>2752</v>
      </c>
      <c r="D103" s="303" t="s">
        <v>35</v>
      </c>
      <c r="E103" s="303" t="s">
        <v>4588</v>
      </c>
      <c r="F103" s="304">
        <v>44932</v>
      </c>
      <c r="G103" s="304">
        <v>44918</v>
      </c>
      <c r="H103" s="304">
        <v>45070</v>
      </c>
      <c r="I103" s="304">
        <v>44932</v>
      </c>
      <c r="J103" s="303" t="s">
        <v>21</v>
      </c>
      <c r="K103" s="305" t="s">
        <v>1309</v>
      </c>
      <c r="L103" s="206">
        <v>45020</v>
      </c>
      <c r="M103" s="203"/>
      <c r="N103" s="204">
        <v>45070</v>
      </c>
      <c r="O103" s="203" t="s">
        <v>26</v>
      </c>
      <c r="P103" s="203">
        <v>8153</v>
      </c>
      <c r="Q103" s="203" t="s">
        <v>39</v>
      </c>
      <c r="R103" s="203" t="s">
        <v>26</v>
      </c>
    </row>
    <row r="104" spans="1:18">
      <c r="A104" s="303">
        <f>COUNTA($D$3:$D104)</f>
        <v>102</v>
      </c>
      <c r="B104" s="303" t="s">
        <v>4614</v>
      </c>
      <c r="C104" s="303" t="s">
        <v>41</v>
      </c>
      <c r="D104" s="303" t="s">
        <v>38</v>
      </c>
      <c r="E104" s="303" t="s">
        <v>2061</v>
      </c>
      <c r="F104" s="304">
        <v>44957</v>
      </c>
      <c r="G104" s="304">
        <v>44921</v>
      </c>
      <c r="H104" s="304"/>
      <c r="I104" s="304">
        <v>44957</v>
      </c>
      <c r="J104" s="303" t="s">
        <v>4433</v>
      </c>
      <c r="K104" s="305" t="s">
        <v>1302</v>
      </c>
      <c r="L104" s="206">
        <v>45020</v>
      </c>
      <c r="M104" s="203"/>
      <c r="O104" s="203" t="s">
        <v>72</v>
      </c>
      <c r="P104" s="203">
        <v>6195</v>
      </c>
      <c r="Q104" s="203" t="s">
        <v>39</v>
      </c>
      <c r="R104" s="203" t="s">
        <v>138</v>
      </c>
    </row>
    <row r="105" spans="1:18">
      <c r="A105" s="303">
        <f>COUNTA($D$3:$D105)</f>
        <v>103</v>
      </c>
      <c r="B105" s="303" t="s">
        <v>4606</v>
      </c>
      <c r="C105" s="303" t="s">
        <v>41</v>
      </c>
      <c r="D105" s="303" t="s">
        <v>34</v>
      </c>
      <c r="E105" s="303" t="s">
        <v>4607</v>
      </c>
      <c r="F105" s="304">
        <v>44957</v>
      </c>
      <c r="G105" s="304">
        <v>44929</v>
      </c>
      <c r="H105" s="304"/>
      <c r="I105" s="304">
        <v>44957</v>
      </c>
      <c r="J105" s="303" t="s">
        <v>4097</v>
      </c>
      <c r="K105" s="305" t="s">
        <v>1302</v>
      </c>
      <c r="L105" s="206">
        <v>45020</v>
      </c>
      <c r="M105" s="203"/>
      <c r="O105" s="203" t="s">
        <v>72</v>
      </c>
      <c r="P105" s="242">
        <v>234</v>
      </c>
      <c r="Q105" s="203" t="s">
        <v>39</v>
      </c>
      <c r="R105" s="203" t="s">
        <v>138</v>
      </c>
    </row>
    <row r="106" spans="1:18">
      <c r="A106" s="303">
        <f>COUNTA($D$3:$D106)</f>
        <v>104</v>
      </c>
      <c r="B106" s="303" t="s">
        <v>4547</v>
      </c>
      <c r="C106" s="303" t="s">
        <v>41</v>
      </c>
      <c r="D106" s="303" t="s">
        <v>49</v>
      </c>
      <c r="E106" s="303" t="s">
        <v>4548</v>
      </c>
      <c r="F106" s="304">
        <v>44957</v>
      </c>
      <c r="G106" s="304">
        <v>44929</v>
      </c>
      <c r="H106" s="304"/>
      <c r="I106" s="304">
        <v>44957</v>
      </c>
      <c r="J106" s="303" t="s">
        <v>1654</v>
      </c>
      <c r="K106" s="305" t="s">
        <v>1302</v>
      </c>
      <c r="L106" s="206">
        <v>45020</v>
      </c>
      <c r="M106" s="203"/>
      <c r="O106" s="203" t="s">
        <v>72</v>
      </c>
      <c r="P106" s="203">
        <v>1254</v>
      </c>
      <c r="Q106" s="203" t="s">
        <v>3640</v>
      </c>
      <c r="R106" s="203" t="s">
        <v>138</v>
      </c>
    </row>
    <row r="107" spans="1:18">
      <c r="A107" s="303">
        <f>COUNTA($D$3:$D107)</f>
        <v>105</v>
      </c>
      <c r="B107" s="303" t="s">
        <v>4633</v>
      </c>
      <c r="C107" s="303" t="s">
        <v>25</v>
      </c>
      <c r="D107" s="303" t="s">
        <v>38</v>
      </c>
      <c r="E107" s="303" t="s">
        <v>1271</v>
      </c>
      <c r="F107" s="304">
        <v>44930</v>
      </c>
      <c r="G107" s="304">
        <v>44929</v>
      </c>
      <c r="H107" s="304"/>
      <c r="I107" s="304">
        <v>44930</v>
      </c>
      <c r="J107" s="303" t="s">
        <v>4634</v>
      </c>
      <c r="K107" s="305" t="s">
        <v>1302</v>
      </c>
      <c r="L107" s="206">
        <v>45020</v>
      </c>
      <c r="M107" s="203"/>
      <c r="O107" s="203"/>
      <c r="P107" s="203">
        <v>5445</v>
      </c>
      <c r="Q107" s="203" t="s">
        <v>39</v>
      </c>
      <c r="R107" s="203" t="s">
        <v>138</v>
      </c>
    </row>
    <row r="108" spans="1:18">
      <c r="A108" s="303">
        <f>COUNTA($D$3:$D108)</f>
        <v>106</v>
      </c>
      <c r="B108" s="303" t="s">
        <v>4642</v>
      </c>
      <c r="C108" s="303" t="s">
        <v>25</v>
      </c>
      <c r="D108" s="303" t="s">
        <v>1205</v>
      </c>
      <c r="E108" s="303" t="s">
        <v>3842</v>
      </c>
      <c r="F108" s="304">
        <v>44913</v>
      </c>
      <c r="G108" s="304">
        <v>44929</v>
      </c>
      <c r="H108" s="304"/>
      <c r="I108" s="304">
        <v>44913</v>
      </c>
      <c r="J108" s="303" t="s">
        <v>3843</v>
      </c>
      <c r="K108" s="305" t="s">
        <v>1310</v>
      </c>
      <c r="L108" s="206">
        <v>45020</v>
      </c>
      <c r="M108" s="203"/>
      <c r="O108" s="203"/>
      <c r="P108" s="203">
        <v>1784</v>
      </c>
      <c r="Q108" s="203" t="s">
        <v>39</v>
      </c>
      <c r="R108" s="203" t="s">
        <v>138</v>
      </c>
    </row>
    <row r="109" spans="1:18">
      <c r="A109" s="303">
        <f>COUNTA($D$3:$D109)</f>
        <v>107</v>
      </c>
      <c r="B109" s="303" t="s">
        <v>4610</v>
      </c>
      <c r="C109" s="303" t="s">
        <v>45</v>
      </c>
      <c r="D109" s="303" t="s">
        <v>1205</v>
      </c>
      <c r="E109" s="303" t="s">
        <v>4611</v>
      </c>
      <c r="F109" s="304" t="s">
        <v>70</v>
      </c>
      <c r="G109" s="304">
        <v>44935</v>
      </c>
      <c r="H109" s="304"/>
      <c r="I109" s="304" t="s">
        <v>70</v>
      </c>
      <c r="J109" s="303" t="s">
        <v>1739</v>
      </c>
      <c r="K109" s="305" t="s">
        <v>1310</v>
      </c>
      <c r="L109" s="206">
        <v>45020</v>
      </c>
      <c r="M109" s="203"/>
      <c r="O109" s="203"/>
      <c r="P109" s="203">
        <v>1100</v>
      </c>
      <c r="Q109" s="203" t="s">
        <v>64</v>
      </c>
      <c r="R109" s="203" t="s">
        <v>138</v>
      </c>
    </row>
    <row r="110" spans="1:18">
      <c r="A110" s="303">
        <f>COUNTA($D$3:$D110)</f>
        <v>108</v>
      </c>
      <c r="B110" s="303" t="s">
        <v>4643</v>
      </c>
      <c r="C110" s="303" t="s">
        <v>25</v>
      </c>
      <c r="D110" s="303" t="s">
        <v>34</v>
      </c>
      <c r="E110" s="303" t="s">
        <v>3892</v>
      </c>
      <c r="F110" s="304">
        <v>44957</v>
      </c>
      <c r="G110" s="304">
        <v>44929</v>
      </c>
      <c r="H110" s="304"/>
      <c r="I110" s="304">
        <v>44957</v>
      </c>
      <c r="J110" s="303" t="s">
        <v>1715</v>
      </c>
      <c r="K110" s="305" t="s">
        <v>1302</v>
      </c>
      <c r="L110" s="206">
        <v>45020</v>
      </c>
      <c r="M110" s="203"/>
      <c r="O110" s="203"/>
      <c r="P110" s="203">
        <v>2077</v>
      </c>
      <c r="Q110" s="203" t="s">
        <v>39</v>
      </c>
      <c r="R110" s="203" t="s">
        <v>138</v>
      </c>
    </row>
    <row r="111" spans="1:18">
      <c r="A111" s="303">
        <f>COUNTA($D$3:$D111)</f>
        <v>109</v>
      </c>
      <c r="B111" s="303" t="s">
        <v>4876</v>
      </c>
      <c r="C111" s="303" t="s">
        <v>1118</v>
      </c>
      <c r="D111" s="303" t="s">
        <v>62</v>
      </c>
      <c r="E111" s="303" t="s">
        <v>2647</v>
      </c>
      <c r="F111" s="304"/>
      <c r="G111" s="304"/>
      <c r="H111" s="304"/>
      <c r="I111" s="304"/>
      <c r="J111" s="303"/>
      <c r="K111" s="305" t="s">
        <v>4877</v>
      </c>
      <c r="L111" s="206">
        <v>44998</v>
      </c>
      <c r="M111" s="203"/>
      <c r="O111" s="203"/>
      <c r="P111" s="203"/>
      <c r="Q111" s="203" t="s">
        <v>1065</v>
      </c>
      <c r="R111" s="203" t="s">
        <v>138</v>
      </c>
    </row>
    <row r="112" spans="1:18">
      <c r="A112" s="303">
        <f>COUNTA($D$3:$D$112)</f>
        <v>110</v>
      </c>
      <c r="B112" s="303" t="s">
        <v>4763</v>
      </c>
      <c r="C112" s="303" t="s">
        <v>45</v>
      </c>
      <c r="D112" s="303" t="s">
        <v>1193</v>
      </c>
      <c r="E112" s="304" t="s">
        <v>1299</v>
      </c>
      <c r="F112" s="304"/>
      <c r="G112" s="304"/>
      <c r="H112" s="304"/>
      <c r="I112" s="304"/>
      <c r="J112" s="303"/>
      <c r="K112" s="305"/>
      <c r="L112" s="206">
        <v>44991</v>
      </c>
      <c r="M112" s="203"/>
      <c r="O112" s="203"/>
      <c r="P112" s="203"/>
      <c r="Q112" s="203" t="s">
        <v>1069</v>
      </c>
      <c r="R112" s="203" t="s">
        <v>138</v>
      </c>
    </row>
    <row r="113" spans="1:18">
      <c r="A113" s="303">
        <f>COUNTA($D$3:$D$113)</f>
        <v>111</v>
      </c>
      <c r="B113" s="303" t="s">
        <v>4764</v>
      </c>
      <c r="C113" s="303" t="s">
        <v>45</v>
      </c>
      <c r="D113" s="303" t="s">
        <v>1193</v>
      </c>
      <c r="E113" s="304" t="s">
        <v>3618</v>
      </c>
      <c r="F113" s="304"/>
      <c r="G113" s="304"/>
      <c r="H113" s="304"/>
      <c r="I113" s="304"/>
      <c r="J113" s="303"/>
      <c r="K113" s="305"/>
      <c r="L113" s="206">
        <v>44991</v>
      </c>
      <c r="M113" s="203"/>
      <c r="O113" s="203"/>
      <c r="P113" s="203"/>
      <c r="Q113" s="203" t="s">
        <v>1069</v>
      </c>
      <c r="R113" s="203" t="s">
        <v>138</v>
      </c>
    </row>
    <row r="114" spans="1:18">
      <c r="A114" s="303">
        <f>COUNTA($D$3:$D$114)</f>
        <v>112</v>
      </c>
      <c r="B114" s="303" t="s">
        <v>4312</v>
      </c>
      <c r="C114" s="303" t="s">
        <v>25</v>
      </c>
      <c r="D114" s="303" t="s">
        <v>49</v>
      </c>
      <c r="E114" s="304" t="s">
        <v>4334</v>
      </c>
      <c r="F114" s="304">
        <v>44886</v>
      </c>
      <c r="G114" s="304">
        <v>44879</v>
      </c>
      <c r="H114" s="304"/>
      <c r="I114" s="304">
        <v>44886</v>
      </c>
      <c r="J114" s="303" t="s">
        <v>4335</v>
      </c>
      <c r="K114" s="305" t="s">
        <v>1302</v>
      </c>
      <c r="L114" s="206">
        <v>44991</v>
      </c>
      <c r="M114" s="203"/>
      <c r="O114" s="203"/>
      <c r="P114" s="203">
        <v>3720</v>
      </c>
      <c r="Q114" s="203" t="s">
        <v>1741</v>
      </c>
      <c r="R114" s="203" t="s">
        <v>138</v>
      </c>
    </row>
    <row r="115" spans="1:18">
      <c r="A115" s="303">
        <f>COUNTA($D$3:$D$115)</f>
        <v>113</v>
      </c>
      <c r="B115" s="303" t="s">
        <v>4314</v>
      </c>
      <c r="C115" s="303" t="s">
        <v>25</v>
      </c>
      <c r="D115" s="303" t="s">
        <v>31</v>
      </c>
      <c r="E115" s="304" t="s">
        <v>4336</v>
      </c>
      <c r="F115" s="304">
        <v>44886</v>
      </c>
      <c r="G115" s="304">
        <v>44876</v>
      </c>
      <c r="H115" s="304"/>
      <c r="I115" s="304">
        <v>44886</v>
      </c>
      <c r="J115" s="303" t="s">
        <v>1105</v>
      </c>
      <c r="K115" s="305" t="s">
        <v>1302</v>
      </c>
      <c r="L115" s="206">
        <v>44991</v>
      </c>
      <c r="M115" s="203"/>
      <c r="O115" s="203"/>
      <c r="P115" s="203">
        <v>10200</v>
      </c>
      <c r="Q115" s="203" t="s">
        <v>1741</v>
      </c>
      <c r="R115" s="203" t="s">
        <v>138</v>
      </c>
    </row>
    <row r="116" spans="1:18">
      <c r="A116" s="303">
        <f>COUNTA($D$3:$D$116)</f>
        <v>114</v>
      </c>
      <c r="B116" s="303" t="s">
        <v>4347</v>
      </c>
      <c r="C116" s="303" t="s">
        <v>1166</v>
      </c>
      <c r="D116" s="303" t="s">
        <v>31</v>
      </c>
      <c r="E116" s="304" t="s">
        <v>4348</v>
      </c>
      <c r="F116" s="304">
        <v>44887</v>
      </c>
      <c r="G116" s="304">
        <v>44886</v>
      </c>
      <c r="H116" s="304"/>
      <c r="I116" s="304">
        <v>44887</v>
      </c>
      <c r="J116" s="303" t="s">
        <v>1105</v>
      </c>
      <c r="K116" s="305" t="s">
        <v>297</v>
      </c>
      <c r="L116" s="206">
        <v>44991</v>
      </c>
      <c r="M116" s="203"/>
      <c r="N116" s="204">
        <v>45083</v>
      </c>
      <c r="O116" s="203" t="s">
        <v>5597</v>
      </c>
      <c r="P116" s="203">
        <v>10453</v>
      </c>
      <c r="Q116" s="203" t="s">
        <v>3640</v>
      </c>
      <c r="R116" s="203" t="s">
        <v>26</v>
      </c>
    </row>
    <row r="117" spans="1:18">
      <c r="A117" s="303">
        <f>COUNTA($D$3:$D$117)</f>
        <v>115</v>
      </c>
      <c r="B117" s="303" t="s">
        <v>4436</v>
      </c>
      <c r="C117" s="303" t="s">
        <v>41</v>
      </c>
      <c r="D117" s="303" t="s">
        <v>49</v>
      </c>
      <c r="E117" s="304" t="s">
        <v>4437</v>
      </c>
      <c r="F117" s="304">
        <v>44957</v>
      </c>
      <c r="G117" s="304">
        <v>44902</v>
      </c>
      <c r="H117" s="304"/>
      <c r="I117" s="304">
        <v>44957</v>
      </c>
      <c r="J117" s="303" t="s">
        <v>1654</v>
      </c>
      <c r="K117" s="305" t="s">
        <v>1302</v>
      </c>
      <c r="L117" s="206">
        <v>44991</v>
      </c>
      <c r="M117" s="203"/>
      <c r="O117" s="203" t="s">
        <v>72</v>
      </c>
      <c r="P117" s="203">
        <v>1237</v>
      </c>
      <c r="Q117" s="203" t="s">
        <v>3640</v>
      </c>
      <c r="R117" s="203" t="s">
        <v>138</v>
      </c>
    </row>
    <row r="118" spans="1:18">
      <c r="A118" s="303">
        <f>COUNTA($D$3:$D$118)</f>
        <v>116</v>
      </c>
      <c r="B118" s="303" t="s">
        <v>4381</v>
      </c>
      <c r="C118" s="303" t="s">
        <v>45</v>
      </c>
      <c r="D118" s="303" t="s">
        <v>38</v>
      </c>
      <c r="E118" s="303" t="s">
        <v>3965</v>
      </c>
      <c r="F118" s="304" t="s">
        <v>70</v>
      </c>
      <c r="G118" s="304">
        <v>44890</v>
      </c>
      <c r="H118" s="304"/>
      <c r="I118" s="304" t="s">
        <v>70</v>
      </c>
      <c r="J118" s="303" t="s">
        <v>1672</v>
      </c>
      <c r="K118" s="305" t="s">
        <v>1302</v>
      </c>
      <c r="L118" s="206">
        <v>44991</v>
      </c>
      <c r="M118" s="203"/>
      <c r="O118" s="203"/>
      <c r="P118" s="203">
        <v>3368</v>
      </c>
      <c r="Q118" s="203" t="s">
        <v>64</v>
      </c>
      <c r="R118" s="203" t="s">
        <v>138</v>
      </c>
    </row>
    <row r="119" spans="1:18">
      <c r="A119" s="303">
        <f>COUNTA($D$3:$D$119)</f>
        <v>117</v>
      </c>
      <c r="B119" s="303" t="s">
        <v>4376</v>
      </c>
      <c r="C119" s="303" t="s">
        <v>41</v>
      </c>
      <c r="D119" s="303" t="s">
        <v>34</v>
      </c>
      <c r="E119" s="304" t="s">
        <v>1247</v>
      </c>
      <c r="F119" s="304">
        <v>44932</v>
      </c>
      <c r="G119" s="304">
        <v>44886</v>
      </c>
      <c r="H119" s="304"/>
      <c r="I119" s="304">
        <v>44932</v>
      </c>
      <c r="J119" s="303" t="s">
        <v>4377</v>
      </c>
      <c r="K119" s="305" t="s">
        <v>1302</v>
      </c>
      <c r="L119" s="206">
        <v>44991</v>
      </c>
      <c r="M119" s="203"/>
      <c r="O119" s="203" t="s">
        <v>72</v>
      </c>
      <c r="P119" s="203">
        <v>5554</v>
      </c>
      <c r="Q119" s="203" t="s">
        <v>39</v>
      </c>
      <c r="R119" s="203" t="s">
        <v>138</v>
      </c>
    </row>
    <row r="120" spans="1:18">
      <c r="A120" s="303">
        <f>COUNTA($D$3:$D$120)</f>
        <v>118</v>
      </c>
      <c r="B120" s="303" t="s">
        <v>4374</v>
      </c>
      <c r="C120" s="303" t="s">
        <v>25</v>
      </c>
      <c r="D120" s="303" t="s">
        <v>34</v>
      </c>
      <c r="E120" s="304" t="s">
        <v>3054</v>
      </c>
      <c r="F120" s="304">
        <v>44886</v>
      </c>
      <c r="G120" s="304">
        <v>44886</v>
      </c>
      <c r="H120" s="304"/>
      <c r="I120" s="304">
        <v>44886</v>
      </c>
      <c r="J120" s="303" t="s">
        <v>4375</v>
      </c>
      <c r="K120" s="305" t="s">
        <v>1310</v>
      </c>
      <c r="L120" s="206">
        <v>44991</v>
      </c>
      <c r="M120" s="203"/>
      <c r="O120" s="203"/>
      <c r="P120" s="203">
        <v>7000</v>
      </c>
      <c r="Q120" s="203" t="s">
        <v>39</v>
      </c>
      <c r="R120" s="203" t="s">
        <v>138</v>
      </c>
    </row>
    <row r="121" spans="1:18">
      <c r="A121" s="303">
        <f>COUNTA($D$3:$D$121)</f>
        <v>119</v>
      </c>
      <c r="B121" s="303" t="s">
        <v>4371</v>
      </c>
      <c r="C121" s="303" t="s">
        <v>4356</v>
      </c>
      <c r="D121" s="303" t="s">
        <v>40</v>
      </c>
      <c r="E121" s="304" t="s">
        <v>4372</v>
      </c>
      <c r="F121" s="304">
        <v>44886</v>
      </c>
      <c r="G121" s="304">
        <v>44886</v>
      </c>
      <c r="H121" s="304"/>
      <c r="I121" s="304">
        <v>44886</v>
      </c>
      <c r="J121" s="303" t="s">
        <v>4373</v>
      </c>
      <c r="K121" s="305" t="s">
        <v>1311</v>
      </c>
      <c r="L121" s="206">
        <v>44991</v>
      </c>
      <c r="M121" s="203"/>
      <c r="N121" s="204">
        <v>45019</v>
      </c>
      <c r="O121" s="203" t="s">
        <v>5061</v>
      </c>
      <c r="P121" s="203">
        <v>8320</v>
      </c>
      <c r="Q121" s="203" t="s">
        <v>39</v>
      </c>
      <c r="R121" s="203" t="s">
        <v>138</v>
      </c>
    </row>
    <row r="122" spans="1:18">
      <c r="A122" s="303">
        <f>COUNTA($D$3:$D$122)</f>
        <v>120</v>
      </c>
      <c r="B122" s="303" t="s">
        <v>4369</v>
      </c>
      <c r="C122" s="303" t="s">
        <v>4360</v>
      </c>
      <c r="D122" s="303" t="s">
        <v>40</v>
      </c>
      <c r="E122" s="304" t="s">
        <v>4370</v>
      </c>
      <c r="F122" s="304">
        <v>44886</v>
      </c>
      <c r="G122" s="304">
        <v>44887</v>
      </c>
      <c r="H122" s="304"/>
      <c r="I122" s="304">
        <v>44886</v>
      </c>
      <c r="J122" s="303" t="s">
        <v>4414</v>
      </c>
      <c r="K122" s="305" t="s">
        <v>1302</v>
      </c>
      <c r="L122" s="206">
        <v>44991</v>
      </c>
      <c r="M122" s="203"/>
      <c r="O122" s="203"/>
      <c r="P122" s="203">
        <v>7360</v>
      </c>
      <c r="Q122" s="203" t="s">
        <v>39</v>
      </c>
      <c r="R122" s="203" t="s">
        <v>138</v>
      </c>
    </row>
    <row r="123" spans="1:18">
      <c r="A123" s="303">
        <f>COUNTA($D$3:$D$123)</f>
        <v>121</v>
      </c>
      <c r="B123" s="303" t="s">
        <v>4366</v>
      </c>
      <c r="C123" s="303" t="s">
        <v>4356</v>
      </c>
      <c r="D123" s="303" t="s">
        <v>42</v>
      </c>
      <c r="E123" s="304" t="s">
        <v>4367</v>
      </c>
      <c r="F123" s="304">
        <v>44895</v>
      </c>
      <c r="G123" s="304">
        <v>44886</v>
      </c>
      <c r="H123" s="304"/>
      <c r="I123" s="304">
        <v>44895</v>
      </c>
      <c r="J123" s="303" t="s">
        <v>4368</v>
      </c>
      <c r="K123" s="305" t="s">
        <v>1310</v>
      </c>
      <c r="L123" s="206">
        <v>44991</v>
      </c>
      <c r="M123" s="203"/>
      <c r="N123" s="204">
        <v>45028</v>
      </c>
      <c r="O123" s="203" t="s">
        <v>5722</v>
      </c>
      <c r="P123" s="203">
        <v>1718</v>
      </c>
      <c r="Q123" s="203" t="s">
        <v>39</v>
      </c>
      <c r="R123" s="203" t="s">
        <v>138</v>
      </c>
    </row>
    <row r="124" spans="1:18">
      <c r="A124" s="303">
        <f>COUNTA($D$3:$D$124)</f>
        <v>122</v>
      </c>
      <c r="B124" s="303" t="s">
        <v>4363</v>
      </c>
      <c r="C124" s="303" t="s">
        <v>4360</v>
      </c>
      <c r="D124" s="303" t="s">
        <v>1115</v>
      </c>
      <c r="E124" s="304" t="s">
        <v>4364</v>
      </c>
      <c r="F124" s="304">
        <v>44887</v>
      </c>
      <c r="G124" s="304">
        <v>44886</v>
      </c>
      <c r="H124" s="304"/>
      <c r="I124" s="304">
        <v>44887</v>
      </c>
      <c r="J124" s="303" t="s">
        <v>4365</v>
      </c>
      <c r="K124" s="305" t="s">
        <v>1302</v>
      </c>
      <c r="L124" s="206">
        <v>44991</v>
      </c>
      <c r="M124" s="203"/>
      <c r="O124" s="203"/>
      <c r="P124" s="203">
        <v>3440</v>
      </c>
      <c r="Q124" s="203" t="s">
        <v>39</v>
      </c>
      <c r="R124" s="203" t="s">
        <v>138</v>
      </c>
    </row>
    <row r="125" spans="1:18">
      <c r="A125" s="303">
        <f>COUNTA($D$3:$D$125)</f>
        <v>123</v>
      </c>
      <c r="B125" s="303" t="s">
        <v>4143</v>
      </c>
      <c r="C125" s="303" t="s">
        <v>1161</v>
      </c>
      <c r="D125" s="303" t="s">
        <v>62</v>
      </c>
      <c r="E125" s="304" t="s">
        <v>1162</v>
      </c>
      <c r="F125" s="304">
        <v>44845</v>
      </c>
      <c r="G125" s="304">
        <v>44847</v>
      </c>
      <c r="H125" s="304"/>
      <c r="I125" s="304">
        <v>44845</v>
      </c>
      <c r="J125" s="303" t="s">
        <v>1694</v>
      </c>
      <c r="K125" s="305" t="s">
        <v>2058</v>
      </c>
      <c r="L125" s="206">
        <v>44991</v>
      </c>
      <c r="M125" s="203"/>
      <c r="O125" s="203" t="s">
        <v>1078</v>
      </c>
      <c r="P125" s="203">
        <v>2560</v>
      </c>
      <c r="Q125" s="203" t="s">
        <v>39</v>
      </c>
      <c r="R125" s="203" t="s">
        <v>26</v>
      </c>
    </row>
    <row r="126" spans="1:18">
      <c r="A126" s="303">
        <f>COUNTA($D$3:$D$125)</f>
        <v>123</v>
      </c>
      <c r="B126" s="303" t="s">
        <v>4355</v>
      </c>
      <c r="C126" s="303" t="s">
        <v>4356</v>
      </c>
      <c r="D126" s="303" t="s">
        <v>1115</v>
      </c>
      <c r="E126" s="304" t="s">
        <v>4357</v>
      </c>
      <c r="F126" s="304">
        <v>44895</v>
      </c>
      <c r="G126" s="304">
        <v>44886</v>
      </c>
      <c r="H126" s="304"/>
      <c r="I126" s="304">
        <v>44895</v>
      </c>
      <c r="J126" s="303" t="s">
        <v>4358</v>
      </c>
      <c r="K126" s="305" t="s">
        <v>1310</v>
      </c>
      <c r="L126" s="206">
        <v>44991</v>
      </c>
      <c r="M126" s="203"/>
      <c r="O126" s="203"/>
      <c r="P126" s="203">
        <v>8106</v>
      </c>
      <c r="Q126" s="203" t="s">
        <v>39</v>
      </c>
      <c r="R126" s="203" t="s">
        <v>138</v>
      </c>
    </row>
    <row r="127" spans="1:18">
      <c r="A127" s="303">
        <f>COUNTA($D$3:$D$127)</f>
        <v>125</v>
      </c>
      <c r="B127" s="303" t="s">
        <v>4322</v>
      </c>
      <c r="C127" s="303" t="s">
        <v>1118</v>
      </c>
      <c r="D127" s="303" t="s">
        <v>62</v>
      </c>
      <c r="E127" s="304" t="s">
        <v>2521</v>
      </c>
      <c r="F127" s="304">
        <v>44627</v>
      </c>
      <c r="G127" s="304">
        <v>44883</v>
      </c>
      <c r="H127" s="304"/>
      <c r="I127" s="304">
        <v>44627</v>
      </c>
      <c r="J127" s="303" t="s">
        <v>4344</v>
      </c>
      <c r="K127" s="305" t="s">
        <v>1311</v>
      </c>
      <c r="L127" s="206">
        <v>44991</v>
      </c>
      <c r="M127" s="203"/>
      <c r="O127" s="203"/>
      <c r="P127" s="203">
        <v>3040</v>
      </c>
      <c r="Q127" s="203" t="s">
        <v>39</v>
      </c>
      <c r="R127" s="203" t="s">
        <v>138</v>
      </c>
    </row>
    <row r="128" spans="1:18">
      <c r="A128" s="303">
        <f>COUNTA($D$3:$D$128)</f>
        <v>126</v>
      </c>
      <c r="B128" s="303" t="s">
        <v>4313</v>
      </c>
      <c r="C128" s="303" t="s">
        <v>2068</v>
      </c>
      <c r="D128" s="303" t="s">
        <v>1115</v>
      </c>
      <c r="E128" s="304" t="s">
        <v>2069</v>
      </c>
      <c r="F128" s="304">
        <v>44881</v>
      </c>
      <c r="G128" s="304">
        <v>44879</v>
      </c>
      <c r="H128" s="304"/>
      <c r="I128" s="304">
        <v>44881</v>
      </c>
      <c r="J128" s="303" t="s">
        <v>1674</v>
      </c>
      <c r="K128" s="305" t="s">
        <v>1310</v>
      </c>
      <c r="L128" s="206">
        <v>44991</v>
      </c>
      <c r="M128" s="203"/>
      <c r="N128" s="204">
        <v>45030</v>
      </c>
      <c r="O128" s="203" t="s">
        <v>5723</v>
      </c>
      <c r="P128" s="203">
        <v>4560</v>
      </c>
      <c r="Q128" s="203" t="s">
        <v>39</v>
      </c>
      <c r="R128" s="203" t="s">
        <v>138</v>
      </c>
    </row>
    <row r="129" spans="1:18">
      <c r="A129" s="303">
        <f>COUNTA($D$3:$D$129)</f>
        <v>127</v>
      </c>
      <c r="B129" s="303" t="s">
        <v>4280</v>
      </c>
      <c r="C129" s="303" t="s">
        <v>2510</v>
      </c>
      <c r="D129" s="303" t="s">
        <v>1133</v>
      </c>
      <c r="E129" s="304" t="s">
        <v>4292</v>
      </c>
      <c r="F129" s="304">
        <v>44914</v>
      </c>
      <c r="G129" s="304">
        <v>44876</v>
      </c>
      <c r="H129" s="304"/>
      <c r="I129" s="304">
        <v>44914</v>
      </c>
      <c r="J129" s="303" t="s">
        <v>4293</v>
      </c>
      <c r="K129" s="305" t="s">
        <v>2058</v>
      </c>
      <c r="L129" s="206">
        <v>44991</v>
      </c>
      <c r="M129" s="203"/>
      <c r="N129" s="204">
        <v>45083</v>
      </c>
      <c r="O129" s="203" t="s">
        <v>5597</v>
      </c>
      <c r="P129" s="203">
        <v>9519</v>
      </c>
      <c r="Q129" s="203" t="s">
        <v>39</v>
      </c>
      <c r="R129" s="203" t="s">
        <v>26</v>
      </c>
    </row>
    <row r="130" spans="1:18">
      <c r="A130" s="303">
        <f>COUNTA($D$3:$D$130)</f>
        <v>128</v>
      </c>
      <c r="B130" s="303" t="s">
        <v>4359</v>
      </c>
      <c r="C130" s="303" t="s">
        <v>4360</v>
      </c>
      <c r="D130" s="303" t="s">
        <v>1115</v>
      </c>
      <c r="E130" s="304" t="s">
        <v>4361</v>
      </c>
      <c r="F130" s="304">
        <v>44886</v>
      </c>
      <c r="G130" s="304">
        <v>44886</v>
      </c>
      <c r="H130" s="304"/>
      <c r="I130" s="304">
        <v>44886</v>
      </c>
      <c r="J130" s="303" t="s">
        <v>4362</v>
      </c>
      <c r="K130" s="305" t="s">
        <v>1310</v>
      </c>
      <c r="L130" s="206">
        <v>44991</v>
      </c>
      <c r="M130" s="203"/>
      <c r="O130" s="203"/>
      <c r="P130" s="203">
        <v>2720</v>
      </c>
      <c r="Q130" s="203" t="s">
        <v>39</v>
      </c>
      <c r="R130" s="203" t="s">
        <v>138</v>
      </c>
    </row>
    <row r="131" spans="1:18">
      <c r="A131" s="303">
        <f>COUNTA($D$3:$D$131)</f>
        <v>129</v>
      </c>
      <c r="B131" s="303" t="s">
        <v>4429</v>
      </c>
      <c r="C131" s="303" t="s">
        <v>25</v>
      </c>
      <c r="D131" s="303" t="s">
        <v>38</v>
      </c>
      <c r="E131" s="304" t="s">
        <v>4430</v>
      </c>
      <c r="F131" s="304">
        <v>44923</v>
      </c>
      <c r="G131" s="304">
        <v>44902</v>
      </c>
      <c r="H131" s="304"/>
      <c r="I131" s="304">
        <v>44923</v>
      </c>
      <c r="J131" s="303" t="s">
        <v>4386</v>
      </c>
      <c r="K131" s="305" t="s">
        <v>1302</v>
      </c>
      <c r="L131" s="206">
        <v>44991</v>
      </c>
      <c r="M131" s="203"/>
      <c r="O131" s="203"/>
      <c r="P131" s="203">
        <v>3100</v>
      </c>
      <c r="Q131" s="203" t="s">
        <v>39</v>
      </c>
      <c r="R131" s="203" t="s">
        <v>138</v>
      </c>
    </row>
    <row r="132" spans="1:18">
      <c r="A132" s="303">
        <f>COUNTA($D$3:$D$132)</f>
        <v>130</v>
      </c>
      <c r="B132" s="303" t="s">
        <v>4448</v>
      </c>
      <c r="C132" s="303" t="s">
        <v>25</v>
      </c>
      <c r="D132" s="303" t="s">
        <v>34</v>
      </c>
      <c r="E132" s="304" t="s">
        <v>2762</v>
      </c>
      <c r="F132" s="304">
        <v>44922</v>
      </c>
      <c r="G132" s="304">
        <v>44900</v>
      </c>
      <c r="H132" s="304"/>
      <c r="I132" s="304">
        <v>44922</v>
      </c>
      <c r="J132" s="303" t="s">
        <v>4449</v>
      </c>
      <c r="K132" s="305" t="s">
        <v>1310</v>
      </c>
      <c r="L132" s="206">
        <v>44991</v>
      </c>
      <c r="M132" s="203"/>
      <c r="O132" s="203"/>
      <c r="P132" s="203">
        <v>3822</v>
      </c>
      <c r="Q132" s="203" t="s">
        <v>39</v>
      </c>
      <c r="R132" s="203" t="s">
        <v>138</v>
      </c>
    </row>
    <row r="133" spans="1:18">
      <c r="A133" s="303">
        <f>COUNTA($D$3:$D$133)</f>
        <v>131</v>
      </c>
      <c r="B133" s="303" t="s">
        <v>4446</v>
      </c>
      <c r="C133" s="303" t="s">
        <v>25</v>
      </c>
      <c r="D133" s="303" t="s">
        <v>34</v>
      </c>
      <c r="E133" s="304" t="s">
        <v>3741</v>
      </c>
      <c r="F133" s="304">
        <v>44923</v>
      </c>
      <c r="G133" s="304">
        <v>44900</v>
      </c>
      <c r="H133" s="304"/>
      <c r="I133" s="304">
        <v>44923</v>
      </c>
      <c r="J133" s="303" t="s">
        <v>4447</v>
      </c>
      <c r="K133" s="305" t="s">
        <v>1310</v>
      </c>
      <c r="L133" s="206">
        <v>44991</v>
      </c>
      <c r="M133" s="203"/>
      <c r="O133" s="203"/>
      <c r="P133" s="203">
        <v>3026</v>
      </c>
      <c r="Q133" s="203" t="s">
        <v>39</v>
      </c>
      <c r="R133" s="203" t="s">
        <v>138</v>
      </c>
    </row>
    <row r="134" spans="1:18">
      <c r="A134" s="303">
        <f>COUNTA($D$3:$D$134)</f>
        <v>132</v>
      </c>
      <c r="B134" s="303" t="s">
        <v>4442</v>
      </c>
      <c r="C134" s="303" t="s">
        <v>25</v>
      </c>
      <c r="D134" s="303" t="s">
        <v>34</v>
      </c>
      <c r="E134" s="303" t="s">
        <v>4443</v>
      </c>
      <c r="F134" s="304">
        <v>44901</v>
      </c>
      <c r="G134" s="304">
        <v>44900</v>
      </c>
      <c r="H134" s="304"/>
      <c r="I134" s="304">
        <v>44901</v>
      </c>
      <c r="J134" s="303" t="s">
        <v>2586</v>
      </c>
      <c r="K134" s="305" t="s">
        <v>1310</v>
      </c>
      <c r="L134" s="206">
        <v>44991</v>
      </c>
      <c r="M134" s="203"/>
      <c r="O134" s="203"/>
      <c r="P134" s="203">
        <v>4100</v>
      </c>
      <c r="Q134" s="203" t="s">
        <v>39</v>
      </c>
      <c r="R134" s="203" t="s">
        <v>138</v>
      </c>
    </row>
    <row r="135" spans="1:18">
      <c r="A135" s="303">
        <f>COUNTA($D$3:$D$135)</f>
        <v>133</v>
      </c>
      <c r="B135" s="303" t="s">
        <v>4441</v>
      </c>
      <c r="C135" s="303" t="s">
        <v>25</v>
      </c>
      <c r="D135" s="303" t="s">
        <v>34</v>
      </c>
      <c r="E135" s="304" t="s">
        <v>2598</v>
      </c>
      <c r="F135" s="304">
        <v>44929</v>
      </c>
      <c r="G135" s="304">
        <v>44900</v>
      </c>
      <c r="H135" s="304"/>
      <c r="I135" s="304">
        <v>44929</v>
      </c>
      <c r="J135" s="303" t="s">
        <v>3816</v>
      </c>
      <c r="K135" s="305" t="s">
        <v>1310</v>
      </c>
      <c r="L135" s="206">
        <v>44991</v>
      </c>
      <c r="M135" s="203"/>
      <c r="O135" s="203"/>
      <c r="P135" s="203">
        <v>5640</v>
      </c>
      <c r="Q135" s="203" t="s">
        <v>39</v>
      </c>
      <c r="R135" s="203" t="s">
        <v>138</v>
      </c>
    </row>
    <row r="136" spans="1:18">
      <c r="A136" s="303">
        <f>COUNTA($D$3:$D$136)</f>
        <v>134</v>
      </c>
      <c r="B136" s="303" t="s">
        <v>4434</v>
      </c>
      <c r="C136" s="303" t="s">
        <v>25</v>
      </c>
      <c r="D136" s="303" t="s">
        <v>38</v>
      </c>
      <c r="E136" s="304" t="s">
        <v>4435</v>
      </c>
      <c r="F136" s="304">
        <v>44913</v>
      </c>
      <c r="G136" s="304">
        <v>44909</v>
      </c>
      <c r="H136" s="304"/>
      <c r="I136" s="304">
        <v>44913</v>
      </c>
      <c r="J136" s="303" t="s">
        <v>4490</v>
      </c>
      <c r="K136" s="305" t="s">
        <v>1311</v>
      </c>
      <c r="L136" s="206">
        <v>44991</v>
      </c>
      <c r="M136" s="203"/>
      <c r="O136" s="203"/>
      <c r="P136" s="203">
        <v>3284</v>
      </c>
      <c r="Q136" s="203" t="s">
        <v>39</v>
      </c>
      <c r="R136" s="203" t="s">
        <v>138</v>
      </c>
    </row>
    <row r="137" spans="1:18">
      <c r="A137" s="303">
        <f>COUNTA($D$3:$D$137)</f>
        <v>135</v>
      </c>
      <c r="B137" s="303" t="s">
        <v>4378</v>
      </c>
      <c r="C137" s="303" t="s">
        <v>41</v>
      </c>
      <c r="D137" s="303" t="s">
        <v>34</v>
      </c>
      <c r="E137" s="304" t="s">
        <v>4379</v>
      </c>
      <c r="F137" s="304">
        <v>44957</v>
      </c>
      <c r="G137" s="304">
        <v>44887</v>
      </c>
      <c r="H137" s="304"/>
      <c r="I137" s="304">
        <v>44957</v>
      </c>
      <c r="J137" s="303" t="s">
        <v>2260</v>
      </c>
      <c r="K137" s="305" t="s">
        <v>1302</v>
      </c>
      <c r="L137" s="206">
        <v>44991</v>
      </c>
      <c r="M137" s="203"/>
      <c r="O137" s="203" t="s">
        <v>72</v>
      </c>
      <c r="P137" s="203">
        <v>3590</v>
      </c>
      <c r="Q137" s="203" t="s">
        <v>39</v>
      </c>
      <c r="R137" s="203" t="s">
        <v>138</v>
      </c>
    </row>
    <row r="138" spans="1:18">
      <c r="A138" s="303">
        <f>COUNTA($D$3:$D$138)</f>
        <v>136</v>
      </c>
      <c r="B138" s="303" t="s">
        <v>4431</v>
      </c>
      <c r="C138" s="303" t="s">
        <v>25</v>
      </c>
      <c r="D138" s="303" t="s">
        <v>34</v>
      </c>
      <c r="E138" s="304" t="s">
        <v>2081</v>
      </c>
      <c r="F138" s="304">
        <v>44908</v>
      </c>
      <c r="G138" s="304">
        <v>44900</v>
      </c>
      <c r="H138" s="304"/>
      <c r="I138" s="304">
        <v>44908</v>
      </c>
      <c r="J138" s="303" t="s">
        <v>1500</v>
      </c>
      <c r="K138" s="305" t="s">
        <v>1310</v>
      </c>
      <c r="L138" s="206">
        <v>44991</v>
      </c>
      <c r="M138" s="203"/>
      <c r="O138" s="203"/>
      <c r="P138" s="203">
        <v>900</v>
      </c>
      <c r="Q138" s="203" t="s">
        <v>39</v>
      </c>
      <c r="R138" s="203" t="s">
        <v>138</v>
      </c>
    </row>
    <row r="139" spans="1:18">
      <c r="A139" s="303">
        <f>COUNTA($D$3:$D$139)</f>
        <v>137</v>
      </c>
      <c r="B139" s="303" t="s">
        <v>4380</v>
      </c>
      <c r="C139" s="303" t="s">
        <v>41</v>
      </c>
      <c r="D139" s="303" t="s">
        <v>38</v>
      </c>
      <c r="E139" s="304" t="s">
        <v>3253</v>
      </c>
      <c r="F139" s="304">
        <v>44932</v>
      </c>
      <c r="G139" s="304">
        <v>44887</v>
      </c>
      <c r="H139" s="304"/>
      <c r="I139" s="304">
        <v>44932</v>
      </c>
      <c r="J139" s="303" t="s">
        <v>1682</v>
      </c>
      <c r="K139" s="305" t="s">
        <v>1311</v>
      </c>
      <c r="L139" s="206">
        <v>44991</v>
      </c>
      <c r="M139" s="203"/>
      <c r="O139" s="203" t="s">
        <v>72</v>
      </c>
      <c r="P139" s="203">
        <v>3292</v>
      </c>
      <c r="Q139" s="203" t="s">
        <v>39</v>
      </c>
      <c r="R139" s="203" t="s">
        <v>138</v>
      </c>
    </row>
    <row r="140" spans="1:18">
      <c r="A140" s="303">
        <f>COUNTA($D$3:$D$140)</f>
        <v>138</v>
      </c>
      <c r="B140" s="303" t="s">
        <v>4428</v>
      </c>
      <c r="C140" s="303" t="s">
        <v>25</v>
      </c>
      <c r="D140" s="303" t="s">
        <v>34</v>
      </c>
      <c r="E140" s="304" t="s">
        <v>1267</v>
      </c>
      <c r="F140" s="304">
        <v>44914</v>
      </c>
      <c r="G140" s="304">
        <v>44904</v>
      </c>
      <c r="H140" s="304"/>
      <c r="I140" s="304">
        <v>44914</v>
      </c>
      <c r="J140" s="303" t="s">
        <v>4458</v>
      </c>
      <c r="K140" s="305" t="s">
        <v>1311</v>
      </c>
      <c r="L140" s="206">
        <v>44991</v>
      </c>
      <c r="M140" s="203"/>
      <c r="O140" s="203"/>
      <c r="P140" s="203">
        <v>2189</v>
      </c>
      <c r="Q140" s="203" t="s">
        <v>39</v>
      </c>
      <c r="R140" s="203" t="s">
        <v>138</v>
      </c>
    </row>
    <row r="141" spans="1:18">
      <c r="A141" s="303">
        <f>COUNTA($D$3:$D$141)</f>
        <v>139</v>
      </c>
      <c r="B141" s="303" t="s">
        <v>4422</v>
      </c>
      <c r="C141" s="303" t="s">
        <v>2628</v>
      </c>
      <c r="D141" s="303" t="s">
        <v>53</v>
      </c>
      <c r="E141" s="303" t="s">
        <v>4423</v>
      </c>
      <c r="F141" s="304">
        <v>44914</v>
      </c>
      <c r="G141" s="304">
        <v>44897</v>
      </c>
      <c r="H141" s="304">
        <v>45012</v>
      </c>
      <c r="I141" s="304">
        <v>44914</v>
      </c>
      <c r="J141" s="303" t="s">
        <v>1694</v>
      </c>
      <c r="K141" s="305" t="s">
        <v>1309</v>
      </c>
      <c r="L141" s="206">
        <v>44991</v>
      </c>
      <c r="M141" s="203" t="s">
        <v>4994</v>
      </c>
      <c r="N141" s="204">
        <v>45069</v>
      </c>
      <c r="O141" s="203" t="s">
        <v>26</v>
      </c>
      <c r="P141" s="203">
        <v>45076</v>
      </c>
      <c r="Q141" s="203" t="s">
        <v>32</v>
      </c>
      <c r="R141" s="203" t="s">
        <v>26</v>
      </c>
    </row>
    <row r="142" spans="1:18">
      <c r="A142" s="303">
        <f>COUNTA($D$3:$D$142)</f>
        <v>140</v>
      </c>
      <c r="B142" s="303" t="s">
        <v>4407</v>
      </c>
      <c r="C142" s="303" t="s">
        <v>69</v>
      </c>
      <c r="D142" s="303" t="s">
        <v>291</v>
      </c>
      <c r="E142" s="304" t="s">
        <v>4408</v>
      </c>
      <c r="F142" s="304">
        <v>44888</v>
      </c>
      <c r="G142" s="304">
        <v>44890</v>
      </c>
      <c r="H142" s="304">
        <v>45027</v>
      </c>
      <c r="I142" s="304">
        <v>44888</v>
      </c>
      <c r="J142" s="303" t="s">
        <v>4409</v>
      </c>
      <c r="K142" s="305" t="s">
        <v>1309</v>
      </c>
      <c r="L142" s="206">
        <v>44991</v>
      </c>
      <c r="M142" s="203" t="s">
        <v>5159</v>
      </c>
      <c r="O142" s="203" t="s">
        <v>1078</v>
      </c>
      <c r="P142" s="203">
        <v>4362</v>
      </c>
      <c r="Q142" s="203" t="s">
        <v>32</v>
      </c>
      <c r="R142" s="203" t="s">
        <v>26</v>
      </c>
    </row>
    <row r="143" spans="1:18">
      <c r="A143" s="303">
        <f>COUNTA($D$3:$D$143)</f>
        <v>141</v>
      </c>
      <c r="B143" s="303" t="s">
        <v>4394</v>
      </c>
      <c r="C143" s="303" t="s">
        <v>2793</v>
      </c>
      <c r="D143" s="303" t="s">
        <v>20</v>
      </c>
      <c r="E143" s="304" t="s">
        <v>3303</v>
      </c>
      <c r="F143" s="304">
        <v>44901</v>
      </c>
      <c r="G143" s="304">
        <v>44887</v>
      </c>
      <c r="H143" s="304">
        <v>45033</v>
      </c>
      <c r="I143" s="304">
        <v>44901</v>
      </c>
      <c r="J143" s="303" t="s">
        <v>4387</v>
      </c>
      <c r="K143" s="305" t="s">
        <v>1311</v>
      </c>
      <c r="L143" s="206">
        <v>44991</v>
      </c>
      <c r="M143" s="203" t="s">
        <v>4996</v>
      </c>
      <c r="O143" s="203"/>
      <c r="P143" s="203">
        <v>1480</v>
      </c>
      <c r="Q143" s="203" t="s">
        <v>32</v>
      </c>
      <c r="R143" s="203" t="s">
        <v>138</v>
      </c>
    </row>
    <row r="144" spans="1:18">
      <c r="A144" s="303">
        <f>COUNTA($D$3:$D$144)</f>
        <v>142</v>
      </c>
      <c r="B144" s="303" t="s">
        <v>4384</v>
      </c>
      <c r="C144" s="303" t="s">
        <v>41</v>
      </c>
      <c r="D144" s="303" t="s">
        <v>38</v>
      </c>
      <c r="E144" s="303" t="s">
        <v>4385</v>
      </c>
      <c r="F144" s="304">
        <v>44886</v>
      </c>
      <c r="G144" s="304">
        <v>44886</v>
      </c>
      <c r="H144" s="304"/>
      <c r="I144" s="304">
        <v>44886</v>
      </c>
      <c r="J144" s="303" t="s">
        <v>4386</v>
      </c>
      <c r="K144" s="305" t="s">
        <v>1310</v>
      </c>
      <c r="L144" s="206">
        <v>44991</v>
      </c>
      <c r="M144" s="203"/>
      <c r="O144" s="203" t="s">
        <v>72</v>
      </c>
      <c r="P144" s="203">
        <v>3640</v>
      </c>
      <c r="Q144" s="203" t="s">
        <v>39</v>
      </c>
      <c r="R144" s="203" t="s">
        <v>138</v>
      </c>
    </row>
    <row r="145" spans="1:18">
      <c r="A145" s="303">
        <f>COUNTA($D$3:$D$145)</f>
        <v>143</v>
      </c>
      <c r="B145" s="303" t="s">
        <v>4382</v>
      </c>
      <c r="C145" s="303" t="s">
        <v>41</v>
      </c>
      <c r="D145" s="303" t="s">
        <v>38</v>
      </c>
      <c r="E145" s="304" t="s">
        <v>4383</v>
      </c>
      <c r="F145" s="304">
        <v>44886</v>
      </c>
      <c r="G145" s="304">
        <v>44886</v>
      </c>
      <c r="H145" s="304"/>
      <c r="I145" s="304">
        <v>44886</v>
      </c>
      <c r="J145" s="303" t="s">
        <v>1693</v>
      </c>
      <c r="K145" s="305" t="s">
        <v>1311</v>
      </c>
      <c r="L145" s="206">
        <v>44991</v>
      </c>
      <c r="M145" s="203"/>
      <c r="O145" s="203" t="s">
        <v>72</v>
      </c>
      <c r="P145" s="203">
        <v>3280</v>
      </c>
      <c r="Q145" s="203" t="s">
        <v>39</v>
      </c>
      <c r="R145" s="203" t="s">
        <v>138</v>
      </c>
    </row>
    <row r="146" spans="1:18">
      <c r="A146" s="303">
        <f>COUNTA($D$3:$D$146)</f>
        <v>144</v>
      </c>
      <c r="B146" s="303" t="s">
        <v>4432</v>
      </c>
      <c r="C146" s="303" t="s">
        <v>25</v>
      </c>
      <c r="D146" s="303" t="s">
        <v>34</v>
      </c>
      <c r="E146" s="304" t="s">
        <v>2049</v>
      </c>
      <c r="F146" s="304">
        <v>44923</v>
      </c>
      <c r="G146" s="304">
        <v>44900</v>
      </c>
      <c r="H146" s="304"/>
      <c r="I146" s="304">
        <v>44923</v>
      </c>
      <c r="J146" s="303" t="s">
        <v>4433</v>
      </c>
      <c r="K146" s="305" t="s">
        <v>1310</v>
      </c>
      <c r="L146" s="206">
        <v>44991</v>
      </c>
      <c r="M146" s="203"/>
      <c r="O146" s="203"/>
      <c r="P146" s="203">
        <v>3620</v>
      </c>
      <c r="Q146" s="203" t="s">
        <v>39</v>
      </c>
      <c r="R146" s="203" t="s">
        <v>138</v>
      </c>
    </row>
    <row r="147" spans="1:18">
      <c r="A147" s="303">
        <f>COUNTA($D$3:$D$147)</f>
        <v>145</v>
      </c>
      <c r="B147" s="303" t="s">
        <v>4345</v>
      </c>
      <c r="C147" s="303" t="s">
        <v>45</v>
      </c>
      <c r="D147" s="303" t="s">
        <v>34</v>
      </c>
      <c r="E147" s="304" t="s">
        <v>1058</v>
      </c>
      <c r="F147" s="304" t="s">
        <v>70</v>
      </c>
      <c r="G147" s="304">
        <v>44886</v>
      </c>
      <c r="H147" s="304"/>
      <c r="I147" s="304" t="s">
        <v>70</v>
      </c>
      <c r="J147" s="303" t="s">
        <v>4395</v>
      </c>
      <c r="K147" s="305" t="s">
        <v>1311</v>
      </c>
      <c r="L147" s="206">
        <v>44991</v>
      </c>
      <c r="M147" s="203"/>
      <c r="O147" s="203"/>
      <c r="P147" s="203">
        <v>560</v>
      </c>
      <c r="Q147" s="203" t="s">
        <v>32</v>
      </c>
      <c r="R147" s="203" t="s">
        <v>138</v>
      </c>
    </row>
    <row r="148" spans="1:18">
      <c r="A148" s="303">
        <f>COUNTA($D$3:$D$148)</f>
        <v>146</v>
      </c>
      <c r="B148" s="303" t="s">
        <v>4786</v>
      </c>
      <c r="C148" s="303" t="s">
        <v>3325</v>
      </c>
      <c r="D148" s="303" t="s">
        <v>31</v>
      </c>
      <c r="E148" s="304" t="s">
        <v>4787</v>
      </c>
      <c r="F148" s="304"/>
      <c r="G148" s="304">
        <v>44977</v>
      </c>
      <c r="H148" s="304"/>
      <c r="I148" s="304"/>
      <c r="J148" s="303" t="s">
        <v>1105</v>
      </c>
      <c r="K148" s="305" t="s">
        <v>58</v>
      </c>
      <c r="L148" s="206">
        <v>44987</v>
      </c>
      <c r="M148" s="203" t="s">
        <v>5050</v>
      </c>
      <c r="N148" s="204">
        <v>44987</v>
      </c>
      <c r="O148" s="203" t="s">
        <v>5062</v>
      </c>
      <c r="P148" s="203"/>
      <c r="Q148" s="203" t="s">
        <v>1068</v>
      </c>
      <c r="R148" s="203" t="s">
        <v>138</v>
      </c>
    </row>
    <row r="149" spans="1:18">
      <c r="A149" s="303">
        <f>COUNTA($D$3:$D$149)</f>
        <v>147</v>
      </c>
      <c r="B149" s="303" t="s">
        <v>4739</v>
      </c>
      <c r="C149" s="303" t="s">
        <v>45</v>
      </c>
      <c r="D149" s="303" t="s">
        <v>3845</v>
      </c>
      <c r="E149" s="304" t="s">
        <v>3846</v>
      </c>
      <c r="F149" s="304" t="s">
        <v>70</v>
      </c>
      <c r="G149" s="304">
        <v>44967</v>
      </c>
      <c r="H149" s="304"/>
      <c r="I149" s="304" t="s">
        <v>70</v>
      </c>
      <c r="J149" s="303"/>
      <c r="K149" s="305" t="s">
        <v>58</v>
      </c>
      <c r="L149" s="206">
        <v>44984</v>
      </c>
      <c r="M149" s="203"/>
      <c r="O149" s="203" t="s">
        <v>5724</v>
      </c>
      <c r="P149" s="242"/>
      <c r="Q149" s="203" t="s">
        <v>64</v>
      </c>
      <c r="R149" s="203" t="s">
        <v>138</v>
      </c>
    </row>
    <row r="150" spans="1:18">
      <c r="A150" s="303">
        <f>COUNTA($D$3:$D$150)</f>
        <v>148</v>
      </c>
      <c r="B150" s="303" t="s">
        <v>4720</v>
      </c>
      <c r="C150" s="303" t="s">
        <v>2701</v>
      </c>
      <c r="D150" s="303" t="s">
        <v>2709</v>
      </c>
      <c r="E150" s="304" t="s">
        <v>2710</v>
      </c>
      <c r="F150" s="304"/>
      <c r="G150" s="304">
        <v>44963</v>
      </c>
      <c r="H150" s="304"/>
      <c r="I150" s="304"/>
      <c r="J150" s="303" t="s">
        <v>4721</v>
      </c>
      <c r="K150" s="305" t="s">
        <v>58</v>
      </c>
      <c r="L150" s="206">
        <v>44973</v>
      </c>
      <c r="M150" s="203" t="s">
        <v>4779</v>
      </c>
      <c r="N150" s="204">
        <v>44964</v>
      </c>
      <c r="O150" s="203"/>
      <c r="P150" s="203"/>
      <c r="Q150" s="203" t="s">
        <v>1041</v>
      </c>
      <c r="R150" s="203" t="s">
        <v>138</v>
      </c>
    </row>
    <row r="151" spans="1:18">
      <c r="A151" s="303">
        <f>COUNTA($D$3:$D$151)</f>
        <v>149</v>
      </c>
      <c r="B151" s="303" t="s">
        <v>4240</v>
      </c>
      <c r="C151" s="303" t="s">
        <v>61</v>
      </c>
      <c r="D151" s="303" t="s">
        <v>38</v>
      </c>
      <c r="E151" s="304" t="s">
        <v>2928</v>
      </c>
      <c r="F151" s="304">
        <v>44867</v>
      </c>
      <c r="G151" s="304">
        <v>44872</v>
      </c>
      <c r="H151" s="304"/>
      <c r="I151" s="304">
        <v>44867</v>
      </c>
      <c r="J151" s="303" t="s">
        <v>2273</v>
      </c>
      <c r="K151" s="305" t="s">
        <v>2058</v>
      </c>
      <c r="L151" s="206">
        <v>44965</v>
      </c>
      <c r="M151" s="203"/>
      <c r="N151" s="204">
        <v>45083</v>
      </c>
      <c r="O151" s="203" t="s">
        <v>5597</v>
      </c>
      <c r="P151" s="203">
        <v>7960</v>
      </c>
      <c r="Q151" s="203" t="s">
        <v>39</v>
      </c>
      <c r="R151" s="203" t="s">
        <v>26</v>
      </c>
    </row>
    <row r="152" spans="1:18">
      <c r="A152" s="303">
        <f>COUNTA($D$3:$D$152)</f>
        <v>150</v>
      </c>
      <c r="B152" s="303" t="s">
        <v>4234</v>
      </c>
      <c r="C152" s="303" t="s">
        <v>3067</v>
      </c>
      <c r="D152" s="303" t="s">
        <v>1123</v>
      </c>
      <c r="E152" s="304" t="s">
        <v>1124</v>
      </c>
      <c r="F152" s="304">
        <v>44882</v>
      </c>
      <c r="G152" s="304"/>
      <c r="H152" s="304"/>
      <c r="I152" s="304">
        <v>44882</v>
      </c>
      <c r="J152" s="303" t="s">
        <v>4299</v>
      </c>
      <c r="K152" s="305" t="s">
        <v>1310</v>
      </c>
      <c r="L152" s="206">
        <v>44965</v>
      </c>
      <c r="M152" s="203"/>
      <c r="N152" s="204">
        <v>45069</v>
      </c>
      <c r="O152" s="203" t="s">
        <v>5725</v>
      </c>
      <c r="P152" s="203">
        <v>1480</v>
      </c>
      <c r="Q152" s="203" t="s">
        <v>39</v>
      </c>
      <c r="R152" s="203" t="s">
        <v>138</v>
      </c>
    </row>
    <row r="153" spans="1:18">
      <c r="A153" s="303">
        <f>COUNTA($D$3:$D$153)</f>
        <v>151</v>
      </c>
      <c r="B153" s="303" t="s">
        <v>4275</v>
      </c>
      <c r="C153" s="303" t="s">
        <v>45</v>
      </c>
      <c r="D153" s="303" t="s">
        <v>111</v>
      </c>
      <c r="E153" s="304" t="s">
        <v>304</v>
      </c>
      <c r="F153" s="304"/>
      <c r="G153" s="304">
        <v>44872</v>
      </c>
      <c r="H153" s="304"/>
      <c r="I153" s="304"/>
      <c r="J153" s="303" t="s">
        <v>1658</v>
      </c>
      <c r="K153" s="305" t="s">
        <v>2058</v>
      </c>
      <c r="L153" s="206">
        <v>44965</v>
      </c>
      <c r="M153" s="203"/>
      <c r="N153" s="204">
        <v>45083</v>
      </c>
      <c r="O153" s="203" t="s">
        <v>5597</v>
      </c>
      <c r="P153" s="203">
        <v>285</v>
      </c>
      <c r="Q153" s="203" t="s">
        <v>32</v>
      </c>
      <c r="R153" s="203" t="s">
        <v>26</v>
      </c>
    </row>
    <row r="154" spans="1:18">
      <c r="A154" s="303">
        <f>COUNTA($D$3:$D$154)</f>
        <v>152</v>
      </c>
      <c r="B154" s="303" t="s">
        <v>4279</v>
      </c>
      <c r="C154" s="303" t="s">
        <v>25</v>
      </c>
      <c r="D154" s="303" t="s">
        <v>34</v>
      </c>
      <c r="E154" s="304" t="s">
        <v>3056</v>
      </c>
      <c r="F154" s="304">
        <v>44913</v>
      </c>
      <c r="G154" s="304">
        <v>44876</v>
      </c>
      <c r="H154" s="304"/>
      <c r="I154" s="304">
        <v>44913</v>
      </c>
      <c r="J154" s="303" t="s">
        <v>21</v>
      </c>
      <c r="K154" s="305" t="s">
        <v>1302</v>
      </c>
      <c r="L154" s="206">
        <v>44965</v>
      </c>
      <c r="M154" s="203"/>
      <c r="O154" s="203"/>
      <c r="P154" s="203">
        <v>6764</v>
      </c>
      <c r="Q154" s="203" t="s">
        <v>39</v>
      </c>
      <c r="R154" s="203" t="s">
        <v>138</v>
      </c>
    </row>
    <row r="155" spans="1:18">
      <c r="A155" s="303">
        <f>COUNTA($D$3:$D$155)</f>
        <v>153</v>
      </c>
      <c r="B155" s="303" t="s">
        <v>4161</v>
      </c>
      <c r="C155" s="303" t="s">
        <v>41</v>
      </c>
      <c r="D155" s="303" t="s">
        <v>34</v>
      </c>
      <c r="E155" s="304" t="s">
        <v>4162</v>
      </c>
      <c r="F155" s="304">
        <v>44853</v>
      </c>
      <c r="G155" s="304">
        <v>44865</v>
      </c>
      <c r="H155" s="304"/>
      <c r="I155" s="304">
        <v>44853</v>
      </c>
      <c r="J155" s="303" t="s">
        <v>2691</v>
      </c>
      <c r="K155" s="305" t="s">
        <v>1310</v>
      </c>
      <c r="L155" s="206">
        <v>44965</v>
      </c>
      <c r="M155" s="203"/>
      <c r="O155" s="203" t="s">
        <v>72</v>
      </c>
      <c r="P155" s="203">
        <v>2520</v>
      </c>
      <c r="Q155" s="203" t="s">
        <v>39</v>
      </c>
      <c r="R155" s="203" t="s">
        <v>138</v>
      </c>
    </row>
    <row r="156" spans="1:18">
      <c r="A156" s="303">
        <f>COUNTA($D$3:$D156)</f>
        <v>154</v>
      </c>
      <c r="B156" s="303" t="s">
        <v>4160</v>
      </c>
      <c r="C156" s="303" t="s">
        <v>41</v>
      </c>
      <c r="D156" s="303" t="s">
        <v>34</v>
      </c>
      <c r="E156" s="303" t="s">
        <v>2299</v>
      </c>
      <c r="F156" s="304">
        <v>44852</v>
      </c>
      <c r="G156" s="304">
        <v>44852</v>
      </c>
      <c r="H156" s="304"/>
      <c r="I156" s="304">
        <v>44852</v>
      </c>
      <c r="J156" s="303" t="s">
        <v>4182</v>
      </c>
      <c r="K156" s="305" t="s">
        <v>1311</v>
      </c>
      <c r="L156" s="206">
        <v>44965</v>
      </c>
      <c r="M156" s="203"/>
      <c r="O156" s="203" t="s">
        <v>72</v>
      </c>
      <c r="P156" s="203">
        <v>2480</v>
      </c>
      <c r="Q156" s="203" t="s">
        <v>39</v>
      </c>
      <c r="R156" s="203" t="s">
        <v>138</v>
      </c>
    </row>
    <row r="157" spans="1:18">
      <c r="A157" s="303">
        <f>COUNTA($D$3:$D157)</f>
        <v>155</v>
      </c>
      <c r="B157" s="303" t="s">
        <v>4156</v>
      </c>
      <c r="C157" s="303" t="s">
        <v>41</v>
      </c>
      <c r="D157" s="303" t="s">
        <v>34</v>
      </c>
      <c r="E157" s="303" t="s">
        <v>4157</v>
      </c>
      <c r="F157" s="304">
        <v>44853</v>
      </c>
      <c r="G157" s="304">
        <v>44853</v>
      </c>
      <c r="H157" s="304"/>
      <c r="I157" s="304">
        <v>44853</v>
      </c>
      <c r="J157" s="303" t="s">
        <v>1693</v>
      </c>
      <c r="K157" s="305" t="s">
        <v>1302</v>
      </c>
      <c r="L157" s="206">
        <v>44965</v>
      </c>
      <c r="M157" s="203"/>
      <c r="O157" s="203" t="s">
        <v>72</v>
      </c>
      <c r="P157" s="203">
        <v>2640</v>
      </c>
      <c r="Q157" s="203" t="s">
        <v>39</v>
      </c>
      <c r="R157" s="203" t="s">
        <v>138</v>
      </c>
    </row>
    <row r="158" spans="1:18">
      <c r="A158" s="303">
        <f>COUNTA($D$3:$D158)</f>
        <v>156</v>
      </c>
      <c r="B158" s="303" t="s">
        <v>4163</v>
      </c>
      <c r="C158" s="303" t="s">
        <v>2607</v>
      </c>
      <c r="D158" s="303" t="s">
        <v>42</v>
      </c>
      <c r="E158" s="303" t="s">
        <v>4164</v>
      </c>
      <c r="F158" s="306">
        <v>44886</v>
      </c>
      <c r="G158" s="306">
        <v>44860</v>
      </c>
      <c r="H158" s="304"/>
      <c r="I158" s="304">
        <v>44886</v>
      </c>
      <c r="J158" s="303" t="s">
        <v>4208</v>
      </c>
      <c r="K158" s="305" t="s">
        <v>1302</v>
      </c>
      <c r="L158" s="206">
        <v>44965</v>
      </c>
      <c r="M158" s="203"/>
      <c r="O158" s="203" t="s">
        <v>72</v>
      </c>
      <c r="P158" s="203">
        <v>6520</v>
      </c>
      <c r="Q158" s="203" t="s">
        <v>39</v>
      </c>
      <c r="R158" s="203" t="s">
        <v>138</v>
      </c>
    </row>
    <row r="159" spans="1:18">
      <c r="A159" s="303">
        <f>COUNTA($D$3:$D159)</f>
        <v>157</v>
      </c>
      <c r="B159" s="303" t="s">
        <v>4214</v>
      </c>
      <c r="C159" s="303" t="s">
        <v>1261</v>
      </c>
      <c r="D159" s="303" t="s">
        <v>20</v>
      </c>
      <c r="E159" s="303" t="s">
        <v>4223</v>
      </c>
      <c r="F159" s="304">
        <v>44861</v>
      </c>
      <c r="G159" s="306">
        <v>44862</v>
      </c>
      <c r="H159" s="304">
        <v>45027</v>
      </c>
      <c r="I159" s="304">
        <v>44861</v>
      </c>
      <c r="J159" s="303" t="s">
        <v>4224</v>
      </c>
      <c r="K159" s="305" t="s">
        <v>2058</v>
      </c>
      <c r="L159" s="206">
        <v>44965</v>
      </c>
      <c r="M159" s="203"/>
      <c r="N159" s="204">
        <v>45020</v>
      </c>
      <c r="O159" s="203" t="s">
        <v>26</v>
      </c>
      <c r="P159" s="203">
        <v>2560</v>
      </c>
      <c r="Q159" s="203" t="s">
        <v>39</v>
      </c>
      <c r="R159" s="203" t="s">
        <v>26</v>
      </c>
    </row>
    <row r="160" spans="1:18">
      <c r="A160" s="303">
        <f>COUNTA($D$3:$D160)</f>
        <v>158</v>
      </c>
      <c r="B160" s="303" t="s">
        <v>4213</v>
      </c>
      <c r="C160" s="303" t="s">
        <v>4195</v>
      </c>
      <c r="D160" s="303" t="s">
        <v>36</v>
      </c>
      <c r="E160" s="303" t="s">
        <v>4221</v>
      </c>
      <c r="F160" s="304">
        <v>44861</v>
      </c>
      <c r="G160" s="306">
        <v>44862</v>
      </c>
      <c r="H160" s="304"/>
      <c r="I160" s="304">
        <v>44861</v>
      </c>
      <c r="J160" s="303" t="s">
        <v>4222</v>
      </c>
      <c r="K160" s="305" t="s">
        <v>2058</v>
      </c>
      <c r="L160" s="206">
        <v>44965</v>
      </c>
      <c r="M160" s="203" t="s">
        <v>4752</v>
      </c>
      <c r="N160" s="204">
        <v>44967</v>
      </c>
      <c r="O160" s="237"/>
      <c r="P160" s="237">
        <v>9280</v>
      </c>
      <c r="Q160" s="203" t="s">
        <v>39</v>
      </c>
      <c r="R160" s="203" t="s">
        <v>26</v>
      </c>
    </row>
    <row r="161" spans="1:18">
      <c r="A161" s="303">
        <f>COUNTA($D$3:$D161)</f>
        <v>159</v>
      </c>
      <c r="B161" s="303" t="s">
        <v>4228</v>
      </c>
      <c r="C161" s="303" t="s">
        <v>2457</v>
      </c>
      <c r="D161" s="303" t="s">
        <v>35</v>
      </c>
      <c r="E161" s="303" t="s">
        <v>4229</v>
      </c>
      <c r="F161" s="304">
        <v>44886</v>
      </c>
      <c r="G161" s="306">
        <v>44865</v>
      </c>
      <c r="H161" s="304"/>
      <c r="I161" s="304">
        <v>44886</v>
      </c>
      <c r="J161" s="303" t="s">
        <v>4230</v>
      </c>
      <c r="K161" s="305" t="s">
        <v>1310</v>
      </c>
      <c r="L161" s="206">
        <v>44965</v>
      </c>
      <c r="M161" s="203"/>
      <c r="O161" s="237"/>
      <c r="P161" s="237">
        <v>9320</v>
      </c>
      <c r="Q161" s="203" t="s">
        <v>39</v>
      </c>
      <c r="R161" s="203" t="s">
        <v>138</v>
      </c>
    </row>
    <row r="162" spans="1:18">
      <c r="A162" s="303">
        <f>COUNTA($D$3:$D162)</f>
        <v>160</v>
      </c>
      <c r="B162" s="303" t="s">
        <v>4112</v>
      </c>
      <c r="C162" s="303" t="s">
        <v>25</v>
      </c>
      <c r="D162" s="303" t="s">
        <v>34</v>
      </c>
      <c r="E162" s="303" t="s">
        <v>2051</v>
      </c>
      <c r="F162" s="304">
        <v>44852</v>
      </c>
      <c r="G162" s="306">
        <v>44851</v>
      </c>
      <c r="H162" s="304"/>
      <c r="I162" s="304">
        <v>44852</v>
      </c>
      <c r="J162" s="303" t="s">
        <v>4172</v>
      </c>
      <c r="K162" s="305" t="s">
        <v>1311</v>
      </c>
      <c r="L162" s="206">
        <v>44938</v>
      </c>
      <c r="M162" s="203"/>
      <c r="O162" s="237"/>
      <c r="P162" s="237">
        <v>2000</v>
      </c>
      <c r="Q162" s="203" t="s">
        <v>39</v>
      </c>
      <c r="R162" s="203" t="s">
        <v>138</v>
      </c>
    </row>
    <row r="163" spans="1:18">
      <c r="A163" s="303">
        <f>COUNTA($D$3:$D163)</f>
        <v>161</v>
      </c>
      <c r="B163" s="303" t="s">
        <v>4111</v>
      </c>
      <c r="C163" s="303" t="s">
        <v>3795</v>
      </c>
      <c r="D163" s="303" t="s">
        <v>68</v>
      </c>
      <c r="E163" s="303" t="s">
        <v>2309</v>
      </c>
      <c r="F163" s="304">
        <v>44848</v>
      </c>
      <c r="G163" s="306">
        <v>44851</v>
      </c>
      <c r="H163" s="304"/>
      <c r="I163" s="304">
        <v>44848</v>
      </c>
      <c r="J163" s="303" t="s">
        <v>2682</v>
      </c>
      <c r="K163" s="305" t="s">
        <v>2058</v>
      </c>
      <c r="L163" s="206">
        <v>44938</v>
      </c>
      <c r="M163" s="203" t="s">
        <v>2575</v>
      </c>
      <c r="N163" s="204">
        <v>44967</v>
      </c>
      <c r="O163" s="203"/>
      <c r="P163" s="203">
        <v>1800</v>
      </c>
      <c r="Q163" s="203" t="s">
        <v>39</v>
      </c>
      <c r="R163" s="203" t="s">
        <v>26</v>
      </c>
    </row>
    <row r="164" spans="1:18">
      <c r="A164" s="303">
        <f>COUNTA($D$3:$D164)</f>
        <v>162</v>
      </c>
      <c r="B164" s="303" t="s">
        <v>4120</v>
      </c>
      <c r="C164" s="303" t="s">
        <v>44</v>
      </c>
      <c r="D164" s="303" t="s">
        <v>38</v>
      </c>
      <c r="E164" s="303" t="s">
        <v>4121</v>
      </c>
      <c r="F164" s="304">
        <v>44846</v>
      </c>
      <c r="G164" s="306">
        <v>44846</v>
      </c>
      <c r="H164" s="304"/>
      <c r="I164" s="304">
        <v>44846</v>
      </c>
      <c r="J164" s="303" t="s">
        <v>4175</v>
      </c>
      <c r="K164" s="305" t="s">
        <v>1302</v>
      </c>
      <c r="L164" s="206">
        <v>44938</v>
      </c>
      <c r="M164" s="203"/>
      <c r="O164" s="203"/>
      <c r="P164" s="203">
        <v>5720</v>
      </c>
      <c r="Q164" s="203" t="s">
        <v>39</v>
      </c>
      <c r="R164" s="203" t="s">
        <v>138</v>
      </c>
    </row>
    <row r="165" spans="1:18">
      <c r="A165" s="303">
        <f>COUNTA($D$3:$D165)</f>
        <v>163</v>
      </c>
      <c r="B165" s="303" t="s">
        <v>4115</v>
      </c>
      <c r="C165" s="303" t="s">
        <v>25</v>
      </c>
      <c r="D165" s="303" t="s">
        <v>38</v>
      </c>
      <c r="E165" s="303" t="s">
        <v>4116</v>
      </c>
      <c r="F165" s="304">
        <v>44846</v>
      </c>
      <c r="G165" s="306">
        <v>44846</v>
      </c>
      <c r="H165" s="304"/>
      <c r="I165" s="304">
        <v>44846</v>
      </c>
      <c r="J165" s="303" t="s">
        <v>1693</v>
      </c>
      <c r="K165" s="305" t="s">
        <v>1311</v>
      </c>
      <c r="L165" s="206">
        <v>44938</v>
      </c>
      <c r="M165" s="203"/>
      <c r="O165" s="203"/>
      <c r="P165" s="203">
        <v>3600</v>
      </c>
      <c r="Q165" s="203" t="s">
        <v>39</v>
      </c>
      <c r="R165" s="203" t="s">
        <v>138</v>
      </c>
    </row>
    <row r="166" spans="1:18">
      <c r="A166" s="303">
        <f>COUNTA($D$3:$D166)</f>
        <v>164</v>
      </c>
      <c r="B166" s="303" t="s">
        <v>4118</v>
      </c>
      <c r="C166" s="303" t="s">
        <v>44</v>
      </c>
      <c r="D166" s="303" t="s">
        <v>55</v>
      </c>
      <c r="E166" s="303" t="s">
        <v>4119</v>
      </c>
      <c r="F166" s="304">
        <v>44852</v>
      </c>
      <c r="G166" s="306">
        <v>44851</v>
      </c>
      <c r="H166" s="304"/>
      <c r="I166" s="304">
        <v>44852</v>
      </c>
      <c r="J166" s="303" t="s">
        <v>4174</v>
      </c>
      <c r="K166" s="305" t="s">
        <v>1311</v>
      </c>
      <c r="L166" s="206">
        <v>44938</v>
      </c>
      <c r="M166" s="203"/>
      <c r="O166" s="203" t="s">
        <v>72</v>
      </c>
      <c r="P166" s="203">
        <v>2960</v>
      </c>
      <c r="Q166" s="203" t="s">
        <v>39</v>
      </c>
      <c r="R166" s="203" t="s">
        <v>138</v>
      </c>
    </row>
    <row r="167" spans="1:18">
      <c r="A167" s="303">
        <f>COUNTA($D$3:$D167)</f>
        <v>165</v>
      </c>
      <c r="B167" s="303" t="s">
        <v>4102</v>
      </c>
      <c r="C167" s="303" t="s">
        <v>1118</v>
      </c>
      <c r="D167" s="303" t="s">
        <v>20</v>
      </c>
      <c r="E167" s="303" t="s">
        <v>2873</v>
      </c>
      <c r="F167" s="304">
        <v>44852</v>
      </c>
      <c r="G167" s="306">
        <v>44851</v>
      </c>
      <c r="H167" s="304"/>
      <c r="I167" s="304">
        <v>44852</v>
      </c>
      <c r="J167" s="303" t="s">
        <v>4170</v>
      </c>
      <c r="K167" s="305" t="s">
        <v>1311</v>
      </c>
      <c r="L167" s="206">
        <v>44938</v>
      </c>
      <c r="M167" s="203"/>
      <c r="O167" s="237"/>
      <c r="P167" s="237">
        <v>6800</v>
      </c>
      <c r="Q167" s="203" t="s">
        <v>39</v>
      </c>
      <c r="R167" s="203" t="s">
        <v>138</v>
      </c>
    </row>
    <row r="168" spans="1:18">
      <c r="A168" s="303">
        <f>COUNTA($D$3:$D168)</f>
        <v>166</v>
      </c>
      <c r="B168" s="303" t="s">
        <v>4113</v>
      </c>
      <c r="C168" s="303" t="s">
        <v>25</v>
      </c>
      <c r="D168" s="303" t="s">
        <v>34</v>
      </c>
      <c r="E168" s="303" t="s">
        <v>2666</v>
      </c>
      <c r="F168" s="304">
        <v>44845</v>
      </c>
      <c r="G168" s="306">
        <v>44846</v>
      </c>
      <c r="H168" s="304"/>
      <c r="I168" s="304">
        <v>44845</v>
      </c>
      <c r="J168" s="303" t="s">
        <v>4173</v>
      </c>
      <c r="K168" s="305" t="s">
        <v>1302</v>
      </c>
      <c r="L168" s="206">
        <v>44938</v>
      </c>
      <c r="M168" s="203"/>
      <c r="O168" s="203"/>
      <c r="P168" s="203">
        <v>11720</v>
      </c>
      <c r="Q168" s="203" t="s">
        <v>39</v>
      </c>
      <c r="R168" s="203" t="s">
        <v>138</v>
      </c>
    </row>
    <row r="169" spans="1:18">
      <c r="A169" s="303">
        <f>COUNTA($D$3:$D169)</f>
        <v>167</v>
      </c>
      <c r="B169" s="303" t="s">
        <v>4057</v>
      </c>
      <c r="C169" s="303" t="s">
        <v>25</v>
      </c>
      <c r="D169" s="303" t="s">
        <v>38</v>
      </c>
      <c r="E169" s="303" t="s">
        <v>3061</v>
      </c>
      <c r="F169" s="304">
        <v>44837</v>
      </c>
      <c r="G169" s="306">
        <v>44837</v>
      </c>
      <c r="H169" s="304"/>
      <c r="I169" s="304">
        <v>44837</v>
      </c>
      <c r="J169" s="303" t="s">
        <v>1682</v>
      </c>
      <c r="K169" s="305" t="s">
        <v>1311</v>
      </c>
      <c r="L169" s="206">
        <v>44938</v>
      </c>
      <c r="M169" s="203"/>
      <c r="O169" s="203"/>
      <c r="P169" s="237">
        <v>3913.0434783000001</v>
      </c>
      <c r="Q169" s="203" t="s">
        <v>39</v>
      </c>
      <c r="R169" s="203" t="s">
        <v>138</v>
      </c>
    </row>
    <row r="170" spans="1:18">
      <c r="A170" s="303">
        <f>COUNTA($D$3:$D170)</f>
        <v>168</v>
      </c>
      <c r="B170" s="303" t="s">
        <v>4051</v>
      </c>
      <c r="C170" s="303" t="s">
        <v>41</v>
      </c>
      <c r="D170" s="303" t="s">
        <v>34</v>
      </c>
      <c r="E170" s="303" t="s">
        <v>3285</v>
      </c>
      <c r="F170" s="304">
        <v>44837</v>
      </c>
      <c r="G170" s="306">
        <v>44837</v>
      </c>
      <c r="H170" s="304"/>
      <c r="I170" s="304">
        <v>44837</v>
      </c>
      <c r="J170" s="303" t="s">
        <v>2260</v>
      </c>
      <c r="K170" s="305" t="s">
        <v>1311</v>
      </c>
      <c r="L170" s="206">
        <v>44938</v>
      </c>
      <c r="M170" s="203"/>
      <c r="O170" s="203" t="s">
        <v>72</v>
      </c>
      <c r="P170" s="237">
        <v>2695.6521739</v>
      </c>
      <c r="Q170" s="203" t="s">
        <v>39</v>
      </c>
      <c r="R170" s="203" t="s">
        <v>138</v>
      </c>
    </row>
    <row r="171" spans="1:18">
      <c r="A171" s="303">
        <f>COUNTA($D$3:$D171)</f>
        <v>169</v>
      </c>
      <c r="B171" s="303" t="s">
        <v>4050</v>
      </c>
      <c r="C171" s="303" t="s">
        <v>41</v>
      </c>
      <c r="D171" s="303" t="s">
        <v>38</v>
      </c>
      <c r="E171" s="303" t="s">
        <v>2469</v>
      </c>
      <c r="F171" s="304">
        <v>44837</v>
      </c>
      <c r="G171" s="306">
        <v>44837</v>
      </c>
      <c r="H171" s="304"/>
      <c r="I171" s="304">
        <v>44837</v>
      </c>
      <c r="J171" s="303" t="s">
        <v>1677</v>
      </c>
      <c r="K171" s="305" t="s">
        <v>1311</v>
      </c>
      <c r="L171" s="206">
        <v>44938</v>
      </c>
      <c r="M171" s="203"/>
      <c r="O171" s="237" t="s">
        <v>72</v>
      </c>
      <c r="P171" s="237">
        <v>2608.6956522</v>
      </c>
      <c r="Q171" s="203" t="s">
        <v>39</v>
      </c>
      <c r="R171" s="203" t="s">
        <v>138</v>
      </c>
    </row>
    <row r="172" spans="1:18">
      <c r="A172" s="303">
        <f>COUNTA($D$3:$D172)</f>
        <v>170</v>
      </c>
      <c r="B172" s="303" t="s">
        <v>4056</v>
      </c>
      <c r="C172" s="303" t="s">
        <v>25</v>
      </c>
      <c r="D172" s="303" t="s">
        <v>34</v>
      </c>
      <c r="E172" s="303" t="s">
        <v>2595</v>
      </c>
      <c r="F172" s="304">
        <v>44837</v>
      </c>
      <c r="G172" s="306">
        <v>44844</v>
      </c>
      <c r="H172" s="304"/>
      <c r="I172" s="304">
        <v>44837</v>
      </c>
      <c r="J172" s="303" t="s">
        <v>3937</v>
      </c>
      <c r="K172" s="305" t="s">
        <v>1311</v>
      </c>
      <c r="L172" s="206">
        <v>44938</v>
      </c>
      <c r="M172" s="203"/>
      <c r="O172" s="203"/>
      <c r="P172" s="203">
        <v>10173.913043</v>
      </c>
      <c r="Q172" s="203" t="s">
        <v>39</v>
      </c>
      <c r="R172" s="203" t="s">
        <v>138</v>
      </c>
    </row>
    <row r="173" spans="1:18">
      <c r="A173" s="303">
        <f>COUNTA($D$3:$D173)</f>
        <v>171</v>
      </c>
      <c r="B173" s="303" t="s">
        <v>4636</v>
      </c>
      <c r="C173" s="303" t="s">
        <v>45</v>
      </c>
      <c r="D173" s="303" t="s">
        <v>55</v>
      </c>
      <c r="E173" s="303" t="s">
        <v>4637</v>
      </c>
      <c r="F173" s="304"/>
      <c r="G173" s="306"/>
      <c r="H173" s="304"/>
      <c r="I173" s="304"/>
      <c r="J173" s="303" t="s">
        <v>1665</v>
      </c>
      <c r="K173" s="305" t="s">
        <v>1309</v>
      </c>
      <c r="L173" s="206">
        <v>44929</v>
      </c>
      <c r="M173" s="203" t="s">
        <v>4653</v>
      </c>
      <c r="N173" s="204">
        <v>45051</v>
      </c>
      <c r="O173" s="237" t="s">
        <v>26</v>
      </c>
      <c r="P173" s="237"/>
      <c r="Q173" s="203"/>
      <c r="R173" s="203" t="s">
        <v>26</v>
      </c>
    </row>
    <row r="174" spans="1:18">
      <c r="A174" s="303">
        <f>COUNTA($D$3:$D$174)</f>
        <v>172</v>
      </c>
      <c r="B174" s="303" t="s">
        <v>4065</v>
      </c>
      <c r="C174" s="303" t="s">
        <v>61</v>
      </c>
      <c r="D174" s="303" t="s">
        <v>34</v>
      </c>
      <c r="E174" s="303" t="s">
        <v>4066</v>
      </c>
      <c r="F174" s="304">
        <v>44859</v>
      </c>
      <c r="G174" s="304">
        <v>44846</v>
      </c>
      <c r="H174" s="304"/>
      <c r="I174" s="304">
        <v>44859</v>
      </c>
      <c r="J174" s="303" t="s">
        <v>4169</v>
      </c>
      <c r="K174" s="305" t="s">
        <v>297</v>
      </c>
      <c r="L174" s="206">
        <v>44929</v>
      </c>
      <c r="M174" s="203"/>
      <c r="O174" s="237" t="s">
        <v>1078</v>
      </c>
      <c r="P174" s="237">
        <v>4913.0434999999998</v>
      </c>
      <c r="Q174" s="203" t="s">
        <v>39</v>
      </c>
      <c r="R174" s="203" t="s">
        <v>26</v>
      </c>
    </row>
    <row r="175" spans="1:18">
      <c r="A175" s="303">
        <f>COUNTA($D$3:$D$175)</f>
        <v>173</v>
      </c>
      <c r="B175" s="303" t="s">
        <v>4060</v>
      </c>
      <c r="C175" s="303" t="s">
        <v>4061</v>
      </c>
      <c r="D175" s="303" t="s">
        <v>34</v>
      </c>
      <c r="E175" s="303" t="s">
        <v>4062</v>
      </c>
      <c r="F175" s="304">
        <v>44839</v>
      </c>
      <c r="G175" s="304">
        <v>44833</v>
      </c>
      <c r="H175" s="304"/>
      <c r="I175" s="304">
        <v>44839</v>
      </c>
      <c r="J175" s="303" t="s">
        <v>4063</v>
      </c>
      <c r="K175" s="305" t="s">
        <v>2058</v>
      </c>
      <c r="L175" s="206">
        <v>44929</v>
      </c>
      <c r="M175" s="203"/>
      <c r="N175" s="204">
        <v>45083</v>
      </c>
      <c r="O175" s="203" t="s">
        <v>5597</v>
      </c>
      <c r="P175" s="237">
        <v>2434.7826</v>
      </c>
      <c r="Q175" s="203" t="s">
        <v>39</v>
      </c>
      <c r="R175" s="203" t="s">
        <v>26</v>
      </c>
    </row>
    <row r="176" spans="1:18">
      <c r="A176" s="303">
        <f>COUNTA($D$3:$D$176)</f>
        <v>174</v>
      </c>
      <c r="B176" s="303" t="s">
        <v>4064</v>
      </c>
      <c r="C176" s="303" t="s">
        <v>45</v>
      </c>
      <c r="D176" s="303" t="s">
        <v>1181</v>
      </c>
      <c r="E176" s="303" t="s">
        <v>3173</v>
      </c>
      <c r="F176" s="304" t="s">
        <v>70</v>
      </c>
      <c r="G176" s="304">
        <v>44844</v>
      </c>
      <c r="H176" s="304"/>
      <c r="I176" s="304" t="s">
        <v>70</v>
      </c>
      <c r="J176" s="303" t="s">
        <v>3102</v>
      </c>
      <c r="K176" s="305" t="s">
        <v>1309</v>
      </c>
      <c r="L176" s="206">
        <v>44929</v>
      </c>
      <c r="M176" s="203"/>
      <c r="O176" s="237" t="s">
        <v>1078</v>
      </c>
      <c r="P176" s="237">
        <v>521</v>
      </c>
      <c r="Q176" s="203" t="s">
        <v>32</v>
      </c>
      <c r="R176" s="203" t="s">
        <v>26</v>
      </c>
    </row>
    <row r="177" spans="1:18">
      <c r="A177" s="303">
        <f>COUNTA($D$3:$D$177)</f>
        <v>175</v>
      </c>
      <c r="B177" s="303" t="s">
        <v>4579</v>
      </c>
      <c r="C177" s="303" t="s">
        <v>45</v>
      </c>
      <c r="D177" s="303" t="s">
        <v>2565</v>
      </c>
      <c r="E177" s="303" t="s">
        <v>4580</v>
      </c>
      <c r="F177" s="304"/>
      <c r="G177" s="304"/>
      <c r="H177" s="304"/>
      <c r="I177" s="304"/>
      <c r="J177" s="303" t="s">
        <v>1665</v>
      </c>
      <c r="K177" s="305" t="s">
        <v>1309</v>
      </c>
      <c r="L177" s="206">
        <v>44921</v>
      </c>
      <c r="M177" s="203" t="s">
        <v>4617</v>
      </c>
      <c r="N177" s="204">
        <v>44918</v>
      </c>
      <c r="O177" s="237"/>
      <c r="P177" s="237"/>
      <c r="Q177" s="203"/>
      <c r="R177" s="203" t="s">
        <v>26</v>
      </c>
    </row>
    <row r="178" spans="1:18">
      <c r="A178" s="303">
        <f>COUNTA($D$3:$D$178)</f>
        <v>176</v>
      </c>
      <c r="B178" s="303" t="s">
        <v>3996</v>
      </c>
      <c r="C178" s="303" t="s">
        <v>1161</v>
      </c>
      <c r="D178" s="303" t="s">
        <v>20</v>
      </c>
      <c r="E178" s="303" t="s">
        <v>3997</v>
      </c>
      <c r="F178" s="304">
        <v>44825</v>
      </c>
      <c r="G178" s="304">
        <v>44827</v>
      </c>
      <c r="H178" s="304"/>
      <c r="I178" s="304">
        <v>44825</v>
      </c>
      <c r="J178" s="303" t="s">
        <v>3998</v>
      </c>
      <c r="K178" s="305" t="s">
        <v>2058</v>
      </c>
      <c r="L178" s="206">
        <v>44921</v>
      </c>
      <c r="M178" s="203"/>
      <c r="O178" s="203" t="s">
        <v>1078</v>
      </c>
      <c r="P178" s="237">
        <v>5043.4782999999998</v>
      </c>
      <c r="Q178" s="203" t="s">
        <v>39</v>
      </c>
      <c r="R178" s="203" t="s">
        <v>26</v>
      </c>
    </row>
    <row r="179" spans="1:18">
      <c r="A179" s="303">
        <f>COUNTA($D$3:$D$179)</f>
        <v>177</v>
      </c>
      <c r="B179" s="303" t="s">
        <v>4012</v>
      </c>
      <c r="C179" s="303" t="s">
        <v>4013</v>
      </c>
      <c r="D179" s="303" t="s">
        <v>31</v>
      </c>
      <c r="E179" s="303" t="s">
        <v>4014</v>
      </c>
      <c r="F179" s="304">
        <v>44833</v>
      </c>
      <c r="G179" s="304">
        <v>44830</v>
      </c>
      <c r="H179" s="304">
        <v>45012</v>
      </c>
      <c r="I179" s="304">
        <v>44833</v>
      </c>
      <c r="J179" s="303" t="s">
        <v>1105</v>
      </c>
      <c r="K179" s="305" t="s">
        <v>1310</v>
      </c>
      <c r="L179" s="206"/>
      <c r="M179" s="203" t="s">
        <v>4996</v>
      </c>
      <c r="O179" s="203"/>
      <c r="P179" s="203">
        <v>9957</v>
      </c>
      <c r="Q179" s="203" t="s">
        <v>1067</v>
      </c>
      <c r="R179" s="203" t="s">
        <v>138</v>
      </c>
    </row>
    <row r="180" spans="1:18">
      <c r="A180" s="303">
        <f>COUNTA($D$3:$D$180)</f>
        <v>178</v>
      </c>
      <c r="B180" s="303" t="s">
        <v>4016</v>
      </c>
      <c r="C180" s="303" t="s">
        <v>2701</v>
      </c>
      <c r="D180" s="303" t="s">
        <v>2709</v>
      </c>
      <c r="E180" s="303" t="s">
        <v>2710</v>
      </c>
      <c r="F180" s="304">
        <v>44844</v>
      </c>
      <c r="G180" s="304">
        <v>44827</v>
      </c>
      <c r="H180" s="304"/>
      <c r="I180" s="304">
        <v>44844</v>
      </c>
      <c r="J180" s="303" t="s">
        <v>1693</v>
      </c>
      <c r="K180" s="305" t="s">
        <v>1311</v>
      </c>
      <c r="L180" s="206">
        <v>44921</v>
      </c>
      <c r="M180" s="203" t="s">
        <v>4619</v>
      </c>
      <c r="N180" s="204">
        <v>44937</v>
      </c>
      <c r="O180" s="203"/>
      <c r="P180" s="203"/>
      <c r="Q180" s="203" t="s">
        <v>39</v>
      </c>
      <c r="R180" s="203" t="s">
        <v>138</v>
      </c>
    </row>
    <row r="181" spans="1:18">
      <c r="A181" s="303">
        <f>COUNTA($D$3:$D$181)</f>
        <v>179</v>
      </c>
      <c r="B181" s="303" t="s">
        <v>4191</v>
      </c>
      <c r="C181" s="303" t="s">
        <v>4195</v>
      </c>
      <c r="D181" s="303" t="s">
        <v>36</v>
      </c>
      <c r="E181" s="303" t="s">
        <v>4198</v>
      </c>
      <c r="F181" s="304">
        <v>44854</v>
      </c>
      <c r="G181" s="304">
        <v>44858</v>
      </c>
      <c r="H181" s="304"/>
      <c r="I181" s="304">
        <v>44854</v>
      </c>
      <c r="J181" s="303" t="s">
        <v>2892</v>
      </c>
      <c r="K181" s="305" t="s">
        <v>1309</v>
      </c>
      <c r="L181" s="206">
        <v>44921</v>
      </c>
      <c r="M181" s="203" t="s">
        <v>4618</v>
      </c>
      <c r="N181" s="204">
        <v>44918</v>
      </c>
      <c r="O181" s="203"/>
      <c r="P181" s="203">
        <v>9520</v>
      </c>
      <c r="Q181" s="203"/>
      <c r="R181" s="203" t="s">
        <v>26</v>
      </c>
    </row>
    <row r="182" spans="1:18">
      <c r="A182" s="303">
        <f>COUNTA($D$3:$D$182)</f>
        <v>180</v>
      </c>
      <c r="B182" s="303" t="s">
        <v>4190</v>
      </c>
      <c r="C182" s="303" t="s">
        <v>4195</v>
      </c>
      <c r="D182" s="303" t="s">
        <v>36</v>
      </c>
      <c r="E182" s="303" t="s">
        <v>4196</v>
      </c>
      <c r="F182" s="304">
        <v>44854</v>
      </c>
      <c r="G182" s="304">
        <v>44858</v>
      </c>
      <c r="H182" s="304"/>
      <c r="I182" s="304">
        <v>44854</v>
      </c>
      <c r="J182" s="303" t="s">
        <v>4197</v>
      </c>
      <c r="K182" s="305" t="s">
        <v>1309</v>
      </c>
      <c r="L182" s="206">
        <v>44921</v>
      </c>
      <c r="M182" s="203" t="s">
        <v>4618</v>
      </c>
      <c r="N182" s="204">
        <v>44918</v>
      </c>
      <c r="O182" s="237"/>
      <c r="P182" s="237">
        <v>10200</v>
      </c>
      <c r="Q182" s="203"/>
      <c r="R182" s="203" t="s">
        <v>26</v>
      </c>
    </row>
    <row r="183" spans="1:18">
      <c r="A183" s="303">
        <f>COUNTA($D$3:$D$183)</f>
        <v>181</v>
      </c>
      <c r="B183" s="303" t="s">
        <v>4151</v>
      </c>
      <c r="C183" s="303" t="s">
        <v>4152</v>
      </c>
      <c r="D183" s="303" t="s">
        <v>20</v>
      </c>
      <c r="E183" s="303" t="s">
        <v>4153</v>
      </c>
      <c r="F183" s="304">
        <v>44861</v>
      </c>
      <c r="G183" s="304">
        <v>44851</v>
      </c>
      <c r="H183" s="304"/>
      <c r="I183" s="304">
        <v>44861</v>
      </c>
      <c r="J183" s="303" t="s">
        <v>1672</v>
      </c>
      <c r="K183" s="305" t="s">
        <v>1309</v>
      </c>
      <c r="L183" s="206">
        <v>44921</v>
      </c>
      <c r="M183" s="203" t="s">
        <v>4618</v>
      </c>
      <c r="N183" s="204">
        <v>44918</v>
      </c>
      <c r="O183" s="237"/>
      <c r="P183" s="237">
        <v>640</v>
      </c>
      <c r="Q183" s="203"/>
      <c r="R183" s="203" t="s">
        <v>26</v>
      </c>
    </row>
    <row r="184" spans="1:18">
      <c r="A184" s="303">
        <f>COUNTA($D$3:$D$184)</f>
        <v>182</v>
      </c>
      <c r="B184" s="303" t="s">
        <v>4148</v>
      </c>
      <c r="C184" s="303" t="s">
        <v>4089</v>
      </c>
      <c r="D184" s="303" t="s">
        <v>38</v>
      </c>
      <c r="E184" s="303" t="s">
        <v>4149</v>
      </c>
      <c r="F184" s="304">
        <v>44851</v>
      </c>
      <c r="G184" s="304">
        <v>44851</v>
      </c>
      <c r="H184" s="304"/>
      <c r="I184" s="304">
        <v>44851</v>
      </c>
      <c r="J184" s="303" t="s">
        <v>4150</v>
      </c>
      <c r="K184" s="305" t="s">
        <v>2058</v>
      </c>
      <c r="L184" s="206">
        <v>44921</v>
      </c>
      <c r="M184" s="203" t="s">
        <v>4618</v>
      </c>
      <c r="N184" s="204">
        <v>44918</v>
      </c>
      <c r="O184" s="237"/>
      <c r="P184" s="237">
        <v>5000</v>
      </c>
      <c r="Q184" s="203"/>
      <c r="R184" s="203" t="s">
        <v>26</v>
      </c>
    </row>
    <row r="185" spans="1:18">
      <c r="A185" s="303">
        <f>COUNTA($D$3:$D$185)</f>
        <v>183</v>
      </c>
      <c r="B185" s="303" t="s">
        <v>4034</v>
      </c>
      <c r="C185" s="303" t="s">
        <v>2396</v>
      </c>
      <c r="D185" s="303" t="s">
        <v>1135</v>
      </c>
      <c r="E185" s="303" t="s">
        <v>1188</v>
      </c>
      <c r="F185" s="304">
        <v>44844</v>
      </c>
      <c r="G185" s="304">
        <v>44833</v>
      </c>
      <c r="H185" s="304">
        <v>45012</v>
      </c>
      <c r="I185" s="304">
        <v>44844</v>
      </c>
      <c r="J185" s="303" t="s">
        <v>1500</v>
      </c>
      <c r="K185" s="305" t="s">
        <v>2058</v>
      </c>
      <c r="L185" s="206">
        <v>44921</v>
      </c>
      <c r="M185" s="203" t="s">
        <v>4994</v>
      </c>
      <c r="N185" s="204">
        <v>45083</v>
      </c>
      <c r="O185" s="237" t="s">
        <v>5597</v>
      </c>
      <c r="P185" s="237">
        <v>45076</v>
      </c>
      <c r="Q185" s="203" t="s">
        <v>32</v>
      </c>
      <c r="R185" s="203" t="s">
        <v>26</v>
      </c>
    </row>
    <row r="186" spans="1:18">
      <c r="A186" s="303">
        <f>COUNTA($D$3:$D$186)</f>
        <v>184</v>
      </c>
      <c r="B186" s="303" t="s">
        <v>4020</v>
      </c>
      <c r="C186" s="303" t="s">
        <v>1183</v>
      </c>
      <c r="D186" s="303" t="s">
        <v>1135</v>
      </c>
      <c r="E186" s="303" t="s">
        <v>2023</v>
      </c>
      <c r="F186" s="304">
        <v>44833</v>
      </c>
      <c r="G186" s="304">
        <v>44833</v>
      </c>
      <c r="H186" s="304"/>
      <c r="I186" s="304">
        <v>44833</v>
      </c>
      <c r="J186" s="303" t="s">
        <v>1664</v>
      </c>
      <c r="K186" s="305" t="s">
        <v>2058</v>
      </c>
      <c r="L186" s="206">
        <v>44921</v>
      </c>
      <c r="M186" s="203"/>
      <c r="N186" s="204">
        <v>45083</v>
      </c>
      <c r="O186" s="203" t="s">
        <v>5597</v>
      </c>
      <c r="P186" s="237">
        <v>304.34780000000001</v>
      </c>
      <c r="Q186" s="203" t="s">
        <v>39</v>
      </c>
      <c r="R186" s="203" t="s">
        <v>26</v>
      </c>
    </row>
    <row r="187" spans="1:18">
      <c r="A187" s="303">
        <f>COUNTA($D$3:$D$187)</f>
        <v>185</v>
      </c>
      <c r="B187" s="303" t="s">
        <v>4519</v>
      </c>
      <c r="C187" s="303" t="s">
        <v>45</v>
      </c>
      <c r="D187" s="303" t="s">
        <v>1137</v>
      </c>
      <c r="E187" s="303" t="s">
        <v>2905</v>
      </c>
      <c r="F187" s="304"/>
      <c r="G187" s="304"/>
      <c r="H187" s="304"/>
      <c r="I187" s="304"/>
      <c r="J187" s="303" t="s">
        <v>1665</v>
      </c>
      <c r="K187" s="305" t="s">
        <v>2058</v>
      </c>
      <c r="L187" s="206">
        <v>44914</v>
      </c>
      <c r="M187" s="203" t="s">
        <v>4576</v>
      </c>
      <c r="N187" s="204">
        <v>44907</v>
      </c>
      <c r="O187" s="203"/>
      <c r="P187" s="203"/>
      <c r="Q187" s="203"/>
      <c r="R187" s="203" t="s">
        <v>26</v>
      </c>
    </row>
    <row r="188" spans="1:18">
      <c r="A188" s="303">
        <f>COUNTA($D$3:$D$188)</f>
        <v>186</v>
      </c>
      <c r="B188" s="303" t="s">
        <v>3913</v>
      </c>
      <c r="C188" s="303" t="s">
        <v>1183</v>
      </c>
      <c r="D188" s="303" t="s">
        <v>1235</v>
      </c>
      <c r="E188" s="303" t="s">
        <v>3914</v>
      </c>
      <c r="F188" s="304">
        <v>44817</v>
      </c>
      <c r="G188" s="304">
        <v>44813</v>
      </c>
      <c r="H188" s="304"/>
      <c r="I188" s="304">
        <v>44817</v>
      </c>
      <c r="J188" s="303" t="s">
        <v>3915</v>
      </c>
      <c r="K188" s="305" t="s">
        <v>2058</v>
      </c>
      <c r="L188" s="206">
        <v>44914</v>
      </c>
      <c r="M188" s="203"/>
      <c r="N188" s="204">
        <v>45083</v>
      </c>
      <c r="O188" s="203" t="s">
        <v>5597</v>
      </c>
      <c r="P188" s="203">
        <v>3440</v>
      </c>
      <c r="Q188" s="203" t="s">
        <v>39</v>
      </c>
      <c r="R188" s="203" t="s">
        <v>26</v>
      </c>
    </row>
    <row r="189" spans="1:18">
      <c r="A189" s="303">
        <f>COUNTA($D$3:$D$189)</f>
        <v>187</v>
      </c>
      <c r="B189" s="303" t="s">
        <v>3926</v>
      </c>
      <c r="C189" s="303" t="s">
        <v>2366</v>
      </c>
      <c r="D189" s="303" t="s">
        <v>2367</v>
      </c>
      <c r="E189" s="304" t="s">
        <v>2936</v>
      </c>
      <c r="F189" s="304">
        <v>44826</v>
      </c>
      <c r="G189" s="304">
        <v>44819</v>
      </c>
      <c r="H189" s="304"/>
      <c r="I189" s="304">
        <v>44826</v>
      </c>
      <c r="J189" s="303" t="s">
        <v>1500</v>
      </c>
      <c r="K189" s="305" t="s">
        <v>1309</v>
      </c>
      <c r="L189" s="206">
        <v>44914</v>
      </c>
      <c r="M189" s="203"/>
      <c r="N189" s="204">
        <v>45021</v>
      </c>
      <c r="O189" s="203" t="s">
        <v>26</v>
      </c>
      <c r="P189" s="237">
        <v>1973</v>
      </c>
      <c r="Q189" s="203" t="s">
        <v>39</v>
      </c>
      <c r="R189" s="203" t="s">
        <v>26</v>
      </c>
    </row>
    <row r="190" spans="1:18">
      <c r="A190" s="303">
        <f>COUNTA($D$3:$D$190)</f>
        <v>188</v>
      </c>
      <c r="B190" s="303" t="s">
        <v>3916</v>
      </c>
      <c r="C190" s="303" t="s">
        <v>1183</v>
      </c>
      <c r="D190" s="303" t="s">
        <v>35</v>
      </c>
      <c r="E190" s="304" t="s">
        <v>3580</v>
      </c>
      <c r="F190" s="304">
        <v>44817</v>
      </c>
      <c r="G190" s="304">
        <v>44813</v>
      </c>
      <c r="H190" s="304"/>
      <c r="I190" s="304">
        <v>44817</v>
      </c>
      <c r="J190" s="303" t="s">
        <v>2087</v>
      </c>
      <c r="K190" s="305" t="s">
        <v>1309</v>
      </c>
      <c r="L190" s="206">
        <v>44914</v>
      </c>
      <c r="M190" s="203"/>
      <c r="N190" s="204">
        <v>45083</v>
      </c>
      <c r="O190" s="237" t="s">
        <v>5597</v>
      </c>
      <c r="P190" s="237">
        <v>2240</v>
      </c>
      <c r="Q190" s="203" t="s">
        <v>39</v>
      </c>
      <c r="R190" s="203" t="s">
        <v>26</v>
      </c>
    </row>
    <row r="191" spans="1:18">
      <c r="A191" s="303">
        <f>COUNTA($D$3:$D$191)</f>
        <v>189</v>
      </c>
      <c r="B191" s="303" t="s">
        <v>3936</v>
      </c>
      <c r="C191" s="303" t="s">
        <v>44</v>
      </c>
      <c r="D191" s="303" t="s">
        <v>38</v>
      </c>
      <c r="E191" s="304" t="s">
        <v>2707</v>
      </c>
      <c r="F191" s="304">
        <v>44816</v>
      </c>
      <c r="G191" s="304">
        <v>44827</v>
      </c>
      <c r="H191" s="304"/>
      <c r="I191" s="304">
        <v>44816</v>
      </c>
      <c r="J191" s="303" t="s">
        <v>1762</v>
      </c>
      <c r="K191" s="305" t="s">
        <v>1310</v>
      </c>
      <c r="L191" s="206">
        <v>44914</v>
      </c>
      <c r="M191" s="203"/>
      <c r="O191" s="203" t="s">
        <v>72</v>
      </c>
      <c r="P191" s="237">
        <v>12940</v>
      </c>
      <c r="Q191" s="203" t="s">
        <v>39</v>
      </c>
      <c r="R191" s="203" t="s">
        <v>138</v>
      </c>
    </row>
    <row r="192" spans="1:18">
      <c r="A192" s="303">
        <f>COUNTA($D$3:$D$192)</f>
        <v>190</v>
      </c>
      <c r="B192" s="303" t="s">
        <v>3927</v>
      </c>
      <c r="C192" s="303" t="s">
        <v>41</v>
      </c>
      <c r="D192" s="303" t="s">
        <v>34</v>
      </c>
      <c r="E192" s="304" t="s">
        <v>3928</v>
      </c>
      <c r="F192" s="304">
        <v>44816</v>
      </c>
      <c r="G192" s="304">
        <v>44819</v>
      </c>
      <c r="H192" s="304"/>
      <c r="I192" s="304">
        <v>44816</v>
      </c>
      <c r="J192" s="303" t="s">
        <v>1500</v>
      </c>
      <c r="K192" s="305" t="s">
        <v>1311</v>
      </c>
      <c r="L192" s="206">
        <v>44914</v>
      </c>
      <c r="M192" s="203"/>
      <c r="O192" s="203"/>
      <c r="P192" s="203">
        <v>1554</v>
      </c>
      <c r="Q192" s="203" t="s">
        <v>39</v>
      </c>
      <c r="R192" s="203" t="s">
        <v>138</v>
      </c>
    </row>
    <row r="193" spans="1:18">
      <c r="A193" s="303">
        <f>COUNTA($D$3:$D$193)</f>
        <v>191</v>
      </c>
      <c r="B193" s="303" t="s">
        <v>3921</v>
      </c>
      <c r="C193" s="303" t="s">
        <v>41</v>
      </c>
      <c r="D193" s="303" t="s">
        <v>34</v>
      </c>
      <c r="E193" s="304" t="s">
        <v>3922</v>
      </c>
      <c r="F193" s="304">
        <v>44816</v>
      </c>
      <c r="G193" s="304">
        <v>44819</v>
      </c>
      <c r="H193" s="304"/>
      <c r="I193" s="304">
        <v>44816</v>
      </c>
      <c r="J193" s="303" t="s">
        <v>369</v>
      </c>
      <c r="K193" s="305" t="s">
        <v>1310</v>
      </c>
      <c r="L193" s="206">
        <v>44914</v>
      </c>
      <c r="M193" s="203"/>
      <c r="O193" s="237"/>
      <c r="P193" s="237">
        <v>1973</v>
      </c>
      <c r="Q193" s="203" t="s">
        <v>39</v>
      </c>
      <c r="R193" s="203" t="s">
        <v>138</v>
      </c>
    </row>
    <row r="194" spans="1:18">
      <c r="A194" s="303">
        <f>COUNTA($D$3:$D$194)</f>
        <v>192</v>
      </c>
      <c r="B194" s="303" t="s">
        <v>3974</v>
      </c>
      <c r="C194" s="303" t="s">
        <v>1294</v>
      </c>
      <c r="D194" s="303" t="s">
        <v>1115</v>
      </c>
      <c r="E194" s="304" t="s">
        <v>1296</v>
      </c>
      <c r="F194" s="304">
        <v>44826</v>
      </c>
      <c r="G194" s="304">
        <v>44830</v>
      </c>
      <c r="H194" s="304"/>
      <c r="I194" s="304">
        <v>44826</v>
      </c>
      <c r="J194" s="303" t="s">
        <v>1500</v>
      </c>
      <c r="K194" s="305" t="s">
        <v>1310</v>
      </c>
      <c r="L194" s="206">
        <v>44914</v>
      </c>
      <c r="M194" s="203" t="s">
        <v>5051</v>
      </c>
      <c r="N194" s="204">
        <v>45012</v>
      </c>
      <c r="O194" s="203" t="s">
        <v>5051</v>
      </c>
      <c r="P194" s="237">
        <v>2739.1304</v>
      </c>
      <c r="Q194" s="203" t="s">
        <v>39</v>
      </c>
      <c r="R194" s="203" t="s">
        <v>138</v>
      </c>
    </row>
    <row r="195" spans="1:18">
      <c r="A195" s="303">
        <f>COUNTA($D$3:$D$195)</f>
        <v>193</v>
      </c>
      <c r="B195" s="303" t="s">
        <v>3960</v>
      </c>
      <c r="C195" s="303" t="s">
        <v>45</v>
      </c>
      <c r="D195" s="303" t="s">
        <v>36</v>
      </c>
      <c r="E195" s="304" t="s">
        <v>1202</v>
      </c>
      <c r="F195" s="304"/>
      <c r="G195" s="304"/>
      <c r="H195" s="304"/>
      <c r="I195" s="304"/>
      <c r="J195" s="303" t="s">
        <v>1227</v>
      </c>
      <c r="K195" s="305" t="s">
        <v>1309</v>
      </c>
      <c r="L195" s="206">
        <v>44914</v>
      </c>
      <c r="M195" s="203" t="s">
        <v>4577</v>
      </c>
      <c r="N195" s="204">
        <v>44907</v>
      </c>
      <c r="O195" s="237"/>
      <c r="P195" s="237">
        <v>617</v>
      </c>
      <c r="Q195" s="203" t="s">
        <v>32</v>
      </c>
      <c r="R195" s="203" t="s">
        <v>26</v>
      </c>
    </row>
    <row r="196" spans="1:18">
      <c r="A196" s="303">
        <f>COUNTA($D$3:$D$196)</f>
        <v>194</v>
      </c>
      <c r="B196" s="303" t="s">
        <v>4444</v>
      </c>
      <c r="C196" s="303" t="s">
        <v>45</v>
      </c>
      <c r="D196" s="303" t="s">
        <v>1095</v>
      </c>
      <c r="E196" s="304" t="s">
        <v>4445</v>
      </c>
      <c r="F196" s="304"/>
      <c r="G196" s="304"/>
      <c r="H196" s="304"/>
      <c r="I196" s="304"/>
      <c r="J196" s="303" t="s">
        <v>1665</v>
      </c>
      <c r="K196" s="305" t="s">
        <v>1310</v>
      </c>
      <c r="L196" s="206">
        <v>44907</v>
      </c>
      <c r="M196" s="203" t="s">
        <v>4473</v>
      </c>
      <c r="N196" s="204">
        <v>45272</v>
      </c>
      <c r="O196" s="237"/>
      <c r="P196" s="237"/>
      <c r="Q196" s="203"/>
      <c r="R196" s="203" t="s">
        <v>138</v>
      </c>
    </row>
    <row r="197" spans="1:18">
      <c r="A197" s="303">
        <f>COUNTA($D$3:$D$197)</f>
        <v>195</v>
      </c>
      <c r="B197" s="303" t="s">
        <v>4237</v>
      </c>
      <c r="C197" s="303" t="s">
        <v>2616</v>
      </c>
      <c r="D197" s="303" t="s">
        <v>1110</v>
      </c>
      <c r="E197" s="304" t="s">
        <v>4238</v>
      </c>
      <c r="F197" s="304">
        <v>44867</v>
      </c>
      <c r="G197" s="304">
        <v>44872</v>
      </c>
      <c r="H197" s="304"/>
      <c r="I197" s="304">
        <v>44867</v>
      </c>
      <c r="J197" s="303" t="s">
        <v>1105</v>
      </c>
      <c r="K197" s="305"/>
      <c r="L197" s="206">
        <v>44907</v>
      </c>
      <c r="M197" s="203" t="s">
        <v>2406</v>
      </c>
      <c r="N197" s="204">
        <v>44907</v>
      </c>
      <c r="O197" s="237"/>
      <c r="P197" s="237">
        <v>5040</v>
      </c>
      <c r="Q197" s="203" t="s">
        <v>1741</v>
      </c>
      <c r="R197" s="203" t="s">
        <v>138</v>
      </c>
    </row>
    <row r="198" spans="1:18">
      <c r="A198" s="303">
        <f>COUNTA($D$3:$D$198)</f>
        <v>196</v>
      </c>
      <c r="B198" s="303" t="s">
        <v>4439</v>
      </c>
      <c r="C198" s="303" t="s">
        <v>1767</v>
      </c>
      <c r="D198" s="303" t="s">
        <v>1157</v>
      </c>
      <c r="E198" s="304" t="s">
        <v>4440</v>
      </c>
      <c r="F198" s="304"/>
      <c r="G198" s="304"/>
      <c r="H198" s="304"/>
      <c r="I198" s="304"/>
      <c r="J198" s="303"/>
      <c r="K198" s="305"/>
      <c r="L198" s="206">
        <v>44907</v>
      </c>
      <c r="M198" s="203" t="s">
        <v>2243</v>
      </c>
      <c r="N198" s="204">
        <v>44910</v>
      </c>
      <c r="O198" s="203"/>
      <c r="P198" s="203"/>
      <c r="Q198" s="203" t="s">
        <v>1065</v>
      </c>
      <c r="R198" s="203" t="s">
        <v>138</v>
      </c>
    </row>
    <row r="199" spans="1:18">
      <c r="A199" s="303">
        <f>COUNTA($D$3:$D$199)</f>
        <v>197</v>
      </c>
      <c r="B199" s="303" t="s">
        <v>4316</v>
      </c>
      <c r="C199" s="303" t="s">
        <v>4331</v>
      </c>
      <c r="D199" s="303" t="s">
        <v>2709</v>
      </c>
      <c r="E199" s="304" t="s">
        <v>4342</v>
      </c>
      <c r="F199" s="304">
        <v>44880</v>
      </c>
      <c r="G199" s="304"/>
      <c r="H199" s="304"/>
      <c r="I199" s="304">
        <v>44880</v>
      </c>
      <c r="J199" s="303" t="s">
        <v>4343</v>
      </c>
      <c r="K199" s="305" t="s">
        <v>2058</v>
      </c>
      <c r="L199" s="206">
        <v>44907</v>
      </c>
      <c r="M199" s="203" t="s">
        <v>4484</v>
      </c>
      <c r="N199" s="204">
        <v>44907</v>
      </c>
      <c r="O199" s="203"/>
      <c r="P199" s="237">
        <v>3520</v>
      </c>
      <c r="Q199" s="203"/>
      <c r="R199" s="203" t="s">
        <v>26</v>
      </c>
    </row>
    <row r="200" spans="1:18">
      <c r="A200" s="303">
        <f>COUNTA($D$3:$D$200)</f>
        <v>198</v>
      </c>
      <c r="B200" s="303" t="s">
        <v>4317</v>
      </c>
      <c r="C200" s="303" t="s">
        <v>4331</v>
      </c>
      <c r="D200" s="303" t="s">
        <v>42</v>
      </c>
      <c r="E200" s="304" t="s">
        <v>4337</v>
      </c>
      <c r="F200" s="304">
        <v>44880</v>
      </c>
      <c r="G200" s="304">
        <v>44879</v>
      </c>
      <c r="H200" s="304"/>
      <c r="I200" s="304">
        <v>44880</v>
      </c>
      <c r="J200" s="303" t="s">
        <v>4338</v>
      </c>
      <c r="K200" s="305" t="s">
        <v>2058</v>
      </c>
      <c r="L200" s="206">
        <v>44907</v>
      </c>
      <c r="M200" s="203" t="s">
        <v>4484</v>
      </c>
      <c r="N200" s="204">
        <v>44907</v>
      </c>
      <c r="O200" s="237"/>
      <c r="P200" s="237">
        <v>7680</v>
      </c>
      <c r="Q200" s="203"/>
      <c r="R200" s="203" t="s">
        <v>26</v>
      </c>
    </row>
    <row r="201" spans="1:18">
      <c r="A201" s="303">
        <f>COUNTA($D$3:$D$201)</f>
        <v>199</v>
      </c>
      <c r="B201" s="303" t="s">
        <v>4318</v>
      </c>
      <c r="C201" s="303" t="s">
        <v>4331</v>
      </c>
      <c r="D201" s="303" t="s">
        <v>42</v>
      </c>
      <c r="E201" s="304" t="s">
        <v>4332</v>
      </c>
      <c r="F201" s="304">
        <v>44880</v>
      </c>
      <c r="G201" s="304">
        <v>44879</v>
      </c>
      <c r="H201" s="304"/>
      <c r="I201" s="304">
        <v>44880</v>
      </c>
      <c r="J201" s="303" t="s">
        <v>4333</v>
      </c>
      <c r="K201" s="305" t="s">
        <v>2058</v>
      </c>
      <c r="L201" s="206">
        <v>44907</v>
      </c>
      <c r="M201" s="207" t="s">
        <v>4484</v>
      </c>
      <c r="N201" s="204">
        <v>44907</v>
      </c>
      <c r="O201" s="203"/>
      <c r="P201" s="203">
        <v>1440</v>
      </c>
      <c r="Q201" s="203"/>
      <c r="R201" s="203" t="s">
        <v>26</v>
      </c>
    </row>
    <row r="202" spans="1:18">
      <c r="A202" s="303">
        <f>COUNTA($D$3:$D$202)</f>
        <v>200</v>
      </c>
      <c r="B202" s="303" t="s">
        <v>4391</v>
      </c>
      <c r="C202" s="303" t="s">
        <v>112</v>
      </c>
      <c r="D202" s="303" t="s">
        <v>1136</v>
      </c>
      <c r="E202" s="304" t="s">
        <v>4392</v>
      </c>
      <c r="F202" s="304">
        <v>44886</v>
      </c>
      <c r="G202" s="304">
        <v>44883</v>
      </c>
      <c r="H202" s="304"/>
      <c r="I202" s="304">
        <v>44886</v>
      </c>
      <c r="J202" s="303" t="s">
        <v>1694</v>
      </c>
      <c r="K202" s="305" t="s">
        <v>2058</v>
      </c>
      <c r="L202" s="206">
        <v>44907</v>
      </c>
      <c r="M202" s="203" t="s">
        <v>4492</v>
      </c>
      <c r="N202" s="204">
        <v>44903</v>
      </c>
      <c r="O202" s="203"/>
      <c r="P202" s="203">
        <v>1760</v>
      </c>
      <c r="Q202" s="203" t="s">
        <v>2697</v>
      </c>
      <c r="R202" s="203" t="s">
        <v>26</v>
      </c>
    </row>
    <row r="203" spans="1:18">
      <c r="A203" s="303">
        <f>COUNTA($D$3:$D$203)</f>
        <v>201</v>
      </c>
      <c r="B203" s="303" t="s">
        <v>3855</v>
      </c>
      <c r="C203" s="303" t="s">
        <v>44</v>
      </c>
      <c r="D203" s="303" t="s">
        <v>1135</v>
      </c>
      <c r="E203" s="304" t="s">
        <v>2878</v>
      </c>
      <c r="F203" s="304">
        <v>44816</v>
      </c>
      <c r="G203" s="304">
        <v>44819</v>
      </c>
      <c r="H203" s="304"/>
      <c r="I203" s="304">
        <v>44816</v>
      </c>
      <c r="J203" s="303" t="s">
        <v>1105</v>
      </c>
      <c r="K203" s="305" t="s">
        <v>1289</v>
      </c>
      <c r="L203" s="206">
        <v>44907</v>
      </c>
      <c r="M203" s="203"/>
      <c r="O203" s="203" t="s">
        <v>72</v>
      </c>
      <c r="P203" s="203">
        <v>336</v>
      </c>
      <c r="Q203" s="203" t="s">
        <v>39</v>
      </c>
      <c r="R203" s="203" t="s">
        <v>138</v>
      </c>
    </row>
    <row r="204" spans="1:18">
      <c r="A204" s="303">
        <f>COUNTA($D$3:$D$204)</f>
        <v>202</v>
      </c>
      <c r="B204" s="303" t="s">
        <v>3869</v>
      </c>
      <c r="C204" s="303" t="s">
        <v>1118</v>
      </c>
      <c r="D204" s="303" t="s">
        <v>1110</v>
      </c>
      <c r="E204" s="304" t="s">
        <v>3870</v>
      </c>
      <c r="F204" s="304">
        <v>44811</v>
      </c>
      <c r="G204" s="304">
        <v>44811</v>
      </c>
      <c r="H204" s="304"/>
      <c r="I204" s="304">
        <v>44811</v>
      </c>
      <c r="J204" s="303" t="s">
        <v>1105</v>
      </c>
      <c r="K204" s="305" t="s">
        <v>1302</v>
      </c>
      <c r="L204" s="206">
        <v>44902</v>
      </c>
      <c r="M204" s="203" t="s">
        <v>4451</v>
      </c>
      <c r="N204" s="204">
        <v>44943</v>
      </c>
      <c r="O204" s="203"/>
      <c r="P204" s="203">
        <v>546</v>
      </c>
      <c r="Q204" s="203" t="s">
        <v>1741</v>
      </c>
      <c r="R204" s="203" t="s">
        <v>138</v>
      </c>
    </row>
    <row r="205" spans="1:18">
      <c r="A205" s="303">
        <f>COUNTA($D$3:$D$205)</f>
        <v>203</v>
      </c>
      <c r="B205" s="303" t="s">
        <v>3868</v>
      </c>
      <c r="C205" s="303" t="s">
        <v>1118</v>
      </c>
      <c r="D205" s="303" t="s">
        <v>1110</v>
      </c>
      <c r="E205" s="304" t="s">
        <v>2852</v>
      </c>
      <c r="F205" s="304">
        <v>44811</v>
      </c>
      <c r="G205" s="304">
        <v>44811</v>
      </c>
      <c r="H205" s="304"/>
      <c r="I205" s="304">
        <v>44811</v>
      </c>
      <c r="J205" s="303" t="s">
        <v>1105</v>
      </c>
      <c r="K205" s="305" t="s">
        <v>1302</v>
      </c>
      <c r="L205" s="206">
        <v>44902</v>
      </c>
      <c r="M205" s="203" t="s">
        <v>4451</v>
      </c>
      <c r="N205" s="204">
        <v>44943</v>
      </c>
      <c r="O205" s="203"/>
      <c r="P205" s="203">
        <v>546</v>
      </c>
      <c r="Q205" s="203" t="s">
        <v>1741</v>
      </c>
      <c r="R205" s="203" t="s">
        <v>138</v>
      </c>
    </row>
    <row r="206" spans="1:18">
      <c r="A206" s="303">
        <f>COUNTA($D$3:$D$206)</f>
        <v>204</v>
      </c>
      <c r="B206" s="303" t="s">
        <v>3904</v>
      </c>
      <c r="C206" s="303" t="s">
        <v>2068</v>
      </c>
      <c r="D206" s="303" t="s">
        <v>20</v>
      </c>
      <c r="E206" s="304" t="s">
        <v>3905</v>
      </c>
      <c r="F206" s="304">
        <v>44816</v>
      </c>
      <c r="G206" s="304">
        <v>44819</v>
      </c>
      <c r="H206" s="304"/>
      <c r="I206" s="304">
        <v>44816</v>
      </c>
      <c r="J206" s="303" t="s">
        <v>3937</v>
      </c>
      <c r="K206" s="305" t="s">
        <v>1311</v>
      </c>
      <c r="L206" s="206">
        <v>44902</v>
      </c>
      <c r="M206" s="203"/>
      <c r="N206" s="204">
        <v>45030</v>
      </c>
      <c r="O206" s="203" t="s">
        <v>5723</v>
      </c>
      <c r="P206" s="203">
        <v>5966</v>
      </c>
      <c r="Q206" s="203" t="s">
        <v>39</v>
      </c>
      <c r="R206" s="203" t="s">
        <v>138</v>
      </c>
    </row>
    <row r="207" spans="1:18">
      <c r="A207" s="303">
        <f>COUNTA($D$3:$D$207)</f>
        <v>205</v>
      </c>
      <c r="B207" s="303" t="s">
        <v>3841</v>
      </c>
      <c r="C207" s="303" t="s">
        <v>25</v>
      </c>
      <c r="D207" s="303" t="s">
        <v>1205</v>
      </c>
      <c r="E207" s="304" t="s">
        <v>3842</v>
      </c>
      <c r="F207" s="304">
        <v>44811</v>
      </c>
      <c r="G207" s="304">
        <v>44810</v>
      </c>
      <c r="H207" s="304"/>
      <c r="I207" s="304">
        <v>44811</v>
      </c>
      <c r="J207" s="303" t="s">
        <v>3843</v>
      </c>
      <c r="K207" s="305" t="s">
        <v>1311</v>
      </c>
      <c r="L207" s="206">
        <v>44902</v>
      </c>
      <c r="M207" s="203" t="s">
        <v>4450</v>
      </c>
      <c r="N207" s="204">
        <v>44959</v>
      </c>
      <c r="O207" s="203"/>
      <c r="P207" s="237">
        <v>3067</v>
      </c>
      <c r="Q207" s="203" t="s">
        <v>39</v>
      </c>
      <c r="R207" s="203" t="s">
        <v>138</v>
      </c>
    </row>
    <row r="208" spans="1:18">
      <c r="A208" s="303">
        <f>COUNTA($D$3:$D$208)</f>
        <v>206</v>
      </c>
      <c r="B208" s="303" t="s">
        <v>3837</v>
      </c>
      <c r="C208" s="303" t="s">
        <v>3838</v>
      </c>
      <c r="D208" s="303" t="s">
        <v>20</v>
      </c>
      <c r="E208" s="304" t="s">
        <v>3839</v>
      </c>
      <c r="F208" s="304" t="s">
        <v>59</v>
      </c>
      <c r="G208" s="304"/>
      <c r="H208" s="304"/>
      <c r="I208" s="304" t="s">
        <v>59</v>
      </c>
      <c r="J208" s="303" t="s">
        <v>1500</v>
      </c>
      <c r="K208" s="305" t="s">
        <v>1311</v>
      </c>
      <c r="L208" s="206">
        <v>44902</v>
      </c>
      <c r="M208" s="203" t="s">
        <v>5052</v>
      </c>
      <c r="N208" s="204">
        <v>44902</v>
      </c>
      <c r="O208" s="203" t="s">
        <v>5052</v>
      </c>
      <c r="P208" s="203"/>
      <c r="Q208" s="203" t="s">
        <v>32</v>
      </c>
      <c r="R208" s="203" t="s">
        <v>138</v>
      </c>
    </row>
    <row r="209" spans="1:18">
      <c r="A209" s="303">
        <f>COUNTA($D$3:$D$209)</f>
        <v>207</v>
      </c>
      <c r="B209" s="303" t="s">
        <v>3882</v>
      </c>
      <c r="C209" s="303" t="s">
        <v>25</v>
      </c>
      <c r="D209" s="303" t="s">
        <v>34</v>
      </c>
      <c r="E209" s="304" t="s">
        <v>3892</v>
      </c>
      <c r="F209" s="304">
        <v>44811</v>
      </c>
      <c r="G209" s="304">
        <v>44810</v>
      </c>
      <c r="H209" s="304"/>
      <c r="I209" s="304">
        <v>44811</v>
      </c>
      <c r="J209" s="303" t="s">
        <v>1715</v>
      </c>
      <c r="K209" s="305" t="s">
        <v>1311</v>
      </c>
      <c r="L209" s="206">
        <v>44902</v>
      </c>
      <c r="M209" s="203" t="s">
        <v>4401</v>
      </c>
      <c r="N209" s="204">
        <v>44959</v>
      </c>
      <c r="O209" s="203"/>
      <c r="P209" s="237">
        <v>2730</v>
      </c>
      <c r="Q209" s="203" t="s">
        <v>39</v>
      </c>
      <c r="R209" s="203" t="s">
        <v>138</v>
      </c>
    </row>
    <row r="210" spans="1:18">
      <c r="A210" s="303">
        <f>COUNTA($D$3:$D$210)</f>
        <v>208</v>
      </c>
      <c r="B210" s="303" t="s">
        <v>4235</v>
      </c>
      <c r="C210" s="303" t="s">
        <v>1276</v>
      </c>
      <c r="D210" s="303" t="s">
        <v>34</v>
      </c>
      <c r="E210" s="304" t="s">
        <v>4236</v>
      </c>
      <c r="F210" s="304">
        <v>44867</v>
      </c>
      <c r="G210" s="304">
        <v>44872</v>
      </c>
      <c r="H210" s="304"/>
      <c r="I210" s="304">
        <v>44867</v>
      </c>
      <c r="J210" s="303" t="s">
        <v>4253</v>
      </c>
      <c r="K210" s="305"/>
      <c r="L210" s="206">
        <v>44894</v>
      </c>
      <c r="M210" s="203" t="s">
        <v>3213</v>
      </c>
      <c r="N210" s="204">
        <v>44875</v>
      </c>
      <c r="O210" s="237"/>
      <c r="P210" s="237">
        <v>3541.6666666666665</v>
      </c>
      <c r="Q210" s="203" t="s">
        <v>39</v>
      </c>
      <c r="R210" s="203" t="s">
        <v>138</v>
      </c>
    </row>
    <row r="211" spans="1:18">
      <c r="A211" s="303">
        <f>COUNTA($D$3:$D$211)</f>
        <v>209</v>
      </c>
      <c r="B211" s="303" t="s">
        <v>4311</v>
      </c>
      <c r="C211" s="303" t="s">
        <v>4326</v>
      </c>
      <c r="D211" s="303" t="s">
        <v>1133</v>
      </c>
      <c r="E211" s="304" t="s">
        <v>4327</v>
      </c>
      <c r="F211" s="304">
        <v>44879</v>
      </c>
      <c r="G211" s="304">
        <v>44879</v>
      </c>
      <c r="H211" s="304">
        <v>44886</v>
      </c>
      <c r="I211" s="304">
        <v>44879</v>
      </c>
      <c r="J211" s="303" t="s">
        <v>2623</v>
      </c>
      <c r="K211" s="305"/>
      <c r="L211" s="206">
        <v>44894</v>
      </c>
      <c r="M211" s="203" t="s">
        <v>4420</v>
      </c>
      <c r="N211" s="204">
        <v>44881</v>
      </c>
      <c r="O211" s="203"/>
      <c r="P211" s="237">
        <v>1458.3333333333333</v>
      </c>
      <c r="Q211" s="203" t="s">
        <v>32</v>
      </c>
      <c r="R211" s="203" t="s">
        <v>138</v>
      </c>
    </row>
    <row r="212" spans="1:18">
      <c r="A212" s="303">
        <f>COUNTA($D$3:$D$212)</f>
        <v>210</v>
      </c>
      <c r="B212" s="303" t="s">
        <v>4241</v>
      </c>
      <c r="C212" s="303" t="s">
        <v>61</v>
      </c>
      <c r="D212" s="303" t="s">
        <v>31</v>
      </c>
      <c r="E212" s="304" t="s">
        <v>4242</v>
      </c>
      <c r="F212" s="304">
        <v>44866</v>
      </c>
      <c r="G212" s="304">
        <v>44865</v>
      </c>
      <c r="H212" s="304"/>
      <c r="I212" s="304">
        <v>44866</v>
      </c>
      <c r="J212" s="303" t="s">
        <v>1856</v>
      </c>
      <c r="K212" s="305" t="s">
        <v>297</v>
      </c>
      <c r="L212" s="206">
        <v>44894</v>
      </c>
      <c r="M212" s="203" t="s">
        <v>4405</v>
      </c>
      <c r="N212" s="204">
        <v>44907</v>
      </c>
      <c r="O212" s="203"/>
      <c r="P212" s="237">
        <v>1000</v>
      </c>
      <c r="Q212" s="203"/>
      <c r="R212" s="203" t="s">
        <v>26</v>
      </c>
    </row>
    <row r="213" spans="1:18">
      <c r="A213" s="303">
        <f>COUNTA($D$3:$D$213)</f>
        <v>211</v>
      </c>
      <c r="B213" s="303" t="s">
        <v>4239</v>
      </c>
      <c r="C213" s="303" t="s">
        <v>45</v>
      </c>
      <c r="D213" s="303" t="s">
        <v>34</v>
      </c>
      <c r="E213" s="304" t="s">
        <v>2996</v>
      </c>
      <c r="F213" s="304" t="s">
        <v>70</v>
      </c>
      <c r="G213" s="304">
        <v>44872</v>
      </c>
      <c r="H213" s="304"/>
      <c r="I213" s="304" t="s">
        <v>70</v>
      </c>
      <c r="J213" s="303" t="s">
        <v>4300</v>
      </c>
      <c r="K213" s="305" t="s">
        <v>297</v>
      </c>
      <c r="L213" s="206">
        <v>44886</v>
      </c>
      <c r="M213" s="203" t="s">
        <v>4403</v>
      </c>
      <c r="N213" s="204">
        <v>44907</v>
      </c>
      <c r="O213" s="203"/>
      <c r="P213" s="203">
        <v>1514</v>
      </c>
      <c r="Q213" s="203" t="s">
        <v>64</v>
      </c>
      <c r="R213" s="203" t="s">
        <v>26</v>
      </c>
    </row>
    <row r="214" spans="1:18">
      <c r="A214" s="303">
        <f>COUNTA($D$3:$D$214)</f>
        <v>212</v>
      </c>
      <c r="B214" s="303" t="s">
        <v>4054</v>
      </c>
      <c r="C214" s="303" t="s">
        <v>45</v>
      </c>
      <c r="D214" s="303" t="s">
        <v>1151</v>
      </c>
      <c r="E214" s="304" t="s">
        <v>4055</v>
      </c>
      <c r="F214" s="304" t="s">
        <v>70</v>
      </c>
      <c r="G214" s="304">
        <v>44844</v>
      </c>
      <c r="H214" s="304"/>
      <c r="I214" s="304" t="s">
        <v>70</v>
      </c>
      <c r="J214" s="303" t="s">
        <v>4124</v>
      </c>
      <c r="K214" s="305" t="s">
        <v>1311</v>
      </c>
      <c r="L214" s="206">
        <v>44886</v>
      </c>
      <c r="M214" s="203"/>
      <c r="O214" s="237"/>
      <c r="P214" s="237">
        <v>3770</v>
      </c>
      <c r="Q214" s="203" t="s">
        <v>64</v>
      </c>
      <c r="R214" s="203" t="s">
        <v>138</v>
      </c>
    </row>
    <row r="215" spans="1:18">
      <c r="A215" s="303">
        <f>COUNTA($D$3:$D$215)</f>
        <v>213</v>
      </c>
      <c r="B215" s="303" t="s">
        <v>4310</v>
      </c>
      <c r="C215" s="303" t="s">
        <v>45</v>
      </c>
      <c r="D215" s="303" t="s">
        <v>1127</v>
      </c>
      <c r="E215" s="304" t="s">
        <v>3301</v>
      </c>
      <c r="F215" s="304" t="s">
        <v>70</v>
      </c>
      <c r="G215" s="304">
        <v>44879</v>
      </c>
      <c r="H215" s="304"/>
      <c r="I215" s="304" t="s">
        <v>70</v>
      </c>
      <c r="J215" s="303" t="s">
        <v>4325</v>
      </c>
      <c r="K215" s="305" t="s">
        <v>1311</v>
      </c>
      <c r="L215" s="206">
        <v>44886</v>
      </c>
      <c r="M215" s="203"/>
      <c r="O215" s="237"/>
      <c r="P215" s="237">
        <v>2166</v>
      </c>
      <c r="Q215" s="203" t="s">
        <v>64</v>
      </c>
      <c r="R215" s="203" t="s">
        <v>138</v>
      </c>
    </row>
    <row r="216" spans="1:18">
      <c r="A216" s="303">
        <f>COUNTA($D$3:$D$216)</f>
        <v>214</v>
      </c>
      <c r="B216" s="303" t="s">
        <v>4001</v>
      </c>
      <c r="C216" s="303" t="s">
        <v>1233</v>
      </c>
      <c r="D216" s="303" t="s">
        <v>31</v>
      </c>
      <c r="E216" s="304" t="s">
        <v>4002</v>
      </c>
      <c r="F216" s="304">
        <v>44844</v>
      </c>
      <c r="G216" s="304">
        <v>44830</v>
      </c>
      <c r="H216" s="304">
        <v>45012</v>
      </c>
      <c r="I216" s="304">
        <v>44844</v>
      </c>
      <c r="J216" s="303" t="s">
        <v>1105</v>
      </c>
      <c r="K216" s="305" t="s">
        <v>1310</v>
      </c>
      <c r="L216" s="206">
        <v>44886</v>
      </c>
      <c r="M216" s="203" t="s">
        <v>4996</v>
      </c>
      <c r="N216" s="204">
        <v>44837</v>
      </c>
      <c r="O216" s="237"/>
      <c r="P216" s="237" t="s">
        <v>4131</v>
      </c>
      <c r="Q216" s="203" t="s">
        <v>1067</v>
      </c>
      <c r="R216" s="203" t="s">
        <v>138</v>
      </c>
    </row>
    <row r="217" spans="1:18">
      <c r="A217" s="303">
        <f>COUNTA($D$3:$D$217)</f>
        <v>215</v>
      </c>
      <c r="B217" s="303" t="s">
        <v>3815</v>
      </c>
      <c r="C217" s="303" t="s">
        <v>2793</v>
      </c>
      <c r="D217" s="303" t="s">
        <v>20</v>
      </c>
      <c r="E217" s="304" t="s">
        <v>2794</v>
      </c>
      <c r="F217" s="304">
        <v>44795</v>
      </c>
      <c r="G217" s="304">
        <v>44795</v>
      </c>
      <c r="H217" s="304"/>
      <c r="I217" s="304">
        <v>44795</v>
      </c>
      <c r="J217" s="303" t="s">
        <v>3816</v>
      </c>
      <c r="K217" s="305" t="s">
        <v>1310</v>
      </c>
      <c r="L217" s="206">
        <v>44886</v>
      </c>
      <c r="M217" s="203"/>
      <c r="O217" s="237"/>
      <c r="P217" s="237">
        <v>7750</v>
      </c>
      <c r="Q217" s="203" t="s">
        <v>39</v>
      </c>
      <c r="R217" s="203" t="s">
        <v>138</v>
      </c>
    </row>
    <row r="218" spans="1:18">
      <c r="A218" s="303">
        <f>COUNTA($D$3:$D218)</f>
        <v>216</v>
      </c>
      <c r="B218" s="303" t="s">
        <v>4168</v>
      </c>
      <c r="C218" s="303" t="s">
        <v>45</v>
      </c>
      <c r="D218" s="303" t="s">
        <v>1135</v>
      </c>
      <c r="E218" s="304" t="s">
        <v>3090</v>
      </c>
      <c r="F218" s="304" t="s">
        <v>70</v>
      </c>
      <c r="G218" s="304">
        <v>44852</v>
      </c>
      <c r="H218" s="304"/>
      <c r="I218" s="304" t="s">
        <v>70</v>
      </c>
      <c r="J218" s="303" t="s">
        <v>4186</v>
      </c>
      <c r="K218" s="305" t="s">
        <v>1311</v>
      </c>
      <c r="L218" s="206">
        <v>44886</v>
      </c>
      <c r="M218" s="203" t="s">
        <v>4402</v>
      </c>
      <c r="N218" s="204">
        <v>44907</v>
      </c>
      <c r="O218" s="203"/>
      <c r="P218" s="237">
        <v>1274</v>
      </c>
      <c r="Q218" s="203" t="s">
        <v>64</v>
      </c>
      <c r="R218" s="203" t="s">
        <v>138</v>
      </c>
    </row>
    <row r="219" spans="1:18">
      <c r="A219" s="303">
        <f>COUNTA($D$3:$D219)</f>
        <v>217</v>
      </c>
      <c r="B219" s="303" t="s">
        <v>3809</v>
      </c>
      <c r="C219" s="303" t="s">
        <v>25</v>
      </c>
      <c r="D219" s="303" t="s">
        <v>1092</v>
      </c>
      <c r="E219" s="304" t="s">
        <v>3810</v>
      </c>
      <c r="F219" s="304">
        <v>44795</v>
      </c>
      <c r="G219" s="304">
        <v>44795</v>
      </c>
      <c r="H219" s="304"/>
      <c r="I219" s="304">
        <v>44795</v>
      </c>
      <c r="J219" s="303" t="s">
        <v>1891</v>
      </c>
      <c r="K219" s="305" t="s">
        <v>1310</v>
      </c>
      <c r="L219" s="206">
        <v>44886</v>
      </c>
      <c r="M219" s="203" t="s">
        <v>4400</v>
      </c>
      <c r="N219" s="204">
        <v>44907</v>
      </c>
      <c r="O219" s="237"/>
      <c r="P219" s="237">
        <v>8250</v>
      </c>
      <c r="Q219" s="203" t="s">
        <v>39</v>
      </c>
      <c r="R219" s="203" t="s">
        <v>138</v>
      </c>
    </row>
    <row r="220" spans="1:18">
      <c r="A220" s="303">
        <f>COUNTA($D$3:$D220)</f>
        <v>218</v>
      </c>
      <c r="B220" s="307" t="s">
        <v>3807</v>
      </c>
      <c r="C220" s="303" t="s">
        <v>25</v>
      </c>
      <c r="D220" s="303" t="s">
        <v>38</v>
      </c>
      <c r="E220" s="304" t="s">
        <v>1271</v>
      </c>
      <c r="F220" s="304">
        <v>44795</v>
      </c>
      <c r="G220" s="304">
        <v>44791</v>
      </c>
      <c r="H220" s="304"/>
      <c r="I220" s="304">
        <v>44795</v>
      </c>
      <c r="J220" s="303" t="s">
        <v>3808</v>
      </c>
      <c r="K220" s="305" t="s">
        <v>1302</v>
      </c>
      <c r="L220" s="206">
        <v>44886</v>
      </c>
      <c r="M220" s="203" t="s">
        <v>4400</v>
      </c>
      <c r="N220" s="204">
        <v>44967</v>
      </c>
      <c r="O220" s="203"/>
      <c r="P220" s="237">
        <v>1708.3333333333333</v>
      </c>
      <c r="Q220" s="203" t="s">
        <v>39</v>
      </c>
      <c r="R220" s="203" t="s">
        <v>138</v>
      </c>
    </row>
    <row r="221" spans="1:18">
      <c r="A221" s="303">
        <f>COUNTA($D$3:$D221)</f>
        <v>219</v>
      </c>
      <c r="B221" s="303" t="s">
        <v>3805</v>
      </c>
      <c r="C221" s="303" t="s">
        <v>25</v>
      </c>
      <c r="D221" s="303" t="s">
        <v>38</v>
      </c>
      <c r="E221" s="304" t="s">
        <v>3806</v>
      </c>
      <c r="F221" s="304">
        <v>44795</v>
      </c>
      <c r="G221" s="304">
        <v>44795</v>
      </c>
      <c r="H221" s="304"/>
      <c r="I221" s="304">
        <v>44795</v>
      </c>
      <c r="J221" s="303" t="s">
        <v>1687</v>
      </c>
      <c r="K221" s="305" t="s">
        <v>1311</v>
      </c>
      <c r="L221" s="206">
        <v>44886</v>
      </c>
      <c r="M221" s="203" t="s">
        <v>4399</v>
      </c>
      <c r="N221" s="204">
        <v>44907</v>
      </c>
      <c r="O221" s="203"/>
      <c r="P221" s="203">
        <v>3750</v>
      </c>
      <c r="Q221" s="203" t="s">
        <v>39</v>
      </c>
      <c r="R221" s="203" t="s">
        <v>138</v>
      </c>
    </row>
    <row r="222" spans="1:18">
      <c r="A222" s="303">
        <f>COUNTA($D$3:$D222)</f>
        <v>220</v>
      </c>
      <c r="B222" s="303" t="s">
        <v>4114</v>
      </c>
      <c r="C222" s="303" t="s">
        <v>45</v>
      </c>
      <c r="D222" s="303" t="s">
        <v>1137</v>
      </c>
      <c r="E222" s="303" t="s">
        <v>1147</v>
      </c>
      <c r="F222" s="304" t="s">
        <v>70</v>
      </c>
      <c r="G222" s="304">
        <v>44865</v>
      </c>
      <c r="H222" s="304"/>
      <c r="I222" s="304" t="s">
        <v>70</v>
      </c>
      <c r="J222" s="303" t="s">
        <v>4207</v>
      </c>
      <c r="K222" s="305" t="s">
        <v>1310</v>
      </c>
      <c r="L222" s="206">
        <v>44886</v>
      </c>
      <c r="M222" s="203"/>
      <c r="O222" s="203"/>
      <c r="P222" s="203">
        <v>5563</v>
      </c>
      <c r="Q222" s="203" t="s">
        <v>64</v>
      </c>
      <c r="R222" s="203" t="s">
        <v>138</v>
      </c>
    </row>
    <row r="223" spans="1:18">
      <c r="A223" s="303">
        <f>COUNTA($D$3:$D223)</f>
        <v>221</v>
      </c>
      <c r="B223" s="303" t="s">
        <v>4215</v>
      </c>
      <c r="C223" s="303" t="s">
        <v>4226</v>
      </c>
      <c r="D223" s="303" t="s">
        <v>20</v>
      </c>
      <c r="E223" s="303" t="s">
        <v>4227</v>
      </c>
      <c r="F223" s="304">
        <v>44860</v>
      </c>
      <c r="G223" s="304">
        <v>44862</v>
      </c>
      <c r="H223" s="304"/>
      <c r="I223" s="304">
        <v>44860</v>
      </c>
      <c r="J223" s="303" t="s">
        <v>1500</v>
      </c>
      <c r="K223" s="305" t="s">
        <v>2058</v>
      </c>
      <c r="L223" s="206">
        <v>44886</v>
      </c>
      <c r="M223" s="203" t="s">
        <v>4398</v>
      </c>
      <c r="N223" s="204">
        <v>44881</v>
      </c>
      <c r="O223" s="203"/>
      <c r="P223" s="203">
        <v>1166.6666666666667</v>
      </c>
      <c r="Q223" s="203" t="s">
        <v>39</v>
      </c>
      <c r="R223" s="203" t="s">
        <v>26</v>
      </c>
    </row>
    <row r="224" spans="1:18">
      <c r="A224" s="303">
        <f>COUNTA($D$3:$D224)</f>
        <v>222</v>
      </c>
      <c r="B224" s="303" t="s">
        <v>3825</v>
      </c>
      <c r="C224" s="303" t="s">
        <v>61</v>
      </c>
      <c r="D224" s="303" t="s">
        <v>34</v>
      </c>
      <c r="E224" s="303" t="s">
        <v>3826</v>
      </c>
      <c r="F224" s="304">
        <v>44826</v>
      </c>
      <c r="G224" s="304">
        <v>44809</v>
      </c>
      <c r="H224" s="304"/>
      <c r="I224" s="304">
        <v>44826</v>
      </c>
      <c r="J224" s="303" t="s">
        <v>3878</v>
      </c>
      <c r="K224" s="305" t="s">
        <v>2058</v>
      </c>
      <c r="L224" s="206">
        <v>44886</v>
      </c>
      <c r="M224" s="203" t="s">
        <v>4401</v>
      </c>
      <c r="N224" s="204">
        <v>44895</v>
      </c>
      <c r="O224" s="203"/>
      <c r="P224" s="203">
        <v>3583.3333333333335</v>
      </c>
      <c r="Q224" s="203" t="s">
        <v>39</v>
      </c>
      <c r="R224" s="203" t="s">
        <v>26</v>
      </c>
    </row>
    <row r="225" spans="1:18">
      <c r="A225" s="303">
        <f>COUNTA($D$3:$D225)</f>
        <v>223</v>
      </c>
      <c r="B225" s="303" t="s">
        <v>4107</v>
      </c>
      <c r="C225" s="303" t="s">
        <v>1089</v>
      </c>
      <c r="D225" s="303" t="s">
        <v>20</v>
      </c>
      <c r="E225" s="303" t="s">
        <v>4108</v>
      </c>
      <c r="F225" s="304">
        <v>44848</v>
      </c>
      <c r="G225" s="304">
        <v>44851</v>
      </c>
      <c r="H225" s="304"/>
      <c r="I225" s="304">
        <v>44848</v>
      </c>
      <c r="J225" s="303" t="s">
        <v>4171</v>
      </c>
      <c r="K225" s="305" t="s">
        <v>1309</v>
      </c>
      <c r="L225" s="206">
        <v>44883</v>
      </c>
      <c r="M225" s="203" t="s">
        <v>4323</v>
      </c>
      <c r="N225" s="204">
        <v>44881</v>
      </c>
      <c r="O225" s="203"/>
      <c r="P225" s="203">
        <v>4125</v>
      </c>
      <c r="Q225" s="203" t="s">
        <v>39</v>
      </c>
      <c r="R225" s="203" t="s">
        <v>26</v>
      </c>
    </row>
    <row r="226" spans="1:18">
      <c r="A226" s="303">
        <f>COUNTA($D$3:$D226)</f>
        <v>224</v>
      </c>
      <c r="B226" s="303" t="s">
        <v>4145</v>
      </c>
      <c r="C226" s="303" t="s">
        <v>2510</v>
      </c>
      <c r="D226" s="303" t="s">
        <v>35</v>
      </c>
      <c r="E226" s="303" t="s">
        <v>4146</v>
      </c>
      <c r="F226" s="304">
        <v>44851</v>
      </c>
      <c r="G226" s="304">
        <v>44851</v>
      </c>
      <c r="H226" s="304"/>
      <c r="I226" s="304">
        <v>44851</v>
      </c>
      <c r="J226" s="303" t="s">
        <v>4147</v>
      </c>
      <c r="K226" s="305" t="s">
        <v>1309</v>
      </c>
      <c r="L226" s="206">
        <v>44883</v>
      </c>
      <c r="M226" s="203" t="s">
        <v>4307</v>
      </c>
      <c r="N226" s="204">
        <v>44876</v>
      </c>
      <c r="O226" s="203"/>
      <c r="P226" s="203">
        <v>3083.3333333333335</v>
      </c>
      <c r="Q226" s="203" t="s">
        <v>39</v>
      </c>
      <c r="R226" s="203" t="s">
        <v>26</v>
      </c>
    </row>
    <row r="227" spans="1:18">
      <c r="A227" s="303">
        <f>COUNTA($D$3:$D227)</f>
        <v>225</v>
      </c>
      <c r="B227" s="303" t="s">
        <v>4006</v>
      </c>
      <c r="C227" s="303" t="s">
        <v>4007</v>
      </c>
      <c r="D227" s="303" t="s">
        <v>111</v>
      </c>
      <c r="E227" s="303" t="s">
        <v>4008</v>
      </c>
      <c r="F227" s="304">
        <v>44833</v>
      </c>
      <c r="G227" s="304">
        <v>44833</v>
      </c>
      <c r="H227" s="304"/>
      <c r="I227" s="304">
        <v>44833</v>
      </c>
      <c r="J227" s="303" t="s">
        <v>3158</v>
      </c>
      <c r="K227" s="305"/>
      <c r="L227" s="206">
        <v>44872</v>
      </c>
      <c r="M227" s="203" t="s">
        <v>2410</v>
      </c>
      <c r="N227" s="204">
        <v>44860</v>
      </c>
      <c r="O227" s="203"/>
      <c r="P227" s="203">
        <v>7666.666666666667</v>
      </c>
      <c r="Q227" s="203" t="s">
        <v>39</v>
      </c>
      <c r="R227" s="203" t="s">
        <v>138</v>
      </c>
    </row>
    <row r="228" spans="1:18">
      <c r="A228" s="303">
        <f>COUNTA($D$3:$D228)</f>
        <v>226</v>
      </c>
      <c r="B228" s="303" t="s">
        <v>4003</v>
      </c>
      <c r="C228" s="303" t="s">
        <v>3325</v>
      </c>
      <c r="D228" s="303" t="s">
        <v>35</v>
      </c>
      <c r="E228" s="303" t="s">
        <v>4004</v>
      </c>
      <c r="F228" s="304">
        <v>44833</v>
      </c>
      <c r="G228" s="304">
        <v>44827</v>
      </c>
      <c r="H228" s="304"/>
      <c r="I228" s="304">
        <v>44833</v>
      </c>
      <c r="J228" s="303" t="s">
        <v>4005</v>
      </c>
      <c r="K228" s="305"/>
      <c r="L228" s="206">
        <v>44872</v>
      </c>
      <c r="M228" s="203" t="s">
        <v>2410</v>
      </c>
      <c r="N228" s="204">
        <v>44860</v>
      </c>
      <c r="O228" s="203"/>
      <c r="P228" s="203">
        <v>8166.666666666667</v>
      </c>
      <c r="Q228" s="203" t="s">
        <v>39</v>
      </c>
      <c r="R228" s="203" t="s">
        <v>138</v>
      </c>
    </row>
    <row r="229" spans="1:18">
      <c r="A229" s="303">
        <f>COUNTA($D$3:$D229)</f>
        <v>227</v>
      </c>
      <c r="B229" s="303" t="s">
        <v>4250</v>
      </c>
      <c r="C229" s="303" t="s">
        <v>48</v>
      </c>
      <c r="D229" s="303" t="s">
        <v>34</v>
      </c>
      <c r="E229" s="303" t="s">
        <v>1129</v>
      </c>
      <c r="F229" s="304"/>
      <c r="G229" s="304"/>
      <c r="H229" s="304"/>
      <c r="I229" s="304"/>
      <c r="J229" s="303" t="s">
        <v>1665</v>
      </c>
      <c r="K229" s="305" t="s">
        <v>1309</v>
      </c>
      <c r="L229" s="206">
        <v>44872</v>
      </c>
      <c r="M229" s="203" t="s">
        <v>4281</v>
      </c>
      <c r="N229" s="204">
        <v>44867</v>
      </c>
      <c r="O229" s="203"/>
      <c r="P229" s="203"/>
      <c r="Q229" s="203"/>
      <c r="R229" s="203" t="s">
        <v>26</v>
      </c>
    </row>
    <row r="230" spans="1:18">
      <c r="A230" s="303">
        <f>COUNTA($D$3:$D230)</f>
        <v>228</v>
      </c>
      <c r="B230" s="303" t="s">
        <v>4286</v>
      </c>
      <c r="C230" s="303" t="s">
        <v>45</v>
      </c>
      <c r="D230" s="303" t="s">
        <v>1205</v>
      </c>
      <c r="E230" s="303" t="s">
        <v>4287</v>
      </c>
      <c r="F230" s="304"/>
      <c r="G230" s="304"/>
      <c r="H230" s="304"/>
      <c r="I230" s="304"/>
      <c r="J230" s="303"/>
      <c r="K230" s="305"/>
      <c r="L230" s="206">
        <v>44872</v>
      </c>
      <c r="M230" s="203" t="s">
        <v>4302</v>
      </c>
      <c r="N230" s="204">
        <v>44867</v>
      </c>
      <c r="O230" s="203"/>
      <c r="P230" s="203"/>
      <c r="Q230" s="203"/>
      <c r="R230" s="203" t="s">
        <v>26</v>
      </c>
    </row>
    <row r="231" spans="1:18">
      <c r="A231" s="303">
        <f>COUNTA($D$3:$D231)</f>
        <v>229</v>
      </c>
      <c r="B231" s="303" t="s">
        <v>4289</v>
      </c>
      <c r="C231" s="303" t="s">
        <v>61</v>
      </c>
      <c r="D231" s="303" t="s">
        <v>34</v>
      </c>
      <c r="E231" s="303" t="s">
        <v>4290</v>
      </c>
      <c r="F231" s="304"/>
      <c r="G231" s="304"/>
      <c r="H231" s="304"/>
      <c r="I231" s="304"/>
      <c r="J231" s="303"/>
      <c r="K231" s="305"/>
      <c r="L231" s="206">
        <v>44872</v>
      </c>
      <c r="M231" s="203" t="s">
        <v>4303</v>
      </c>
      <c r="N231" s="204">
        <v>44876</v>
      </c>
      <c r="O231" s="203"/>
      <c r="P231" s="203"/>
      <c r="Q231" s="203" t="s">
        <v>1065</v>
      </c>
      <c r="R231" s="203" t="s">
        <v>26</v>
      </c>
    </row>
    <row r="232" spans="1:18">
      <c r="A232" s="303">
        <f>COUNTA($D$3:$D232)</f>
        <v>230</v>
      </c>
      <c r="B232" s="303" t="s">
        <v>3587</v>
      </c>
      <c r="C232" s="303" t="s">
        <v>25</v>
      </c>
      <c r="D232" s="303" t="s">
        <v>20</v>
      </c>
      <c r="E232" s="303" t="s">
        <v>2663</v>
      </c>
      <c r="F232" s="304">
        <v>44769</v>
      </c>
      <c r="G232" s="304">
        <v>44770</v>
      </c>
      <c r="H232" s="304"/>
      <c r="I232" s="304">
        <v>44769</v>
      </c>
      <c r="J232" s="303" t="s">
        <v>3601</v>
      </c>
      <c r="K232" s="305" t="s">
        <v>1302</v>
      </c>
      <c r="L232" s="206">
        <v>44872</v>
      </c>
      <c r="M232" s="203"/>
      <c r="O232" s="203"/>
      <c r="P232" s="203">
        <v>5208.333333333333</v>
      </c>
      <c r="Q232" s="203" t="s">
        <v>39</v>
      </c>
      <c r="R232" s="203" t="s">
        <v>138</v>
      </c>
    </row>
    <row r="233" spans="1:18">
      <c r="A233" s="303">
        <f>COUNTA($D$3:$D233)</f>
        <v>231</v>
      </c>
      <c r="B233" s="303" t="s">
        <v>3608</v>
      </c>
      <c r="C233" s="303" t="s">
        <v>117</v>
      </c>
      <c r="D233" s="303" t="s">
        <v>20</v>
      </c>
      <c r="E233" s="303" t="s">
        <v>3609</v>
      </c>
      <c r="F233" s="304">
        <v>44774</v>
      </c>
      <c r="G233" s="304">
        <v>44771</v>
      </c>
      <c r="H233" s="304"/>
      <c r="I233" s="304">
        <v>44774</v>
      </c>
      <c r="J233" s="303" t="s">
        <v>3610</v>
      </c>
      <c r="K233" s="305" t="s">
        <v>1310</v>
      </c>
      <c r="L233" s="206">
        <v>44872</v>
      </c>
      <c r="M233" s="203" t="s">
        <v>4259</v>
      </c>
      <c r="N233" s="204">
        <v>44777</v>
      </c>
      <c r="O233" s="203"/>
      <c r="P233" s="203">
        <v>3375</v>
      </c>
      <c r="Q233" s="203" t="s">
        <v>39</v>
      </c>
      <c r="R233" s="203" t="s">
        <v>138</v>
      </c>
    </row>
    <row r="234" spans="1:18">
      <c r="A234" s="303">
        <f>COUNTA($D$3:$D234)</f>
        <v>232</v>
      </c>
      <c r="B234" s="303" t="s">
        <v>3615</v>
      </c>
      <c r="C234" s="303" t="s">
        <v>2607</v>
      </c>
      <c r="D234" s="303" t="s">
        <v>56</v>
      </c>
      <c r="E234" s="303" t="s">
        <v>3616</v>
      </c>
      <c r="F234" s="304">
        <v>44775</v>
      </c>
      <c r="G234" s="304">
        <v>44781</v>
      </c>
      <c r="H234" s="304"/>
      <c r="I234" s="304">
        <v>44775</v>
      </c>
      <c r="J234" s="303" t="s">
        <v>1856</v>
      </c>
      <c r="K234" s="305" t="s">
        <v>1310</v>
      </c>
      <c r="L234" s="206">
        <v>44872</v>
      </c>
      <c r="M234" s="203"/>
      <c r="O234" s="203"/>
      <c r="P234" s="203">
        <v>833.33333333333337</v>
      </c>
      <c r="Q234" s="203" t="s">
        <v>1741</v>
      </c>
      <c r="R234" s="203" t="s">
        <v>138</v>
      </c>
    </row>
    <row r="235" spans="1:18">
      <c r="A235" s="303">
        <f>COUNTA($D$3:$D235)</f>
        <v>233</v>
      </c>
      <c r="B235" s="303" t="s">
        <v>3613</v>
      </c>
      <c r="C235" s="303" t="s">
        <v>2607</v>
      </c>
      <c r="D235" s="303" t="s">
        <v>56</v>
      </c>
      <c r="E235" s="303" t="s">
        <v>3614</v>
      </c>
      <c r="F235" s="304">
        <v>44775</v>
      </c>
      <c r="G235" s="304">
        <v>44781</v>
      </c>
      <c r="H235" s="304"/>
      <c r="I235" s="304">
        <v>44775</v>
      </c>
      <c r="J235" s="303" t="s">
        <v>1856</v>
      </c>
      <c r="K235" s="305" t="s">
        <v>1310</v>
      </c>
      <c r="L235" s="206">
        <v>44872</v>
      </c>
      <c r="M235" s="203"/>
      <c r="O235" s="203"/>
      <c r="P235" s="203">
        <v>833.33333333333337</v>
      </c>
      <c r="Q235" s="203" t="s">
        <v>1741</v>
      </c>
      <c r="R235" s="203" t="s">
        <v>138</v>
      </c>
    </row>
    <row r="236" spans="1:18">
      <c r="A236" s="303">
        <f>COUNTA($D$3:$D236)</f>
        <v>234</v>
      </c>
      <c r="B236" s="303" t="s">
        <v>3628</v>
      </c>
      <c r="C236" s="303" t="s">
        <v>25</v>
      </c>
      <c r="D236" s="303" t="s">
        <v>1205</v>
      </c>
      <c r="E236" s="303" t="s">
        <v>1908</v>
      </c>
      <c r="F236" s="304">
        <v>44775</v>
      </c>
      <c r="G236" s="304">
        <v>44781</v>
      </c>
      <c r="H236" s="304"/>
      <c r="I236" s="304">
        <v>44775</v>
      </c>
      <c r="J236" s="303" t="s">
        <v>1500</v>
      </c>
      <c r="K236" s="305" t="s">
        <v>1311</v>
      </c>
      <c r="L236" s="206">
        <v>44872</v>
      </c>
      <c r="M236" s="203"/>
      <c r="O236" s="203"/>
      <c r="P236" s="203">
        <v>1375</v>
      </c>
      <c r="Q236" s="203" t="s">
        <v>32</v>
      </c>
      <c r="R236" s="203" t="s">
        <v>138</v>
      </c>
    </row>
    <row r="237" spans="1:18">
      <c r="A237" s="303">
        <f>COUNTA($D$3:$D237)</f>
        <v>235</v>
      </c>
      <c r="B237" s="303" t="s">
        <v>4404</v>
      </c>
      <c r="C237" s="303" t="s">
        <v>281</v>
      </c>
      <c r="D237" s="303" t="s">
        <v>111</v>
      </c>
      <c r="E237" s="303" t="s">
        <v>4225</v>
      </c>
      <c r="F237" s="304">
        <v>44854</v>
      </c>
      <c r="G237" s="304"/>
      <c r="H237" s="304"/>
      <c r="I237" s="304"/>
      <c r="J237" s="303" t="s">
        <v>1665</v>
      </c>
      <c r="K237" s="305"/>
      <c r="L237" s="206">
        <v>44865</v>
      </c>
      <c r="M237" s="203" t="s">
        <v>4260</v>
      </c>
      <c r="N237" s="204">
        <v>44854</v>
      </c>
      <c r="O237" s="203"/>
      <c r="P237" s="203"/>
      <c r="Q237" s="203" t="s">
        <v>1053</v>
      </c>
      <c r="R237" s="203" t="s">
        <v>26</v>
      </c>
    </row>
    <row r="238" spans="1:18">
      <c r="A238" s="303">
        <f>COUNTA($D$3:$D238)</f>
        <v>236</v>
      </c>
      <c r="B238" s="303" t="s">
        <v>3813</v>
      </c>
      <c r="C238" s="303" t="s">
        <v>3075</v>
      </c>
      <c r="D238" s="303" t="s">
        <v>2888</v>
      </c>
      <c r="E238" s="303" t="s">
        <v>3814</v>
      </c>
      <c r="F238" s="304"/>
      <c r="G238" s="304">
        <v>44795</v>
      </c>
      <c r="H238" s="304"/>
      <c r="I238" s="304"/>
      <c r="J238" s="303" t="s">
        <v>1105</v>
      </c>
      <c r="K238" s="305"/>
      <c r="L238" s="206">
        <v>44858</v>
      </c>
      <c r="M238" s="203" t="s">
        <v>4185</v>
      </c>
      <c r="N238" s="204">
        <v>44854</v>
      </c>
      <c r="O238" s="203"/>
      <c r="P238" s="203"/>
      <c r="Q238" s="203" t="s">
        <v>1068</v>
      </c>
      <c r="R238" s="203" t="s">
        <v>26</v>
      </c>
    </row>
    <row r="239" spans="1:18">
      <c r="A239" s="303">
        <f>COUNTA($D$3:$D239)</f>
        <v>237</v>
      </c>
      <c r="B239" s="303" t="s">
        <v>4023</v>
      </c>
      <c r="C239" s="303" t="s">
        <v>4024</v>
      </c>
      <c r="D239" s="303" t="s">
        <v>1133</v>
      </c>
      <c r="E239" s="303" t="s">
        <v>4025</v>
      </c>
      <c r="F239" s="304">
        <v>44833</v>
      </c>
      <c r="G239" s="304">
        <v>44833</v>
      </c>
      <c r="H239" s="304"/>
      <c r="I239" s="304">
        <v>44833</v>
      </c>
      <c r="J239" s="303" t="s">
        <v>4072</v>
      </c>
      <c r="K239" s="305"/>
      <c r="L239" s="206">
        <v>44858</v>
      </c>
      <c r="M239" s="203" t="s">
        <v>4209</v>
      </c>
      <c r="N239" s="204">
        <v>44837</v>
      </c>
      <c r="O239" s="203"/>
      <c r="P239" s="203">
        <v>9250</v>
      </c>
      <c r="Q239" s="203" t="s">
        <v>2697</v>
      </c>
      <c r="R239" s="203" t="s">
        <v>138</v>
      </c>
    </row>
    <row r="240" spans="1:18">
      <c r="A240" s="303">
        <f>COUNTA($D$3:$D240)</f>
        <v>238</v>
      </c>
      <c r="B240" s="303" t="s">
        <v>3545</v>
      </c>
      <c r="C240" s="303" t="s">
        <v>3557</v>
      </c>
      <c r="D240" s="303" t="s">
        <v>23</v>
      </c>
      <c r="E240" s="303" t="s">
        <v>3558</v>
      </c>
      <c r="F240" s="304">
        <v>44761</v>
      </c>
      <c r="G240" s="304">
        <v>44757</v>
      </c>
      <c r="H240" s="304"/>
      <c r="I240" s="304">
        <v>44761</v>
      </c>
      <c r="J240" s="303" t="s">
        <v>3564</v>
      </c>
      <c r="K240" s="305" t="s">
        <v>2058</v>
      </c>
      <c r="L240" s="206">
        <v>44858</v>
      </c>
      <c r="M240" s="203" t="s">
        <v>3561</v>
      </c>
      <c r="N240" s="204">
        <v>44876</v>
      </c>
      <c r="O240" s="203"/>
      <c r="P240" s="203">
        <v>8500</v>
      </c>
      <c r="Q240" s="203" t="s">
        <v>39</v>
      </c>
      <c r="R240" s="203" t="s">
        <v>26</v>
      </c>
    </row>
    <row r="241" spans="1:18">
      <c r="A241" s="303">
        <f>COUNTA($D$3:$D241)</f>
        <v>239</v>
      </c>
      <c r="B241" s="303" t="s">
        <v>3515</v>
      </c>
      <c r="C241" s="303" t="s">
        <v>41</v>
      </c>
      <c r="D241" s="303" t="s">
        <v>34</v>
      </c>
      <c r="E241" s="303" t="s">
        <v>3516</v>
      </c>
      <c r="F241" s="304">
        <v>44768</v>
      </c>
      <c r="G241" s="304">
        <v>44764</v>
      </c>
      <c r="H241" s="304"/>
      <c r="I241" s="304">
        <v>44768</v>
      </c>
      <c r="J241" s="303" t="s">
        <v>1677</v>
      </c>
      <c r="K241" s="305" t="s">
        <v>1289</v>
      </c>
      <c r="L241" s="206">
        <v>44858</v>
      </c>
      <c r="M241" s="203"/>
      <c r="O241" s="203" t="s">
        <v>72</v>
      </c>
      <c r="P241" s="203">
        <v>1958.3333333333333</v>
      </c>
      <c r="Q241" s="203" t="s">
        <v>39</v>
      </c>
      <c r="R241" s="203" t="s">
        <v>138</v>
      </c>
    </row>
    <row r="242" spans="1:18">
      <c r="A242" s="303">
        <f>COUNTA($D$3:$D242)</f>
        <v>240</v>
      </c>
      <c r="B242" s="303" t="s">
        <v>3565</v>
      </c>
      <c r="C242" s="303" t="s">
        <v>2371</v>
      </c>
      <c r="D242" s="303" t="s">
        <v>3566</v>
      </c>
      <c r="E242" s="303" t="s">
        <v>3567</v>
      </c>
      <c r="F242" s="304" t="s">
        <v>59</v>
      </c>
      <c r="G242" s="304"/>
      <c r="H242" s="304">
        <v>44767</v>
      </c>
      <c r="I242" s="304" t="s">
        <v>59</v>
      </c>
      <c r="J242" s="303" t="s">
        <v>3600</v>
      </c>
      <c r="K242" s="305" t="s">
        <v>1302</v>
      </c>
      <c r="L242" s="206">
        <v>44858</v>
      </c>
      <c r="M242" s="203" t="s">
        <v>4211</v>
      </c>
      <c r="N242" s="204">
        <v>44868</v>
      </c>
      <c r="O242" s="203"/>
      <c r="P242" s="203"/>
      <c r="Q242" s="203" t="s">
        <v>32</v>
      </c>
      <c r="R242" s="203" t="s">
        <v>138</v>
      </c>
    </row>
    <row r="243" spans="1:18">
      <c r="A243" s="303">
        <f>COUNTA($D$3:$D243)</f>
        <v>241</v>
      </c>
      <c r="B243" s="303" t="s">
        <v>3489</v>
      </c>
      <c r="C243" s="303" t="s">
        <v>25</v>
      </c>
      <c r="D243" s="303" t="s">
        <v>34</v>
      </c>
      <c r="E243" s="303" t="s">
        <v>1219</v>
      </c>
      <c r="F243" s="304">
        <v>44757</v>
      </c>
      <c r="G243" s="304">
        <v>44753</v>
      </c>
      <c r="H243" s="304"/>
      <c r="I243" s="304">
        <v>44757</v>
      </c>
      <c r="J243" s="303" t="s">
        <v>1500</v>
      </c>
      <c r="K243" s="305" t="s">
        <v>1289</v>
      </c>
      <c r="L243" s="206">
        <v>44847</v>
      </c>
      <c r="M243" s="203" t="s">
        <v>4135</v>
      </c>
      <c r="N243" s="204">
        <v>44907</v>
      </c>
      <c r="O243" s="203"/>
      <c r="P243" s="203">
        <v>1541.6666666666667</v>
      </c>
      <c r="Q243" s="203" t="s">
        <v>39</v>
      </c>
      <c r="R243" s="203" t="s">
        <v>138</v>
      </c>
    </row>
    <row r="244" spans="1:18">
      <c r="A244" s="303">
        <f>COUNTA($D$3:$D244)</f>
        <v>242</v>
      </c>
      <c r="B244" s="303" t="s">
        <v>4017</v>
      </c>
      <c r="C244" s="303" t="s">
        <v>4018</v>
      </c>
      <c r="D244" s="303" t="s">
        <v>42</v>
      </c>
      <c r="E244" s="303" t="s">
        <v>4019</v>
      </c>
      <c r="F244" s="304">
        <v>44833</v>
      </c>
      <c r="G244" s="304">
        <v>44833</v>
      </c>
      <c r="H244" s="304"/>
      <c r="I244" s="304">
        <v>44833</v>
      </c>
      <c r="J244" s="303" t="s">
        <v>1500</v>
      </c>
      <c r="K244" s="305" t="s">
        <v>297</v>
      </c>
      <c r="L244" s="206">
        <v>44847</v>
      </c>
      <c r="M244" s="203" t="s">
        <v>4177</v>
      </c>
      <c r="N244" s="204">
        <v>44847</v>
      </c>
      <c r="O244" s="203"/>
      <c r="P244" s="203">
        <v>1291.6666666666667</v>
      </c>
      <c r="Q244" s="203" t="s">
        <v>39</v>
      </c>
      <c r="R244" s="203" t="s">
        <v>26</v>
      </c>
    </row>
    <row r="245" spans="1:18">
      <c r="A245" s="303">
        <f>COUNTA($D$3:$D245)</f>
        <v>243</v>
      </c>
      <c r="B245" s="303" t="s">
        <v>3505</v>
      </c>
      <c r="C245" s="303" t="s">
        <v>25</v>
      </c>
      <c r="D245" s="303" t="s">
        <v>1279</v>
      </c>
      <c r="E245" s="303" t="s">
        <v>3506</v>
      </c>
      <c r="F245" s="304">
        <v>44768</v>
      </c>
      <c r="G245" s="304">
        <v>44764</v>
      </c>
      <c r="H245" s="304"/>
      <c r="I245" s="304">
        <v>44768</v>
      </c>
      <c r="J245" s="303" t="s">
        <v>1105</v>
      </c>
      <c r="K245" s="305" t="s">
        <v>1310</v>
      </c>
      <c r="L245" s="206">
        <v>44847</v>
      </c>
      <c r="M245" s="203" t="s">
        <v>4136</v>
      </c>
      <c r="N245" s="204">
        <v>44907</v>
      </c>
      <c r="O245" s="203"/>
      <c r="P245" s="203">
        <v>1750</v>
      </c>
      <c r="Q245" s="203" t="s">
        <v>1741</v>
      </c>
      <c r="R245" s="203" t="s">
        <v>138</v>
      </c>
    </row>
    <row r="246" spans="1:18">
      <c r="A246" s="303">
        <f>COUNTA($D$3:$D246)</f>
        <v>244</v>
      </c>
      <c r="B246" s="303" t="s">
        <v>3335</v>
      </c>
      <c r="C246" s="303" t="s">
        <v>25</v>
      </c>
      <c r="D246" s="303" t="s">
        <v>31</v>
      </c>
      <c r="E246" s="303" t="s">
        <v>3336</v>
      </c>
      <c r="F246" s="304">
        <v>44748</v>
      </c>
      <c r="G246" s="304">
        <v>44741</v>
      </c>
      <c r="H246" s="304"/>
      <c r="I246" s="304">
        <v>44748</v>
      </c>
      <c r="J246" s="303" t="s">
        <v>1105</v>
      </c>
      <c r="K246" s="305" t="s">
        <v>1302</v>
      </c>
      <c r="L246" s="206">
        <v>44847</v>
      </c>
      <c r="M246" s="203" t="s">
        <v>4042</v>
      </c>
      <c r="N246" s="204">
        <v>44907</v>
      </c>
      <c r="O246" s="203"/>
      <c r="P246" s="203">
        <v>9750</v>
      </c>
      <c r="Q246" s="203" t="s">
        <v>1741</v>
      </c>
      <c r="R246" s="203" t="s">
        <v>138</v>
      </c>
    </row>
    <row r="247" spans="1:18">
      <c r="A247" s="303">
        <f>COUNTA($D$3:$D247)</f>
        <v>245</v>
      </c>
      <c r="B247" s="303" t="s">
        <v>3337</v>
      </c>
      <c r="C247" s="303" t="s">
        <v>25</v>
      </c>
      <c r="D247" s="303" t="s">
        <v>49</v>
      </c>
      <c r="E247" s="303" t="s">
        <v>3338</v>
      </c>
      <c r="F247" s="304">
        <v>44748</v>
      </c>
      <c r="G247" s="304">
        <v>44741</v>
      </c>
      <c r="H247" s="304"/>
      <c r="I247" s="304">
        <v>44748</v>
      </c>
      <c r="J247" s="303" t="s">
        <v>1654</v>
      </c>
      <c r="K247" s="305" t="s">
        <v>1302</v>
      </c>
      <c r="L247" s="206">
        <v>44847</v>
      </c>
      <c r="M247" s="203" t="s">
        <v>4133</v>
      </c>
      <c r="N247" s="204">
        <v>44907</v>
      </c>
      <c r="O247" s="203"/>
      <c r="P247" s="203">
        <v>1250</v>
      </c>
      <c r="Q247" s="203" t="s">
        <v>1741</v>
      </c>
      <c r="R247" s="203" t="s">
        <v>138</v>
      </c>
    </row>
    <row r="248" spans="1:18">
      <c r="A248" s="303">
        <f>COUNTA($D$3:$D248)</f>
        <v>246</v>
      </c>
      <c r="B248" s="303" t="s">
        <v>3342</v>
      </c>
      <c r="C248" s="303" t="s">
        <v>25</v>
      </c>
      <c r="D248" s="303" t="s">
        <v>34</v>
      </c>
      <c r="E248" s="303" t="s">
        <v>3343</v>
      </c>
      <c r="F248" s="304" t="s">
        <v>59</v>
      </c>
      <c r="G248" s="304"/>
      <c r="H248" s="304">
        <v>44740</v>
      </c>
      <c r="I248" s="304" t="s">
        <v>59</v>
      </c>
      <c r="J248" s="303" t="s">
        <v>1738</v>
      </c>
      <c r="K248" s="305" t="s">
        <v>1289</v>
      </c>
      <c r="L248" s="206">
        <v>44847</v>
      </c>
      <c r="M248" s="203" t="s">
        <v>4134</v>
      </c>
      <c r="N248" s="204">
        <v>44844</v>
      </c>
      <c r="O248" s="203"/>
      <c r="P248" s="203"/>
      <c r="Q248" s="203" t="s">
        <v>32</v>
      </c>
      <c r="R248" s="203" t="s">
        <v>138</v>
      </c>
    </row>
    <row r="249" spans="1:18">
      <c r="A249" s="303">
        <f>COUNTA($D$3:$D249)</f>
        <v>247</v>
      </c>
      <c r="B249" s="303" t="s">
        <v>3847</v>
      </c>
      <c r="C249" s="303" t="s">
        <v>117</v>
      </c>
      <c r="D249" s="303" t="s">
        <v>20</v>
      </c>
      <c r="E249" s="303" t="s">
        <v>1142</v>
      </c>
      <c r="F249" s="304">
        <v>44811</v>
      </c>
      <c r="G249" s="304">
        <v>44811</v>
      </c>
      <c r="H249" s="304"/>
      <c r="I249" s="304">
        <v>44811</v>
      </c>
      <c r="J249" s="303" t="s">
        <v>3880</v>
      </c>
      <c r="K249" s="305" t="s">
        <v>1302</v>
      </c>
      <c r="L249" s="206">
        <v>44839</v>
      </c>
      <c r="M249" s="203" t="s">
        <v>4076</v>
      </c>
      <c r="N249" s="204">
        <v>44813</v>
      </c>
      <c r="O249" s="203"/>
      <c r="P249" s="203">
        <v>6916.666666666667</v>
      </c>
      <c r="Q249" s="203" t="s">
        <v>39</v>
      </c>
      <c r="R249" s="203" t="s">
        <v>138</v>
      </c>
    </row>
    <row r="250" spans="1:18">
      <c r="A250" s="303">
        <f>COUNTA($D$3:$D250)</f>
        <v>248</v>
      </c>
      <c r="B250" s="303" t="s">
        <v>3465</v>
      </c>
      <c r="C250" s="303" t="s">
        <v>3466</v>
      </c>
      <c r="D250" s="303" t="s">
        <v>1095</v>
      </c>
      <c r="E250" s="303" t="s">
        <v>3467</v>
      </c>
      <c r="F250" s="304">
        <v>44750</v>
      </c>
      <c r="G250" s="304">
        <v>44748</v>
      </c>
      <c r="H250" s="304"/>
      <c r="I250" s="304">
        <v>44750</v>
      </c>
      <c r="J250" s="303" t="s">
        <v>3468</v>
      </c>
      <c r="K250" s="305" t="s">
        <v>1310</v>
      </c>
      <c r="L250" s="206">
        <v>44839</v>
      </c>
      <c r="M250" s="203" t="s">
        <v>4074</v>
      </c>
      <c r="N250" s="204">
        <v>44784</v>
      </c>
      <c r="O250" s="203"/>
      <c r="P250" s="203">
        <v>8208.3333333333339</v>
      </c>
      <c r="Q250" s="203" t="s">
        <v>39</v>
      </c>
      <c r="R250" s="203" t="s">
        <v>138</v>
      </c>
    </row>
    <row r="251" spans="1:18">
      <c r="A251" s="303">
        <f>COUNTA($D$3:$D251)</f>
        <v>249</v>
      </c>
      <c r="B251" s="303" t="s">
        <v>3923</v>
      </c>
      <c r="C251" s="303" t="s">
        <v>45</v>
      </c>
      <c r="D251" s="303" t="s">
        <v>1115</v>
      </c>
      <c r="E251" s="303" t="s">
        <v>3924</v>
      </c>
      <c r="F251" s="304" t="s">
        <v>70</v>
      </c>
      <c r="G251" s="304">
        <v>44813</v>
      </c>
      <c r="H251" s="304"/>
      <c r="I251" s="304" t="s">
        <v>70</v>
      </c>
      <c r="J251" s="303" t="s">
        <v>3925</v>
      </c>
      <c r="K251" s="305" t="s">
        <v>1309</v>
      </c>
      <c r="L251" s="206">
        <v>44839</v>
      </c>
      <c r="M251" s="203"/>
      <c r="O251" s="203" t="s">
        <v>5598</v>
      </c>
      <c r="P251" s="203"/>
      <c r="Q251" s="203" t="s">
        <v>64</v>
      </c>
      <c r="R251" s="203" t="s">
        <v>26</v>
      </c>
    </row>
    <row r="252" spans="1:18">
      <c r="A252" s="303">
        <f>COUNTA($D$3:$D252)</f>
        <v>250</v>
      </c>
      <c r="B252" s="303" t="s">
        <v>3883</v>
      </c>
      <c r="C252" s="303" t="s">
        <v>45</v>
      </c>
      <c r="D252" s="303" t="s">
        <v>23</v>
      </c>
      <c r="E252" s="303" t="s">
        <v>3101</v>
      </c>
      <c r="F252" s="304" t="s">
        <v>70</v>
      </c>
      <c r="G252" s="304">
        <v>44811</v>
      </c>
      <c r="H252" s="304"/>
      <c r="I252" s="304" t="s">
        <v>70</v>
      </c>
      <c r="J252" s="303" t="s">
        <v>3906</v>
      </c>
      <c r="K252" s="305" t="s">
        <v>1309</v>
      </c>
      <c r="L252" s="206">
        <v>44839</v>
      </c>
      <c r="M252" s="203"/>
      <c r="O252" s="203" t="s">
        <v>5598</v>
      </c>
      <c r="P252" s="203"/>
      <c r="Q252" s="203" t="s">
        <v>64</v>
      </c>
      <c r="R252" s="203" t="s">
        <v>26</v>
      </c>
    </row>
    <row r="253" spans="1:18">
      <c r="A253" s="303">
        <f>COUNTA($D$3:$D253)</f>
        <v>251</v>
      </c>
      <c r="B253" s="303" t="s">
        <v>3903</v>
      </c>
      <c r="C253" s="303" t="s">
        <v>45</v>
      </c>
      <c r="D253" s="303" t="s">
        <v>1216</v>
      </c>
      <c r="E253" s="303" t="s">
        <v>3658</v>
      </c>
      <c r="F253" s="304" t="s">
        <v>70</v>
      </c>
      <c r="G253" s="304">
        <v>44819</v>
      </c>
      <c r="H253" s="304"/>
      <c r="I253" s="304" t="s">
        <v>70</v>
      </c>
      <c r="J253" s="303" t="s">
        <v>2596</v>
      </c>
      <c r="K253" s="305" t="s">
        <v>1311</v>
      </c>
      <c r="L253" s="206">
        <v>44839</v>
      </c>
      <c r="M253" s="203" t="s">
        <v>4075</v>
      </c>
      <c r="N253" s="204">
        <v>44844</v>
      </c>
      <c r="O253" s="203"/>
      <c r="P253" s="203"/>
      <c r="Q253" s="203" t="s">
        <v>64</v>
      </c>
      <c r="R253" s="203" t="s">
        <v>138</v>
      </c>
    </row>
    <row r="254" spans="1:18">
      <c r="A254" s="303">
        <f>COUNTA($D$3:$D254)</f>
        <v>252</v>
      </c>
      <c r="B254" s="303" t="s">
        <v>3623</v>
      </c>
      <c r="C254" s="303" t="s">
        <v>45</v>
      </c>
      <c r="D254" s="303" t="s">
        <v>36</v>
      </c>
      <c r="E254" s="303" t="s">
        <v>3624</v>
      </c>
      <c r="F254" s="304" t="s">
        <v>70</v>
      </c>
      <c r="G254" s="304">
        <v>44771</v>
      </c>
      <c r="H254" s="304"/>
      <c r="I254" s="304" t="s">
        <v>70</v>
      </c>
      <c r="J254" s="303" t="s">
        <v>3783</v>
      </c>
      <c r="K254" s="305" t="s">
        <v>1310</v>
      </c>
      <c r="L254" s="206">
        <v>44839</v>
      </c>
      <c r="M254" s="203" t="s">
        <v>4075</v>
      </c>
      <c r="N254" s="204">
        <v>44907</v>
      </c>
      <c r="O254" s="203"/>
      <c r="P254" s="203"/>
      <c r="Q254" s="203" t="s">
        <v>64</v>
      </c>
      <c r="R254" s="203" t="s">
        <v>138</v>
      </c>
    </row>
    <row r="255" spans="1:18">
      <c r="A255" s="303">
        <f>COUNTA($D$3:$D255)</f>
        <v>253</v>
      </c>
      <c r="B255" s="303" t="s">
        <v>3643</v>
      </c>
      <c r="C255" s="303" t="s">
        <v>45</v>
      </c>
      <c r="D255" s="303" t="s">
        <v>60</v>
      </c>
      <c r="E255" s="303" t="s">
        <v>1253</v>
      </c>
      <c r="F255" s="304" t="s">
        <v>70</v>
      </c>
      <c r="G255" s="304">
        <v>44781</v>
      </c>
      <c r="H255" s="304"/>
      <c r="I255" s="304" t="s">
        <v>70</v>
      </c>
      <c r="J255" s="303" t="s">
        <v>3133</v>
      </c>
      <c r="K255" s="305" t="s">
        <v>2058</v>
      </c>
      <c r="L255" s="206">
        <v>44839</v>
      </c>
      <c r="M255" s="203"/>
      <c r="N255" s="204">
        <v>44988</v>
      </c>
      <c r="O255" s="203" t="s">
        <v>26</v>
      </c>
      <c r="P255" s="203"/>
      <c r="Q255" s="203" t="s">
        <v>64</v>
      </c>
      <c r="R255" s="203" t="s">
        <v>26</v>
      </c>
    </row>
    <row r="256" spans="1:18">
      <c r="A256" s="303">
        <f>COUNTA($D$3:$D256)</f>
        <v>254</v>
      </c>
      <c r="B256" s="303" t="s">
        <v>3523</v>
      </c>
      <c r="C256" s="303" t="s">
        <v>45</v>
      </c>
      <c r="D256" s="303" t="s">
        <v>1115</v>
      </c>
      <c r="E256" s="303" t="s">
        <v>1120</v>
      </c>
      <c r="F256" s="304" t="s">
        <v>70</v>
      </c>
      <c r="G256" s="304">
        <v>44753</v>
      </c>
      <c r="H256" s="304"/>
      <c r="I256" s="304" t="s">
        <v>70</v>
      </c>
      <c r="J256" s="303" t="s">
        <v>2957</v>
      </c>
      <c r="K256" s="305" t="s">
        <v>1310</v>
      </c>
      <c r="L256" s="206">
        <v>44839</v>
      </c>
      <c r="M256" s="203" t="s">
        <v>4075</v>
      </c>
      <c r="N256" s="204">
        <v>44866</v>
      </c>
      <c r="O256" s="203"/>
      <c r="P256" s="203"/>
      <c r="Q256" s="203" t="s">
        <v>64</v>
      </c>
      <c r="R256" s="203" t="s">
        <v>138</v>
      </c>
    </row>
    <row r="257" spans="1:18">
      <c r="A257" s="303">
        <f>COUNTA($D$3:$D257)</f>
        <v>255</v>
      </c>
      <c r="B257" s="303" t="s">
        <v>3803</v>
      </c>
      <c r="C257" s="303" t="s">
        <v>78</v>
      </c>
      <c r="D257" s="303" t="s">
        <v>31</v>
      </c>
      <c r="E257" s="303" t="s">
        <v>3804</v>
      </c>
      <c r="F257" s="304">
        <v>44802</v>
      </c>
      <c r="G257" s="304">
        <v>44795</v>
      </c>
      <c r="H257" s="304"/>
      <c r="I257" s="304">
        <v>44802</v>
      </c>
      <c r="J257" s="303" t="s">
        <v>1105</v>
      </c>
      <c r="K257" s="305"/>
      <c r="L257" s="206">
        <v>44832</v>
      </c>
      <c r="M257" s="203" t="s">
        <v>2406</v>
      </c>
      <c r="N257" s="204">
        <v>44823</v>
      </c>
      <c r="O257" s="203"/>
      <c r="P257" s="203">
        <v>9708.3333333333339</v>
      </c>
      <c r="Q257" s="203" t="s">
        <v>1741</v>
      </c>
      <c r="R257" s="203" t="s">
        <v>138</v>
      </c>
    </row>
    <row r="258" spans="1:18">
      <c r="A258" s="303">
        <f>COUNTA($D$3:$D$258)</f>
        <v>256</v>
      </c>
      <c r="B258" s="303" t="s">
        <v>3963</v>
      </c>
      <c r="C258" s="303" t="s">
        <v>45</v>
      </c>
      <c r="D258" s="303" t="s">
        <v>111</v>
      </c>
      <c r="E258" s="303" t="s">
        <v>304</v>
      </c>
      <c r="F258" s="304"/>
      <c r="G258" s="304"/>
      <c r="H258" s="304"/>
      <c r="I258" s="304"/>
      <c r="J258" s="303"/>
      <c r="K258" s="305"/>
      <c r="L258" s="206">
        <v>44832</v>
      </c>
      <c r="M258" s="203" t="s">
        <v>2243</v>
      </c>
      <c r="N258" s="204">
        <v>44866</v>
      </c>
      <c r="O258" s="203"/>
      <c r="P258" s="203"/>
      <c r="Q258" s="203" t="s">
        <v>1065</v>
      </c>
      <c r="R258" s="203" t="s">
        <v>26</v>
      </c>
    </row>
    <row r="259" spans="1:18">
      <c r="A259" s="303">
        <f>COUNTA($D$3:$D$259)</f>
        <v>257</v>
      </c>
      <c r="B259" s="303" t="s">
        <v>3486</v>
      </c>
      <c r="C259" s="303" t="s">
        <v>2880</v>
      </c>
      <c r="D259" s="303" t="s">
        <v>62</v>
      </c>
      <c r="E259" s="303" t="s">
        <v>3490</v>
      </c>
      <c r="F259" s="304">
        <v>44757</v>
      </c>
      <c r="G259" s="304">
        <v>44753</v>
      </c>
      <c r="H259" s="304"/>
      <c r="I259" s="304">
        <v>44757</v>
      </c>
      <c r="J259" s="303" t="s">
        <v>3491</v>
      </c>
      <c r="K259" s="305"/>
      <c r="L259" s="206">
        <v>44832</v>
      </c>
      <c r="M259" s="203" t="s">
        <v>2410</v>
      </c>
      <c r="N259" s="204">
        <v>44823</v>
      </c>
      <c r="O259" s="203"/>
      <c r="P259" s="203">
        <v>3083.3333333333335</v>
      </c>
      <c r="Q259" s="203" t="s">
        <v>39</v>
      </c>
      <c r="R259" s="203" t="s">
        <v>138</v>
      </c>
    </row>
    <row r="260" spans="1:18">
      <c r="A260" s="303">
        <f>COUNTA($D$3:$D$260)</f>
        <v>258</v>
      </c>
      <c r="B260" s="303" t="s">
        <v>3458</v>
      </c>
      <c r="C260" s="303" t="s">
        <v>61</v>
      </c>
      <c r="D260" s="303" t="s">
        <v>34</v>
      </c>
      <c r="E260" s="303" t="s">
        <v>2922</v>
      </c>
      <c r="F260" s="304">
        <v>44685</v>
      </c>
      <c r="G260" s="304">
        <v>44745</v>
      </c>
      <c r="H260" s="304"/>
      <c r="I260" s="304">
        <v>44685</v>
      </c>
      <c r="J260" s="303" t="s">
        <v>2923</v>
      </c>
      <c r="K260" s="305"/>
      <c r="L260" s="206">
        <v>44832</v>
      </c>
      <c r="M260" s="203"/>
      <c r="N260" s="204">
        <v>45083</v>
      </c>
      <c r="O260" s="203" t="s">
        <v>5597</v>
      </c>
      <c r="P260" s="203">
        <v>14750</v>
      </c>
      <c r="Q260" s="203" t="s">
        <v>39</v>
      </c>
      <c r="R260" s="203" t="s">
        <v>26</v>
      </c>
    </row>
    <row r="261" spans="1:18">
      <c r="A261" s="303">
        <f>COUNTA($D$3:$D$261)</f>
        <v>259</v>
      </c>
      <c r="B261" s="303" t="s">
        <v>3270</v>
      </c>
      <c r="C261" s="303" t="s">
        <v>41</v>
      </c>
      <c r="D261" s="303" t="s">
        <v>49</v>
      </c>
      <c r="E261" s="303" t="s">
        <v>3281</v>
      </c>
      <c r="F261" s="304">
        <v>44748</v>
      </c>
      <c r="G261" s="304">
        <v>44729</v>
      </c>
      <c r="H261" s="304"/>
      <c r="I261" s="304">
        <v>44748</v>
      </c>
      <c r="J261" s="303" t="s">
        <v>1654</v>
      </c>
      <c r="K261" s="305" t="s">
        <v>1302</v>
      </c>
      <c r="L261" s="206">
        <v>44832</v>
      </c>
      <c r="M261" s="203"/>
      <c r="O261" s="203" t="s">
        <v>72</v>
      </c>
      <c r="P261" s="203">
        <v>1541.6666666666667</v>
      </c>
      <c r="Q261" s="203" t="s">
        <v>1741</v>
      </c>
      <c r="R261" s="203" t="s">
        <v>138</v>
      </c>
    </row>
    <row r="262" spans="1:18">
      <c r="A262" s="303">
        <f>COUNTA($D$3:$D$262)</f>
        <v>260</v>
      </c>
      <c r="B262" s="303" t="s">
        <v>3269</v>
      </c>
      <c r="C262" s="303" t="s">
        <v>41</v>
      </c>
      <c r="D262" s="303" t="s">
        <v>49</v>
      </c>
      <c r="E262" s="303" t="s">
        <v>3280</v>
      </c>
      <c r="F262" s="304">
        <v>44748</v>
      </c>
      <c r="G262" s="304">
        <v>44729</v>
      </c>
      <c r="H262" s="304"/>
      <c r="I262" s="304">
        <v>44748</v>
      </c>
      <c r="J262" s="303" t="s">
        <v>1654</v>
      </c>
      <c r="K262" s="305" t="s">
        <v>1302</v>
      </c>
      <c r="L262" s="206">
        <v>44832</v>
      </c>
      <c r="M262" s="203"/>
      <c r="O262" s="203" t="s">
        <v>72</v>
      </c>
      <c r="P262" s="203">
        <v>1541.6666666666667</v>
      </c>
      <c r="Q262" s="203" t="s">
        <v>1741</v>
      </c>
      <c r="R262" s="203" t="s">
        <v>138</v>
      </c>
    </row>
    <row r="263" spans="1:18">
      <c r="A263" s="303">
        <f>COUNTA($D$3:$D$263)</f>
        <v>261</v>
      </c>
      <c r="B263" s="303" t="s">
        <v>3271</v>
      </c>
      <c r="C263" s="303" t="s">
        <v>45</v>
      </c>
      <c r="D263" s="303" t="s">
        <v>27</v>
      </c>
      <c r="E263" s="303" t="s">
        <v>1287</v>
      </c>
      <c r="F263" s="304" t="s">
        <v>70</v>
      </c>
      <c r="G263" s="304">
        <v>44728</v>
      </c>
      <c r="H263" s="304"/>
      <c r="I263" s="304" t="s">
        <v>70</v>
      </c>
      <c r="J263" s="303" t="s">
        <v>3287</v>
      </c>
      <c r="K263" s="305" t="s">
        <v>1309</v>
      </c>
      <c r="L263" s="206">
        <v>44832</v>
      </c>
      <c r="M263" s="203" t="s">
        <v>2105</v>
      </c>
      <c r="N263" s="204">
        <v>44907</v>
      </c>
      <c r="O263" s="203"/>
      <c r="P263" s="203"/>
      <c r="Q263" s="203" t="s">
        <v>64</v>
      </c>
      <c r="R263" s="203" t="s">
        <v>26</v>
      </c>
    </row>
    <row r="264" spans="1:18">
      <c r="A264" s="303">
        <f>COUNTA($D$3:$D$264)</f>
        <v>262</v>
      </c>
      <c r="B264" s="303" t="s">
        <v>3315</v>
      </c>
      <c r="C264" s="303" t="s">
        <v>3316</v>
      </c>
      <c r="D264" s="303" t="s">
        <v>1110</v>
      </c>
      <c r="E264" s="303" t="s">
        <v>3317</v>
      </c>
      <c r="F264" s="304">
        <v>44748</v>
      </c>
      <c r="G264" s="304">
        <v>44741</v>
      </c>
      <c r="H264" s="304"/>
      <c r="I264" s="304">
        <v>44748</v>
      </c>
      <c r="J264" s="303" t="s">
        <v>1105</v>
      </c>
      <c r="K264" s="305" t="s">
        <v>1302</v>
      </c>
      <c r="L264" s="206">
        <v>44832</v>
      </c>
      <c r="M264" s="203" t="s">
        <v>4040</v>
      </c>
      <c r="N264" s="204">
        <v>44735</v>
      </c>
      <c r="O264" s="203"/>
      <c r="P264" s="203">
        <v>4958.333333333333</v>
      </c>
      <c r="Q264" s="203" t="s">
        <v>1741</v>
      </c>
      <c r="R264" s="203" t="s">
        <v>138</v>
      </c>
    </row>
    <row r="265" spans="1:18">
      <c r="A265" s="303">
        <f>COUNTA($D$3:$D$265)</f>
        <v>263</v>
      </c>
      <c r="B265" s="303" t="s">
        <v>3306</v>
      </c>
      <c r="C265" s="303" t="s">
        <v>2793</v>
      </c>
      <c r="D265" s="303" t="s">
        <v>20</v>
      </c>
      <c r="E265" s="303" t="s">
        <v>3307</v>
      </c>
      <c r="F265" s="304">
        <v>44753</v>
      </c>
      <c r="G265" s="304">
        <v>44741</v>
      </c>
      <c r="H265" s="304">
        <v>44792</v>
      </c>
      <c r="I265" s="304">
        <v>44753</v>
      </c>
      <c r="J265" s="303" t="s">
        <v>3361</v>
      </c>
      <c r="K265" s="305" t="s">
        <v>1310</v>
      </c>
      <c r="L265" s="206">
        <v>44832</v>
      </c>
      <c r="M265" s="203"/>
      <c r="O265" s="203"/>
      <c r="P265" s="203">
        <v>2916.6666666666665</v>
      </c>
      <c r="Q265" s="203" t="s">
        <v>32</v>
      </c>
      <c r="R265" s="203" t="s">
        <v>138</v>
      </c>
    </row>
    <row r="266" spans="1:18">
      <c r="A266" s="303">
        <f>COUNTA($D$3:$D$266)</f>
        <v>264</v>
      </c>
      <c r="B266" s="303" t="s">
        <v>3304</v>
      </c>
      <c r="C266" s="303" t="s">
        <v>2793</v>
      </c>
      <c r="D266" s="303" t="s">
        <v>20</v>
      </c>
      <c r="E266" s="303" t="s">
        <v>3305</v>
      </c>
      <c r="F266" s="304">
        <v>44753</v>
      </c>
      <c r="G266" s="304">
        <v>44745</v>
      </c>
      <c r="H266" s="304">
        <v>44792</v>
      </c>
      <c r="I266" s="304">
        <v>44753</v>
      </c>
      <c r="J266" s="303" t="s">
        <v>3360</v>
      </c>
      <c r="K266" s="305" t="s">
        <v>1310</v>
      </c>
      <c r="L266" s="206">
        <v>44832</v>
      </c>
      <c r="M266" s="203"/>
      <c r="O266" s="203"/>
      <c r="P266" s="203">
        <v>8333.3333333333339</v>
      </c>
      <c r="Q266" s="203" t="s">
        <v>32</v>
      </c>
      <c r="R266" s="203" t="s">
        <v>138</v>
      </c>
    </row>
    <row r="267" spans="1:18">
      <c r="A267" s="303">
        <f>COUNTA($D$3:$D$267)</f>
        <v>265</v>
      </c>
      <c r="B267" s="303" t="s">
        <v>3324</v>
      </c>
      <c r="C267" s="303" t="s">
        <v>3325</v>
      </c>
      <c r="D267" s="303" t="s">
        <v>1115</v>
      </c>
      <c r="E267" s="303" t="s">
        <v>3326</v>
      </c>
      <c r="F267" s="304">
        <v>44748</v>
      </c>
      <c r="G267" s="304">
        <v>44741</v>
      </c>
      <c r="H267" s="304">
        <v>44783</v>
      </c>
      <c r="I267" s="304">
        <v>44748</v>
      </c>
      <c r="J267" s="303" t="s">
        <v>3327</v>
      </c>
      <c r="K267" s="305" t="s">
        <v>1302</v>
      </c>
      <c r="L267" s="206">
        <v>44832</v>
      </c>
      <c r="M267" s="203" t="s">
        <v>4041</v>
      </c>
      <c r="N267" s="204">
        <v>44848</v>
      </c>
      <c r="O267" s="203"/>
      <c r="P267" s="203">
        <v>1333.3333333333333</v>
      </c>
      <c r="Q267" s="203" t="s">
        <v>32</v>
      </c>
      <c r="R267" s="203" t="s">
        <v>138</v>
      </c>
    </row>
    <row r="268" spans="1:18">
      <c r="A268" s="303">
        <f>COUNTA($D$3:$D$268)</f>
        <v>266</v>
      </c>
      <c r="B268" s="303" t="s">
        <v>3321</v>
      </c>
      <c r="C268" s="303" t="s">
        <v>3322</v>
      </c>
      <c r="D268" s="303" t="s">
        <v>40</v>
      </c>
      <c r="E268" s="303" t="s">
        <v>3323</v>
      </c>
      <c r="F268" s="304">
        <v>44748</v>
      </c>
      <c r="G268" s="304">
        <v>44745</v>
      </c>
      <c r="H268" s="304"/>
      <c r="I268" s="304">
        <v>44748</v>
      </c>
      <c r="J268" s="303" t="s">
        <v>3369</v>
      </c>
      <c r="K268" s="305" t="s">
        <v>1310</v>
      </c>
      <c r="L268" s="206">
        <v>44832</v>
      </c>
      <c r="M268" s="203"/>
      <c r="O268" s="203"/>
      <c r="P268" s="203">
        <v>5958.333333333333</v>
      </c>
      <c r="Q268" s="203" t="s">
        <v>39</v>
      </c>
      <c r="R268" s="203" t="s">
        <v>138</v>
      </c>
    </row>
    <row r="269" spans="1:18">
      <c r="A269" s="303">
        <f>COUNTA($D$3:$D$269)</f>
        <v>267</v>
      </c>
      <c r="B269" s="303" t="s">
        <v>3257</v>
      </c>
      <c r="C269" s="303" t="s">
        <v>41</v>
      </c>
      <c r="D269" s="303" t="s">
        <v>38</v>
      </c>
      <c r="E269" s="303" t="s">
        <v>3258</v>
      </c>
      <c r="F269" s="304">
        <v>44728</v>
      </c>
      <c r="G269" s="304">
        <v>44728</v>
      </c>
      <c r="H269" s="304"/>
      <c r="I269" s="304">
        <v>44728</v>
      </c>
      <c r="J269" s="303" t="s">
        <v>3259</v>
      </c>
      <c r="K269" s="305" t="s">
        <v>1311</v>
      </c>
      <c r="L269" s="206">
        <v>44824</v>
      </c>
      <c r="M269" s="203"/>
      <c r="O269" s="203" t="s">
        <v>72</v>
      </c>
      <c r="P269" s="203">
        <v>8708.3333333333339</v>
      </c>
      <c r="Q269" s="203" t="s">
        <v>39</v>
      </c>
      <c r="R269" s="203" t="s">
        <v>138</v>
      </c>
    </row>
    <row r="270" spans="1:18">
      <c r="A270" s="303">
        <f>COUNTA($D$3:$D$270)</f>
        <v>268</v>
      </c>
      <c r="B270" s="303" t="s">
        <v>3250</v>
      </c>
      <c r="C270" s="303" t="s">
        <v>41</v>
      </c>
      <c r="D270" s="303" t="s">
        <v>38</v>
      </c>
      <c r="E270" s="303" t="s">
        <v>1153</v>
      </c>
      <c r="F270" s="304">
        <v>44748</v>
      </c>
      <c r="G270" s="304">
        <v>44735</v>
      </c>
      <c r="H270" s="304"/>
      <c r="I270" s="304">
        <v>44748</v>
      </c>
      <c r="J270" s="303" t="s">
        <v>3251</v>
      </c>
      <c r="K270" s="305" t="s">
        <v>1302</v>
      </c>
      <c r="L270" s="206">
        <v>44824</v>
      </c>
      <c r="M270" s="203"/>
      <c r="O270" s="203" t="s">
        <v>72</v>
      </c>
      <c r="P270" s="203">
        <v>3666.6666666666665</v>
      </c>
      <c r="Q270" s="203" t="s">
        <v>39</v>
      </c>
      <c r="R270" s="203" t="s">
        <v>138</v>
      </c>
    </row>
    <row r="271" spans="1:18">
      <c r="A271" s="303">
        <f>COUNTA($D$3:$D$271)</f>
        <v>269</v>
      </c>
      <c r="B271" s="303" t="s">
        <v>3246</v>
      </c>
      <c r="C271" s="303" t="s">
        <v>41</v>
      </c>
      <c r="D271" s="303" t="s">
        <v>34</v>
      </c>
      <c r="E271" s="303" t="s">
        <v>3247</v>
      </c>
      <c r="F271" s="304">
        <v>44728</v>
      </c>
      <c r="G271" s="304">
        <v>44728</v>
      </c>
      <c r="H271" s="304"/>
      <c r="I271" s="304">
        <v>44728</v>
      </c>
      <c r="J271" s="303" t="s">
        <v>1500</v>
      </c>
      <c r="K271" s="305" t="s">
        <v>1302</v>
      </c>
      <c r="L271" s="206">
        <v>44824</v>
      </c>
      <c r="M271" s="203"/>
      <c r="O271" s="203" t="s">
        <v>72</v>
      </c>
      <c r="P271" s="203"/>
      <c r="Q271" s="203" t="s">
        <v>39</v>
      </c>
      <c r="R271" s="203" t="s">
        <v>138</v>
      </c>
    </row>
    <row r="272" spans="1:18">
      <c r="A272" s="303">
        <f>COUNTA($D$3:$D$272)</f>
        <v>270</v>
      </c>
      <c r="B272" s="303" t="s">
        <v>3240</v>
      </c>
      <c r="C272" s="303" t="s">
        <v>41</v>
      </c>
      <c r="D272" s="303" t="s">
        <v>34</v>
      </c>
      <c r="E272" s="303" t="s">
        <v>3241</v>
      </c>
      <c r="F272" s="304">
        <v>44728</v>
      </c>
      <c r="G272" s="304">
        <v>44728</v>
      </c>
      <c r="H272" s="304"/>
      <c r="I272" s="304">
        <v>44728</v>
      </c>
      <c r="J272" s="303" t="s">
        <v>3242</v>
      </c>
      <c r="K272" s="305" t="s">
        <v>1311</v>
      </c>
      <c r="L272" s="206">
        <v>44824</v>
      </c>
      <c r="M272" s="203"/>
      <c r="O272" s="203" t="s">
        <v>72</v>
      </c>
      <c r="P272" s="203"/>
      <c r="Q272" s="203" t="s">
        <v>39</v>
      </c>
      <c r="R272" s="203" t="s">
        <v>138</v>
      </c>
    </row>
    <row r="273" spans="1:18">
      <c r="A273" s="303">
        <f>COUNTA($D$3:$D$273)</f>
        <v>271</v>
      </c>
      <c r="B273" s="303" t="s">
        <v>3236</v>
      </c>
      <c r="C273" s="303" t="s">
        <v>25</v>
      </c>
      <c r="D273" s="303" t="s">
        <v>34</v>
      </c>
      <c r="E273" s="303" t="s">
        <v>1906</v>
      </c>
      <c r="F273" s="304">
        <v>44728</v>
      </c>
      <c r="G273" s="304">
        <v>44728</v>
      </c>
      <c r="H273" s="304"/>
      <c r="I273" s="304">
        <v>44728</v>
      </c>
      <c r="J273" s="303" t="s">
        <v>3237</v>
      </c>
      <c r="K273" s="305" t="s">
        <v>1310</v>
      </c>
      <c r="L273" s="206">
        <v>44824</v>
      </c>
      <c r="M273" s="203" t="s">
        <v>3978</v>
      </c>
      <c r="N273" s="204">
        <v>44907</v>
      </c>
      <c r="O273" s="203"/>
      <c r="P273" s="203"/>
      <c r="Q273" s="203" t="s">
        <v>39</v>
      </c>
      <c r="R273" s="203" t="s">
        <v>138</v>
      </c>
    </row>
    <row r="274" spans="1:18">
      <c r="A274" s="303">
        <f>COUNTA($D$3:$D$274)</f>
        <v>272</v>
      </c>
      <c r="B274" s="303" t="s">
        <v>3190</v>
      </c>
      <c r="C274" s="303" t="s">
        <v>25</v>
      </c>
      <c r="D274" s="303" t="s">
        <v>3191</v>
      </c>
      <c r="E274" s="303" t="s">
        <v>3192</v>
      </c>
      <c r="F274" s="304">
        <v>44748</v>
      </c>
      <c r="G274" s="304">
        <v>44714</v>
      </c>
      <c r="H274" s="304"/>
      <c r="I274" s="304">
        <v>44748</v>
      </c>
      <c r="J274" s="303" t="s">
        <v>3193</v>
      </c>
      <c r="K274" s="305" t="s">
        <v>1310</v>
      </c>
      <c r="L274" s="206">
        <v>44824</v>
      </c>
      <c r="M274" s="203" t="s">
        <v>3978</v>
      </c>
      <c r="N274" s="204">
        <v>44907</v>
      </c>
      <c r="O274" s="203"/>
      <c r="P274" s="203"/>
      <c r="Q274" s="203" t="s">
        <v>39</v>
      </c>
      <c r="R274" s="203" t="s">
        <v>138</v>
      </c>
    </row>
    <row r="275" spans="1:18">
      <c r="A275" s="303">
        <f>COUNTA($D$3:$D$275)</f>
        <v>273</v>
      </c>
      <c r="B275" s="303" t="s">
        <v>3184</v>
      </c>
      <c r="C275" s="303" t="s">
        <v>25</v>
      </c>
      <c r="D275" s="303" t="s">
        <v>34</v>
      </c>
      <c r="E275" s="303" t="s">
        <v>3185</v>
      </c>
      <c r="F275" s="304">
        <v>44748</v>
      </c>
      <c r="G275" s="304">
        <v>44728</v>
      </c>
      <c r="H275" s="304"/>
      <c r="I275" s="304">
        <v>44748</v>
      </c>
      <c r="J275" s="303" t="s">
        <v>3186</v>
      </c>
      <c r="K275" s="305" t="s">
        <v>1302</v>
      </c>
      <c r="L275" s="206">
        <v>44824</v>
      </c>
      <c r="M275" s="203" t="s">
        <v>3978</v>
      </c>
      <c r="N275" s="204">
        <v>44907</v>
      </c>
      <c r="O275" s="203"/>
      <c r="P275" s="203"/>
      <c r="Q275" s="203" t="s">
        <v>39</v>
      </c>
      <c r="R275" s="203" t="s">
        <v>138</v>
      </c>
    </row>
    <row r="276" spans="1:18">
      <c r="A276" s="303">
        <f>COUNTA($D$3:$D$276)</f>
        <v>274</v>
      </c>
      <c r="B276" s="303" t="s">
        <v>3183</v>
      </c>
      <c r="C276" s="303" t="s">
        <v>25</v>
      </c>
      <c r="D276" s="303" t="s">
        <v>34</v>
      </c>
      <c r="E276" s="303" t="s">
        <v>1257</v>
      </c>
      <c r="F276" s="304">
        <v>44728</v>
      </c>
      <c r="G276" s="304">
        <v>44728</v>
      </c>
      <c r="H276" s="304"/>
      <c r="I276" s="304">
        <v>44728</v>
      </c>
      <c r="J276" s="303" t="s">
        <v>1694</v>
      </c>
      <c r="K276" s="305" t="s">
        <v>1311</v>
      </c>
      <c r="L276" s="206">
        <v>44824</v>
      </c>
      <c r="M276" s="203" t="s">
        <v>3978</v>
      </c>
      <c r="N276" s="204">
        <v>44804</v>
      </c>
      <c r="O276" s="203"/>
      <c r="P276" s="203"/>
      <c r="Q276" s="203" t="s">
        <v>39</v>
      </c>
      <c r="R276" s="203" t="s">
        <v>138</v>
      </c>
    </row>
    <row r="277" spans="1:18">
      <c r="A277" s="303">
        <f>COUNTA($D$3:$D$277)</f>
        <v>275</v>
      </c>
      <c r="B277" s="303" t="s">
        <v>3144</v>
      </c>
      <c r="C277" s="303" t="s">
        <v>1118</v>
      </c>
      <c r="D277" s="303" t="s">
        <v>62</v>
      </c>
      <c r="E277" s="303" t="s">
        <v>1659</v>
      </c>
      <c r="F277" s="304">
        <v>44713</v>
      </c>
      <c r="G277" s="304">
        <v>44714</v>
      </c>
      <c r="H277" s="304"/>
      <c r="I277" s="304">
        <v>44713</v>
      </c>
      <c r="J277" s="303" t="s">
        <v>3220</v>
      </c>
      <c r="K277" s="305" t="s">
        <v>1310</v>
      </c>
      <c r="L277" s="206">
        <v>44824</v>
      </c>
      <c r="M277" s="203"/>
      <c r="O277" s="203"/>
      <c r="P277" s="203"/>
      <c r="Q277" s="203" t="s">
        <v>39</v>
      </c>
      <c r="R277" s="203" t="s">
        <v>138</v>
      </c>
    </row>
    <row r="278" spans="1:18">
      <c r="A278" s="303">
        <f>COUNTA($D$3:$D$278)</f>
        <v>276</v>
      </c>
      <c r="B278" s="303" t="s">
        <v>3016</v>
      </c>
      <c r="C278" s="303" t="s">
        <v>41</v>
      </c>
      <c r="D278" s="303" t="s">
        <v>34</v>
      </c>
      <c r="E278" s="303" t="s">
        <v>3017</v>
      </c>
      <c r="F278" s="304">
        <v>44714</v>
      </c>
      <c r="G278" s="304">
        <v>44689</v>
      </c>
      <c r="H278" s="304"/>
      <c r="I278" s="304">
        <v>44714</v>
      </c>
      <c r="J278" s="303" t="s">
        <v>1500</v>
      </c>
      <c r="K278" s="305" t="s">
        <v>1302</v>
      </c>
      <c r="L278" s="206">
        <v>44824</v>
      </c>
      <c r="M278" s="203"/>
      <c r="O278" s="203" t="s">
        <v>72</v>
      </c>
      <c r="P278" s="203"/>
      <c r="Q278" s="203" t="s">
        <v>39</v>
      </c>
      <c r="R278" s="203" t="s">
        <v>138</v>
      </c>
    </row>
    <row r="279" spans="1:18">
      <c r="A279" s="303">
        <f>COUNTA($D$3:$D$279)</f>
        <v>277</v>
      </c>
      <c r="B279" s="303" t="s">
        <v>3014</v>
      </c>
      <c r="C279" s="303" t="s">
        <v>41</v>
      </c>
      <c r="D279" s="303" t="s">
        <v>34</v>
      </c>
      <c r="E279" s="303" t="s">
        <v>3015</v>
      </c>
      <c r="F279" s="304">
        <v>44691</v>
      </c>
      <c r="G279" s="304">
        <v>44689</v>
      </c>
      <c r="H279" s="304"/>
      <c r="I279" s="304">
        <v>44691</v>
      </c>
      <c r="J279" s="303" t="s">
        <v>1500</v>
      </c>
      <c r="K279" s="305" t="s">
        <v>1289</v>
      </c>
      <c r="L279" s="206">
        <v>44824</v>
      </c>
      <c r="M279" s="203"/>
      <c r="O279" s="203" t="s">
        <v>72</v>
      </c>
      <c r="P279" s="203"/>
      <c r="Q279" s="203" t="s">
        <v>39</v>
      </c>
      <c r="R279" s="203" t="s">
        <v>138</v>
      </c>
    </row>
    <row r="280" spans="1:18">
      <c r="A280" s="303">
        <f>COUNTA($D$3:$D$280)</f>
        <v>278</v>
      </c>
      <c r="B280" s="303" t="s">
        <v>3850</v>
      </c>
      <c r="C280" s="303" t="s">
        <v>41</v>
      </c>
      <c r="D280" s="303" t="s">
        <v>49</v>
      </c>
      <c r="E280" s="303" t="s">
        <v>3851</v>
      </c>
      <c r="F280" s="304">
        <v>44803</v>
      </c>
      <c r="G280" s="304">
        <v>44804</v>
      </c>
      <c r="H280" s="304"/>
      <c r="I280" s="304">
        <v>44803</v>
      </c>
      <c r="J280" s="303" t="s">
        <v>1850</v>
      </c>
      <c r="K280" s="305" t="s">
        <v>1302</v>
      </c>
      <c r="L280" s="206">
        <v>44819</v>
      </c>
      <c r="M280" s="203" t="s">
        <v>3941</v>
      </c>
      <c r="N280" s="204">
        <v>44804</v>
      </c>
      <c r="O280" s="203"/>
      <c r="P280" s="203"/>
      <c r="Q280" s="203" t="s">
        <v>1741</v>
      </c>
      <c r="R280" s="203" t="s">
        <v>138</v>
      </c>
    </row>
    <row r="281" spans="1:18">
      <c r="A281" s="303">
        <f>COUNTA($D$3:$D$281)</f>
        <v>279</v>
      </c>
      <c r="B281" s="303" t="s">
        <v>3264</v>
      </c>
      <c r="C281" s="303" t="s">
        <v>1180</v>
      </c>
      <c r="D281" s="303" t="s">
        <v>35</v>
      </c>
      <c r="E281" s="303" t="s">
        <v>3265</v>
      </c>
      <c r="F281" s="304">
        <v>44729</v>
      </c>
      <c r="G281" s="304">
        <v>44728</v>
      </c>
      <c r="H281" s="304"/>
      <c r="I281" s="304">
        <v>44729</v>
      </c>
      <c r="J281" s="303" t="s">
        <v>3266</v>
      </c>
      <c r="K281" s="305" t="s">
        <v>1309</v>
      </c>
      <c r="L281" s="206">
        <v>44819</v>
      </c>
      <c r="M281" s="203"/>
      <c r="O281" s="203" t="s">
        <v>1078</v>
      </c>
      <c r="P281" s="203"/>
      <c r="Q281" s="203" t="s">
        <v>39</v>
      </c>
      <c r="R281" s="203" t="s">
        <v>26</v>
      </c>
    </row>
    <row r="282" spans="1:18">
      <c r="A282" s="303">
        <f>COUNTA($D$3:$D$282)</f>
        <v>280</v>
      </c>
      <c r="B282" s="303" t="s">
        <v>3238</v>
      </c>
      <c r="C282" s="303" t="s">
        <v>1102</v>
      </c>
      <c r="D282" s="303" t="s">
        <v>51</v>
      </c>
      <c r="E282" s="303" t="s">
        <v>1103</v>
      </c>
      <c r="F282" s="304">
        <v>44728</v>
      </c>
      <c r="G282" s="304">
        <v>44729</v>
      </c>
      <c r="H282" s="304"/>
      <c r="I282" s="304">
        <v>44728</v>
      </c>
      <c r="J282" s="303" t="s">
        <v>3239</v>
      </c>
      <c r="K282" s="305" t="s">
        <v>1309</v>
      </c>
      <c r="L282" s="206">
        <v>44819</v>
      </c>
      <c r="M282" s="203" t="s">
        <v>3947</v>
      </c>
      <c r="N282" s="204">
        <v>44895</v>
      </c>
      <c r="O282" s="203"/>
      <c r="P282" s="203"/>
      <c r="Q282" s="203" t="s">
        <v>39</v>
      </c>
      <c r="R282" s="203" t="s">
        <v>26</v>
      </c>
    </row>
    <row r="283" spans="1:18">
      <c r="A283" s="303">
        <f>COUNTA($D$3:$D$283)</f>
        <v>281</v>
      </c>
      <c r="B283" s="303" t="s">
        <v>3178</v>
      </c>
      <c r="C283" s="303" t="s">
        <v>1767</v>
      </c>
      <c r="D283" s="303" t="s">
        <v>55</v>
      </c>
      <c r="E283" s="303" t="s">
        <v>3179</v>
      </c>
      <c r="F283" s="304">
        <v>44728</v>
      </c>
      <c r="G283" s="304">
        <v>44718</v>
      </c>
      <c r="H283" s="304"/>
      <c r="I283" s="304">
        <v>44728</v>
      </c>
      <c r="J283" s="303" t="s">
        <v>2623</v>
      </c>
      <c r="K283" s="305" t="s">
        <v>2058</v>
      </c>
      <c r="L283" s="206">
        <v>44819</v>
      </c>
      <c r="M283" s="203"/>
      <c r="N283" s="204">
        <v>45083</v>
      </c>
      <c r="O283" s="203" t="s">
        <v>5597</v>
      </c>
      <c r="P283" s="203"/>
      <c r="Q283" s="203" t="s">
        <v>39</v>
      </c>
      <c r="R283" s="203" t="s">
        <v>26</v>
      </c>
    </row>
    <row r="284" spans="1:18">
      <c r="A284" s="303">
        <f>COUNTA($D$3:$D$284)</f>
        <v>282</v>
      </c>
      <c r="B284" s="303" t="s">
        <v>3124</v>
      </c>
      <c r="C284" s="303" t="s">
        <v>2396</v>
      </c>
      <c r="D284" s="303" t="s">
        <v>3125</v>
      </c>
      <c r="E284" s="303" t="s">
        <v>3126</v>
      </c>
      <c r="F284" s="304">
        <v>44714</v>
      </c>
      <c r="G284" s="304">
        <v>44708</v>
      </c>
      <c r="H284" s="304"/>
      <c r="I284" s="304">
        <v>44714</v>
      </c>
      <c r="J284" s="303" t="s">
        <v>3127</v>
      </c>
      <c r="K284" s="305" t="s">
        <v>2058</v>
      </c>
      <c r="L284" s="206">
        <v>44819</v>
      </c>
      <c r="M284" s="203" t="s">
        <v>3947</v>
      </c>
      <c r="N284" s="204">
        <v>44824</v>
      </c>
      <c r="O284" s="203"/>
      <c r="P284" s="203"/>
      <c r="Q284" s="203" t="s">
        <v>39</v>
      </c>
      <c r="R284" s="203" t="s">
        <v>26</v>
      </c>
    </row>
    <row r="285" spans="1:18">
      <c r="A285" s="303">
        <f>COUNTA($D$3:$D$285)</f>
        <v>283</v>
      </c>
      <c r="B285" s="303" t="s">
        <v>2887</v>
      </c>
      <c r="C285" s="303" t="s">
        <v>2884</v>
      </c>
      <c r="D285" s="303" t="s">
        <v>2888</v>
      </c>
      <c r="E285" s="303" t="s">
        <v>2889</v>
      </c>
      <c r="F285" s="304">
        <v>44686</v>
      </c>
      <c r="G285" s="304">
        <v>44678</v>
      </c>
      <c r="H285" s="304"/>
      <c r="I285" s="304">
        <v>44686</v>
      </c>
      <c r="J285" s="303" t="s">
        <v>1105</v>
      </c>
      <c r="K285" s="305" t="s">
        <v>297</v>
      </c>
      <c r="L285" s="206">
        <v>44816</v>
      </c>
      <c r="M285" s="203" t="s">
        <v>3951</v>
      </c>
      <c r="N285" s="204">
        <v>44894</v>
      </c>
      <c r="O285" s="203"/>
      <c r="P285" s="203"/>
      <c r="Q285" s="203" t="s">
        <v>3946</v>
      </c>
      <c r="R285" s="203" t="s">
        <v>26</v>
      </c>
    </row>
    <row r="286" spans="1:18">
      <c r="A286" s="303">
        <f>COUNTA($D$3:$D$286)</f>
        <v>284</v>
      </c>
      <c r="B286" s="303" t="s">
        <v>3172</v>
      </c>
      <c r="C286" s="303" t="s">
        <v>45</v>
      </c>
      <c r="D286" s="303" t="s">
        <v>1181</v>
      </c>
      <c r="E286" s="303" t="s">
        <v>3173</v>
      </c>
      <c r="F286" s="304" t="s">
        <v>70</v>
      </c>
      <c r="G286" s="304">
        <v>44728</v>
      </c>
      <c r="H286" s="304"/>
      <c r="I286" s="304" t="s">
        <v>70</v>
      </c>
      <c r="J286" s="303" t="s">
        <v>3267</v>
      </c>
      <c r="K286" s="305" t="s">
        <v>297</v>
      </c>
      <c r="L286" s="206">
        <v>44816</v>
      </c>
      <c r="M286" s="203" t="s">
        <v>3979</v>
      </c>
      <c r="N286" s="204">
        <v>44813</v>
      </c>
      <c r="O286" s="203"/>
      <c r="P286" s="203"/>
      <c r="Q286" s="203" t="s">
        <v>3980</v>
      </c>
      <c r="R286" s="203" t="s">
        <v>26</v>
      </c>
    </row>
    <row r="287" spans="1:18">
      <c r="A287" s="303">
        <f>COUNTA($D$3:$D$287)</f>
        <v>285</v>
      </c>
      <c r="B287" s="303" t="s">
        <v>3096</v>
      </c>
      <c r="C287" s="303" t="s">
        <v>45</v>
      </c>
      <c r="D287" s="303" t="s">
        <v>3097</v>
      </c>
      <c r="E287" s="303" t="s">
        <v>3098</v>
      </c>
      <c r="F287" s="304" t="s">
        <v>70</v>
      </c>
      <c r="G287" s="304">
        <v>44708</v>
      </c>
      <c r="H287" s="304"/>
      <c r="I287" s="304" t="s">
        <v>70</v>
      </c>
      <c r="J287" s="303" t="s">
        <v>3099</v>
      </c>
      <c r="K287" s="305" t="s">
        <v>2058</v>
      </c>
      <c r="L287" s="206">
        <v>44816</v>
      </c>
      <c r="M287" s="203"/>
      <c r="O287" s="203" t="s">
        <v>5598</v>
      </c>
      <c r="P287" s="203"/>
      <c r="Q287" s="203" t="s">
        <v>3980</v>
      </c>
      <c r="R287" s="203" t="s">
        <v>26</v>
      </c>
    </row>
    <row r="288" spans="1:18">
      <c r="A288" s="303">
        <f>COUNTA($D$3:$D$288)</f>
        <v>286</v>
      </c>
      <c r="B288" s="303" t="s">
        <v>3143</v>
      </c>
      <c r="C288" s="303" t="s">
        <v>2396</v>
      </c>
      <c r="D288" s="303" t="s">
        <v>34</v>
      </c>
      <c r="E288" s="303" t="s">
        <v>2132</v>
      </c>
      <c r="F288" s="304">
        <v>44714</v>
      </c>
      <c r="G288" s="304">
        <v>44708</v>
      </c>
      <c r="H288" s="304"/>
      <c r="I288" s="304">
        <v>44714</v>
      </c>
      <c r="J288" s="303" t="s">
        <v>2691</v>
      </c>
      <c r="K288" s="305" t="s">
        <v>2058</v>
      </c>
      <c r="L288" s="206">
        <v>44816</v>
      </c>
      <c r="M288" s="203" t="s">
        <v>3947</v>
      </c>
      <c r="N288" s="204">
        <v>44824</v>
      </c>
      <c r="O288" s="203"/>
      <c r="P288" s="203"/>
      <c r="Q288" s="203" t="s">
        <v>39</v>
      </c>
      <c r="R288" s="203" t="s">
        <v>26</v>
      </c>
    </row>
    <row r="289" spans="1:18">
      <c r="A289" s="303">
        <f>COUNTA($D$3:$D$289)</f>
        <v>287</v>
      </c>
      <c r="B289" s="303" t="s">
        <v>3122</v>
      </c>
      <c r="C289" s="303" t="s">
        <v>1780</v>
      </c>
      <c r="D289" s="303" t="s">
        <v>23</v>
      </c>
      <c r="E289" s="303" t="s">
        <v>1781</v>
      </c>
      <c r="F289" s="304">
        <v>44714</v>
      </c>
      <c r="G289" s="304">
        <v>44708</v>
      </c>
      <c r="H289" s="304"/>
      <c r="I289" s="304">
        <v>44714</v>
      </c>
      <c r="J289" s="303" t="s">
        <v>3123</v>
      </c>
      <c r="K289" s="305" t="s">
        <v>297</v>
      </c>
      <c r="L289" s="206">
        <v>44816</v>
      </c>
      <c r="M289" s="203"/>
      <c r="O289" s="203" t="s">
        <v>5598</v>
      </c>
      <c r="P289" s="203"/>
      <c r="Q289" s="203" t="s">
        <v>39</v>
      </c>
      <c r="R289" s="203" t="s">
        <v>26</v>
      </c>
    </row>
    <row r="290" spans="1:18">
      <c r="A290" s="303">
        <f>COUNTA($D$3:$D$290)</f>
        <v>288</v>
      </c>
      <c r="B290" s="303" t="s">
        <v>3772</v>
      </c>
      <c r="C290" s="303" t="s">
        <v>45</v>
      </c>
      <c r="D290" s="303" t="s">
        <v>53</v>
      </c>
      <c r="E290" s="303" t="s">
        <v>3773</v>
      </c>
      <c r="F290" s="304">
        <v>44802</v>
      </c>
      <c r="G290" s="304"/>
      <c r="H290" s="304"/>
      <c r="I290" s="304"/>
      <c r="J290" s="303"/>
      <c r="K290" s="305"/>
      <c r="L290" s="206">
        <v>44812</v>
      </c>
      <c r="M290" s="203" t="s">
        <v>3889</v>
      </c>
      <c r="N290" s="204">
        <v>44812</v>
      </c>
      <c r="O290" s="203"/>
      <c r="P290" s="203"/>
      <c r="Q290" s="203"/>
      <c r="R290" s="203" t="s">
        <v>138</v>
      </c>
    </row>
    <row r="291" spans="1:18">
      <c r="A291" s="303">
        <f>COUNTA($D$3:$D$291)</f>
        <v>289</v>
      </c>
      <c r="B291" s="303" t="s">
        <v>3328</v>
      </c>
      <c r="C291" s="303" t="s">
        <v>3329</v>
      </c>
      <c r="D291" s="303" t="s">
        <v>1110</v>
      </c>
      <c r="E291" s="303" t="s">
        <v>3330</v>
      </c>
      <c r="F291" s="304">
        <v>44748</v>
      </c>
      <c r="G291" s="304">
        <v>44738</v>
      </c>
      <c r="H291" s="304"/>
      <c r="I291" s="304">
        <v>44748</v>
      </c>
      <c r="J291" s="303" t="s">
        <v>1105</v>
      </c>
      <c r="K291" s="305" t="s">
        <v>297</v>
      </c>
      <c r="L291" s="206">
        <v>44809</v>
      </c>
      <c r="M291" s="203" t="s">
        <v>3872</v>
      </c>
      <c r="N291" s="204">
        <v>44798</v>
      </c>
      <c r="O291" s="203"/>
      <c r="P291" s="203"/>
      <c r="Q291" s="203" t="s">
        <v>1741</v>
      </c>
      <c r="R291" s="203" t="s">
        <v>138</v>
      </c>
    </row>
    <row r="292" spans="1:18">
      <c r="A292" s="303">
        <f>COUNTA($D$3:$D$292)</f>
        <v>290</v>
      </c>
      <c r="B292" s="303" t="s">
        <v>3780</v>
      </c>
      <c r="C292" s="303" t="s">
        <v>3781</v>
      </c>
      <c r="D292" s="303" t="s">
        <v>35</v>
      </c>
      <c r="E292" s="303" t="s">
        <v>3782</v>
      </c>
      <c r="F292" s="304"/>
      <c r="G292" s="304"/>
      <c r="H292" s="304"/>
      <c r="I292" s="304"/>
      <c r="J292" s="303" t="s">
        <v>471</v>
      </c>
      <c r="K292" s="305" t="s">
        <v>1310</v>
      </c>
      <c r="L292" s="206">
        <v>44798</v>
      </c>
      <c r="M292" s="203" t="s">
        <v>3821</v>
      </c>
      <c r="N292" s="204">
        <v>44789</v>
      </c>
      <c r="O292" s="203"/>
      <c r="P292" s="203"/>
      <c r="Q292" s="203" t="s">
        <v>1065</v>
      </c>
      <c r="R292" s="203" t="s">
        <v>138</v>
      </c>
    </row>
    <row r="293" spans="1:18">
      <c r="A293" s="303">
        <f t="shared" ref="A293:A301" si="0">COUNTA($D$3:$D$293)</f>
        <v>291</v>
      </c>
      <c r="B293" s="303" t="s">
        <v>2853</v>
      </c>
      <c r="C293" s="303" t="s">
        <v>1118</v>
      </c>
      <c r="D293" s="303" t="s">
        <v>49</v>
      </c>
      <c r="E293" s="303" t="s">
        <v>2854</v>
      </c>
      <c r="F293" s="304">
        <v>44677</v>
      </c>
      <c r="G293" s="304">
        <v>44672</v>
      </c>
      <c r="H293" s="304"/>
      <c r="I293" s="304">
        <v>44677</v>
      </c>
      <c r="J293" s="303" t="s">
        <v>1105</v>
      </c>
      <c r="K293" s="305"/>
      <c r="L293" s="206">
        <v>44791</v>
      </c>
      <c r="M293" s="203" t="s">
        <v>3791</v>
      </c>
      <c r="N293" s="204">
        <v>44844</v>
      </c>
      <c r="O293" s="203"/>
      <c r="P293" s="203"/>
      <c r="Q293" s="203" t="s">
        <v>1067</v>
      </c>
      <c r="R293" s="203" t="s">
        <v>138</v>
      </c>
    </row>
    <row r="294" spans="1:18">
      <c r="A294" s="303">
        <f t="shared" si="0"/>
        <v>291</v>
      </c>
      <c r="B294" s="303" t="s">
        <v>3345</v>
      </c>
      <c r="C294" s="303" t="s">
        <v>3075</v>
      </c>
      <c r="D294" s="303" t="s">
        <v>35</v>
      </c>
      <c r="E294" s="303" t="s">
        <v>3076</v>
      </c>
      <c r="F294" s="304">
        <v>44748</v>
      </c>
      <c r="G294" s="304">
        <v>44738</v>
      </c>
      <c r="H294" s="304"/>
      <c r="I294" s="304">
        <v>44748</v>
      </c>
      <c r="J294" s="303" t="s">
        <v>1679</v>
      </c>
      <c r="K294" s="305" t="s">
        <v>1309</v>
      </c>
      <c r="L294" s="184">
        <v>44791</v>
      </c>
      <c r="M294" t="s">
        <v>3790</v>
      </c>
      <c r="N294" s="204">
        <v>44784</v>
      </c>
      <c r="O294" s="203"/>
      <c r="Q294" t="s">
        <v>39</v>
      </c>
      <c r="R294" s="198" t="s">
        <v>26</v>
      </c>
    </row>
    <row r="295" spans="1:18">
      <c r="A295" s="303">
        <f t="shared" si="0"/>
        <v>291</v>
      </c>
      <c r="B295" s="303" t="s">
        <v>3227</v>
      </c>
      <c r="C295" s="303" t="s">
        <v>3228</v>
      </c>
      <c r="D295" s="303" t="s">
        <v>1115</v>
      </c>
      <c r="E295" s="303" t="s">
        <v>1864</v>
      </c>
      <c r="F295" s="304">
        <v>44727</v>
      </c>
      <c r="G295" s="304">
        <v>44728</v>
      </c>
      <c r="H295" s="304"/>
      <c r="I295" s="304">
        <v>44727</v>
      </c>
      <c r="J295" s="303" t="s">
        <v>3229</v>
      </c>
      <c r="K295" s="305"/>
      <c r="L295" s="184">
        <v>44784</v>
      </c>
      <c r="O295" s="203"/>
      <c r="Q295" t="s">
        <v>39</v>
      </c>
      <c r="R295" s="198" t="s">
        <v>138</v>
      </c>
    </row>
    <row r="296" spans="1:18">
      <c r="A296" s="303">
        <f t="shared" si="0"/>
        <v>291</v>
      </c>
      <c r="B296" s="303" t="s">
        <v>3620</v>
      </c>
      <c r="C296" s="303" t="s">
        <v>48</v>
      </c>
      <c r="D296" s="303" t="s">
        <v>60</v>
      </c>
      <c r="E296" s="303" t="s">
        <v>127</v>
      </c>
      <c r="F296" s="304"/>
      <c r="G296" s="304"/>
      <c r="H296" s="304"/>
      <c r="I296" s="304"/>
      <c r="J296" s="303"/>
      <c r="K296" s="305" t="s">
        <v>1310</v>
      </c>
      <c r="L296" s="184">
        <v>44784</v>
      </c>
      <c r="M296" t="s">
        <v>3665</v>
      </c>
      <c r="N296" s="204">
        <v>44784</v>
      </c>
      <c r="O296" s="203"/>
      <c r="R296" s="198" t="s">
        <v>138</v>
      </c>
    </row>
    <row r="297" spans="1:18">
      <c r="A297" s="303">
        <f t="shared" si="0"/>
        <v>291</v>
      </c>
      <c r="B297" s="303" t="s">
        <v>3230</v>
      </c>
      <c r="C297" s="303" t="s">
        <v>3228</v>
      </c>
      <c r="D297" s="303" t="s">
        <v>20</v>
      </c>
      <c r="E297" s="303" t="s">
        <v>3231</v>
      </c>
      <c r="F297" s="304">
        <v>44727</v>
      </c>
      <c r="G297" s="304">
        <v>44728</v>
      </c>
      <c r="H297" s="304"/>
      <c r="I297" s="304">
        <v>44727</v>
      </c>
      <c r="J297" s="303" t="s">
        <v>3232</v>
      </c>
      <c r="K297" s="305"/>
      <c r="L297" s="184">
        <v>44784</v>
      </c>
      <c r="O297" s="203"/>
      <c r="Q297" t="s">
        <v>39</v>
      </c>
      <c r="R297" s="198" t="s">
        <v>138</v>
      </c>
    </row>
    <row r="298" spans="1:18">
      <c r="A298" s="303">
        <f t="shared" si="0"/>
        <v>291</v>
      </c>
      <c r="B298" s="303" t="s">
        <v>3543</v>
      </c>
      <c r="C298" s="303" t="s">
        <v>2510</v>
      </c>
      <c r="D298" s="303" t="s">
        <v>35</v>
      </c>
      <c r="E298" s="303" t="s">
        <v>3556</v>
      </c>
      <c r="F298" s="304">
        <v>44768</v>
      </c>
      <c r="G298" s="304">
        <v>44756</v>
      </c>
      <c r="H298" s="304"/>
      <c r="I298" s="304">
        <v>44768</v>
      </c>
      <c r="J298" s="303" t="s">
        <v>2970</v>
      </c>
      <c r="K298" s="305" t="s">
        <v>1309</v>
      </c>
      <c r="L298" s="184">
        <v>44784</v>
      </c>
      <c r="N298" s="204">
        <v>45083</v>
      </c>
      <c r="O298" s="203" t="s">
        <v>5597</v>
      </c>
      <c r="Q298" t="s">
        <v>39</v>
      </c>
      <c r="R298" s="198" t="s">
        <v>26</v>
      </c>
    </row>
    <row r="299" spans="1:18">
      <c r="A299" s="303">
        <f t="shared" si="0"/>
        <v>291</v>
      </c>
      <c r="B299" s="303" t="s">
        <v>2813</v>
      </c>
      <c r="C299" s="303" t="s">
        <v>2814</v>
      </c>
      <c r="D299" s="303" t="s">
        <v>42</v>
      </c>
      <c r="E299" s="303" t="s">
        <v>2815</v>
      </c>
      <c r="F299" s="304">
        <v>44659</v>
      </c>
      <c r="G299" s="304">
        <v>44666</v>
      </c>
      <c r="H299" s="304"/>
      <c r="I299" s="304" t="s">
        <v>1309</v>
      </c>
      <c r="J299" s="303" t="s">
        <v>2816</v>
      </c>
      <c r="K299" s="305"/>
      <c r="L299" s="184">
        <v>44776</v>
      </c>
      <c r="M299" t="s">
        <v>1866</v>
      </c>
      <c r="N299" s="204">
        <v>44781</v>
      </c>
      <c r="O299" s="203"/>
      <c r="Q299" t="s">
        <v>39</v>
      </c>
      <c r="R299" s="198" t="s">
        <v>26</v>
      </c>
    </row>
    <row r="300" spans="1:18">
      <c r="A300" s="303">
        <f t="shared" si="0"/>
        <v>291</v>
      </c>
      <c r="B300" s="303" t="s">
        <v>2821</v>
      </c>
      <c r="C300" s="303" t="s">
        <v>2814</v>
      </c>
      <c r="D300" s="303" t="s">
        <v>42</v>
      </c>
      <c r="E300" s="303" t="s">
        <v>2822</v>
      </c>
      <c r="F300" s="304">
        <v>44666</v>
      </c>
      <c r="G300" s="304">
        <v>44666</v>
      </c>
      <c r="H300" s="304"/>
      <c r="I300" s="304">
        <v>44666</v>
      </c>
      <c r="J300" s="303" t="s">
        <v>2823</v>
      </c>
      <c r="K300" s="305" t="s">
        <v>297</v>
      </c>
      <c r="L300" s="184">
        <v>44776</v>
      </c>
      <c r="M300" t="s">
        <v>3652</v>
      </c>
      <c r="N300" s="204">
        <v>44781</v>
      </c>
      <c r="O300" s="203"/>
      <c r="Q300" t="s">
        <v>39</v>
      </c>
      <c r="R300" s="198" t="s">
        <v>26</v>
      </c>
    </row>
    <row r="301" spans="1:18">
      <c r="A301" s="303">
        <f t="shared" si="0"/>
        <v>291</v>
      </c>
      <c r="B301" s="303" t="s">
        <v>2817</v>
      </c>
      <c r="C301" s="303" t="s">
        <v>1177</v>
      </c>
      <c r="D301" s="303" t="s">
        <v>2818</v>
      </c>
      <c r="E301" s="303" t="s">
        <v>2819</v>
      </c>
      <c r="F301" s="304">
        <v>44666</v>
      </c>
      <c r="G301" s="304">
        <v>44666</v>
      </c>
      <c r="H301" s="304"/>
      <c r="I301" s="304">
        <v>44666</v>
      </c>
      <c r="J301" s="303" t="s">
        <v>2820</v>
      </c>
      <c r="K301" s="305" t="s">
        <v>2058</v>
      </c>
      <c r="L301" s="184">
        <v>44776</v>
      </c>
      <c r="M301" t="s">
        <v>3651</v>
      </c>
      <c r="N301" s="204">
        <v>44781</v>
      </c>
      <c r="O301" s="203"/>
      <c r="Q301" t="s">
        <v>39</v>
      </c>
      <c r="R301" s="198" t="s">
        <v>26</v>
      </c>
    </row>
    <row r="302" spans="1:18">
      <c r="A302" s="303">
        <f>COUNTA($D$3:$D$302)</f>
        <v>300</v>
      </c>
      <c r="B302" s="303" t="s">
        <v>3272</v>
      </c>
      <c r="C302" s="303" t="s">
        <v>2752</v>
      </c>
      <c r="D302" s="303" t="s">
        <v>35</v>
      </c>
      <c r="E302" s="303" t="s">
        <v>3289</v>
      </c>
      <c r="F302" s="304">
        <v>44728</v>
      </c>
      <c r="G302" s="304">
        <v>44728</v>
      </c>
      <c r="H302" s="304"/>
      <c r="I302" s="304">
        <v>44728</v>
      </c>
      <c r="J302" s="303" t="s">
        <v>3290</v>
      </c>
      <c r="K302" s="305" t="s">
        <v>297</v>
      </c>
      <c r="L302" s="206">
        <v>44776</v>
      </c>
      <c r="M302" t="s">
        <v>3641</v>
      </c>
      <c r="N302" s="204">
        <v>44781</v>
      </c>
      <c r="O302" s="203"/>
      <c r="Q302" t="s">
        <v>39</v>
      </c>
      <c r="R302" t="s">
        <v>26</v>
      </c>
    </row>
    <row r="303" spans="1:18">
      <c r="A303" s="303">
        <f>COUNTA($D$3:$D$303)</f>
        <v>301</v>
      </c>
      <c r="B303" s="303" t="s">
        <v>2849</v>
      </c>
      <c r="C303" s="303" t="s">
        <v>1118</v>
      </c>
      <c r="D303" s="303" t="s">
        <v>20</v>
      </c>
      <c r="E303" s="303" t="s">
        <v>2850</v>
      </c>
      <c r="F303" s="304">
        <v>44677</v>
      </c>
      <c r="G303" s="304">
        <v>44672</v>
      </c>
      <c r="H303" s="304"/>
      <c r="I303" s="304">
        <v>44677</v>
      </c>
      <c r="J303" s="303" t="s">
        <v>2911</v>
      </c>
      <c r="K303" s="305" t="s">
        <v>1302</v>
      </c>
      <c r="L303" s="206">
        <v>44776</v>
      </c>
      <c r="O303" s="203"/>
      <c r="Q303" t="s">
        <v>39</v>
      </c>
      <c r="R303" t="s">
        <v>138</v>
      </c>
    </row>
    <row r="304" spans="1:18">
      <c r="A304" s="303">
        <f>COUNTA($D$3:$D$304)</f>
        <v>302</v>
      </c>
      <c r="B304" s="303" t="s">
        <v>2847</v>
      </c>
      <c r="C304" s="303" t="s">
        <v>78</v>
      </c>
      <c r="D304" s="303" t="s">
        <v>20</v>
      </c>
      <c r="E304" s="303" t="s">
        <v>79</v>
      </c>
      <c r="F304" s="304">
        <v>44677</v>
      </c>
      <c r="G304" s="304">
        <v>44672</v>
      </c>
      <c r="H304" s="304"/>
      <c r="I304" s="304">
        <v>44677</v>
      </c>
      <c r="J304" s="303" t="s">
        <v>2623</v>
      </c>
      <c r="K304" s="305" t="s">
        <v>1302</v>
      </c>
      <c r="L304" s="206">
        <v>44776</v>
      </c>
      <c r="O304" s="203"/>
      <c r="Q304" t="s">
        <v>39</v>
      </c>
      <c r="R304" t="s">
        <v>138</v>
      </c>
    </row>
    <row r="305" spans="1:18">
      <c r="A305" s="303">
        <f>COUNTA($D$3:$D$305)</f>
        <v>303</v>
      </c>
      <c r="B305" s="303" t="s">
        <v>2867</v>
      </c>
      <c r="C305" s="303" t="s">
        <v>1118</v>
      </c>
      <c r="D305" s="303" t="s">
        <v>20</v>
      </c>
      <c r="E305" s="303" t="s">
        <v>2868</v>
      </c>
      <c r="F305" s="304">
        <v>44714</v>
      </c>
      <c r="G305" s="304">
        <v>44672</v>
      </c>
      <c r="H305" s="304">
        <v>44851</v>
      </c>
      <c r="I305" s="304">
        <v>44714</v>
      </c>
      <c r="J305" s="303" t="s">
        <v>1738</v>
      </c>
      <c r="K305" s="305" t="s">
        <v>1311</v>
      </c>
      <c r="L305" s="206">
        <v>44776</v>
      </c>
      <c r="M305" t="s">
        <v>3653</v>
      </c>
      <c r="N305" s="204">
        <v>44907</v>
      </c>
      <c r="O305" s="203"/>
      <c r="Q305" t="s">
        <v>39</v>
      </c>
      <c r="R305" t="s">
        <v>138</v>
      </c>
    </row>
    <row r="306" spans="1:18">
      <c r="A306" s="303">
        <f>COUNTA($D$3:$D$306)</f>
        <v>304</v>
      </c>
      <c r="B306" s="303" t="s">
        <v>2869</v>
      </c>
      <c r="C306" s="303" t="s">
        <v>1118</v>
      </c>
      <c r="D306" s="303" t="s">
        <v>20</v>
      </c>
      <c r="E306" s="303" t="s">
        <v>2870</v>
      </c>
      <c r="F306" s="304">
        <v>44687</v>
      </c>
      <c r="G306" s="304">
        <v>44672</v>
      </c>
      <c r="H306" s="304">
        <v>44851</v>
      </c>
      <c r="I306" s="304">
        <v>44687</v>
      </c>
      <c r="J306" s="303" t="s">
        <v>2871</v>
      </c>
      <c r="K306" s="305" t="s">
        <v>1310</v>
      </c>
      <c r="L306" s="206">
        <v>44776</v>
      </c>
      <c r="M306" t="s">
        <v>3654</v>
      </c>
      <c r="N306" s="204">
        <v>44907</v>
      </c>
      <c r="O306" s="203"/>
      <c r="Q306" t="s">
        <v>39</v>
      </c>
      <c r="R306" t="s">
        <v>138</v>
      </c>
    </row>
    <row r="307" spans="1:18">
      <c r="A307" s="303">
        <f>COUNTA($D$3:$D$307)</f>
        <v>305</v>
      </c>
      <c r="B307" s="303" t="s">
        <v>2890</v>
      </c>
      <c r="C307" s="303" t="s">
        <v>2884</v>
      </c>
      <c r="D307" s="303" t="s">
        <v>40</v>
      </c>
      <c r="E307" s="303" t="s">
        <v>2891</v>
      </c>
      <c r="F307" s="304">
        <v>44676</v>
      </c>
      <c r="G307" s="304">
        <v>44672</v>
      </c>
      <c r="H307" s="304"/>
      <c r="I307" s="304">
        <v>44676</v>
      </c>
      <c r="J307" s="303" t="s">
        <v>2892</v>
      </c>
      <c r="K307" s="305" t="s">
        <v>2058</v>
      </c>
      <c r="L307" s="206">
        <v>44776</v>
      </c>
      <c r="M307" t="s">
        <v>3656</v>
      </c>
      <c r="N307" s="204">
        <v>44894</v>
      </c>
      <c r="O307" s="203"/>
      <c r="Q307" t="s">
        <v>39</v>
      </c>
      <c r="R307" t="s">
        <v>26</v>
      </c>
    </row>
    <row r="308" spans="1:18">
      <c r="A308" s="303">
        <f>COUNTA($D$3:$D$308)</f>
        <v>306</v>
      </c>
      <c r="B308" s="303" t="s">
        <v>2893</v>
      </c>
      <c r="C308" s="303" t="s">
        <v>2884</v>
      </c>
      <c r="D308" s="303" t="s">
        <v>1115</v>
      </c>
      <c r="E308" s="303" t="s">
        <v>2894</v>
      </c>
      <c r="F308" s="304">
        <v>44686</v>
      </c>
      <c r="G308" s="304">
        <v>44672</v>
      </c>
      <c r="H308" s="304"/>
      <c r="I308" s="304">
        <v>44686</v>
      </c>
      <c r="J308" s="303" t="s">
        <v>2895</v>
      </c>
      <c r="K308" s="305" t="s">
        <v>2058</v>
      </c>
      <c r="L308" s="206">
        <v>44776</v>
      </c>
      <c r="M308" t="s">
        <v>3656</v>
      </c>
      <c r="N308" s="204">
        <v>44894</v>
      </c>
      <c r="O308" s="203"/>
      <c r="Q308" t="s">
        <v>39</v>
      </c>
      <c r="R308" t="s">
        <v>26</v>
      </c>
    </row>
    <row r="309" spans="1:18">
      <c r="A309" s="303">
        <f>COUNTA($D$3:$D$309)</f>
        <v>307</v>
      </c>
      <c r="B309" s="303" t="s">
        <v>2896</v>
      </c>
      <c r="C309" s="303" t="s">
        <v>2897</v>
      </c>
      <c r="D309" s="303" t="s">
        <v>40</v>
      </c>
      <c r="E309" s="303" t="s">
        <v>2898</v>
      </c>
      <c r="F309" s="304">
        <v>44714</v>
      </c>
      <c r="G309" s="304">
        <v>44672</v>
      </c>
      <c r="H309" s="304"/>
      <c r="I309" s="304">
        <v>44714</v>
      </c>
      <c r="J309" s="303" t="s">
        <v>2892</v>
      </c>
      <c r="K309" s="305" t="s">
        <v>1309</v>
      </c>
      <c r="L309" s="206">
        <v>44776</v>
      </c>
      <c r="N309" s="204">
        <v>45083</v>
      </c>
      <c r="O309" s="203" t="s">
        <v>5597</v>
      </c>
      <c r="Q309" t="s">
        <v>39</v>
      </c>
      <c r="R309" t="s">
        <v>26</v>
      </c>
    </row>
    <row r="310" spans="1:18">
      <c r="A310" s="303">
        <f>COUNTA($D$3:$D$310)</f>
        <v>308</v>
      </c>
      <c r="B310" s="303" t="s">
        <v>3353</v>
      </c>
      <c r="C310" s="303" t="s">
        <v>3350</v>
      </c>
      <c r="D310" s="303" t="s">
        <v>20</v>
      </c>
      <c r="E310" s="303" t="s">
        <v>3354</v>
      </c>
      <c r="F310" s="304">
        <v>44741</v>
      </c>
      <c r="G310" s="304">
        <v>44738</v>
      </c>
      <c r="H310" s="304"/>
      <c r="I310" s="304">
        <v>44741</v>
      </c>
      <c r="J310" s="303" t="s">
        <v>1738</v>
      </c>
      <c r="K310" s="305" t="s">
        <v>2058</v>
      </c>
      <c r="L310" s="206">
        <v>44776</v>
      </c>
      <c r="M310" t="s">
        <v>3639</v>
      </c>
      <c r="N310" s="204">
        <v>44781</v>
      </c>
      <c r="O310" s="203"/>
      <c r="Q310" t="s">
        <v>39</v>
      </c>
      <c r="R310" t="s">
        <v>26</v>
      </c>
    </row>
    <row r="311" spans="1:18">
      <c r="A311" s="303">
        <f>COUNTA($D$3:$D$311)</f>
        <v>309</v>
      </c>
      <c r="B311" s="303" t="s">
        <v>2883</v>
      </c>
      <c r="C311" s="303" t="s">
        <v>2884</v>
      </c>
      <c r="D311" s="303" t="s">
        <v>2885</v>
      </c>
      <c r="E311" s="303" t="s">
        <v>2886</v>
      </c>
      <c r="F311" s="304">
        <v>44686</v>
      </c>
      <c r="G311" s="304">
        <v>44678</v>
      </c>
      <c r="H311" s="304"/>
      <c r="I311" s="304">
        <v>44686</v>
      </c>
      <c r="J311" s="303" t="s">
        <v>2976</v>
      </c>
      <c r="K311" s="305" t="s">
        <v>297</v>
      </c>
      <c r="L311" s="206">
        <v>44776</v>
      </c>
      <c r="M311" t="s">
        <v>3655</v>
      </c>
      <c r="N311" s="204">
        <v>44894</v>
      </c>
      <c r="O311" s="203"/>
      <c r="Q311" t="s">
        <v>1741</v>
      </c>
      <c r="R311" t="s">
        <v>26</v>
      </c>
    </row>
    <row r="312" spans="1:18">
      <c r="A312" s="303">
        <f>COUNTA($D$3:$D$312)</f>
        <v>310</v>
      </c>
      <c r="B312" s="303" t="s">
        <v>2947</v>
      </c>
      <c r="C312" s="303" t="s">
        <v>1180</v>
      </c>
      <c r="D312" s="303" t="s">
        <v>42</v>
      </c>
      <c r="E312" s="303" t="s">
        <v>2948</v>
      </c>
      <c r="F312" s="304">
        <v>44698</v>
      </c>
      <c r="G312" s="304">
        <v>44678</v>
      </c>
      <c r="H312" s="304">
        <v>44805</v>
      </c>
      <c r="I312" s="304">
        <v>44698</v>
      </c>
      <c r="J312" s="303" t="s">
        <v>2949</v>
      </c>
      <c r="K312" s="305" t="s">
        <v>297</v>
      </c>
      <c r="L312" s="176">
        <v>44776</v>
      </c>
      <c r="M312" t="s">
        <v>4094</v>
      </c>
      <c r="N312" s="204">
        <v>44844</v>
      </c>
      <c r="O312" s="203"/>
      <c r="Q312" t="s">
        <v>39</v>
      </c>
      <c r="R312" t="s">
        <v>26</v>
      </c>
    </row>
    <row r="313" spans="1:18">
      <c r="A313" s="303">
        <f>COUNTA($D$3:$D$313)</f>
        <v>311</v>
      </c>
      <c r="B313" s="303" t="s">
        <v>2952</v>
      </c>
      <c r="C313" s="303" t="s">
        <v>2953</v>
      </c>
      <c r="D313" s="303" t="s">
        <v>40</v>
      </c>
      <c r="E313" s="303" t="s">
        <v>2954</v>
      </c>
      <c r="F313" s="304">
        <v>44687</v>
      </c>
      <c r="G313" s="304">
        <v>44678</v>
      </c>
      <c r="H313" s="304"/>
      <c r="I313" s="304">
        <v>44687</v>
      </c>
      <c r="J313" s="303" t="s">
        <v>2955</v>
      </c>
      <c r="K313" s="305" t="s">
        <v>297</v>
      </c>
      <c r="L313" s="176">
        <v>44776</v>
      </c>
      <c r="N313" s="204">
        <v>45083</v>
      </c>
      <c r="O313" s="203" t="s">
        <v>5597</v>
      </c>
      <c r="Q313" t="s">
        <v>39</v>
      </c>
      <c r="R313" t="s">
        <v>26</v>
      </c>
    </row>
    <row r="314" spans="1:18">
      <c r="A314" s="303">
        <f>COUNTA($D$3:$D$314)</f>
        <v>312</v>
      </c>
      <c r="B314" s="303" t="s">
        <v>3349</v>
      </c>
      <c r="C314" s="303" t="s">
        <v>3350</v>
      </c>
      <c r="D314" s="303" t="s">
        <v>1115</v>
      </c>
      <c r="E314" s="303" t="s">
        <v>3351</v>
      </c>
      <c r="F314" s="304">
        <v>44741</v>
      </c>
      <c r="G314" s="304">
        <v>44738</v>
      </c>
      <c r="H314" s="304"/>
      <c r="I314" s="304">
        <v>44741</v>
      </c>
      <c r="J314" s="303" t="s">
        <v>3352</v>
      </c>
      <c r="K314" s="305" t="s">
        <v>1309</v>
      </c>
      <c r="L314" s="176">
        <v>44776</v>
      </c>
      <c r="M314" t="s">
        <v>3638</v>
      </c>
      <c r="N314" s="204">
        <v>44781</v>
      </c>
      <c r="O314" s="203"/>
      <c r="Q314" t="s">
        <v>39</v>
      </c>
      <c r="R314" t="s">
        <v>26</v>
      </c>
    </row>
    <row r="315" spans="1:18">
      <c r="A315" s="303">
        <f>COUNTA($D$3:$D$315)</f>
        <v>313</v>
      </c>
      <c r="B315" s="303" t="s">
        <v>2998</v>
      </c>
      <c r="C315" s="303" t="s">
        <v>61</v>
      </c>
      <c r="D315" s="303" t="s">
        <v>31</v>
      </c>
      <c r="E315" s="303" t="s">
        <v>2999</v>
      </c>
      <c r="F315" s="304">
        <v>44714</v>
      </c>
      <c r="G315" s="304">
        <v>44700</v>
      </c>
      <c r="H315" s="304"/>
      <c r="I315" s="304">
        <v>44714</v>
      </c>
      <c r="J315" s="303" t="s">
        <v>1105</v>
      </c>
      <c r="K315" s="305" t="s">
        <v>297</v>
      </c>
      <c r="L315" s="176">
        <v>44771</v>
      </c>
      <c r="M315" t="s">
        <v>3591</v>
      </c>
      <c r="N315" s="204">
        <v>44781</v>
      </c>
      <c r="O315" s="203"/>
      <c r="Q315" t="s">
        <v>3640</v>
      </c>
      <c r="R315" t="s">
        <v>26</v>
      </c>
    </row>
    <row r="316" spans="1:18">
      <c r="A316" s="303">
        <f>COUNTA($D$3:$D$316)</f>
        <v>314</v>
      </c>
      <c r="B316" s="303" t="s">
        <v>2879</v>
      </c>
      <c r="C316" s="303" t="s">
        <v>2880</v>
      </c>
      <c r="D316" s="303" t="s">
        <v>20</v>
      </c>
      <c r="E316" s="303" t="s">
        <v>2881</v>
      </c>
      <c r="F316" s="304">
        <v>44690</v>
      </c>
      <c r="G316" s="304">
        <v>44680</v>
      </c>
      <c r="H316" s="304"/>
      <c r="I316" s="304">
        <v>44690</v>
      </c>
      <c r="J316" s="303" t="s">
        <v>2882</v>
      </c>
      <c r="K316" s="305"/>
      <c r="L316" s="176">
        <v>44764</v>
      </c>
      <c r="M316" t="s">
        <v>3540</v>
      </c>
      <c r="N316" s="204">
        <v>44781</v>
      </c>
      <c r="O316" s="203"/>
      <c r="Q316" t="s">
        <v>32</v>
      </c>
      <c r="R316" t="s">
        <v>138</v>
      </c>
    </row>
    <row r="317" spans="1:18">
      <c r="A317" s="303">
        <f>COUNTA($D$3:$D$317)</f>
        <v>315</v>
      </c>
      <c r="B317" s="303" t="s">
        <v>3194</v>
      </c>
      <c r="C317" s="303" t="s">
        <v>1104</v>
      </c>
      <c r="D317" s="303" t="s">
        <v>55</v>
      </c>
      <c r="E317" s="303" t="s">
        <v>3195</v>
      </c>
      <c r="F317" s="304">
        <v>44728</v>
      </c>
      <c r="G317" s="304">
        <v>44728</v>
      </c>
      <c r="H317" s="304"/>
      <c r="I317" s="304">
        <v>44728</v>
      </c>
      <c r="J317" s="303" t="s">
        <v>2228</v>
      </c>
      <c r="K317" s="305" t="s">
        <v>1302</v>
      </c>
      <c r="L317" s="176">
        <v>44764</v>
      </c>
      <c r="M317" t="s">
        <v>3541</v>
      </c>
      <c r="N317" s="204">
        <v>44781</v>
      </c>
      <c r="O317" s="203"/>
      <c r="Q317" t="s">
        <v>39</v>
      </c>
      <c r="R317" t="s">
        <v>138</v>
      </c>
    </row>
    <row r="318" spans="1:18">
      <c r="A318" s="303">
        <f>COUNTA($D$3:$D$318)</f>
        <v>316</v>
      </c>
      <c r="B318" s="303" t="s">
        <v>3148</v>
      </c>
      <c r="C318" s="303" t="s">
        <v>2457</v>
      </c>
      <c r="D318" s="303" t="s">
        <v>40</v>
      </c>
      <c r="E318" s="303" t="s">
        <v>3149</v>
      </c>
      <c r="F318" s="304">
        <v>44714</v>
      </c>
      <c r="G318" s="304">
        <v>44708</v>
      </c>
      <c r="H318" s="304">
        <v>45012</v>
      </c>
      <c r="I318" s="304">
        <v>44714</v>
      </c>
      <c r="J318" s="303" t="s">
        <v>3150</v>
      </c>
      <c r="K318" s="305" t="s">
        <v>1310</v>
      </c>
      <c r="L318" s="176">
        <v>44764</v>
      </c>
      <c r="M318" t="s">
        <v>4995</v>
      </c>
      <c r="N318" s="204">
        <v>45051</v>
      </c>
      <c r="O318" s="203"/>
      <c r="Q318" t="s">
        <v>32</v>
      </c>
      <c r="R318" t="s">
        <v>138</v>
      </c>
    </row>
    <row r="319" spans="1:18">
      <c r="A319" s="303">
        <f>COUNTA($D$3:$D$319)</f>
        <v>317</v>
      </c>
      <c r="B319" s="303" t="s">
        <v>3085</v>
      </c>
      <c r="C319" s="303" t="s">
        <v>44</v>
      </c>
      <c r="D319" s="303" t="s">
        <v>1138</v>
      </c>
      <c r="E319" s="303" t="s">
        <v>3086</v>
      </c>
      <c r="F319" s="304">
        <v>44706</v>
      </c>
      <c r="G319" s="304">
        <v>44700</v>
      </c>
      <c r="H319" s="304"/>
      <c r="I319" s="304">
        <v>44706</v>
      </c>
      <c r="J319" s="303" t="s">
        <v>1722</v>
      </c>
      <c r="K319" s="305" t="s">
        <v>1310</v>
      </c>
      <c r="L319" s="176">
        <v>44764</v>
      </c>
      <c r="M319" t="s">
        <v>3560</v>
      </c>
      <c r="N319" s="204">
        <v>44767</v>
      </c>
      <c r="O319" s="203"/>
      <c r="Q319" t="s">
        <v>1741</v>
      </c>
      <c r="R319" t="s">
        <v>138</v>
      </c>
    </row>
    <row r="320" spans="1:18">
      <c r="A320" s="303">
        <f>COUNTA($D$3:$D$320)</f>
        <v>318</v>
      </c>
      <c r="B320" s="303" t="s">
        <v>3171</v>
      </c>
      <c r="C320" s="303" t="s">
        <v>1118</v>
      </c>
      <c r="D320" s="303" t="s">
        <v>62</v>
      </c>
      <c r="E320" s="303" t="s">
        <v>3168</v>
      </c>
      <c r="F320" s="304">
        <v>44713</v>
      </c>
      <c r="G320" s="304">
        <v>44714</v>
      </c>
      <c r="H320" s="304"/>
      <c r="I320" s="304">
        <v>44713</v>
      </c>
      <c r="J320" s="303" t="s">
        <v>1666</v>
      </c>
      <c r="K320" s="305" t="s">
        <v>1302</v>
      </c>
      <c r="L320" s="176">
        <v>44764</v>
      </c>
      <c r="O320" s="203"/>
      <c r="Q320" t="s">
        <v>39</v>
      </c>
      <c r="R320" t="s">
        <v>138</v>
      </c>
    </row>
    <row r="321" spans="1:18">
      <c r="A321" s="303">
        <f>COUNTA($D$3:$D$321)</f>
        <v>319</v>
      </c>
      <c r="B321" s="303" t="s">
        <v>3145</v>
      </c>
      <c r="C321" s="303" t="s">
        <v>1118</v>
      </c>
      <c r="D321" s="303" t="s">
        <v>20</v>
      </c>
      <c r="E321" s="303" t="s">
        <v>3146</v>
      </c>
      <c r="F321" s="304">
        <v>44713</v>
      </c>
      <c r="G321" s="304">
        <v>44708</v>
      </c>
      <c r="H321" s="304"/>
      <c r="I321" s="304">
        <v>44713</v>
      </c>
      <c r="J321" s="303" t="s">
        <v>1809</v>
      </c>
      <c r="K321" s="305" t="s">
        <v>1311</v>
      </c>
      <c r="L321" s="176">
        <v>44764</v>
      </c>
      <c r="M321" t="s">
        <v>3561</v>
      </c>
      <c r="N321" s="204">
        <v>44781</v>
      </c>
      <c r="O321" s="203"/>
      <c r="Q321" t="s">
        <v>39</v>
      </c>
      <c r="R321" t="s">
        <v>138</v>
      </c>
    </row>
    <row r="322" spans="1:18">
      <c r="A322" s="303">
        <f>COUNTA($D$3:$D$322)</f>
        <v>320</v>
      </c>
      <c r="B322" s="303" t="s">
        <v>2758</v>
      </c>
      <c r="C322" s="303" t="s">
        <v>45</v>
      </c>
      <c r="D322" s="303" t="s">
        <v>36</v>
      </c>
      <c r="E322" s="303" t="s">
        <v>2759</v>
      </c>
      <c r="F322" s="304"/>
      <c r="G322" s="304">
        <v>44658</v>
      </c>
      <c r="H322" s="304"/>
      <c r="I322" s="304"/>
      <c r="J322" s="303" t="s">
        <v>2805</v>
      </c>
      <c r="K322" s="305" t="s">
        <v>1302</v>
      </c>
      <c r="L322" s="176">
        <v>44754</v>
      </c>
      <c r="M322" t="s">
        <v>3496</v>
      </c>
      <c r="N322" s="204">
        <v>44781</v>
      </c>
      <c r="O322" s="203"/>
      <c r="Q322" t="s">
        <v>64</v>
      </c>
      <c r="R322" t="s">
        <v>138</v>
      </c>
    </row>
    <row r="323" spans="1:18">
      <c r="A323" s="303">
        <f>COUNTA($D$3:$D$323)</f>
        <v>321</v>
      </c>
      <c r="B323" s="303" t="s">
        <v>3154</v>
      </c>
      <c r="C323" s="303" t="s">
        <v>1131</v>
      </c>
      <c r="D323" s="303" t="s">
        <v>1133</v>
      </c>
      <c r="E323" s="303" t="s">
        <v>3155</v>
      </c>
      <c r="F323" s="304">
        <v>44718</v>
      </c>
      <c r="G323" s="304">
        <v>44714</v>
      </c>
      <c r="H323" s="304"/>
      <c r="I323" s="304">
        <v>44718</v>
      </c>
      <c r="J323" s="303" t="s">
        <v>3221</v>
      </c>
      <c r="K323" s="305" t="s">
        <v>1310</v>
      </c>
      <c r="L323" s="176">
        <v>44754</v>
      </c>
      <c r="M323" t="s">
        <v>3498</v>
      </c>
      <c r="N323" s="204">
        <v>44781</v>
      </c>
      <c r="O323" s="203"/>
      <c r="Q323" t="s">
        <v>39</v>
      </c>
      <c r="R323" t="s">
        <v>138</v>
      </c>
    </row>
    <row r="324" spans="1:18">
      <c r="A324" s="303">
        <f>COUNTA($D$3:$D$324)</f>
        <v>322</v>
      </c>
      <c r="B324" s="303" t="s">
        <v>2907</v>
      </c>
      <c r="C324" s="303" t="s">
        <v>2908</v>
      </c>
      <c r="D324" s="303" t="s">
        <v>53</v>
      </c>
      <c r="E324" s="303" t="s">
        <v>2909</v>
      </c>
      <c r="F324" s="304">
        <v>44690</v>
      </c>
      <c r="G324" s="304">
        <v>44680</v>
      </c>
      <c r="H324" s="304"/>
      <c r="I324" s="304">
        <v>44690</v>
      </c>
      <c r="J324" s="303" t="s">
        <v>2977</v>
      </c>
      <c r="K324" s="305" t="s">
        <v>1310</v>
      </c>
      <c r="L324" s="176">
        <v>44754</v>
      </c>
      <c r="O324" s="203"/>
      <c r="Q324" t="s">
        <v>39</v>
      </c>
      <c r="R324" t="s">
        <v>138</v>
      </c>
    </row>
    <row r="325" spans="1:18">
      <c r="A325" s="303">
        <f>COUNTA($D$3:$D$325)</f>
        <v>323</v>
      </c>
      <c r="B325" s="303" t="s">
        <v>2789</v>
      </c>
      <c r="C325" s="303" t="s">
        <v>2786</v>
      </c>
      <c r="D325" s="303" t="s">
        <v>20</v>
      </c>
      <c r="E325" s="303" t="s">
        <v>2790</v>
      </c>
      <c r="F325" s="304">
        <v>44657</v>
      </c>
      <c r="G325" s="304">
        <v>44658</v>
      </c>
      <c r="H325" s="304"/>
      <c r="I325" s="304">
        <v>44657</v>
      </c>
      <c r="J325" s="303" t="s">
        <v>2791</v>
      </c>
      <c r="K325" s="305" t="s">
        <v>1310</v>
      </c>
      <c r="L325" s="176">
        <v>44754</v>
      </c>
      <c r="O325" s="203"/>
      <c r="Q325" t="s">
        <v>39</v>
      </c>
      <c r="R325" t="s">
        <v>138</v>
      </c>
    </row>
    <row r="326" spans="1:18">
      <c r="A326" s="303">
        <f>COUNTA($D$3:$D$326)</f>
        <v>324</v>
      </c>
      <c r="B326" s="303" t="s">
        <v>2785</v>
      </c>
      <c r="C326" s="303" t="s">
        <v>2786</v>
      </c>
      <c r="D326" s="303" t="s">
        <v>20</v>
      </c>
      <c r="E326" s="303" t="s">
        <v>2787</v>
      </c>
      <c r="F326" s="304">
        <v>44657</v>
      </c>
      <c r="G326" s="304">
        <v>44658</v>
      </c>
      <c r="H326" s="304"/>
      <c r="I326" s="304">
        <v>44657</v>
      </c>
      <c r="J326" s="303" t="s">
        <v>2788</v>
      </c>
      <c r="K326" s="305" t="s">
        <v>1310</v>
      </c>
      <c r="L326" s="176">
        <v>44754</v>
      </c>
      <c r="O326" s="203"/>
      <c r="Q326" t="s">
        <v>39</v>
      </c>
      <c r="R326" t="s">
        <v>138</v>
      </c>
    </row>
    <row r="327" spans="1:18">
      <c r="A327" s="303">
        <f>COUNTA($D$3:$D$327)</f>
        <v>325</v>
      </c>
      <c r="B327" s="303" t="s">
        <v>2761</v>
      </c>
      <c r="C327" s="303" t="s">
        <v>25</v>
      </c>
      <c r="D327" s="303" t="s">
        <v>34</v>
      </c>
      <c r="E327" s="303" t="s">
        <v>2762</v>
      </c>
      <c r="F327" s="304">
        <v>44678</v>
      </c>
      <c r="G327" s="304">
        <v>44672</v>
      </c>
      <c r="H327" s="304"/>
      <c r="I327" s="304">
        <v>44678</v>
      </c>
      <c r="J327" s="303" t="s">
        <v>2806</v>
      </c>
      <c r="K327" s="305" t="s">
        <v>1302</v>
      </c>
      <c r="L327" s="176">
        <v>44754</v>
      </c>
      <c r="M327" t="s">
        <v>3495</v>
      </c>
      <c r="N327" s="204">
        <v>44907</v>
      </c>
      <c r="O327" s="203"/>
      <c r="Q327" t="s">
        <v>39</v>
      </c>
      <c r="R327" t="s">
        <v>138</v>
      </c>
    </row>
    <row r="328" spans="1:18">
      <c r="A328" s="303">
        <f>COUNTA($D$3:$D$328)</f>
        <v>326</v>
      </c>
      <c r="B328" s="303" t="s">
        <v>2704</v>
      </c>
      <c r="C328" s="303" t="s">
        <v>44</v>
      </c>
      <c r="D328" s="303" t="s">
        <v>34</v>
      </c>
      <c r="E328" s="303" t="s">
        <v>2705</v>
      </c>
      <c r="F328" s="304">
        <v>44657</v>
      </c>
      <c r="G328" s="304">
        <v>44651</v>
      </c>
      <c r="H328" s="304"/>
      <c r="I328" s="304">
        <v>44657</v>
      </c>
      <c r="J328" s="303" t="s">
        <v>2763</v>
      </c>
      <c r="K328" s="305" t="s">
        <v>1302</v>
      </c>
      <c r="L328" s="176">
        <v>44754</v>
      </c>
      <c r="O328" s="203" t="s">
        <v>72</v>
      </c>
      <c r="Q328" t="s">
        <v>39</v>
      </c>
      <c r="R328" t="s">
        <v>138</v>
      </c>
    </row>
    <row r="329" spans="1:18">
      <c r="A329" s="303">
        <f>COUNTA($D$3:$D$329)</f>
        <v>327</v>
      </c>
      <c r="B329" s="303" t="s">
        <v>2669</v>
      </c>
      <c r="C329" s="303" t="s">
        <v>25</v>
      </c>
      <c r="D329" s="303" t="s">
        <v>34</v>
      </c>
      <c r="E329" s="303" t="s">
        <v>2670</v>
      </c>
      <c r="F329" s="304">
        <v>44652</v>
      </c>
      <c r="G329" s="304">
        <v>44651</v>
      </c>
      <c r="H329" s="304"/>
      <c r="I329" s="304">
        <v>44652</v>
      </c>
      <c r="J329" s="303" t="s">
        <v>1677</v>
      </c>
      <c r="K329" s="305" t="s">
        <v>1289</v>
      </c>
      <c r="L329" s="176">
        <v>44754</v>
      </c>
      <c r="M329" t="s">
        <v>3495</v>
      </c>
      <c r="N329" s="204">
        <v>44748</v>
      </c>
      <c r="O329" s="203"/>
      <c r="Q329" t="s">
        <v>39</v>
      </c>
      <c r="R329" t="s">
        <v>138</v>
      </c>
    </row>
    <row r="330" spans="1:18">
      <c r="A330" s="303">
        <f>COUNTA($D$3:$D$330)</f>
        <v>328</v>
      </c>
      <c r="B330" s="303" t="s">
        <v>2643</v>
      </c>
      <c r="C330" s="303" t="s">
        <v>1118</v>
      </c>
      <c r="D330" s="303" t="s">
        <v>111</v>
      </c>
      <c r="E330" s="303" t="s">
        <v>2644</v>
      </c>
      <c r="F330" s="304">
        <v>44636</v>
      </c>
      <c r="G330" s="304">
        <v>44637</v>
      </c>
      <c r="H330" s="304"/>
      <c r="I330" s="304">
        <v>44636</v>
      </c>
      <c r="J330" s="303" t="s">
        <v>2018</v>
      </c>
      <c r="K330" s="305" t="s">
        <v>1310</v>
      </c>
      <c r="L330" s="176">
        <v>44754</v>
      </c>
      <c r="M330" t="s">
        <v>3495</v>
      </c>
      <c r="N330" s="204">
        <v>44748</v>
      </c>
      <c r="O330" s="203"/>
      <c r="Q330" t="s">
        <v>39</v>
      </c>
      <c r="R330" t="s">
        <v>138</v>
      </c>
    </row>
    <row r="331" spans="1:18">
      <c r="A331" s="303">
        <f>COUNTA($D$3:$D$331)</f>
        <v>329</v>
      </c>
      <c r="B331" s="303" t="s">
        <v>2641</v>
      </c>
      <c r="C331" s="303" t="s">
        <v>69</v>
      </c>
      <c r="D331" s="303" t="s">
        <v>20</v>
      </c>
      <c r="E331" s="303" t="s">
        <v>2642</v>
      </c>
      <c r="F331" s="304">
        <v>44630</v>
      </c>
      <c r="G331" s="304">
        <v>44637</v>
      </c>
      <c r="H331" s="304"/>
      <c r="I331" s="304">
        <v>44630</v>
      </c>
      <c r="J331" s="303" t="s">
        <v>2632</v>
      </c>
      <c r="K331" s="305" t="s">
        <v>1309</v>
      </c>
      <c r="L331" s="176">
        <v>44754</v>
      </c>
      <c r="O331" s="203" t="s">
        <v>1078</v>
      </c>
      <c r="Q331" t="s">
        <v>39</v>
      </c>
      <c r="R331" t="s">
        <v>26</v>
      </c>
    </row>
    <row r="332" spans="1:18">
      <c r="A332" s="303">
        <f>COUNTA($D$3:$D$332)</f>
        <v>330</v>
      </c>
      <c r="B332" s="303" t="s">
        <v>2610</v>
      </c>
      <c r="C332" s="303" t="s">
        <v>69</v>
      </c>
      <c r="D332" s="303" t="s">
        <v>2611</v>
      </c>
      <c r="E332" s="303" t="s">
        <v>2612</v>
      </c>
      <c r="F332" s="304">
        <v>44628</v>
      </c>
      <c r="G332" s="304">
        <v>44630</v>
      </c>
      <c r="H332" s="304"/>
      <c r="I332" s="304">
        <v>44628</v>
      </c>
      <c r="J332" s="303" t="s">
        <v>2632</v>
      </c>
      <c r="K332" s="305" t="s">
        <v>1309</v>
      </c>
      <c r="L332" s="176">
        <v>44754</v>
      </c>
      <c r="O332" s="203" t="s">
        <v>1078</v>
      </c>
      <c r="Q332" t="s">
        <v>39</v>
      </c>
      <c r="R332" t="s">
        <v>26</v>
      </c>
    </row>
    <row r="333" spans="1:18">
      <c r="A333" s="303">
        <f>COUNTA($D$3:$D$333)</f>
        <v>331</v>
      </c>
      <c r="B333" s="303" t="s">
        <v>2609</v>
      </c>
      <c r="C333" s="303" t="s">
        <v>2607</v>
      </c>
      <c r="D333" s="303" t="s">
        <v>68</v>
      </c>
      <c r="E333" s="303" t="s">
        <v>1853</v>
      </c>
      <c r="F333" s="304">
        <v>44627</v>
      </c>
      <c r="G333" s="304">
        <v>44631</v>
      </c>
      <c r="H333" s="304"/>
      <c r="I333" s="304">
        <v>44627</v>
      </c>
      <c r="J333" s="303" t="s">
        <v>1738</v>
      </c>
      <c r="K333" s="305" t="s">
        <v>1311</v>
      </c>
      <c r="L333" s="176">
        <v>44754</v>
      </c>
      <c r="M333" t="s">
        <v>3495</v>
      </c>
      <c r="N333" s="204">
        <v>44781</v>
      </c>
      <c r="O333" s="203"/>
      <c r="Q333" t="s">
        <v>39</v>
      </c>
      <c r="R333" t="s">
        <v>138</v>
      </c>
    </row>
    <row r="334" spans="1:18">
      <c r="A334" s="303">
        <f>COUNTA($D$3:$D$334)</f>
        <v>332</v>
      </c>
      <c r="B334" s="303" t="s">
        <v>2606</v>
      </c>
      <c r="C334" s="303" t="s">
        <v>2607</v>
      </c>
      <c r="D334" s="303" t="s">
        <v>68</v>
      </c>
      <c r="E334" s="303" t="s">
        <v>2608</v>
      </c>
      <c r="F334" s="304">
        <v>44627</v>
      </c>
      <c r="G334" s="304">
        <v>44631</v>
      </c>
      <c r="H334" s="304"/>
      <c r="I334" s="304">
        <v>44627</v>
      </c>
      <c r="J334" s="303" t="s">
        <v>2620</v>
      </c>
      <c r="K334" s="305" t="s">
        <v>1311</v>
      </c>
      <c r="L334" s="176">
        <v>44754</v>
      </c>
      <c r="M334" t="s">
        <v>3495</v>
      </c>
      <c r="N334" s="204">
        <v>44781</v>
      </c>
      <c r="O334" s="203"/>
      <c r="Q334" t="s">
        <v>39</v>
      </c>
      <c r="R334" t="s">
        <v>138</v>
      </c>
    </row>
    <row r="335" spans="1:18">
      <c r="A335" s="303">
        <f>COUNTA($D$3:$D$335)</f>
        <v>333</v>
      </c>
      <c r="B335" s="303" t="s">
        <v>3318</v>
      </c>
      <c r="C335" s="303" t="s">
        <v>3319</v>
      </c>
      <c r="D335" s="303" t="s">
        <v>42</v>
      </c>
      <c r="E335" s="303" t="s">
        <v>3320</v>
      </c>
      <c r="F335" s="304"/>
      <c r="G335" s="304"/>
      <c r="H335" s="304"/>
      <c r="I335" s="304"/>
      <c r="J335" s="303" t="s">
        <v>1738</v>
      </c>
      <c r="K335" s="305"/>
      <c r="L335" s="176">
        <v>44745</v>
      </c>
      <c r="M335" t="s">
        <v>2985</v>
      </c>
      <c r="N335" s="204">
        <v>44740</v>
      </c>
      <c r="O335" s="203"/>
      <c r="R335" t="s">
        <v>138</v>
      </c>
    </row>
    <row r="336" spans="1:18">
      <c r="A336" s="303">
        <f>COUNTA($D$3:$D$336)</f>
        <v>334</v>
      </c>
      <c r="B336" s="303" t="s">
        <v>3254</v>
      </c>
      <c r="C336" s="303" t="s">
        <v>3255</v>
      </c>
      <c r="D336" s="303" t="s">
        <v>1095</v>
      </c>
      <c r="E336" s="303" t="s">
        <v>3256</v>
      </c>
      <c r="F336" s="304"/>
      <c r="G336" s="304"/>
      <c r="H336" s="304"/>
      <c r="I336" s="304"/>
      <c r="J336" s="303" t="s">
        <v>3279</v>
      </c>
      <c r="K336" s="305" t="s">
        <v>1309</v>
      </c>
      <c r="L336" s="176">
        <v>44745</v>
      </c>
      <c r="M336" t="s">
        <v>3366</v>
      </c>
      <c r="N336" s="204">
        <v>44748</v>
      </c>
      <c r="O336" s="203"/>
      <c r="R336" t="s">
        <v>26</v>
      </c>
    </row>
    <row r="337" spans="1:18">
      <c r="A337" s="303">
        <f>COUNTA($D$3:$D$337)</f>
        <v>335</v>
      </c>
      <c r="B337" s="303" t="s">
        <v>3175</v>
      </c>
      <c r="C337" s="303" t="s">
        <v>117</v>
      </c>
      <c r="D337" s="303" t="s">
        <v>111</v>
      </c>
      <c r="E337" s="303" t="s">
        <v>3176</v>
      </c>
      <c r="F337" s="304">
        <v>44718</v>
      </c>
      <c r="G337" s="304">
        <v>44718</v>
      </c>
      <c r="H337" s="304"/>
      <c r="I337" s="304">
        <v>44718</v>
      </c>
      <c r="J337" s="303" t="s">
        <v>1738</v>
      </c>
      <c r="K337" s="305" t="s">
        <v>1310</v>
      </c>
      <c r="L337" s="176">
        <v>44738</v>
      </c>
      <c r="M337" t="s">
        <v>3483</v>
      </c>
      <c r="N337" s="204">
        <v>44728</v>
      </c>
      <c r="O337" s="203"/>
      <c r="Q337" t="s">
        <v>39</v>
      </c>
      <c r="R337" t="s">
        <v>138</v>
      </c>
    </row>
    <row r="338" spans="1:18">
      <c r="A338" s="303">
        <f>COUNTA($D$3:$D$338)</f>
        <v>336</v>
      </c>
      <c r="B338" s="303" t="s">
        <v>3002</v>
      </c>
      <c r="C338" s="303" t="s">
        <v>3003</v>
      </c>
      <c r="D338" s="303" t="s">
        <v>20</v>
      </c>
      <c r="E338" s="303" t="s">
        <v>3004</v>
      </c>
      <c r="F338" s="304">
        <v>44691</v>
      </c>
      <c r="G338" s="304">
        <v>44689</v>
      </c>
      <c r="H338" s="304"/>
      <c r="I338" s="304">
        <v>44691</v>
      </c>
      <c r="J338" s="303" t="s">
        <v>2506</v>
      </c>
      <c r="K338" s="305" t="s">
        <v>1289</v>
      </c>
      <c r="L338" s="176">
        <v>44738</v>
      </c>
      <c r="M338" t="s">
        <v>3309</v>
      </c>
      <c r="N338" s="204">
        <v>44727</v>
      </c>
      <c r="O338" s="203"/>
      <c r="Q338" t="s">
        <v>39</v>
      </c>
      <c r="R338" t="s">
        <v>138</v>
      </c>
    </row>
    <row r="339" spans="1:18">
      <c r="A339" s="303">
        <f>COUNTA($D$3:$D$339)</f>
        <v>337</v>
      </c>
      <c r="B339" s="303" t="s">
        <v>3204</v>
      </c>
      <c r="C339" s="303" t="s">
        <v>45</v>
      </c>
      <c r="D339" s="303" t="s">
        <v>3205</v>
      </c>
      <c r="E339" s="303" t="s">
        <v>3206</v>
      </c>
      <c r="F339" s="304"/>
      <c r="G339" s="304"/>
      <c r="H339" s="304"/>
      <c r="I339" s="304"/>
      <c r="J339" s="303" t="s">
        <v>1665</v>
      </c>
      <c r="K339" s="305" t="s">
        <v>1309</v>
      </c>
      <c r="L339" s="176">
        <v>44728</v>
      </c>
      <c r="M339" t="s">
        <v>3217</v>
      </c>
      <c r="N339" s="204">
        <v>44748</v>
      </c>
      <c r="O339" s="203"/>
      <c r="R339" t="s">
        <v>26</v>
      </c>
    </row>
    <row r="340" spans="1:18">
      <c r="A340" s="303">
        <f>COUNTA($D$3:$D$340)</f>
        <v>338</v>
      </c>
      <c r="B340" s="303" t="s">
        <v>3203</v>
      </c>
      <c r="C340" s="303" t="s">
        <v>45</v>
      </c>
      <c r="D340" s="303" t="s">
        <v>1178</v>
      </c>
      <c r="E340" s="303" t="s">
        <v>2219</v>
      </c>
      <c r="F340" s="304"/>
      <c r="G340" s="304"/>
      <c r="H340" s="304"/>
      <c r="I340" s="304"/>
      <c r="J340" s="303"/>
      <c r="K340" s="305" t="s">
        <v>22</v>
      </c>
      <c r="L340" s="176">
        <v>44728</v>
      </c>
      <c r="M340" t="s">
        <v>3217</v>
      </c>
      <c r="N340" s="204">
        <v>44748</v>
      </c>
      <c r="O340" s="203"/>
      <c r="R340" t="s">
        <v>26</v>
      </c>
    </row>
    <row r="341" spans="1:18">
      <c r="A341" s="303">
        <f>COUNTA($D$3:$D$341)</f>
        <v>339</v>
      </c>
      <c r="B341" s="303" t="s">
        <v>3207</v>
      </c>
      <c r="C341" s="303" t="s">
        <v>45</v>
      </c>
      <c r="D341" s="303" t="s">
        <v>2565</v>
      </c>
      <c r="E341" s="303" t="s">
        <v>2566</v>
      </c>
      <c r="F341" s="304"/>
      <c r="G341" s="304"/>
      <c r="H341" s="304"/>
      <c r="I341" s="304"/>
      <c r="J341" s="303" t="s">
        <v>1665</v>
      </c>
      <c r="K341" s="305" t="s">
        <v>1309</v>
      </c>
      <c r="L341" s="176">
        <v>44728</v>
      </c>
      <c r="M341" t="s">
        <v>3217</v>
      </c>
      <c r="N341" s="204">
        <v>44748</v>
      </c>
      <c r="O341" s="203"/>
      <c r="R341" t="s">
        <v>26</v>
      </c>
    </row>
    <row r="342" spans="1:18">
      <c r="A342" s="303">
        <f>COUNTA($D$3:$D$342)</f>
        <v>340</v>
      </c>
      <c r="B342" s="303" t="s">
        <v>2927</v>
      </c>
      <c r="C342" s="303" t="s">
        <v>61</v>
      </c>
      <c r="D342" s="303" t="s">
        <v>38</v>
      </c>
      <c r="E342" s="303" t="s">
        <v>2928</v>
      </c>
      <c r="F342" s="304">
        <v>44676</v>
      </c>
      <c r="G342" s="304">
        <v>44673</v>
      </c>
      <c r="H342" s="304">
        <v>44757</v>
      </c>
      <c r="I342" s="304">
        <v>44676</v>
      </c>
      <c r="J342" s="303" t="s">
        <v>2929</v>
      </c>
      <c r="K342" s="305"/>
      <c r="L342" s="176">
        <v>44728</v>
      </c>
      <c r="M342" t="s">
        <v>3213</v>
      </c>
      <c r="N342" s="204">
        <v>44895</v>
      </c>
      <c r="O342" s="203"/>
      <c r="Q342" t="s">
        <v>39</v>
      </c>
      <c r="R342" t="s">
        <v>26</v>
      </c>
    </row>
    <row r="343" spans="1:18">
      <c r="A343" s="303">
        <f>COUNTA($D$3:$D$343)</f>
        <v>341</v>
      </c>
      <c r="B343" s="303" t="s">
        <v>2918</v>
      </c>
      <c r="C343" s="303" t="s">
        <v>61</v>
      </c>
      <c r="D343" s="303" t="s">
        <v>20</v>
      </c>
      <c r="E343" s="303" t="s">
        <v>2919</v>
      </c>
      <c r="F343" s="304">
        <v>44676</v>
      </c>
      <c r="G343" s="304">
        <v>44673</v>
      </c>
      <c r="H343" s="304">
        <v>44757</v>
      </c>
      <c r="I343" s="304">
        <v>44676</v>
      </c>
      <c r="J343" s="303" t="s">
        <v>2920</v>
      </c>
      <c r="K343" s="305"/>
      <c r="L343" s="176">
        <v>44728</v>
      </c>
      <c r="M343" t="s">
        <v>3213</v>
      </c>
      <c r="N343" s="204">
        <v>44728</v>
      </c>
      <c r="O343" s="203"/>
      <c r="Q343" t="s">
        <v>39</v>
      </c>
      <c r="R343" t="s">
        <v>26</v>
      </c>
    </row>
    <row r="344" spans="1:18">
      <c r="A344" s="303">
        <f>COUNTA($D$3:$D$344)</f>
        <v>342</v>
      </c>
      <c r="B344" s="303" t="s">
        <v>2921</v>
      </c>
      <c r="C344" s="303" t="s">
        <v>61</v>
      </c>
      <c r="D344" s="303" t="s">
        <v>34</v>
      </c>
      <c r="E344" s="303" t="s">
        <v>2922</v>
      </c>
      <c r="F344" s="304">
        <v>44676</v>
      </c>
      <c r="G344" s="304">
        <v>44673</v>
      </c>
      <c r="H344" s="304"/>
      <c r="I344" s="304">
        <v>44676</v>
      </c>
      <c r="J344" s="303" t="s">
        <v>2923</v>
      </c>
      <c r="K344" s="305"/>
      <c r="L344" s="176">
        <v>44728</v>
      </c>
      <c r="M344" t="s">
        <v>3213</v>
      </c>
      <c r="N344" s="204">
        <v>44728</v>
      </c>
      <c r="O344" s="203"/>
      <c r="Q344" t="s">
        <v>39</v>
      </c>
      <c r="R344" t="s">
        <v>26</v>
      </c>
    </row>
    <row r="345" spans="1:18">
      <c r="A345" s="303">
        <f>COUNTA($D$3:$D$345)</f>
        <v>343</v>
      </c>
      <c r="B345" s="303" t="s">
        <v>3074</v>
      </c>
      <c r="C345" s="303" t="s">
        <v>3075</v>
      </c>
      <c r="D345" s="303" t="s">
        <v>35</v>
      </c>
      <c r="E345" s="303" t="s">
        <v>3076</v>
      </c>
      <c r="F345" s="304"/>
      <c r="G345" s="304">
        <v>44700</v>
      </c>
      <c r="H345" s="304"/>
      <c r="I345" s="304"/>
      <c r="J345" s="303" t="s">
        <v>3103</v>
      </c>
      <c r="K345" s="305" t="s">
        <v>1310</v>
      </c>
      <c r="L345" s="176">
        <v>44728</v>
      </c>
      <c r="M345" t="s">
        <v>3484</v>
      </c>
      <c r="N345" s="204">
        <v>44713</v>
      </c>
      <c r="O345" s="203"/>
      <c r="Q345" t="s">
        <v>1041</v>
      </c>
      <c r="R345" t="s">
        <v>138</v>
      </c>
    </row>
    <row r="346" spans="1:18">
      <c r="A346" s="303">
        <f>COUNTA($D$3:$D$346)</f>
        <v>344</v>
      </c>
      <c r="B346" s="303" t="s">
        <v>2618</v>
      </c>
      <c r="C346" s="303" t="s">
        <v>2616</v>
      </c>
      <c r="D346" s="303" t="s">
        <v>20</v>
      </c>
      <c r="E346" s="303" t="s">
        <v>2619</v>
      </c>
      <c r="F346" s="304">
        <v>44629</v>
      </c>
      <c r="G346" s="304">
        <v>44631</v>
      </c>
      <c r="H346" s="304"/>
      <c r="I346" s="304">
        <v>44629</v>
      </c>
      <c r="J346" s="303" t="s">
        <v>2634</v>
      </c>
      <c r="K346" s="305" t="s">
        <v>1310</v>
      </c>
      <c r="L346" s="176">
        <v>44728</v>
      </c>
      <c r="M346" t="s">
        <v>3210</v>
      </c>
      <c r="N346" s="204">
        <v>44655</v>
      </c>
      <c r="O346" s="203"/>
      <c r="Q346" t="s">
        <v>39</v>
      </c>
      <c r="R346" t="s">
        <v>138</v>
      </c>
    </row>
    <row r="347" spans="1:18">
      <c r="A347" s="303">
        <f>COUNTA($D$3:$D$347)</f>
        <v>345</v>
      </c>
      <c r="B347" s="303" t="s">
        <v>2615</v>
      </c>
      <c r="C347" s="303" t="s">
        <v>2616</v>
      </c>
      <c r="D347" s="303" t="s">
        <v>62</v>
      </c>
      <c r="E347" s="303" t="s">
        <v>2617</v>
      </c>
      <c r="F347" s="304">
        <v>44634</v>
      </c>
      <c r="G347" s="304">
        <v>44638</v>
      </c>
      <c r="H347" s="304"/>
      <c r="I347" s="304">
        <v>44634</v>
      </c>
      <c r="J347" s="303" t="s">
        <v>2633</v>
      </c>
      <c r="K347" s="305" t="s">
        <v>1310</v>
      </c>
      <c r="L347" s="176">
        <v>44728</v>
      </c>
      <c r="M347" t="s">
        <v>3210</v>
      </c>
      <c r="N347" s="204">
        <v>44655</v>
      </c>
      <c r="O347" s="203"/>
      <c r="Q347" t="s">
        <v>39</v>
      </c>
      <c r="R347" t="s">
        <v>138</v>
      </c>
    </row>
    <row r="348" spans="1:18">
      <c r="A348" s="303">
        <f>COUNTA($D$3:$D$348)</f>
        <v>346</v>
      </c>
      <c r="B348" s="303" t="s">
        <v>3000</v>
      </c>
      <c r="C348" s="303" t="s">
        <v>45</v>
      </c>
      <c r="D348" s="303" t="s">
        <v>36</v>
      </c>
      <c r="E348" s="303" t="s">
        <v>2134</v>
      </c>
      <c r="F348" s="304" t="s">
        <v>70</v>
      </c>
      <c r="G348" s="304">
        <v>44689</v>
      </c>
      <c r="H348" s="304"/>
      <c r="I348" s="304" t="s">
        <v>70</v>
      </c>
      <c r="J348" s="303" t="s">
        <v>3023</v>
      </c>
      <c r="K348" s="305" t="s">
        <v>2058</v>
      </c>
      <c r="L348" s="176">
        <v>44728</v>
      </c>
      <c r="M348" t="s">
        <v>3214</v>
      </c>
      <c r="N348" s="204">
        <v>44781</v>
      </c>
      <c r="O348" s="203"/>
      <c r="Q348" t="s">
        <v>64</v>
      </c>
      <c r="R348" t="s">
        <v>26</v>
      </c>
    </row>
    <row r="349" spans="1:18">
      <c r="A349" s="303">
        <f>COUNTA($D$3:$D$349)</f>
        <v>347</v>
      </c>
      <c r="B349" s="303" t="s">
        <v>2924</v>
      </c>
      <c r="C349" s="303" t="s">
        <v>61</v>
      </c>
      <c r="D349" s="303" t="s">
        <v>1115</v>
      </c>
      <c r="E349" s="303" t="s">
        <v>2925</v>
      </c>
      <c r="F349" s="304">
        <v>44676</v>
      </c>
      <c r="G349" s="304">
        <v>44673</v>
      </c>
      <c r="H349" s="304"/>
      <c r="I349" s="304">
        <v>44676</v>
      </c>
      <c r="J349" s="303" t="s">
        <v>2926</v>
      </c>
      <c r="K349" s="305" t="s">
        <v>1309</v>
      </c>
      <c r="L349" s="176">
        <v>44728</v>
      </c>
      <c r="M349" t="s">
        <v>3212</v>
      </c>
      <c r="N349" s="204">
        <v>44728</v>
      </c>
      <c r="O349" s="203"/>
      <c r="Q349" t="s">
        <v>39</v>
      </c>
      <c r="R349" t="s">
        <v>26</v>
      </c>
    </row>
    <row r="350" spans="1:18">
      <c r="A350" s="303">
        <f>COUNTA($D$3:$D$350)</f>
        <v>348</v>
      </c>
      <c r="B350" s="303" t="s">
        <v>2930</v>
      </c>
      <c r="C350" s="303" t="s">
        <v>2931</v>
      </c>
      <c r="D350" s="303" t="s">
        <v>1143</v>
      </c>
      <c r="E350" s="303" t="s">
        <v>2932</v>
      </c>
      <c r="F350" s="304">
        <v>44690</v>
      </c>
      <c r="G350" s="304">
        <v>44678</v>
      </c>
      <c r="H350" s="304"/>
      <c r="I350" s="304">
        <v>44690</v>
      </c>
      <c r="J350" s="303" t="s">
        <v>1694</v>
      </c>
      <c r="K350" s="305" t="s">
        <v>1302</v>
      </c>
      <c r="L350" s="176">
        <v>44728</v>
      </c>
      <c r="O350" s="203"/>
      <c r="Q350" t="s">
        <v>39</v>
      </c>
      <c r="R350" t="s">
        <v>138</v>
      </c>
    </row>
    <row r="351" spans="1:18">
      <c r="A351" s="303">
        <f>COUNTA($D$3:$D$351)</f>
        <v>349</v>
      </c>
      <c r="B351" s="303" t="s">
        <v>2601</v>
      </c>
      <c r="C351" s="303" t="s">
        <v>2602</v>
      </c>
      <c r="D351" s="303" t="s">
        <v>20</v>
      </c>
      <c r="E351" s="303" t="s">
        <v>2603</v>
      </c>
      <c r="F351" s="304">
        <v>44634</v>
      </c>
      <c r="G351" s="304">
        <v>44631</v>
      </c>
      <c r="H351" s="304"/>
      <c r="I351" s="304">
        <v>44634</v>
      </c>
      <c r="J351" s="303" t="s">
        <v>2631</v>
      </c>
      <c r="K351" s="305" t="s">
        <v>1310</v>
      </c>
      <c r="L351" s="176">
        <v>44728</v>
      </c>
      <c r="O351" s="203"/>
      <c r="Q351" t="s">
        <v>39</v>
      </c>
      <c r="R351" t="s">
        <v>138</v>
      </c>
    </row>
    <row r="352" spans="1:18">
      <c r="A352" s="303">
        <f>COUNTA($D$3:$D$352)</f>
        <v>350</v>
      </c>
      <c r="B352" s="303" t="s">
        <v>2597</v>
      </c>
      <c r="C352" s="303" t="s">
        <v>25</v>
      </c>
      <c r="D352" s="303" t="s">
        <v>34</v>
      </c>
      <c r="E352" s="303" t="s">
        <v>2598</v>
      </c>
      <c r="F352" s="304" t="s">
        <v>2688</v>
      </c>
      <c r="G352" s="304">
        <v>44627</v>
      </c>
      <c r="H352" s="304"/>
      <c r="I352" s="304" t="s">
        <v>2688</v>
      </c>
      <c r="J352" s="303" t="s">
        <v>1702</v>
      </c>
      <c r="K352" s="305" t="s">
        <v>1289</v>
      </c>
      <c r="L352" s="176">
        <v>44728</v>
      </c>
      <c r="M352" t="s">
        <v>3209</v>
      </c>
      <c r="N352" s="204">
        <v>44907</v>
      </c>
      <c r="O352" s="203"/>
      <c r="Q352" t="s">
        <v>39</v>
      </c>
      <c r="R352" t="s">
        <v>138</v>
      </c>
    </row>
    <row r="353" spans="1:18">
      <c r="A353" s="303">
        <f>COUNTA($D$3:$D$353)</f>
        <v>351</v>
      </c>
      <c r="B353" s="303" t="s">
        <v>2590</v>
      </c>
      <c r="C353" s="303" t="s">
        <v>25</v>
      </c>
      <c r="D353" s="303" t="s">
        <v>34</v>
      </c>
      <c r="E353" s="303" t="s">
        <v>2591</v>
      </c>
      <c r="F353" s="304" t="s">
        <v>2640</v>
      </c>
      <c r="G353" s="304">
        <v>44627</v>
      </c>
      <c r="H353" s="304"/>
      <c r="I353" s="304" t="s">
        <v>2640</v>
      </c>
      <c r="J353" s="303" t="s">
        <v>2592</v>
      </c>
      <c r="K353" s="305" t="s">
        <v>1311</v>
      </c>
      <c r="L353" s="176">
        <v>44728</v>
      </c>
      <c r="M353" t="s">
        <v>3209</v>
      </c>
      <c r="N353" s="204">
        <v>44844</v>
      </c>
      <c r="O353" s="203"/>
      <c r="Q353" t="s">
        <v>39</v>
      </c>
      <c r="R353" t="s">
        <v>138</v>
      </c>
    </row>
    <row r="354" spans="1:18">
      <c r="A354" s="303">
        <f>COUNTA($D$3:$D$354)</f>
        <v>352</v>
      </c>
      <c r="B354" s="303" t="s">
        <v>2585</v>
      </c>
      <c r="C354" s="303" t="s">
        <v>41</v>
      </c>
      <c r="D354" s="303" t="s">
        <v>38</v>
      </c>
      <c r="E354" s="303" t="s">
        <v>1823</v>
      </c>
      <c r="F354" s="304">
        <v>44622</v>
      </c>
      <c r="G354" s="304">
        <v>44627</v>
      </c>
      <c r="H354" s="304"/>
      <c r="I354" s="304">
        <v>44622</v>
      </c>
      <c r="J354" s="303" t="s">
        <v>2586</v>
      </c>
      <c r="K354" s="305" t="s">
        <v>1310</v>
      </c>
      <c r="L354" s="176">
        <v>44728</v>
      </c>
      <c r="M354" t="s">
        <v>3209</v>
      </c>
      <c r="N354" s="204">
        <v>44781</v>
      </c>
      <c r="O354" s="203"/>
      <c r="Q354" t="s">
        <v>39</v>
      </c>
      <c r="R354" t="s">
        <v>138</v>
      </c>
    </row>
    <row r="355" spans="1:18">
      <c r="A355" s="303">
        <f>COUNTA($D$3:$D$355)</f>
        <v>353</v>
      </c>
      <c r="B355" s="303" t="s">
        <v>2557</v>
      </c>
      <c r="C355" s="303" t="s">
        <v>2396</v>
      </c>
      <c r="D355" s="303" t="s">
        <v>1235</v>
      </c>
      <c r="E355" s="303" t="s">
        <v>1236</v>
      </c>
      <c r="F355" s="304">
        <v>44620</v>
      </c>
      <c r="G355" s="304">
        <v>44617</v>
      </c>
      <c r="H355" s="304"/>
      <c r="I355" s="304">
        <v>44620</v>
      </c>
      <c r="J355" s="303" t="s">
        <v>2558</v>
      </c>
      <c r="K355" s="305" t="s">
        <v>2058</v>
      </c>
      <c r="L355" s="176">
        <v>44728</v>
      </c>
      <c r="M355" t="s">
        <v>3209</v>
      </c>
      <c r="N355" s="204">
        <v>44728</v>
      </c>
      <c r="O355" s="203"/>
      <c r="Q355" t="s">
        <v>39</v>
      </c>
      <c r="R355" t="s">
        <v>26</v>
      </c>
    </row>
    <row r="356" spans="1:18">
      <c r="A356" s="303">
        <f>COUNTA($D$3:$D$356)</f>
        <v>354</v>
      </c>
      <c r="B356" s="303" t="s">
        <v>2555</v>
      </c>
      <c r="C356" s="303" t="s">
        <v>1112</v>
      </c>
      <c r="D356" s="303" t="s">
        <v>38</v>
      </c>
      <c r="E356" s="303" t="s">
        <v>1113</v>
      </c>
      <c r="F356" s="304">
        <v>44622</v>
      </c>
      <c r="G356" s="304">
        <v>44627</v>
      </c>
      <c r="H356" s="304"/>
      <c r="I356" s="304">
        <v>44622</v>
      </c>
      <c r="J356" s="303" t="s">
        <v>21</v>
      </c>
      <c r="K356" s="305" t="s">
        <v>1310</v>
      </c>
      <c r="L356" s="176">
        <v>44728</v>
      </c>
      <c r="O356" s="203"/>
      <c r="Q356" t="s">
        <v>39</v>
      </c>
      <c r="R356" t="s">
        <v>138</v>
      </c>
    </row>
    <row r="357" spans="1:18">
      <c r="A357" s="303">
        <f>COUNTA($D$3:$D$357)</f>
        <v>355</v>
      </c>
      <c r="B357" s="303" t="s">
        <v>2535</v>
      </c>
      <c r="C357" s="303" t="s">
        <v>1166</v>
      </c>
      <c r="D357" s="303" t="s">
        <v>1115</v>
      </c>
      <c r="E357" s="303" t="s">
        <v>1167</v>
      </c>
      <c r="F357" s="304">
        <v>44614</v>
      </c>
      <c r="G357" s="304">
        <v>44610</v>
      </c>
      <c r="H357" s="304"/>
      <c r="I357" s="304">
        <v>44614</v>
      </c>
      <c r="J357" s="303" t="s">
        <v>2536</v>
      </c>
      <c r="K357" s="305" t="s">
        <v>2058</v>
      </c>
      <c r="L357" s="176">
        <v>44728</v>
      </c>
      <c r="O357" s="203" t="s">
        <v>5598</v>
      </c>
      <c r="Q357" t="s">
        <v>39</v>
      </c>
      <c r="R357" t="s">
        <v>26</v>
      </c>
    </row>
    <row r="358" spans="1:18">
      <c r="A358" s="303">
        <f>COUNTA($D$3:$D$358)</f>
        <v>356</v>
      </c>
      <c r="B358" s="303" t="s">
        <v>2529</v>
      </c>
      <c r="C358" s="303" t="s">
        <v>69</v>
      </c>
      <c r="D358" s="303" t="s">
        <v>1092</v>
      </c>
      <c r="E358" s="303" t="s">
        <v>2530</v>
      </c>
      <c r="F358" s="304">
        <v>44609</v>
      </c>
      <c r="G358" s="304">
        <v>44617</v>
      </c>
      <c r="H358" s="304"/>
      <c r="I358" s="304">
        <v>44609</v>
      </c>
      <c r="J358" s="303" t="s">
        <v>21</v>
      </c>
      <c r="K358" s="305" t="s">
        <v>1309</v>
      </c>
      <c r="L358" s="176">
        <v>44728</v>
      </c>
      <c r="M358" t="s">
        <v>3209</v>
      </c>
      <c r="N358" s="204">
        <v>44894</v>
      </c>
      <c r="O358" s="203"/>
      <c r="Q358" t="s">
        <v>39</v>
      </c>
      <c r="R358" t="s">
        <v>26</v>
      </c>
    </row>
    <row r="359" spans="1:18">
      <c r="A359" s="303">
        <f>COUNTA($D$3:$D$359)</f>
        <v>357</v>
      </c>
      <c r="B359" s="303" t="s">
        <v>2523</v>
      </c>
      <c r="C359" s="303" t="s">
        <v>1276</v>
      </c>
      <c r="D359" s="303" t="s">
        <v>34</v>
      </c>
      <c r="E359" s="303" t="s">
        <v>2524</v>
      </c>
      <c r="F359" s="304">
        <v>44627</v>
      </c>
      <c r="G359" s="304">
        <v>44603</v>
      </c>
      <c r="H359" s="304"/>
      <c r="I359" s="304">
        <v>44627</v>
      </c>
      <c r="J359" s="303" t="s">
        <v>1500</v>
      </c>
      <c r="K359" s="305" t="s">
        <v>1302</v>
      </c>
      <c r="L359" s="176">
        <v>44728</v>
      </c>
      <c r="M359" t="s">
        <v>3208</v>
      </c>
      <c r="N359" s="204">
        <v>44699</v>
      </c>
      <c r="O359" s="203"/>
      <c r="Q359" t="s">
        <v>39</v>
      </c>
      <c r="R359" t="s">
        <v>138</v>
      </c>
    </row>
    <row r="360" spans="1:18">
      <c r="A360" s="303">
        <f>COUNTA($D$3:$D$360)</f>
        <v>358</v>
      </c>
      <c r="B360" s="303" t="s">
        <v>2902</v>
      </c>
      <c r="C360" s="303" t="s">
        <v>1731</v>
      </c>
      <c r="D360" s="303" t="s">
        <v>42</v>
      </c>
      <c r="E360" s="303" t="s">
        <v>2903</v>
      </c>
      <c r="F360" s="304">
        <v>44678</v>
      </c>
      <c r="G360" s="304">
        <v>44678</v>
      </c>
      <c r="H360" s="304"/>
      <c r="I360" s="304">
        <v>44678</v>
      </c>
      <c r="J360" s="303" t="s">
        <v>2933</v>
      </c>
      <c r="K360" s="305" t="s">
        <v>2058</v>
      </c>
      <c r="L360" s="176">
        <v>44728</v>
      </c>
      <c r="N360" s="204">
        <v>45083</v>
      </c>
      <c r="O360" s="203" t="s">
        <v>5597</v>
      </c>
      <c r="Q360" t="s">
        <v>39</v>
      </c>
      <c r="R360" t="s">
        <v>26</v>
      </c>
    </row>
    <row r="361" spans="1:18">
      <c r="A361" s="303">
        <f>COUNTA($D$3:$D$361)</f>
        <v>359</v>
      </c>
      <c r="B361" s="303" t="s">
        <v>3152</v>
      </c>
      <c r="C361" s="303" t="s">
        <v>45</v>
      </c>
      <c r="D361" s="303" t="s">
        <v>1137</v>
      </c>
      <c r="E361" s="303" t="s">
        <v>2674</v>
      </c>
      <c r="F361" s="304"/>
      <c r="G361" s="304"/>
      <c r="H361" s="304"/>
      <c r="I361" s="304"/>
      <c r="J361" s="303" t="s">
        <v>1665</v>
      </c>
      <c r="K361" s="305" t="s">
        <v>1310</v>
      </c>
      <c r="L361" s="176">
        <v>44714</v>
      </c>
      <c r="M361" t="s">
        <v>3167</v>
      </c>
      <c r="N361" s="204">
        <v>44714</v>
      </c>
      <c r="O361" s="203"/>
      <c r="R361" t="s">
        <v>138</v>
      </c>
    </row>
    <row r="362" spans="1:18">
      <c r="A362" s="303">
        <f>COUNTA($D$3:$D$362)</f>
        <v>360</v>
      </c>
      <c r="B362" s="303" t="s">
        <v>3147</v>
      </c>
      <c r="C362" s="303" t="s">
        <v>45</v>
      </c>
      <c r="D362" s="303" t="s">
        <v>2078</v>
      </c>
      <c r="E362" s="303" t="s">
        <v>2140</v>
      </c>
      <c r="F362" s="304"/>
      <c r="G362" s="304"/>
      <c r="H362" s="304"/>
      <c r="I362" s="304"/>
      <c r="J362" s="303" t="s">
        <v>1665</v>
      </c>
      <c r="K362" s="305" t="s">
        <v>1310</v>
      </c>
      <c r="L362" s="176">
        <v>44714</v>
      </c>
      <c r="M362" t="s">
        <v>3167</v>
      </c>
      <c r="N362" s="204">
        <v>44714</v>
      </c>
      <c r="O362" s="203"/>
      <c r="R362" t="s">
        <v>138</v>
      </c>
    </row>
    <row r="363" spans="1:18">
      <c r="A363" s="303">
        <f>COUNTA($D$3:$D$363)</f>
        <v>361</v>
      </c>
      <c r="B363" s="303" t="s">
        <v>2958</v>
      </c>
      <c r="C363" s="303" t="s">
        <v>2959</v>
      </c>
      <c r="D363" s="303" t="s">
        <v>1279</v>
      </c>
      <c r="E363" s="303" t="s">
        <v>2960</v>
      </c>
      <c r="F363" s="304"/>
      <c r="G363" s="304">
        <v>44678</v>
      </c>
      <c r="H363" s="304"/>
      <c r="I363" s="304"/>
      <c r="J363" s="303" t="s">
        <v>1105</v>
      </c>
      <c r="K363" s="305"/>
      <c r="L363" s="176">
        <v>44707</v>
      </c>
      <c r="M363" t="s">
        <v>3105</v>
      </c>
      <c r="N363" s="204">
        <v>44699</v>
      </c>
      <c r="O363" s="203"/>
      <c r="Q363" t="s">
        <v>1068</v>
      </c>
      <c r="R363" t="s">
        <v>138</v>
      </c>
    </row>
    <row r="364" spans="1:18">
      <c r="A364" s="303">
        <f>COUNTA($D$3:$D$364)</f>
        <v>362</v>
      </c>
      <c r="B364" s="303" t="s">
        <v>2910</v>
      </c>
      <c r="C364" s="303" t="s">
        <v>1159</v>
      </c>
      <c r="D364" s="303" t="s">
        <v>20</v>
      </c>
      <c r="E364" s="303" t="s">
        <v>1160</v>
      </c>
      <c r="F364" s="304">
        <v>44690</v>
      </c>
      <c r="G364" s="304">
        <v>44678</v>
      </c>
      <c r="H364" s="304"/>
      <c r="I364" s="304">
        <v>44690</v>
      </c>
      <c r="J364" s="303" t="s">
        <v>2934</v>
      </c>
      <c r="K364" s="305" t="s">
        <v>2058</v>
      </c>
      <c r="L364" s="176">
        <v>44707</v>
      </c>
      <c r="M364" t="s">
        <v>3121</v>
      </c>
      <c r="N364" s="204">
        <v>44707</v>
      </c>
      <c r="O364" s="203"/>
      <c r="Q364" t="s">
        <v>39</v>
      </c>
      <c r="R364" t="s">
        <v>26</v>
      </c>
    </row>
    <row r="365" spans="1:18">
      <c r="A365" s="303">
        <f>COUNTA($D$3:$D$365)</f>
        <v>363</v>
      </c>
      <c r="B365" s="303" t="s">
        <v>3114</v>
      </c>
      <c r="C365" s="303" t="s">
        <v>45</v>
      </c>
      <c r="D365" s="303" t="s">
        <v>53</v>
      </c>
      <c r="E365" s="303" t="s">
        <v>2745</v>
      </c>
      <c r="F365" s="304"/>
      <c r="G365" s="304"/>
      <c r="H365" s="304"/>
      <c r="I365" s="304"/>
      <c r="J365" s="303" t="s">
        <v>1665</v>
      </c>
      <c r="K365" s="305" t="s">
        <v>1302</v>
      </c>
      <c r="L365" s="176">
        <v>44707</v>
      </c>
      <c r="M365" t="s">
        <v>3116</v>
      </c>
      <c r="N365" s="204">
        <v>44707</v>
      </c>
      <c r="O365" s="203"/>
      <c r="Q365" t="s">
        <v>2698</v>
      </c>
      <c r="R365" t="s">
        <v>138</v>
      </c>
    </row>
    <row r="366" spans="1:18">
      <c r="A366" s="303">
        <f>COUNTA($D$3:$D$366)</f>
        <v>364</v>
      </c>
      <c r="B366" s="303" t="s">
        <v>3027</v>
      </c>
      <c r="C366" s="303" t="s">
        <v>45</v>
      </c>
      <c r="D366" s="303" t="s">
        <v>1137</v>
      </c>
      <c r="E366" s="303" t="s">
        <v>3028</v>
      </c>
      <c r="F366" s="304"/>
      <c r="G366" s="304"/>
      <c r="H366" s="304"/>
      <c r="I366" s="304"/>
      <c r="J366" s="303" t="s">
        <v>1665</v>
      </c>
      <c r="K366" s="305" t="s">
        <v>1310</v>
      </c>
      <c r="L366" s="176">
        <v>44700</v>
      </c>
      <c r="M366" t="s">
        <v>3078</v>
      </c>
      <c r="N366" s="204">
        <v>44707</v>
      </c>
      <c r="O366" s="203"/>
      <c r="R366" t="s">
        <v>138</v>
      </c>
    </row>
    <row r="367" spans="1:18">
      <c r="A367" s="303">
        <f>COUNTA($D$3:$D$367)</f>
        <v>365</v>
      </c>
      <c r="B367" s="303" t="s">
        <v>3001</v>
      </c>
      <c r="C367" s="303" t="s">
        <v>45</v>
      </c>
      <c r="D367" s="303" t="s">
        <v>20</v>
      </c>
      <c r="E367" s="303" t="s">
        <v>1173</v>
      </c>
      <c r="F367" s="304"/>
      <c r="G367" s="304"/>
      <c r="H367" s="304"/>
      <c r="I367" s="304"/>
      <c r="J367" s="303" t="s">
        <v>1665</v>
      </c>
      <c r="K367" s="305" t="s">
        <v>1310</v>
      </c>
      <c r="L367" s="176">
        <v>44700</v>
      </c>
      <c r="M367" t="s">
        <v>3084</v>
      </c>
      <c r="N367" s="204">
        <v>44700</v>
      </c>
      <c r="O367" s="203"/>
      <c r="R367" t="s">
        <v>138</v>
      </c>
    </row>
    <row r="368" spans="1:18">
      <c r="A368" s="303">
        <f>COUNTA($D$3:$D$368)</f>
        <v>366</v>
      </c>
      <c r="B368" s="303" t="s">
        <v>2972</v>
      </c>
      <c r="C368" s="303" t="s">
        <v>2973</v>
      </c>
      <c r="D368" s="303" t="s">
        <v>20</v>
      </c>
      <c r="E368" s="303" t="s">
        <v>2974</v>
      </c>
      <c r="F368" s="304"/>
      <c r="G368" s="304"/>
      <c r="H368" s="304"/>
      <c r="I368" s="304"/>
      <c r="J368" s="303" t="s">
        <v>1738</v>
      </c>
      <c r="K368" s="305" t="s">
        <v>1311</v>
      </c>
      <c r="L368" s="176">
        <v>44690</v>
      </c>
      <c r="M368" t="s">
        <v>2985</v>
      </c>
      <c r="N368" s="204">
        <v>44692</v>
      </c>
      <c r="O368" s="203"/>
      <c r="R368" t="s">
        <v>138</v>
      </c>
    </row>
    <row r="369" spans="1:18">
      <c r="A369" s="303">
        <f>COUNTA($D$3:$D$369)</f>
        <v>367</v>
      </c>
      <c r="B369" s="303" t="s">
        <v>3018</v>
      </c>
      <c r="C369" s="303" t="s">
        <v>48</v>
      </c>
      <c r="D369" s="303" t="s">
        <v>34</v>
      </c>
      <c r="E369" s="303" t="s">
        <v>93</v>
      </c>
      <c r="F369" s="304"/>
      <c r="G369" s="304"/>
      <c r="H369" s="304"/>
      <c r="I369" s="304"/>
      <c r="J369" s="303" t="s">
        <v>1665</v>
      </c>
      <c r="K369" s="305" t="s">
        <v>1302</v>
      </c>
      <c r="L369" s="176">
        <v>44690</v>
      </c>
      <c r="M369" t="s">
        <v>3025</v>
      </c>
      <c r="N369" s="204">
        <v>44690</v>
      </c>
      <c r="O369" s="203"/>
      <c r="Q369" t="s">
        <v>1086</v>
      </c>
    </row>
    <row r="370" spans="1:18">
      <c r="A370" s="303">
        <f>COUNTA($D$3:$D$370)</f>
        <v>368</v>
      </c>
      <c r="B370" s="303" t="s">
        <v>2516</v>
      </c>
      <c r="C370" s="303" t="s">
        <v>45</v>
      </c>
      <c r="D370" s="303" t="s">
        <v>20</v>
      </c>
      <c r="E370" s="303" t="s">
        <v>1165</v>
      </c>
      <c r="F370" s="304" t="s">
        <v>70</v>
      </c>
      <c r="G370" s="304">
        <v>44603</v>
      </c>
      <c r="H370" s="304"/>
      <c r="I370" s="304" t="s">
        <v>70</v>
      </c>
      <c r="J370" s="303" t="s">
        <v>21</v>
      </c>
      <c r="K370" s="305" t="s">
        <v>2058</v>
      </c>
      <c r="L370" s="176">
        <v>44690</v>
      </c>
      <c r="M370" t="s">
        <v>3039</v>
      </c>
      <c r="N370" s="204">
        <v>44711</v>
      </c>
      <c r="O370" s="203"/>
      <c r="Q370" t="s">
        <v>64</v>
      </c>
    </row>
    <row r="371" spans="1:18">
      <c r="A371" s="303">
        <f>COUNTA($D$3:$D$371)</f>
        <v>369</v>
      </c>
      <c r="B371" s="303" t="s">
        <v>2465</v>
      </c>
      <c r="C371" s="303" t="s">
        <v>2448</v>
      </c>
      <c r="D371" s="303" t="s">
        <v>29</v>
      </c>
      <c r="E371" s="303" t="s">
        <v>2466</v>
      </c>
      <c r="F371" s="304">
        <v>44580</v>
      </c>
      <c r="G371" s="304">
        <v>44582</v>
      </c>
      <c r="H371" s="304">
        <v>44827</v>
      </c>
      <c r="I371" s="304">
        <v>44580</v>
      </c>
      <c r="J371" s="303" t="s">
        <v>2467</v>
      </c>
      <c r="K371" s="305" t="s">
        <v>2058</v>
      </c>
      <c r="L371" s="176">
        <v>44690</v>
      </c>
      <c r="M371" t="s">
        <v>3037</v>
      </c>
      <c r="N371" s="204">
        <v>44844</v>
      </c>
      <c r="O371" s="203"/>
      <c r="Q371" t="s">
        <v>32</v>
      </c>
      <c r="R371" t="s">
        <v>26</v>
      </c>
    </row>
    <row r="372" spans="1:18">
      <c r="A372" s="303">
        <f>COUNTA($D$3:$D$372)</f>
        <v>370</v>
      </c>
      <c r="B372" s="303" t="s">
        <v>2482</v>
      </c>
      <c r="C372" s="303" t="s">
        <v>117</v>
      </c>
      <c r="D372" s="303" t="s">
        <v>62</v>
      </c>
      <c r="E372" s="303" t="s">
        <v>1252</v>
      </c>
      <c r="F372" s="304">
        <v>44602</v>
      </c>
      <c r="G372" s="304">
        <v>44603</v>
      </c>
      <c r="H372" s="304"/>
      <c r="I372" s="304">
        <v>44602</v>
      </c>
      <c r="J372" s="303" t="s">
        <v>1698</v>
      </c>
      <c r="K372" s="305" t="s">
        <v>1310</v>
      </c>
      <c r="L372" s="176">
        <v>44690</v>
      </c>
      <c r="M372" t="s">
        <v>3038</v>
      </c>
      <c r="N372" s="204">
        <v>44781</v>
      </c>
      <c r="O372" s="203"/>
      <c r="Q372" t="s">
        <v>39</v>
      </c>
      <c r="R372" t="s">
        <v>138</v>
      </c>
    </row>
    <row r="373" spans="1:18">
      <c r="A373" s="303">
        <f>COUNTA($D$3:$D$373)</f>
        <v>371</v>
      </c>
      <c r="B373" s="303" t="s">
        <v>2950</v>
      </c>
      <c r="C373" s="303" t="s">
        <v>48</v>
      </c>
      <c r="D373" s="303" t="s">
        <v>34</v>
      </c>
      <c r="E373" s="303" t="s">
        <v>89</v>
      </c>
      <c r="F373" s="304"/>
      <c r="G373" s="304"/>
      <c r="H373" s="304"/>
      <c r="I373" s="304"/>
      <c r="J373" s="303" t="s">
        <v>1665</v>
      </c>
      <c r="K373" s="305" t="s">
        <v>1302</v>
      </c>
      <c r="L373" s="176">
        <v>44680</v>
      </c>
      <c r="M373" t="s">
        <v>2978</v>
      </c>
      <c r="N373" s="204">
        <v>44676</v>
      </c>
      <c r="O373" s="203"/>
    </row>
    <row r="374" spans="1:18">
      <c r="A374" s="303">
        <f>COUNTA($D$3:$D$374)</f>
        <v>372</v>
      </c>
      <c r="B374" s="303" t="s">
        <v>2860</v>
      </c>
      <c r="C374" s="303" t="s">
        <v>2856</v>
      </c>
      <c r="D374" s="303" t="s">
        <v>20</v>
      </c>
      <c r="E374" s="303" t="s">
        <v>2861</v>
      </c>
      <c r="F374" s="304"/>
      <c r="G374" s="304">
        <v>44672</v>
      </c>
      <c r="H374" s="304"/>
      <c r="I374" s="304"/>
      <c r="J374" s="303" t="s">
        <v>1500</v>
      </c>
      <c r="K374" s="305" t="s">
        <v>1302</v>
      </c>
      <c r="L374" s="176">
        <v>44680</v>
      </c>
      <c r="M374" t="s">
        <v>2980</v>
      </c>
      <c r="N374" s="204">
        <v>44677</v>
      </c>
      <c r="O374" s="203"/>
      <c r="Q374" t="s">
        <v>1041</v>
      </c>
      <c r="R374" t="s">
        <v>138</v>
      </c>
    </row>
    <row r="375" spans="1:18">
      <c r="A375" s="303">
        <f>COUNTA($D$3:$D$375)</f>
        <v>373</v>
      </c>
      <c r="B375" s="303" t="s">
        <v>2855</v>
      </c>
      <c r="C375" s="303" t="s">
        <v>2856</v>
      </c>
      <c r="D375" s="303" t="s">
        <v>35</v>
      </c>
      <c r="E375" s="303" t="s">
        <v>2857</v>
      </c>
      <c r="F375" s="304"/>
      <c r="G375" s="304">
        <v>44672</v>
      </c>
      <c r="H375" s="304"/>
      <c r="I375" s="304"/>
      <c r="J375" s="303" t="s">
        <v>1891</v>
      </c>
      <c r="K375" s="305" t="s">
        <v>1311</v>
      </c>
      <c r="L375" s="176">
        <v>44680</v>
      </c>
      <c r="M375" t="s">
        <v>2980</v>
      </c>
      <c r="N375" s="204">
        <v>44677</v>
      </c>
      <c r="O375" s="203"/>
      <c r="Q375" t="s">
        <v>1041</v>
      </c>
      <c r="R375" t="s">
        <v>138</v>
      </c>
    </row>
    <row r="376" spans="1:18">
      <c r="A376" s="303">
        <f>COUNTA($D$3:$D$376)</f>
        <v>374</v>
      </c>
      <c r="B376" s="303" t="s">
        <v>2904</v>
      </c>
      <c r="C376" s="303" t="s">
        <v>45</v>
      </c>
      <c r="D376" s="303" t="s">
        <v>1137</v>
      </c>
      <c r="E376" s="303" t="s">
        <v>2905</v>
      </c>
      <c r="F376" s="304"/>
      <c r="G376" s="304"/>
      <c r="H376" s="304"/>
      <c r="I376" s="304"/>
      <c r="J376" s="303"/>
      <c r="K376" s="305"/>
      <c r="L376" s="176">
        <v>44678</v>
      </c>
      <c r="M376" t="s">
        <v>2938</v>
      </c>
      <c r="N376" s="204">
        <v>44678</v>
      </c>
      <c r="O376" s="203"/>
    </row>
    <row r="377" spans="1:18">
      <c r="A377" s="303">
        <f>COUNTA($D$3:$D$377)</f>
        <v>375</v>
      </c>
      <c r="B377" s="303" t="s">
        <v>2776</v>
      </c>
      <c r="C377" s="303" t="s">
        <v>45</v>
      </c>
      <c r="D377" s="303" t="s">
        <v>2777</v>
      </c>
      <c r="E377" s="303" t="s">
        <v>2778</v>
      </c>
      <c r="F377" s="304"/>
      <c r="G377" s="304"/>
      <c r="H377" s="304"/>
      <c r="I377" s="304"/>
      <c r="J377" s="303" t="s">
        <v>1683</v>
      </c>
      <c r="K377" s="305" t="s">
        <v>2058</v>
      </c>
      <c r="L377" s="176">
        <v>44672</v>
      </c>
      <c r="M377" t="s">
        <v>2838</v>
      </c>
      <c r="N377" s="204">
        <v>44672</v>
      </c>
      <c r="O377" s="203"/>
    </row>
    <row r="378" spans="1:18">
      <c r="A378" s="303">
        <f>COUNTA($D$3:$D$378)</f>
        <v>376</v>
      </c>
      <c r="B378" s="303" t="s">
        <v>2769</v>
      </c>
      <c r="C378" s="303" t="s">
        <v>45</v>
      </c>
      <c r="D378" s="303" t="s">
        <v>1136</v>
      </c>
      <c r="E378" s="303" t="s">
        <v>1197</v>
      </c>
      <c r="F378" s="304"/>
      <c r="G378" s="304"/>
      <c r="H378" s="304"/>
      <c r="I378" s="304"/>
      <c r="J378" s="303" t="s">
        <v>1665</v>
      </c>
      <c r="K378" s="305" t="s">
        <v>1309</v>
      </c>
      <c r="L378" s="176">
        <v>44672</v>
      </c>
      <c r="M378" t="s">
        <v>2838</v>
      </c>
      <c r="N378" s="204">
        <v>44672</v>
      </c>
      <c r="O378" s="203"/>
    </row>
    <row r="379" spans="1:18">
      <c r="A379" s="303">
        <f>COUNTA($D$3:$D$379)</f>
        <v>377</v>
      </c>
      <c r="B379" s="303" t="s">
        <v>2768</v>
      </c>
      <c r="C379" s="303" t="s">
        <v>45</v>
      </c>
      <c r="D379" s="303" t="s">
        <v>1193</v>
      </c>
      <c r="E379" s="303" t="s">
        <v>1299</v>
      </c>
      <c r="F379" s="304"/>
      <c r="G379" s="304"/>
      <c r="H379" s="304"/>
      <c r="I379" s="304"/>
      <c r="J379" s="303" t="s">
        <v>1683</v>
      </c>
      <c r="K379" s="305" t="s">
        <v>2058</v>
      </c>
      <c r="L379" s="176">
        <v>44672</v>
      </c>
      <c r="M379" t="s">
        <v>2838</v>
      </c>
      <c r="N379" s="204">
        <v>44672</v>
      </c>
      <c r="O379" s="203"/>
    </row>
    <row r="380" spans="1:18">
      <c r="A380" s="303">
        <f>COUNTA($D$3:$D$380)</f>
        <v>378</v>
      </c>
      <c r="B380" s="303" t="s">
        <v>2799</v>
      </c>
      <c r="C380" s="303" t="s">
        <v>1294</v>
      </c>
      <c r="D380" s="303" t="s">
        <v>1110</v>
      </c>
      <c r="E380" s="303" t="s">
        <v>2800</v>
      </c>
      <c r="F380" s="304"/>
      <c r="G380" s="304"/>
      <c r="H380" s="304">
        <v>44750</v>
      </c>
      <c r="I380" s="304"/>
      <c r="J380" s="303" t="s">
        <v>2220</v>
      </c>
      <c r="K380" s="305" t="s">
        <v>1310</v>
      </c>
      <c r="L380" s="176">
        <v>44672</v>
      </c>
      <c r="M380" t="s">
        <v>2841</v>
      </c>
      <c r="N380" s="204">
        <v>44672</v>
      </c>
      <c r="O380" s="203"/>
      <c r="R380" t="s">
        <v>138</v>
      </c>
    </row>
    <row r="381" spans="1:18">
      <c r="A381" s="303">
        <f>COUNTA($D$3:$D$381)</f>
        <v>379</v>
      </c>
      <c r="B381" s="303" t="s">
        <v>2835</v>
      </c>
      <c r="C381" s="303" t="s">
        <v>48</v>
      </c>
      <c r="D381" s="303" t="s">
        <v>38</v>
      </c>
      <c r="E381" s="303" t="s">
        <v>95</v>
      </c>
      <c r="F381" s="304"/>
      <c r="G381" s="304"/>
      <c r="H381" s="304"/>
      <c r="I381" s="304"/>
      <c r="J381" s="303" t="s">
        <v>2623</v>
      </c>
      <c r="K381" s="305"/>
      <c r="L381" s="176">
        <v>44672</v>
      </c>
      <c r="M381" t="s">
        <v>2938</v>
      </c>
      <c r="N381" s="204">
        <v>44672</v>
      </c>
      <c r="O381" s="203"/>
    </row>
    <row r="382" spans="1:18">
      <c r="A382" s="303">
        <f>COUNTA($D$3:$D$382)</f>
        <v>380</v>
      </c>
      <c r="B382" s="303" t="s">
        <v>2792</v>
      </c>
      <c r="C382" s="303" t="s">
        <v>2793</v>
      </c>
      <c r="D382" s="303" t="s">
        <v>20</v>
      </c>
      <c r="E382" s="303" t="s">
        <v>2794</v>
      </c>
      <c r="F382" s="304"/>
      <c r="G382" s="304"/>
      <c r="H382" s="304"/>
      <c r="I382" s="304"/>
      <c r="J382" s="303" t="s">
        <v>21</v>
      </c>
      <c r="K382" s="305" t="s">
        <v>1310</v>
      </c>
      <c r="L382" s="176">
        <v>44672</v>
      </c>
      <c r="M382" t="s">
        <v>2839</v>
      </c>
      <c r="N382" s="204">
        <v>44672</v>
      </c>
      <c r="O382" s="203"/>
      <c r="Q382" t="s">
        <v>1065</v>
      </c>
      <c r="R382" t="s">
        <v>138</v>
      </c>
    </row>
    <row r="383" spans="1:18">
      <c r="A383" s="303">
        <f>COUNTA($D$3:$D$383)</f>
        <v>381</v>
      </c>
      <c r="B383" s="303" t="s">
        <v>2830</v>
      </c>
      <c r="C383" s="303" t="s">
        <v>48</v>
      </c>
      <c r="D383" s="303" t="s">
        <v>38</v>
      </c>
      <c r="E383" s="303" t="s">
        <v>264</v>
      </c>
      <c r="F383" s="304"/>
      <c r="G383" s="304"/>
      <c r="H383" s="304"/>
      <c r="I383" s="304"/>
      <c r="J383" s="303" t="s">
        <v>1665</v>
      </c>
      <c r="K383" s="305" t="s">
        <v>2058</v>
      </c>
      <c r="L383" s="176">
        <v>44672</v>
      </c>
      <c r="M383" t="s">
        <v>2938</v>
      </c>
      <c r="N383" s="204">
        <v>44672</v>
      </c>
      <c r="O383" s="203"/>
      <c r="Q383" t="s">
        <v>2826</v>
      </c>
    </row>
    <row r="384" spans="1:18">
      <c r="A384" s="303">
        <f>COUNTA($D$3:$D$384)</f>
        <v>382</v>
      </c>
      <c r="B384" s="303" t="s">
        <v>2531</v>
      </c>
      <c r="C384" s="303" t="s">
        <v>48</v>
      </c>
      <c r="D384" s="303" t="s">
        <v>31</v>
      </c>
      <c r="E384" s="303" t="s">
        <v>209</v>
      </c>
      <c r="F384" s="304" t="s">
        <v>70</v>
      </c>
      <c r="G384" s="304">
        <v>44617</v>
      </c>
      <c r="H384" s="304"/>
      <c r="I384" s="304" t="s">
        <v>70</v>
      </c>
      <c r="J384" s="303" t="s">
        <v>1105</v>
      </c>
      <c r="K384" s="305" t="s">
        <v>1302</v>
      </c>
      <c r="L384" s="176">
        <v>44658</v>
      </c>
      <c r="M384" t="s">
        <v>2764</v>
      </c>
      <c r="N384" s="204">
        <v>44658</v>
      </c>
      <c r="O384" s="203"/>
      <c r="Q384" t="s">
        <v>1066</v>
      </c>
    </row>
    <row r="385" spans="1:18">
      <c r="A385" s="303">
        <f>COUNTA($D$3:$D$385)</f>
        <v>383</v>
      </c>
      <c r="B385" s="303" t="s">
        <v>2712</v>
      </c>
      <c r="C385" s="303" t="s">
        <v>48</v>
      </c>
      <c r="D385" s="303" t="s">
        <v>60</v>
      </c>
      <c r="E385" s="303" t="s">
        <v>127</v>
      </c>
      <c r="F385" s="304" t="s">
        <v>70</v>
      </c>
      <c r="G385" s="304">
        <v>44645</v>
      </c>
      <c r="H385" s="304"/>
      <c r="I385" s="304" t="s">
        <v>70</v>
      </c>
      <c r="J385" s="303" t="s">
        <v>2713</v>
      </c>
      <c r="K385" s="305" t="s">
        <v>1311</v>
      </c>
      <c r="L385" s="176">
        <v>44658</v>
      </c>
      <c r="M385" t="s">
        <v>2765</v>
      </c>
      <c r="N385" s="204">
        <v>44658</v>
      </c>
      <c r="O385" s="203"/>
      <c r="Q385" t="s">
        <v>64</v>
      </c>
    </row>
    <row r="386" spans="1:18">
      <c r="A386" s="303">
        <f>COUNTA($D$3:$D$386)</f>
        <v>384</v>
      </c>
      <c r="B386" s="303" t="s">
        <v>2711</v>
      </c>
      <c r="C386" s="303" t="s">
        <v>45</v>
      </c>
      <c r="D386" s="303" t="s">
        <v>53</v>
      </c>
      <c r="E386" s="303" t="s">
        <v>1100</v>
      </c>
      <c r="F386" s="304" t="s">
        <v>70</v>
      </c>
      <c r="G386" s="304">
        <v>44645</v>
      </c>
      <c r="H386" s="304"/>
      <c r="I386" s="304" t="s">
        <v>70</v>
      </c>
      <c r="J386" s="303" t="s">
        <v>1677</v>
      </c>
      <c r="K386" s="305" t="s">
        <v>1311</v>
      </c>
      <c r="L386" s="176">
        <v>44658</v>
      </c>
      <c r="M386" t="s">
        <v>2765</v>
      </c>
      <c r="N386" s="204">
        <v>44658</v>
      </c>
      <c r="O386" s="203"/>
      <c r="Q386" t="s">
        <v>64</v>
      </c>
    </row>
    <row r="387" spans="1:18">
      <c r="A387" s="303">
        <f>COUNTA($D$3:$D$387)</f>
        <v>385</v>
      </c>
      <c r="B387" s="303" t="s">
        <v>2630</v>
      </c>
      <c r="C387" s="303" t="s">
        <v>45</v>
      </c>
      <c r="D387" s="303" t="s">
        <v>62</v>
      </c>
      <c r="E387" s="303" t="s">
        <v>1185</v>
      </c>
      <c r="F387" s="304" t="s">
        <v>70</v>
      </c>
      <c r="G387" s="304">
        <v>44631</v>
      </c>
      <c r="H387" s="304"/>
      <c r="I387" s="304" t="s">
        <v>70</v>
      </c>
      <c r="J387" s="303" t="s">
        <v>1500</v>
      </c>
      <c r="K387" s="305" t="s">
        <v>1310</v>
      </c>
      <c r="L387" s="176">
        <v>44658</v>
      </c>
      <c r="M387" t="s">
        <v>2765</v>
      </c>
      <c r="N387" s="204">
        <v>44658</v>
      </c>
      <c r="O387" s="203"/>
      <c r="Q387" t="s">
        <v>64</v>
      </c>
    </row>
    <row r="388" spans="1:18">
      <c r="A388" s="303">
        <f>COUNTA($D$3:$D$388)</f>
        <v>386</v>
      </c>
      <c r="B388" s="303" t="s">
        <v>2548</v>
      </c>
      <c r="C388" s="303" t="s">
        <v>45</v>
      </c>
      <c r="D388" s="303" t="s">
        <v>34</v>
      </c>
      <c r="E388" s="303" t="s">
        <v>1655</v>
      </c>
      <c r="F388" s="304" t="s">
        <v>70</v>
      </c>
      <c r="G388" s="304">
        <v>44617</v>
      </c>
      <c r="H388" s="304"/>
      <c r="I388" s="304" t="s">
        <v>70</v>
      </c>
      <c r="J388" s="303" t="s">
        <v>2568</v>
      </c>
      <c r="K388" s="305" t="s">
        <v>1289</v>
      </c>
      <c r="L388" s="176">
        <v>44658</v>
      </c>
      <c r="M388" t="s">
        <v>2765</v>
      </c>
      <c r="N388" s="204">
        <v>44658</v>
      </c>
      <c r="O388" s="203"/>
      <c r="Q388" t="s">
        <v>64</v>
      </c>
    </row>
    <row r="389" spans="1:18">
      <c r="A389" s="303">
        <f>COUNTA($D$3:$D$389)</f>
        <v>387</v>
      </c>
      <c r="B389" s="303" t="s">
        <v>2339</v>
      </c>
      <c r="C389" s="303" t="s">
        <v>45</v>
      </c>
      <c r="D389" s="303" t="s">
        <v>49</v>
      </c>
      <c r="E389" s="303" t="s">
        <v>1230</v>
      </c>
      <c r="F389" s="304" t="s">
        <v>70</v>
      </c>
      <c r="G389" s="304">
        <v>44575</v>
      </c>
      <c r="H389" s="304"/>
      <c r="I389" s="304" t="s">
        <v>70</v>
      </c>
      <c r="J389" s="303" t="s">
        <v>1850</v>
      </c>
      <c r="K389" s="305" t="s">
        <v>1302</v>
      </c>
      <c r="L389" s="176">
        <v>44649</v>
      </c>
      <c r="M389" t="s">
        <v>2735</v>
      </c>
      <c r="N389" s="204">
        <v>44649</v>
      </c>
      <c r="O389" s="203"/>
      <c r="Q389" t="s">
        <v>1066</v>
      </c>
    </row>
    <row r="390" spans="1:18">
      <c r="A390" s="303">
        <f>COUNTA($D$3:$D$390)</f>
        <v>388</v>
      </c>
      <c r="B390" s="303" t="s">
        <v>2344</v>
      </c>
      <c r="C390" s="303" t="s">
        <v>45</v>
      </c>
      <c r="D390" s="303" t="s">
        <v>20</v>
      </c>
      <c r="E390" s="303" t="s">
        <v>1139</v>
      </c>
      <c r="F390" s="304" t="s">
        <v>70</v>
      </c>
      <c r="G390" s="304">
        <v>44582</v>
      </c>
      <c r="H390" s="304"/>
      <c r="I390" s="304" t="s">
        <v>70</v>
      </c>
      <c r="J390" s="303" t="s">
        <v>2416</v>
      </c>
      <c r="K390" s="305" t="s">
        <v>1309</v>
      </c>
      <c r="L390" s="176">
        <v>44649</v>
      </c>
      <c r="M390" t="s">
        <v>3668</v>
      </c>
      <c r="O390" s="203" t="s">
        <v>1078</v>
      </c>
      <c r="Q390" t="s">
        <v>64</v>
      </c>
      <c r="R390" t="s">
        <v>26</v>
      </c>
    </row>
    <row r="391" spans="1:18">
      <c r="A391" s="303">
        <f>COUNTA($D$3:$D$391)</f>
        <v>389</v>
      </c>
      <c r="B391" s="303" t="s">
        <v>2358</v>
      </c>
      <c r="C391" s="303" t="s">
        <v>45</v>
      </c>
      <c r="D391" s="303" t="s">
        <v>35</v>
      </c>
      <c r="E391" s="303" t="s">
        <v>2359</v>
      </c>
      <c r="F391" s="304" t="s">
        <v>70</v>
      </c>
      <c r="G391" s="304">
        <v>44575</v>
      </c>
      <c r="H391" s="304"/>
      <c r="I391" s="304" t="s">
        <v>70</v>
      </c>
      <c r="J391" s="303" t="s">
        <v>1685</v>
      </c>
      <c r="K391" s="305" t="s">
        <v>1310</v>
      </c>
      <c r="L391" s="176">
        <v>44649</v>
      </c>
      <c r="M391" t="s">
        <v>2737</v>
      </c>
      <c r="N391" s="204">
        <v>44649</v>
      </c>
      <c r="O391" s="203"/>
      <c r="Q391" t="s">
        <v>64</v>
      </c>
    </row>
    <row r="392" spans="1:18">
      <c r="A392" s="303">
        <f>COUNTA($D$3:$D$392)</f>
        <v>390</v>
      </c>
      <c r="B392" s="303" t="s">
        <v>2291</v>
      </c>
      <c r="C392" s="303" t="s">
        <v>1203</v>
      </c>
      <c r="D392" s="303" t="s">
        <v>42</v>
      </c>
      <c r="E392" s="303" t="s">
        <v>1204</v>
      </c>
      <c r="F392" s="304">
        <v>44544</v>
      </c>
      <c r="G392" s="304">
        <v>44540</v>
      </c>
      <c r="H392" s="304"/>
      <c r="I392" s="304">
        <v>44544</v>
      </c>
      <c r="J392" s="303" t="s">
        <v>2292</v>
      </c>
      <c r="K392" s="305" t="s">
        <v>1311</v>
      </c>
      <c r="L392" s="176">
        <v>44649</v>
      </c>
      <c r="M392" t="s">
        <v>2734</v>
      </c>
      <c r="N392" s="204">
        <v>44701</v>
      </c>
      <c r="O392" s="203"/>
      <c r="Q392" t="s">
        <v>39</v>
      </c>
      <c r="R392" t="s">
        <v>138</v>
      </c>
    </row>
    <row r="393" spans="1:18">
      <c r="A393" s="303">
        <f>COUNTA($D$3:$D$393)</f>
        <v>391</v>
      </c>
      <c r="B393" s="303" t="s">
        <v>2296</v>
      </c>
      <c r="C393" s="303" t="s">
        <v>41</v>
      </c>
      <c r="D393" s="303" t="s">
        <v>34</v>
      </c>
      <c r="E393" s="303" t="s">
        <v>1263</v>
      </c>
      <c r="F393" s="304">
        <v>44551</v>
      </c>
      <c r="G393" s="304">
        <v>44575</v>
      </c>
      <c r="H393" s="304"/>
      <c r="I393" s="304">
        <v>44551</v>
      </c>
      <c r="J393" s="303" t="s">
        <v>2297</v>
      </c>
      <c r="K393" s="305" t="s">
        <v>1310</v>
      </c>
      <c r="L393" s="176">
        <v>44649</v>
      </c>
      <c r="M393" t="s">
        <v>2734</v>
      </c>
      <c r="N393" s="204">
        <v>44781</v>
      </c>
      <c r="O393" s="203"/>
      <c r="Q393" t="s">
        <v>39</v>
      </c>
      <c r="R393" t="s">
        <v>138</v>
      </c>
    </row>
    <row r="394" spans="1:18">
      <c r="A394" s="303">
        <f>COUNTA($D$3:$D$394)</f>
        <v>392</v>
      </c>
      <c r="B394" s="303" t="s">
        <v>2300</v>
      </c>
      <c r="C394" s="303" t="s">
        <v>41</v>
      </c>
      <c r="D394" s="303" t="s">
        <v>38</v>
      </c>
      <c r="E394" s="303" t="s">
        <v>1691</v>
      </c>
      <c r="F394" s="304">
        <v>44546</v>
      </c>
      <c r="G394" s="304">
        <v>44575</v>
      </c>
      <c r="H394" s="304"/>
      <c r="I394" s="304">
        <v>44546</v>
      </c>
      <c r="J394" s="303" t="s">
        <v>1500</v>
      </c>
      <c r="K394" s="305" t="s">
        <v>1311</v>
      </c>
      <c r="L394" s="176">
        <v>44649</v>
      </c>
      <c r="M394" t="s">
        <v>2734</v>
      </c>
      <c r="N394" s="204">
        <v>44781</v>
      </c>
      <c r="O394" s="203"/>
      <c r="Q394" t="s">
        <v>39</v>
      </c>
      <c r="R394" t="s">
        <v>138</v>
      </c>
    </row>
    <row r="395" spans="1:18">
      <c r="A395" s="303">
        <f>COUNTA($D$3:$D$395)</f>
        <v>393</v>
      </c>
      <c r="B395" s="303" t="s">
        <v>2332</v>
      </c>
      <c r="C395" s="303" t="s">
        <v>25</v>
      </c>
      <c r="D395" s="303" t="s">
        <v>36</v>
      </c>
      <c r="E395" s="303" t="s">
        <v>1272</v>
      </c>
      <c r="F395" s="304">
        <v>44567</v>
      </c>
      <c r="G395" s="304">
        <v>44575</v>
      </c>
      <c r="H395" s="304"/>
      <c r="I395" s="304">
        <v>44567</v>
      </c>
      <c r="J395" s="303" t="s">
        <v>2414</v>
      </c>
      <c r="K395" s="305" t="s">
        <v>1302</v>
      </c>
      <c r="L395" s="176">
        <v>44649</v>
      </c>
      <c r="M395" t="s">
        <v>2734</v>
      </c>
      <c r="N395" s="204">
        <v>44907</v>
      </c>
      <c r="O395" s="203"/>
      <c r="Q395" t="s">
        <v>39</v>
      </c>
      <c r="R395" t="s">
        <v>138</v>
      </c>
    </row>
    <row r="396" spans="1:18">
      <c r="A396" s="303">
        <f>COUNTA($D$3:$D$396)</f>
        <v>394</v>
      </c>
      <c r="B396" s="303" t="s">
        <v>2283</v>
      </c>
      <c r="C396" s="303" t="s">
        <v>41</v>
      </c>
      <c r="D396" s="303" t="s">
        <v>34</v>
      </c>
      <c r="E396" s="303" t="s">
        <v>1684</v>
      </c>
      <c r="F396" s="304">
        <v>44537</v>
      </c>
      <c r="G396" s="304">
        <v>44540</v>
      </c>
      <c r="H396" s="304"/>
      <c r="I396" s="304">
        <v>44537</v>
      </c>
      <c r="J396" s="303" t="s">
        <v>1500</v>
      </c>
      <c r="K396" s="305" t="s">
        <v>1302</v>
      </c>
      <c r="L396" s="176">
        <v>44649</v>
      </c>
      <c r="M396" t="s">
        <v>2734</v>
      </c>
      <c r="N396" s="204">
        <v>44781</v>
      </c>
      <c r="O396" s="203"/>
      <c r="Q396" t="s">
        <v>39</v>
      </c>
      <c r="R396" t="s">
        <v>138</v>
      </c>
    </row>
    <row r="397" spans="1:18">
      <c r="A397" s="303">
        <f>COUNTA($D$3:$D$397)</f>
        <v>395</v>
      </c>
      <c r="B397" s="303" t="s">
        <v>2345</v>
      </c>
      <c r="C397" s="303" t="s">
        <v>311</v>
      </c>
      <c r="D397" s="303" t="s">
        <v>20</v>
      </c>
      <c r="E397" s="303" t="s">
        <v>1061</v>
      </c>
      <c r="F397" s="304">
        <v>44589</v>
      </c>
      <c r="G397" s="304"/>
      <c r="H397" s="304"/>
      <c r="I397" s="304">
        <v>44589</v>
      </c>
      <c r="J397" s="303" t="s">
        <v>2417</v>
      </c>
      <c r="K397" s="305" t="s">
        <v>1289</v>
      </c>
      <c r="L397" s="176">
        <v>44649</v>
      </c>
      <c r="M397" t="s">
        <v>2734</v>
      </c>
      <c r="N397" s="204">
        <v>44708</v>
      </c>
      <c r="O397" s="203"/>
      <c r="Q397" t="s">
        <v>314</v>
      </c>
      <c r="R397" t="s">
        <v>138</v>
      </c>
    </row>
    <row r="398" spans="1:18">
      <c r="A398" s="303">
        <f>COUNTA($D$3:$D$398)</f>
        <v>396</v>
      </c>
      <c r="B398" s="303" t="s">
        <v>2360</v>
      </c>
      <c r="C398" s="303" t="s">
        <v>41</v>
      </c>
      <c r="D398" s="303" t="s">
        <v>34</v>
      </c>
      <c r="E398" s="303" t="s">
        <v>1306</v>
      </c>
      <c r="F398" s="304">
        <v>44567</v>
      </c>
      <c r="G398" s="304">
        <v>44575</v>
      </c>
      <c r="H398" s="304"/>
      <c r="I398" s="304">
        <v>44567</v>
      </c>
      <c r="J398" s="303" t="s">
        <v>1677</v>
      </c>
      <c r="K398" s="305" t="s">
        <v>1302</v>
      </c>
      <c r="L398" s="176">
        <v>44649</v>
      </c>
      <c r="M398" t="s">
        <v>2734</v>
      </c>
      <c r="N398" s="204">
        <v>44781</v>
      </c>
      <c r="O398" s="203"/>
      <c r="Q398" t="s">
        <v>39</v>
      </c>
      <c r="R398" t="s">
        <v>138</v>
      </c>
    </row>
    <row r="399" spans="1:18">
      <c r="A399" s="303">
        <f>COUNTA($D$3:$D$399)</f>
        <v>397</v>
      </c>
      <c r="B399" s="303" t="s">
        <v>2361</v>
      </c>
      <c r="C399" s="303" t="s">
        <v>41</v>
      </c>
      <c r="D399" s="303" t="s">
        <v>34</v>
      </c>
      <c r="E399" s="303" t="s">
        <v>1304</v>
      </c>
      <c r="F399" s="304">
        <v>44544</v>
      </c>
      <c r="G399" s="304"/>
      <c r="H399" s="304"/>
      <c r="I399" s="304">
        <v>44544</v>
      </c>
      <c r="J399" s="303" t="s">
        <v>1674</v>
      </c>
      <c r="K399" s="305" t="s">
        <v>1310</v>
      </c>
      <c r="L399" s="176">
        <v>44649</v>
      </c>
      <c r="M399" t="s">
        <v>2734</v>
      </c>
      <c r="N399" s="204">
        <v>44554</v>
      </c>
      <c r="O399" s="203"/>
      <c r="Q399" t="s">
        <v>39</v>
      </c>
      <c r="R399" t="s">
        <v>138</v>
      </c>
    </row>
    <row r="400" spans="1:18">
      <c r="A400" s="303">
        <f>COUNTA($D$3:$D$400)</f>
        <v>398</v>
      </c>
      <c r="B400" s="303" t="s">
        <v>2362</v>
      </c>
      <c r="C400" s="303" t="s">
        <v>41</v>
      </c>
      <c r="D400" s="303" t="s">
        <v>34</v>
      </c>
      <c r="E400" s="303" t="s">
        <v>1134</v>
      </c>
      <c r="F400" s="304">
        <v>44567</v>
      </c>
      <c r="G400" s="304">
        <v>44575</v>
      </c>
      <c r="H400" s="304"/>
      <c r="I400" s="304">
        <v>44567</v>
      </c>
      <c r="J400" s="303" t="s">
        <v>2418</v>
      </c>
      <c r="K400" s="305" t="s">
        <v>2635</v>
      </c>
      <c r="L400" s="176">
        <v>44649</v>
      </c>
      <c r="M400" t="s">
        <v>2734</v>
      </c>
      <c r="N400" s="204">
        <v>44781</v>
      </c>
      <c r="O400" s="203"/>
      <c r="Q400" t="s">
        <v>39</v>
      </c>
      <c r="R400" t="s">
        <v>138</v>
      </c>
    </row>
    <row r="401" spans="1:18">
      <c r="A401" s="303">
        <f>COUNTA($D$3:$D$401)</f>
        <v>399</v>
      </c>
      <c r="B401" s="303" t="s">
        <v>2450</v>
      </c>
      <c r="C401" s="303" t="s">
        <v>1118</v>
      </c>
      <c r="D401" s="303" t="s">
        <v>29</v>
      </c>
      <c r="E401" s="303" t="s">
        <v>2451</v>
      </c>
      <c r="F401" s="304">
        <v>44589</v>
      </c>
      <c r="G401" s="304">
        <v>44575</v>
      </c>
      <c r="H401" s="304"/>
      <c r="I401" s="304">
        <v>44589</v>
      </c>
      <c r="J401" s="303" t="s">
        <v>2452</v>
      </c>
      <c r="K401" s="305" t="s">
        <v>1310</v>
      </c>
      <c r="L401" s="176">
        <v>44649</v>
      </c>
      <c r="M401" t="s">
        <v>2734</v>
      </c>
      <c r="N401" s="204">
        <v>44649</v>
      </c>
      <c r="O401" s="203"/>
      <c r="Q401" t="s">
        <v>39</v>
      </c>
      <c r="R401" t="s">
        <v>138</v>
      </c>
    </row>
    <row r="402" spans="1:18">
      <c r="A402" s="303">
        <f>COUNTA($D$3:$D$402)</f>
        <v>400</v>
      </c>
      <c r="B402" s="303" t="s">
        <v>2365</v>
      </c>
      <c r="C402" s="303" t="s">
        <v>2366</v>
      </c>
      <c r="D402" s="303" t="s">
        <v>2367</v>
      </c>
      <c r="E402" s="303" t="s">
        <v>2936</v>
      </c>
      <c r="F402" s="304"/>
      <c r="G402" s="304">
        <v>44582</v>
      </c>
      <c r="H402" s="304"/>
      <c r="I402" s="304"/>
      <c r="J402" s="303" t="s">
        <v>1733</v>
      </c>
      <c r="K402" s="305" t="s">
        <v>1310</v>
      </c>
      <c r="L402" s="176">
        <v>44649</v>
      </c>
      <c r="M402" t="s">
        <v>2736</v>
      </c>
      <c r="N402" s="204">
        <v>44678</v>
      </c>
      <c r="O402" s="203"/>
      <c r="Q402" t="s">
        <v>32</v>
      </c>
      <c r="R402" t="s">
        <v>138</v>
      </c>
    </row>
    <row r="403" spans="1:18">
      <c r="A403" s="303">
        <f>COUNTA($D$3:$D$403)</f>
        <v>401</v>
      </c>
      <c r="B403" s="303" t="s">
        <v>2352</v>
      </c>
      <c r="C403" s="303" t="s">
        <v>2353</v>
      </c>
      <c r="D403" s="303" t="s">
        <v>60</v>
      </c>
      <c r="E403" s="303" t="s">
        <v>2354</v>
      </c>
      <c r="F403" s="304" t="s">
        <v>59</v>
      </c>
      <c r="G403" s="304"/>
      <c r="H403" s="304"/>
      <c r="I403" s="304" t="s">
        <v>59</v>
      </c>
      <c r="J403" s="303" t="s">
        <v>21</v>
      </c>
      <c r="K403" s="305" t="s">
        <v>1310</v>
      </c>
      <c r="L403" s="176">
        <v>44649</v>
      </c>
      <c r="M403" t="s">
        <v>2736</v>
      </c>
      <c r="N403" s="204">
        <v>44554</v>
      </c>
      <c r="O403" s="203"/>
      <c r="Q403" t="s">
        <v>32</v>
      </c>
      <c r="R403" t="s">
        <v>138</v>
      </c>
    </row>
    <row r="404" spans="1:18">
      <c r="A404" s="303">
        <f>COUNTA($D$3:$D$404)</f>
        <v>402</v>
      </c>
      <c r="B404" s="303" t="s">
        <v>2311</v>
      </c>
      <c r="C404" s="303" t="s">
        <v>2312</v>
      </c>
      <c r="D404" s="303" t="s">
        <v>1110</v>
      </c>
      <c r="E404" s="303" t="s">
        <v>2313</v>
      </c>
      <c r="F404" s="304">
        <v>44551</v>
      </c>
      <c r="G404" s="304">
        <v>44575</v>
      </c>
      <c r="H404" s="304"/>
      <c r="I404" s="304">
        <v>44551</v>
      </c>
      <c r="J404" s="303" t="s">
        <v>1105</v>
      </c>
      <c r="K404" s="305" t="s">
        <v>297</v>
      </c>
      <c r="L404" s="176">
        <v>44649</v>
      </c>
      <c r="N404" s="204">
        <v>45083</v>
      </c>
      <c r="O404" s="203" t="s">
        <v>5597</v>
      </c>
      <c r="Q404" t="s">
        <v>1741</v>
      </c>
      <c r="R404" t="s">
        <v>26</v>
      </c>
    </row>
    <row r="405" spans="1:18">
      <c r="A405" s="303">
        <f>COUNTA($D$3:$D$405)</f>
        <v>403</v>
      </c>
      <c r="B405" s="303" t="s">
        <v>2456</v>
      </c>
      <c r="C405" s="303" t="s">
        <v>2457</v>
      </c>
      <c r="D405" s="303" t="s">
        <v>1110</v>
      </c>
      <c r="E405" s="303" t="s">
        <v>2458</v>
      </c>
      <c r="F405" s="304">
        <v>44603</v>
      </c>
      <c r="G405" s="304">
        <v>44603</v>
      </c>
      <c r="H405" s="304"/>
      <c r="I405" s="304">
        <v>44603</v>
      </c>
      <c r="J405" s="303" t="s">
        <v>1722</v>
      </c>
      <c r="K405" s="305" t="s">
        <v>297</v>
      </c>
      <c r="L405" s="176">
        <v>44649</v>
      </c>
      <c r="M405" t="s">
        <v>2740</v>
      </c>
      <c r="N405" s="204">
        <v>44579</v>
      </c>
      <c r="O405" s="203"/>
      <c r="Q405" t="s">
        <v>1067</v>
      </c>
      <c r="R405" t="s">
        <v>138</v>
      </c>
    </row>
    <row r="406" spans="1:18">
      <c r="A406" s="303">
        <f>COUNTA($D$3:$D$406)</f>
        <v>404</v>
      </c>
      <c r="B406" s="303" t="s">
        <v>2333</v>
      </c>
      <c r="C406" s="303" t="s">
        <v>1780</v>
      </c>
      <c r="D406" s="303" t="s">
        <v>23</v>
      </c>
      <c r="E406" s="303" t="s">
        <v>1781</v>
      </c>
      <c r="F406" s="304">
        <v>44551</v>
      </c>
      <c r="G406" s="304">
        <v>44575</v>
      </c>
      <c r="H406" s="304"/>
      <c r="I406" s="304">
        <v>44551</v>
      </c>
      <c r="J406" s="303" t="s">
        <v>2415</v>
      </c>
      <c r="K406" s="305" t="s">
        <v>297</v>
      </c>
      <c r="L406" s="176">
        <v>44649</v>
      </c>
      <c r="M406" t="s">
        <v>2738</v>
      </c>
      <c r="N406" s="204">
        <v>44649</v>
      </c>
      <c r="O406" s="203"/>
      <c r="Q406" t="s">
        <v>39</v>
      </c>
      <c r="R406" t="s">
        <v>138</v>
      </c>
    </row>
    <row r="407" spans="1:18">
      <c r="A407" s="303">
        <f>COUNTA($D$3:$D$407)</f>
        <v>405</v>
      </c>
      <c r="B407" s="303" t="s">
        <v>2404</v>
      </c>
      <c r="C407" s="303" t="s">
        <v>61</v>
      </c>
      <c r="D407" s="303" t="s">
        <v>38</v>
      </c>
      <c r="E407" s="303" t="s">
        <v>2405</v>
      </c>
      <c r="F407" s="304">
        <v>44581</v>
      </c>
      <c r="G407" s="304">
        <v>44582</v>
      </c>
      <c r="H407" s="304"/>
      <c r="I407" s="304">
        <v>44581</v>
      </c>
      <c r="J407" s="303" t="s">
        <v>2470</v>
      </c>
      <c r="K407" s="305" t="s">
        <v>297</v>
      </c>
      <c r="L407" s="176">
        <v>44649</v>
      </c>
      <c r="N407" s="204">
        <v>45083</v>
      </c>
      <c r="O407" s="203" t="s">
        <v>5597</v>
      </c>
      <c r="Q407" t="s">
        <v>39</v>
      </c>
      <c r="R407" t="s">
        <v>26</v>
      </c>
    </row>
    <row r="408" spans="1:18">
      <c r="A408" s="303">
        <f>COUNTA($D$3:$D$408)</f>
        <v>406</v>
      </c>
      <c r="B408" s="303" t="s">
        <v>2355</v>
      </c>
      <c r="C408" s="303" t="s">
        <v>2356</v>
      </c>
      <c r="D408" s="303" t="s">
        <v>1092</v>
      </c>
      <c r="E408" s="303" t="s">
        <v>2357</v>
      </c>
      <c r="F408" s="304"/>
      <c r="G408" s="304"/>
      <c r="H408" s="304"/>
      <c r="I408" s="304"/>
      <c r="J408" s="303" t="s">
        <v>1738</v>
      </c>
      <c r="K408" s="305" t="s">
        <v>297</v>
      </c>
      <c r="L408" s="176">
        <v>44649</v>
      </c>
      <c r="M408" t="s">
        <v>2739</v>
      </c>
      <c r="N408" s="204">
        <v>44679</v>
      </c>
      <c r="O408" s="203"/>
      <c r="Q408" t="s">
        <v>32</v>
      </c>
      <c r="R408" t="s">
        <v>138</v>
      </c>
    </row>
    <row r="409" spans="1:18">
      <c r="A409" s="303">
        <f>COUNTA($D$3:$D$409)</f>
        <v>407</v>
      </c>
      <c r="B409" s="303" t="s">
        <v>2678</v>
      </c>
      <c r="C409" s="303" t="s">
        <v>48</v>
      </c>
      <c r="D409" s="303" t="s">
        <v>2679</v>
      </c>
      <c r="E409" s="303" t="s">
        <v>155</v>
      </c>
      <c r="F409" s="304"/>
      <c r="G409" s="304"/>
      <c r="H409" s="304"/>
      <c r="I409" s="304"/>
      <c r="J409" s="303" t="s">
        <v>2220</v>
      </c>
      <c r="K409" s="305" t="s">
        <v>1310</v>
      </c>
      <c r="L409" s="176">
        <v>44641</v>
      </c>
      <c r="M409" t="s">
        <v>2695</v>
      </c>
      <c r="N409" s="204">
        <v>44637</v>
      </c>
      <c r="O409" s="203"/>
    </row>
    <row r="410" spans="1:18">
      <c r="A410" s="303">
        <f>COUNTA($D$3:$D$410)</f>
        <v>408</v>
      </c>
      <c r="B410" s="303" t="s">
        <v>2545</v>
      </c>
      <c r="C410" s="303" t="s">
        <v>1285</v>
      </c>
      <c r="D410" s="303" t="s">
        <v>23</v>
      </c>
      <c r="E410" s="303" t="s">
        <v>2546</v>
      </c>
      <c r="F410" s="304">
        <v>44615</v>
      </c>
      <c r="G410" s="304">
        <v>44617</v>
      </c>
      <c r="H410" s="304"/>
      <c r="I410" s="304">
        <v>44615</v>
      </c>
      <c r="J410" s="303" t="s">
        <v>2682</v>
      </c>
      <c r="K410" s="305" t="s">
        <v>1310</v>
      </c>
      <c r="L410" s="176">
        <v>44641</v>
      </c>
      <c r="M410" t="s">
        <v>2683</v>
      </c>
      <c r="N410" s="204">
        <v>44629</v>
      </c>
      <c r="O410" s="203"/>
      <c r="Q410" t="s">
        <v>39</v>
      </c>
      <c r="R410" t="s">
        <v>138</v>
      </c>
    </row>
    <row r="411" spans="1:18">
      <c r="A411" s="303">
        <f>COUNTA($D$3:$D$411)</f>
        <v>409</v>
      </c>
      <c r="B411" s="303" t="s">
        <v>2543</v>
      </c>
      <c r="C411" s="303" t="s">
        <v>1285</v>
      </c>
      <c r="D411" s="303" t="s">
        <v>23</v>
      </c>
      <c r="E411" s="303" t="s">
        <v>2544</v>
      </c>
      <c r="F411" s="304">
        <v>44615</v>
      </c>
      <c r="G411" s="304">
        <v>44617</v>
      </c>
      <c r="H411" s="304"/>
      <c r="I411" s="304">
        <v>44615</v>
      </c>
      <c r="J411" s="303" t="s">
        <v>2681</v>
      </c>
      <c r="K411" s="305" t="s">
        <v>1310</v>
      </c>
      <c r="L411" s="176">
        <v>44641</v>
      </c>
      <c r="M411" t="s">
        <v>2683</v>
      </c>
      <c r="N411" s="204">
        <v>44629</v>
      </c>
      <c r="O411" s="203"/>
      <c r="Q411" t="s">
        <v>39</v>
      </c>
      <c r="R411" t="s">
        <v>138</v>
      </c>
    </row>
    <row r="412" spans="1:18">
      <c r="A412" s="303">
        <f>COUNTA($D$3:$D$412)</f>
        <v>410</v>
      </c>
      <c r="B412" s="303" t="s">
        <v>2514</v>
      </c>
      <c r="C412" s="303" t="s">
        <v>2515</v>
      </c>
      <c r="D412" s="303" t="s">
        <v>34</v>
      </c>
      <c r="E412" s="303" t="s">
        <v>1223</v>
      </c>
      <c r="F412" s="304"/>
      <c r="G412" s="304">
        <v>44617</v>
      </c>
      <c r="H412" s="304"/>
      <c r="I412" s="304"/>
      <c r="J412" s="303" t="s">
        <v>2680</v>
      </c>
      <c r="K412" s="305"/>
      <c r="L412" s="176">
        <v>44637</v>
      </c>
      <c r="M412" t="s">
        <v>2636</v>
      </c>
      <c r="N412" s="204">
        <v>44776</v>
      </c>
      <c r="O412" s="203"/>
      <c r="Q412" t="s">
        <v>312</v>
      </c>
      <c r="R412" t="s">
        <v>138</v>
      </c>
    </row>
    <row r="413" spans="1:18">
      <c r="A413" s="303">
        <f>COUNTA($D$3:$D$413)</f>
        <v>411</v>
      </c>
      <c r="B413" s="303" t="s">
        <v>2553</v>
      </c>
      <c r="C413" s="303" t="s">
        <v>45</v>
      </c>
      <c r="D413" s="303" t="s">
        <v>1151</v>
      </c>
      <c r="E413" s="303" t="s">
        <v>1152</v>
      </c>
      <c r="F413" s="304"/>
      <c r="G413" s="304"/>
      <c r="H413" s="304"/>
      <c r="I413" s="304"/>
      <c r="J413" s="303" t="s">
        <v>1665</v>
      </c>
      <c r="K413" s="305" t="s">
        <v>1309</v>
      </c>
      <c r="L413" s="176">
        <v>44620</v>
      </c>
      <c r="M413" t="s">
        <v>2570</v>
      </c>
      <c r="N413" s="204">
        <v>44636</v>
      </c>
      <c r="O413" s="203"/>
    </row>
    <row r="414" spans="1:18">
      <c r="A414" s="303">
        <f>COUNTA($D$3:$D$414)</f>
        <v>412</v>
      </c>
      <c r="B414" s="303" t="s">
        <v>2563</v>
      </c>
      <c r="C414" s="303" t="s">
        <v>45</v>
      </c>
      <c r="D414" s="303" t="s">
        <v>1178</v>
      </c>
      <c r="E414" s="303" t="s">
        <v>2219</v>
      </c>
      <c r="F414" s="304"/>
      <c r="G414" s="304"/>
      <c r="H414" s="304"/>
      <c r="I414" s="304"/>
      <c r="J414" s="303" t="s">
        <v>2220</v>
      </c>
      <c r="K414" s="305" t="s">
        <v>1310</v>
      </c>
      <c r="L414" s="176">
        <v>44620</v>
      </c>
      <c r="M414" t="s">
        <v>2571</v>
      </c>
      <c r="N414" s="204">
        <v>44621</v>
      </c>
      <c r="O414" s="203"/>
    </row>
    <row r="415" spans="1:18">
      <c r="A415" s="303">
        <f>COUNTA($D$3:$D$415)</f>
        <v>413</v>
      </c>
      <c r="B415" s="303" t="s">
        <v>2562</v>
      </c>
      <c r="C415" s="303" t="s">
        <v>45</v>
      </c>
      <c r="D415" s="303" t="s">
        <v>56</v>
      </c>
      <c r="E415" s="303" t="s">
        <v>2043</v>
      </c>
      <c r="F415" s="304"/>
      <c r="G415" s="304"/>
      <c r="H415" s="304"/>
      <c r="I415" s="304"/>
      <c r="J415" s="303" t="s">
        <v>2220</v>
      </c>
      <c r="K415" s="305" t="s">
        <v>1310</v>
      </c>
      <c r="L415" s="176">
        <v>44620</v>
      </c>
      <c r="M415" t="s">
        <v>2571</v>
      </c>
      <c r="N415" s="204">
        <v>44622</v>
      </c>
      <c r="O415" s="203"/>
    </row>
    <row r="416" spans="1:18">
      <c r="A416" s="303">
        <f>COUNTA($D$3:$D$416)</f>
        <v>414</v>
      </c>
      <c r="B416" s="303" t="s">
        <v>2564</v>
      </c>
      <c r="C416" s="303" t="s">
        <v>45</v>
      </c>
      <c r="D416" s="303" t="s">
        <v>2565</v>
      </c>
      <c r="E416" s="303" t="s">
        <v>2566</v>
      </c>
      <c r="F416" s="304"/>
      <c r="G416" s="304"/>
      <c r="H416" s="304"/>
      <c r="I416" s="304"/>
      <c r="J416" s="303" t="s">
        <v>1665</v>
      </c>
      <c r="K416" s="305" t="s">
        <v>1310</v>
      </c>
      <c r="L416" s="176">
        <v>44620</v>
      </c>
      <c r="M416" t="s">
        <v>2571</v>
      </c>
      <c r="N416" s="204">
        <v>44623</v>
      </c>
      <c r="O416" s="203"/>
    </row>
    <row r="417" spans="1:18">
      <c r="A417" s="303">
        <f>COUNTA($D$3:$D$417)</f>
        <v>415</v>
      </c>
      <c r="B417" s="303" t="s">
        <v>2277</v>
      </c>
      <c r="C417" s="303" t="s">
        <v>1166</v>
      </c>
      <c r="D417" s="303" t="s">
        <v>20</v>
      </c>
      <c r="E417" s="303" t="s">
        <v>2278</v>
      </c>
      <c r="F417" s="304">
        <v>44534</v>
      </c>
      <c r="G417" s="304">
        <v>44533</v>
      </c>
      <c r="H417" s="304"/>
      <c r="I417" s="304">
        <v>44534</v>
      </c>
      <c r="J417" s="303" t="s">
        <v>2279</v>
      </c>
      <c r="K417" s="305" t="s">
        <v>2058</v>
      </c>
      <c r="L417" s="176">
        <v>44620</v>
      </c>
      <c r="O417" s="203" t="s">
        <v>1078</v>
      </c>
      <c r="Q417" t="s">
        <v>39</v>
      </c>
      <c r="R417" t="s">
        <v>26</v>
      </c>
    </row>
    <row r="418" spans="1:18">
      <c r="A418" s="303">
        <f>COUNTA($D$3:$D$418)</f>
        <v>416</v>
      </c>
      <c r="B418" s="303" t="s">
        <v>2126</v>
      </c>
      <c r="C418" s="303" t="s">
        <v>313</v>
      </c>
      <c r="D418" s="303" t="s">
        <v>68</v>
      </c>
      <c r="E418" s="303" t="s">
        <v>2127</v>
      </c>
      <c r="F418" s="304">
        <v>44508</v>
      </c>
      <c r="G418" s="304">
        <v>44507</v>
      </c>
      <c r="H418" s="304"/>
      <c r="I418" s="304">
        <v>44508</v>
      </c>
      <c r="J418" s="303" t="s">
        <v>2128</v>
      </c>
      <c r="K418" s="305" t="s">
        <v>1311</v>
      </c>
      <c r="L418" s="176">
        <v>44620</v>
      </c>
      <c r="M418" t="s">
        <v>2980</v>
      </c>
      <c r="N418" s="204">
        <v>44546</v>
      </c>
      <c r="O418" s="203"/>
      <c r="Q418" t="s">
        <v>39</v>
      </c>
      <c r="R418" t="s">
        <v>138</v>
      </c>
    </row>
    <row r="419" spans="1:18">
      <c r="A419" s="303">
        <f>COUNTA($D$3:$D$419)</f>
        <v>417</v>
      </c>
      <c r="B419" s="303" t="s">
        <v>2121</v>
      </c>
      <c r="C419" s="303" t="s">
        <v>313</v>
      </c>
      <c r="D419" s="303" t="s">
        <v>68</v>
      </c>
      <c r="E419" s="303" t="s">
        <v>1168</v>
      </c>
      <c r="F419" s="304">
        <v>44508</v>
      </c>
      <c r="G419" s="304">
        <v>44507</v>
      </c>
      <c r="H419" s="304"/>
      <c r="I419" s="304">
        <v>44508</v>
      </c>
      <c r="J419" s="303" t="s">
        <v>1674</v>
      </c>
      <c r="K419" s="305" t="s">
        <v>57</v>
      </c>
      <c r="L419" s="176">
        <v>44620</v>
      </c>
      <c r="M419" t="s">
        <v>2980</v>
      </c>
      <c r="N419" s="204">
        <v>44546</v>
      </c>
      <c r="O419" s="203"/>
      <c r="Q419" t="s">
        <v>39</v>
      </c>
      <c r="R419" t="s">
        <v>138</v>
      </c>
    </row>
    <row r="420" spans="1:18">
      <c r="A420" s="303">
        <f>COUNTA($D$3:$D$420)</f>
        <v>418</v>
      </c>
      <c r="B420" s="303" t="s">
        <v>2157</v>
      </c>
      <c r="C420" s="303" t="s">
        <v>1276</v>
      </c>
      <c r="D420" s="303" t="s">
        <v>49</v>
      </c>
      <c r="E420" s="303" t="s">
        <v>2158</v>
      </c>
      <c r="F420" s="304">
        <v>44508</v>
      </c>
      <c r="G420" s="304">
        <v>44512</v>
      </c>
      <c r="H420" s="304"/>
      <c r="I420" s="304">
        <v>44508</v>
      </c>
      <c r="J420" s="303" t="s">
        <v>1790</v>
      </c>
      <c r="K420" s="305" t="s">
        <v>1311</v>
      </c>
      <c r="L420" s="176">
        <v>44620</v>
      </c>
      <c r="O420" s="203"/>
      <c r="Q420" t="s">
        <v>1741</v>
      </c>
      <c r="R420" t="s">
        <v>138</v>
      </c>
    </row>
    <row r="421" spans="1:18">
      <c r="A421" s="303">
        <f>COUNTA($D$3:$D$421)</f>
        <v>419</v>
      </c>
      <c r="B421" s="303" t="s">
        <v>2141</v>
      </c>
      <c r="C421" s="303" t="s">
        <v>45</v>
      </c>
      <c r="D421" s="303" t="s">
        <v>1136</v>
      </c>
      <c r="E421" s="303" t="s">
        <v>1195</v>
      </c>
      <c r="F421" s="304" t="s">
        <v>70</v>
      </c>
      <c r="G421" s="304">
        <v>44507</v>
      </c>
      <c r="H421" s="304"/>
      <c r="I421" s="304" t="s">
        <v>70</v>
      </c>
      <c r="J421" s="303" t="s">
        <v>1682</v>
      </c>
      <c r="K421" s="305" t="s">
        <v>297</v>
      </c>
      <c r="L421" s="176">
        <v>44620</v>
      </c>
      <c r="M421" t="s">
        <v>2501</v>
      </c>
      <c r="N421" s="204">
        <v>44967</v>
      </c>
      <c r="O421" s="203"/>
      <c r="Q421" t="s">
        <v>64</v>
      </c>
      <c r="R421" t="s">
        <v>26</v>
      </c>
    </row>
    <row r="422" spans="1:18">
      <c r="A422" s="303">
        <f>COUNTA($D$3:$D$422)</f>
        <v>420</v>
      </c>
      <c r="B422" s="303" t="s">
        <v>2151</v>
      </c>
      <c r="C422" s="303" t="s">
        <v>1146</v>
      </c>
      <c r="D422" s="303" t="s">
        <v>20</v>
      </c>
      <c r="E422" s="303" t="s">
        <v>1250</v>
      </c>
      <c r="F422" s="304">
        <v>44508</v>
      </c>
      <c r="G422" s="304">
        <v>44507</v>
      </c>
      <c r="H422" s="304"/>
      <c r="I422" s="304">
        <v>44508</v>
      </c>
      <c r="J422" s="303" t="s">
        <v>1687</v>
      </c>
      <c r="K422" s="305" t="s">
        <v>1310</v>
      </c>
      <c r="L422" s="176">
        <v>44620</v>
      </c>
      <c r="M422" t="s">
        <v>2574</v>
      </c>
      <c r="N422" s="204">
        <v>44781</v>
      </c>
      <c r="O422" s="203"/>
      <c r="Q422" t="s">
        <v>39</v>
      </c>
      <c r="R422" t="s">
        <v>138</v>
      </c>
    </row>
    <row r="423" spans="1:18">
      <c r="A423" s="303">
        <f>COUNTA($D$3:$D$423)</f>
        <v>421</v>
      </c>
      <c r="B423" s="303" t="s">
        <v>2148</v>
      </c>
      <c r="C423" s="303" t="s">
        <v>45</v>
      </c>
      <c r="D423" s="303" t="s">
        <v>1136</v>
      </c>
      <c r="E423" s="303" t="s">
        <v>1196</v>
      </c>
      <c r="F423" s="304" t="s">
        <v>70</v>
      </c>
      <c r="G423" s="304">
        <v>44507</v>
      </c>
      <c r="H423" s="304">
        <v>44547</v>
      </c>
      <c r="I423" s="304" t="s">
        <v>70</v>
      </c>
      <c r="J423" s="303" t="s">
        <v>1682</v>
      </c>
      <c r="K423" s="305" t="s">
        <v>1311</v>
      </c>
      <c r="L423" s="176">
        <v>44620</v>
      </c>
      <c r="M423" t="s">
        <v>2573</v>
      </c>
      <c r="N423" s="204">
        <v>44620</v>
      </c>
      <c r="O423" s="203"/>
      <c r="Q423" t="s">
        <v>32</v>
      </c>
    </row>
    <row r="424" spans="1:18">
      <c r="A424" s="303">
        <f>COUNTA($D$3:$D$424)</f>
        <v>422</v>
      </c>
      <c r="B424" s="303" t="s">
        <v>2172</v>
      </c>
      <c r="C424" s="303" t="s">
        <v>1810</v>
      </c>
      <c r="D424" s="303" t="s">
        <v>67</v>
      </c>
      <c r="E424" s="303" t="s">
        <v>1811</v>
      </c>
      <c r="F424" s="304">
        <v>44480</v>
      </c>
      <c r="G424" s="304">
        <v>44512</v>
      </c>
      <c r="H424" s="304"/>
      <c r="I424" s="304">
        <v>44480</v>
      </c>
      <c r="J424" s="303" t="s">
        <v>1500</v>
      </c>
      <c r="K424" s="305" t="s">
        <v>1310</v>
      </c>
      <c r="L424" s="176">
        <v>44620</v>
      </c>
      <c r="O424" s="203"/>
      <c r="Q424" t="s">
        <v>39</v>
      </c>
      <c r="R424" t="s">
        <v>138</v>
      </c>
    </row>
    <row r="425" spans="1:18">
      <c r="A425" s="303">
        <f>COUNTA($D$3:$D$425)</f>
        <v>423</v>
      </c>
      <c r="B425" s="303" t="s">
        <v>2170</v>
      </c>
      <c r="C425" s="303" t="s">
        <v>45</v>
      </c>
      <c r="D425" s="303" t="s">
        <v>40</v>
      </c>
      <c r="E425" s="303" t="s">
        <v>1225</v>
      </c>
      <c r="F425" s="304" t="s">
        <v>70</v>
      </c>
      <c r="G425" s="304">
        <v>44512</v>
      </c>
      <c r="H425" s="304"/>
      <c r="I425" s="304" t="s">
        <v>70</v>
      </c>
      <c r="J425" s="303" t="s">
        <v>2171</v>
      </c>
      <c r="K425" s="305" t="s">
        <v>1302</v>
      </c>
      <c r="L425" s="176">
        <v>44620</v>
      </c>
      <c r="O425" s="203"/>
      <c r="Q425" t="s">
        <v>64</v>
      </c>
      <c r="R425" t="s">
        <v>138</v>
      </c>
    </row>
    <row r="426" spans="1:18">
      <c r="A426" s="303">
        <f>COUNTA($D$3:$D$426)</f>
        <v>424</v>
      </c>
      <c r="B426" s="303" t="s">
        <v>2196</v>
      </c>
      <c r="C426" s="303" t="s">
        <v>48</v>
      </c>
      <c r="D426" s="303" t="s">
        <v>34</v>
      </c>
      <c r="E426" s="303" t="s">
        <v>88</v>
      </c>
      <c r="F426" s="304" t="s">
        <v>70</v>
      </c>
      <c r="G426" s="304">
        <v>44519</v>
      </c>
      <c r="H426" s="304"/>
      <c r="I426" s="304" t="s">
        <v>70</v>
      </c>
      <c r="J426" s="303" t="s">
        <v>2234</v>
      </c>
      <c r="K426" s="305" t="s">
        <v>1310</v>
      </c>
      <c r="L426" s="176">
        <v>44620</v>
      </c>
      <c r="M426" t="s">
        <v>2577</v>
      </c>
      <c r="N426" s="204">
        <v>44620</v>
      </c>
      <c r="O426" s="203"/>
      <c r="Q426" t="s">
        <v>32</v>
      </c>
    </row>
    <row r="427" spans="1:18">
      <c r="A427" s="303">
        <f>COUNTA($D$3:$D$427)</f>
        <v>425</v>
      </c>
      <c r="B427" s="303" t="s">
        <v>2199</v>
      </c>
      <c r="C427" s="303" t="s">
        <v>48</v>
      </c>
      <c r="D427" s="303" t="s">
        <v>34</v>
      </c>
      <c r="E427" s="303" t="s">
        <v>63</v>
      </c>
      <c r="F427" s="304" t="s">
        <v>70</v>
      </c>
      <c r="G427" s="304">
        <v>44519</v>
      </c>
      <c r="H427" s="304"/>
      <c r="I427" s="304" t="s">
        <v>70</v>
      </c>
      <c r="J427" s="303" t="s">
        <v>1682</v>
      </c>
      <c r="K427" s="305" t="s">
        <v>1289</v>
      </c>
      <c r="L427" s="176">
        <v>44620</v>
      </c>
      <c r="M427">
        <v>0</v>
      </c>
      <c r="N427" s="204">
        <v>44620</v>
      </c>
      <c r="O427" s="203"/>
      <c r="Q427" t="s">
        <v>32</v>
      </c>
    </row>
    <row r="428" spans="1:18">
      <c r="A428" s="303">
        <f>COUNTA($D$3:$D$428)</f>
        <v>426</v>
      </c>
      <c r="B428" s="303" t="s">
        <v>2254</v>
      </c>
      <c r="C428" s="303" t="s">
        <v>1211</v>
      </c>
      <c r="D428" s="303" t="s">
        <v>111</v>
      </c>
      <c r="E428" s="303" t="s">
        <v>1298</v>
      </c>
      <c r="F428" s="304">
        <v>44540</v>
      </c>
      <c r="G428" s="304">
        <v>44519</v>
      </c>
      <c r="H428" s="304"/>
      <c r="I428" s="304">
        <v>44540</v>
      </c>
      <c r="J428" s="303" t="s">
        <v>21</v>
      </c>
      <c r="K428" s="305" t="s">
        <v>1309</v>
      </c>
      <c r="L428" s="176">
        <v>44620</v>
      </c>
      <c r="O428" s="203" t="s">
        <v>1078</v>
      </c>
      <c r="Q428" t="s">
        <v>39</v>
      </c>
      <c r="R428" t="s">
        <v>26</v>
      </c>
    </row>
    <row r="429" spans="1:18">
      <c r="A429" s="303">
        <f>COUNTA($D$3:$D$429)</f>
        <v>427</v>
      </c>
      <c r="B429" s="303" t="s">
        <v>2181</v>
      </c>
      <c r="C429" s="303" t="s">
        <v>48</v>
      </c>
      <c r="D429" s="303" t="s">
        <v>34</v>
      </c>
      <c r="E429" s="303" t="s">
        <v>118</v>
      </c>
      <c r="F429" s="304" t="s">
        <v>70</v>
      </c>
      <c r="G429" s="304">
        <v>44519</v>
      </c>
      <c r="H429" s="304"/>
      <c r="I429" s="304" t="s">
        <v>70</v>
      </c>
      <c r="J429" s="303" t="s">
        <v>2182</v>
      </c>
      <c r="K429" s="305" t="s">
        <v>2058</v>
      </c>
      <c r="L429" s="176">
        <v>44620</v>
      </c>
      <c r="M429" t="s">
        <v>2576</v>
      </c>
      <c r="N429" s="204">
        <v>44620</v>
      </c>
      <c r="O429" s="203"/>
      <c r="Q429" t="s">
        <v>64</v>
      </c>
    </row>
    <row r="430" spans="1:18">
      <c r="A430" s="303">
        <f>COUNTA($D$3:$D$430)</f>
        <v>428</v>
      </c>
      <c r="B430" s="303" t="s">
        <v>2224</v>
      </c>
      <c r="C430" s="303" t="s">
        <v>1282</v>
      </c>
      <c r="D430" s="303" t="s">
        <v>42</v>
      </c>
      <c r="E430" s="303" t="s">
        <v>1734</v>
      </c>
      <c r="F430" s="304">
        <v>44524</v>
      </c>
      <c r="G430" s="304">
        <v>44526</v>
      </c>
      <c r="H430" s="304"/>
      <c r="I430" s="304">
        <v>44524</v>
      </c>
      <c r="J430" s="303" t="s">
        <v>1702</v>
      </c>
      <c r="K430" s="305" t="s">
        <v>1310</v>
      </c>
      <c r="L430" s="176">
        <v>44620</v>
      </c>
      <c r="M430" t="s">
        <v>2980</v>
      </c>
      <c r="N430" s="204">
        <v>44531</v>
      </c>
      <c r="O430" s="203"/>
      <c r="Q430" t="s">
        <v>39</v>
      </c>
      <c r="R430" t="s">
        <v>138</v>
      </c>
    </row>
    <row r="431" spans="1:18">
      <c r="A431" s="303">
        <f>COUNTA($D$3:$D$431)</f>
        <v>429</v>
      </c>
      <c r="B431" s="303" t="s">
        <v>2253</v>
      </c>
      <c r="C431" s="303" t="s">
        <v>45</v>
      </c>
      <c r="D431" s="303" t="s">
        <v>34</v>
      </c>
      <c r="E431" s="303" t="s">
        <v>1737</v>
      </c>
      <c r="F431" s="304" t="s">
        <v>70</v>
      </c>
      <c r="G431" s="304">
        <v>44526</v>
      </c>
      <c r="H431" s="304"/>
      <c r="I431" s="304" t="s">
        <v>70</v>
      </c>
      <c r="J431" s="303" t="s">
        <v>1891</v>
      </c>
      <c r="K431" s="305" t="s">
        <v>1311</v>
      </c>
      <c r="L431" s="176">
        <v>44620</v>
      </c>
      <c r="M431" t="s">
        <v>2578</v>
      </c>
      <c r="N431" s="204">
        <v>44620</v>
      </c>
      <c r="O431" s="203"/>
      <c r="Q431" t="s">
        <v>64</v>
      </c>
    </row>
    <row r="432" spans="1:18">
      <c r="A432" s="303">
        <f>COUNTA($D$3:$D$432)</f>
        <v>430</v>
      </c>
      <c r="B432" s="303" t="s">
        <v>2226</v>
      </c>
      <c r="C432" s="303" t="s">
        <v>45</v>
      </c>
      <c r="D432" s="303" t="s">
        <v>55</v>
      </c>
      <c r="E432" s="303" t="s">
        <v>2227</v>
      </c>
      <c r="F432" s="304" t="s">
        <v>70</v>
      </c>
      <c r="G432" s="304">
        <v>44526</v>
      </c>
      <c r="H432" s="304"/>
      <c r="I432" s="304" t="s">
        <v>70</v>
      </c>
      <c r="J432" s="303" t="s">
        <v>2228</v>
      </c>
      <c r="K432" s="305" t="s">
        <v>1302</v>
      </c>
      <c r="L432" s="176">
        <v>44620</v>
      </c>
      <c r="M432" t="s">
        <v>2578</v>
      </c>
      <c r="N432" s="204">
        <v>44620</v>
      </c>
      <c r="O432" s="203"/>
      <c r="Q432" t="s">
        <v>64</v>
      </c>
    </row>
    <row r="433" spans="1:18">
      <c r="A433" s="303">
        <f>COUNTA($D$3:$D$433)</f>
        <v>431</v>
      </c>
      <c r="B433" s="303" t="s">
        <v>2252</v>
      </c>
      <c r="C433" s="303" t="s">
        <v>41</v>
      </c>
      <c r="D433" s="303" t="s">
        <v>34</v>
      </c>
      <c r="E433" s="303" t="s">
        <v>1242</v>
      </c>
      <c r="F433" s="304">
        <v>44531</v>
      </c>
      <c r="G433" s="304">
        <v>44526</v>
      </c>
      <c r="H433" s="304"/>
      <c r="I433" s="304">
        <v>44531</v>
      </c>
      <c r="J433" s="303" t="s">
        <v>2260</v>
      </c>
      <c r="K433" s="305" t="s">
        <v>1311</v>
      </c>
      <c r="L433" s="176">
        <v>44620</v>
      </c>
      <c r="M433" t="s">
        <v>2580</v>
      </c>
      <c r="N433" s="204">
        <v>44781</v>
      </c>
      <c r="O433" s="203"/>
      <c r="Q433" t="s">
        <v>39</v>
      </c>
      <c r="R433" t="s">
        <v>138</v>
      </c>
    </row>
    <row r="434" spans="1:18">
      <c r="A434" s="303">
        <f>COUNTA($D$3:$D$434)</f>
        <v>432</v>
      </c>
      <c r="B434" s="303" t="s">
        <v>2263</v>
      </c>
      <c r="C434" s="303" t="s">
        <v>25</v>
      </c>
      <c r="D434" s="303" t="s">
        <v>34</v>
      </c>
      <c r="E434" s="303" t="s">
        <v>1266</v>
      </c>
      <c r="F434" s="304">
        <v>44530</v>
      </c>
      <c r="G434" s="304">
        <v>44533</v>
      </c>
      <c r="H434" s="304"/>
      <c r="I434" s="304">
        <v>44530</v>
      </c>
      <c r="J434" s="303" t="s">
        <v>2282</v>
      </c>
      <c r="K434" s="305" t="s">
        <v>1310</v>
      </c>
      <c r="L434" s="176">
        <v>44620</v>
      </c>
      <c r="M434" t="s">
        <v>2581</v>
      </c>
      <c r="N434" s="204">
        <v>44907</v>
      </c>
      <c r="O434" s="203"/>
      <c r="Q434" t="s">
        <v>39</v>
      </c>
      <c r="R434" t="s">
        <v>138</v>
      </c>
    </row>
    <row r="435" spans="1:18">
      <c r="A435" s="303">
        <f>COUNTA($D$3:$D$435)</f>
        <v>433</v>
      </c>
      <c r="B435" s="303" t="s">
        <v>2268</v>
      </c>
      <c r="C435" s="303" t="s">
        <v>44</v>
      </c>
      <c r="D435" s="303" t="s">
        <v>34</v>
      </c>
      <c r="E435" s="303" t="s">
        <v>2269</v>
      </c>
      <c r="F435" s="304">
        <v>44530</v>
      </c>
      <c r="G435" s="304">
        <v>44533</v>
      </c>
      <c r="H435" s="304"/>
      <c r="I435" s="304">
        <v>44530</v>
      </c>
      <c r="J435" s="303" t="s">
        <v>2270</v>
      </c>
      <c r="K435" s="305" t="s">
        <v>1310</v>
      </c>
      <c r="L435" s="176">
        <v>44620</v>
      </c>
      <c r="O435" s="203"/>
      <c r="Q435" t="s">
        <v>39</v>
      </c>
      <c r="R435" t="s">
        <v>138</v>
      </c>
    </row>
    <row r="436" spans="1:18">
      <c r="A436" s="303">
        <f>COUNTA($D$3:$D$436)</f>
        <v>434</v>
      </c>
      <c r="B436" s="303" t="s">
        <v>2271</v>
      </c>
      <c r="C436" s="303" t="s">
        <v>44</v>
      </c>
      <c r="D436" s="303" t="s">
        <v>38</v>
      </c>
      <c r="E436" s="303" t="s">
        <v>2272</v>
      </c>
      <c r="F436" s="304">
        <v>44530</v>
      </c>
      <c r="G436" s="304">
        <v>44533</v>
      </c>
      <c r="H436" s="304"/>
      <c r="I436" s="304">
        <v>44530</v>
      </c>
      <c r="J436" s="303" t="s">
        <v>2273</v>
      </c>
      <c r="K436" s="305" t="s">
        <v>1289</v>
      </c>
      <c r="L436" s="176">
        <v>44620</v>
      </c>
      <c r="M436" t="s">
        <v>2582</v>
      </c>
      <c r="N436" s="204">
        <v>44602</v>
      </c>
      <c r="O436" s="203"/>
      <c r="Q436" t="s">
        <v>39</v>
      </c>
      <c r="R436" t="s">
        <v>138</v>
      </c>
    </row>
    <row r="437" spans="1:18">
      <c r="A437" s="303">
        <f>COUNTA($D$3:$D$437)</f>
        <v>435</v>
      </c>
      <c r="B437" s="303" t="s">
        <v>2274</v>
      </c>
      <c r="C437" s="303" t="s">
        <v>44</v>
      </c>
      <c r="D437" s="303" t="s">
        <v>38</v>
      </c>
      <c r="E437" s="303" t="s">
        <v>2275</v>
      </c>
      <c r="F437" s="304">
        <v>44530</v>
      </c>
      <c r="G437" s="304">
        <v>44533</v>
      </c>
      <c r="H437" s="304"/>
      <c r="I437" s="304">
        <v>44530</v>
      </c>
      <c r="J437" s="303" t="s">
        <v>2276</v>
      </c>
      <c r="K437" s="305" t="s">
        <v>1310</v>
      </c>
      <c r="L437" s="176">
        <v>44620</v>
      </c>
      <c r="O437" s="203"/>
      <c r="Q437" t="s">
        <v>39</v>
      </c>
      <c r="R437" t="s">
        <v>138</v>
      </c>
    </row>
    <row r="438" spans="1:18">
      <c r="A438" s="303">
        <f>COUNTA($D$3:$D$438)</f>
        <v>436</v>
      </c>
      <c r="B438" s="303" t="s">
        <v>2266</v>
      </c>
      <c r="C438" s="303" t="s">
        <v>44</v>
      </c>
      <c r="D438" s="303" t="s">
        <v>53</v>
      </c>
      <c r="E438" s="303" t="s">
        <v>2267</v>
      </c>
      <c r="F438" s="304">
        <v>44537</v>
      </c>
      <c r="G438" s="304">
        <v>44533</v>
      </c>
      <c r="H438" s="304"/>
      <c r="I438" s="304">
        <v>44537</v>
      </c>
      <c r="J438" s="303" t="s">
        <v>1715</v>
      </c>
      <c r="K438" s="305" t="s">
        <v>1311</v>
      </c>
      <c r="L438" s="176">
        <v>44620</v>
      </c>
      <c r="O438" s="203"/>
      <c r="Q438" t="s">
        <v>39</v>
      </c>
      <c r="R438" t="s">
        <v>138</v>
      </c>
    </row>
    <row r="439" spans="1:18">
      <c r="A439" s="303">
        <f>COUNTA($D$3:$D$439)</f>
        <v>437</v>
      </c>
      <c r="B439" s="303" t="s">
        <v>2280</v>
      </c>
      <c r="C439" s="303" t="s">
        <v>44</v>
      </c>
      <c r="D439" s="303" t="s">
        <v>53</v>
      </c>
      <c r="E439" s="303" t="s">
        <v>2281</v>
      </c>
      <c r="F439" s="304">
        <v>44531</v>
      </c>
      <c r="G439" s="304">
        <v>44533</v>
      </c>
      <c r="H439" s="304"/>
      <c r="I439" s="304">
        <v>44531</v>
      </c>
      <c r="J439" s="303" t="s">
        <v>369</v>
      </c>
      <c r="K439" s="305" t="s">
        <v>1310</v>
      </c>
      <c r="L439" s="176">
        <v>44620</v>
      </c>
      <c r="O439" s="203"/>
      <c r="Q439" t="s">
        <v>39</v>
      </c>
      <c r="R439" t="s">
        <v>138</v>
      </c>
    </row>
    <row r="440" spans="1:18">
      <c r="A440" s="303">
        <f>COUNTA($D$3:$D$440)</f>
        <v>438</v>
      </c>
      <c r="B440" s="303" t="s">
        <v>2478</v>
      </c>
      <c r="C440" s="303" t="s">
        <v>2341</v>
      </c>
      <c r="D440" s="303" t="s">
        <v>31</v>
      </c>
      <c r="E440" s="303" t="s">
        <v>2093</v>
      </c>
      <c r="F440" s="304">
        <v>44589</v>
      </c>
      <c r="G440" s="304">
        <v>44589</v>
      </c>
      <c r="H440" s="304"/>
      <c r="I440" s="304">
        <v>44589</v>
      </c>
      <c r="J440" s="303" t="s">
        <v>1170</v>
      </c>
      <c r="K440" s="305" t="s">
        <v>1302</v>
      </c>
      <c r="L440" s="176">
        <v>44610</v>
      </c>
      <c r="M440" t="s">
        <v>2985</v>
      </c>
      <c r="N440" s="204">
        <v>44602</v>
      </c>
      <c r="O440" s="203"/>
      <c r="Q440" t="s">
        <v>1741</v>
      </c>
      <c r="R440" t="s">
        <v>138</v>
      </c>
    </row>
    <row r="441" spans="1:18">
      <c r="A441" s="303">
        <f>COUNTA($D$3:$D$441)</f>
        <v>439</v>
      </c>
      <c r="B441" s="303" t="s">
        <v>2074</v>
      </c>
      <c r="C441" s="303" t="s">
        <v>48</v>
      </c>
      <c r="D441" s="303" t="s">
        <v>34</v>
      </c>
      <c r="E441" s="303" t="s">
        <v>86</v>
      </c>
      <c r="F441" s="304" t="s">
        <v>105</v>
      </c>
      <c r="G441" s="304">
        <v>44497</v>
      </c>
      <c r="H441" s="304"/>
      <c r="I441" s="304" t="s">
        <v>70</v>
      </c>
      <c r="J441" s="303" t="s">
        <v>2075</v>
      </c>
      <c r="K441" s="305" t="s">
        <v>2058</v>
      </c>
      <c r="L441" s="176">
        <v>44602</v>
      </c>
      <c r="M441" t="s">
        <v>2501</v>
      </c>
      <c r="N441" s="204">
        <v>44602</v>
      </c>
      <c r="O441" s="203"/>
      <c r="Q441" t="s">
        <v>64</v>
      </c>
    </row>
    <row r="442" spans="1:18">
      <c r="A442" s="303">
        <f>COUNTA($D$3:$D$442)</f>
        <v>440</v>
      </c>
      <c r="B442" s="303" t="s">
        <v>2063</v>
      </c>
      <c r="C442" s="303" t="s">
        <v>41</v>
      </c>
      <c r="D442" s="303" t="s">
        <v>38</v>
      </c>
      <c r="E442" s="303" t="s">
        <v>307</v>
      </c>
      <c r="F442" s="304">
        <v>44496</v>
      </c>
      <c r="G442" s="304">
        <v>44491</v>
      </c>
      <c r="H442" s="304"/>
      <c r="I442" s="304">
        <v>44496</v>
      </c>
      <c r="J442" s="303" t="s">
        <v>1682</v>
      </c>
      <c r="K442" s="305" t="s">
        <v>1302</v>
      </c>
      <c r="L442" s="176">
        <v>44602</v>
      </c>
      <c r="M442" t="s">
        <v>2498</v>
      </c>
      <c r="N442" s="204">
        <v>44781</v>
      </c>
      <c r="O442" s="203"/>
      <c r="Q442" t="s">
        <v>39</v>
      </c>
      <c r="R442" t="s">
        <v>138</v>
      </c>
    </row>
    <row r="443" spans="1:18">
      <c r="A443" s="303">
        <f>COUNTA($D$3:$D$443)</f>
        <v>441</v>
      </c>
      <c r="B443" s="303" t="s">
        <v>2025</v>
      </c>
      <c r="C443" s="303" t="s">
        <v>1118</v>
      </c>
      <c r="D443" s="303" t="s">
        <v>20</v>
      </c>
      <c r="E443" s="303" t="s">
        <v>2026</v>
      </c>
      <c r="F443" s="304">
        <v>44496</v>
      </c>
      <c r="G443" s="304">
        <v>44491</v>
      </c>
      <c r="H443" s="304"/>
      <c r="I443" s="304">
        <v>44496</v>
      </c>
      <c r="J443" s="303" t="s">
        <v>1686</v>
      </c>
      <c r="K443" s="305" t="s">
        <v>1311</v>
      </c>
      <c r="L443" s="176">
        <v>44602</v>
      </c>
      <c r="O443" s="203"/>
      <c r="Q443" t="s">
        <v>39</v>
      </c>
      <c r="R443" t="s">
        <v>138</v>
      </c>
    </row>
    <row r="444" spans="1:18">
      <c r="A444" s="303">
        <f>COUNTA($D$3:$D$444)</f>
        <v>442</v>
      </c>
      <c r="B444" s="303" t="s">
        <v>2088</v>
      </c>
      <c r="C444" s="303" t="s">
        <v>25</v>
      </c>
      <c r="D444" s="303" t="s">
        <v>27</v>
      </c>
      <c r="E444" s="303" t="s">
        <v>1942</v>
      </c>
      <c r="F444" s="304">
        <v>44497</v>
      </c>
      <c r="G444" s="304">
        <v>44497</v>
      </c>
      <c r="H444" s="304"/>
      <c r="I444" s="304">
        <v>44497</v>
      </c>
      <c r="J444" s="303" t="s">
        <v>2089</v>
      </c>
      <c r="K444" s="305" t="s">
        <v>1289</v>
      </c>
      <c r="L444" s="176">
        <v>44602</v>
      </c>
      <c r="M444" t="s">
        <v>2496</v>
      </c>
      <c r="N444" s="204">
        <v>44781</v>
      </c>
      <c r="O444" s="203"/>
      <c r="Q444" t="s">
        <v>39</v>
      </c>
      <c r="R444" t="s">
        <v>138</v>
      </c>
    </row>
    <row r="445" spans="1:18">
      <c r="A445" s="303">
        <f>COUNTA($D$3:$D$445)</f>
        <v>443</v>
      </c>
      <c r="B445" s="303" t="s">
        <v>2080</v>
      </c>
      <c r="C445" s="303" t="s">
        <v>25</v>
      </c>
      <c r="D445" s="303" t="s">
        <v>34</v>
      </c>
      <c r="E445" s="303" t="s">
        <v>2081</v>
      </c>
      <c r="F445" s="304">
        <v>44497</v>
      </c>
      <c r="G445" s="304">
        <v>44497</v>
      </c>
      <c r="H445" s="304"/>
      <c r="I445" s="304">
        <v>44497</v>
      </c>
      <c r="J445" s="303" t="s">
        <v>2082</v>
      </c>
      <c r="K445" s="305" t="s">
        <v>1310</v>
      </c>
      <c r="L445" s="176">
        <v>44602</v>
      </c>
      <c r="M445" t="s">
        <v>4194</v>
      </c>
      <c r="N445" s="204">
        <v>44844</v>
      </c>
      <c r="O445" s="203"/>
      <c r="Q445" t="s">
        <v>39</v>
      </c>
      <c r="R445" t="s">
        <v>138</v>
      </c>
    </row>
    <row r="446" spans="1:18">
      <c r="A446" s="303">
        <f>COUNTA($D$3:$D$446)</f>
        <v>444</v>
      </c>
      <c r="B446" s="303" t="s">
        <v>2067</v>
      </c>
      <c r="C446" s="303" t="s">
        <v>2068</v>
      </c>
      <c r="D446" s="303" t="s">
        <v>1115</v>
      </c>
      <c r="E446" s="303" t="s">
        <v>2069</v>
      </c>
      <c r="F446" s="304">
        <v>44589</v>
      </c>
      <c r="G446" s="304">
        <v>44497</v>
      </c>
      <c r="H446" s="304"/>
      <c r="I446" s="304">
        <v>44589</v>
      </c>
      <c r="J446" s="303" t="s">
        <v>1674</v>
      </c>
      <c r="K446" s="305" t="s">
        <v>1289</v>
      </c>
      <c r="L446" s="176">
        <v>44602</v>
      </c>
      <c r="M446" t="s">
        <v>2985</v>
      </c>
      <c r="N446" s="204">
        <v>44501</v>
      </c>
      <c r="O446" s="203"/>
      <c r="Q446" t="s">
        <v>39</v>
      </c>
      <c r="R446" t="s">
        <v>138</v>
      </c>
    </row>
    <row r="447" spans="1:18">
      <c r="A447" s="303">
        <f>COUNTA($D$3:$D$447)</f>
        <v>445</v>
      </c>
      <c r="B447" s="303" t="s">
        <v>2072</v>
      </c>
      <c r="C447" s="303" t="s">
        <v>1126</v>
      </c>
      <c r="D447" s="303" t="s">
        <v>38</v>
      </c>
      <c r="E447" s="303" t="s">
        <v>2073</v>
      </c>
      <c r="F447" s="304">
        <v>44475</v>
      </c>
      <c r="G447" s="304">
        <v>44497</v>
      </c>
      <c r="H447" s="304"/>
      <c r="I447" s="304">
        <v>44475</v>
      </c>
      <c r="J447" s="303" t="s">
        <v>1666</v>
      </c>
      <c r="K447" s="305" t="s">
        <v>1311</v>
      </c>
      <c r="L447" s="176">
        <v>44602</v>
      </c>
      <c r="M447" t="s">
        <v>2500</v>
      </c>
      <c r="N447" s="204">
        <v>44781</v>
      </c>
      <c r="Q447" t="s">
        <v>39</v>
      </c>
      <c r="R447" t="s">
        <v>138</v>
      </c>
    </row>
    <row r="448" spans="1:18">
      <c r="A448" s="303">
        <f>COUNTA($D$3:$D$448)</f>
        <v>446</v>
      </c>
      <c r="B448" s="303" t="s">
        <v>2028</v>
      </c>
      <c r="C448" s="303" t="s">
        <v>44</v>
      </c>
      <c r="D448" s="303" t="s">
        <v>1279</v>
      </c>
      <c r="E448" s="303" t="s">
        <v>2029</v>
      </c>
      <c r="F448" s="304"/>
      <c r="G448" s="304">
        <v>44484</v>
      </c>
      <c r="H448" s="304">
        <v>44295</v>
      </c>
      <c r="I448" s="304"/>
      <c r="J448" s="303" t="s">
        <v>1695</v>
      </c>
      <c r="K448" s="305" t="s">
        <v>1310</v>
      </c>
      <c r="L448" s="176">
        <v>44602</v>
      </c>
      <c r="M448" t="s">
        <v>2497</v>
      </c>
      <c r="N448" s="204">
        <v>44781</v>
      </c>
      <c r="O448" s="203"/>
      <c r="Q448" t="s">
        <v>1067</v>
      </c>
      <c r="R448" t="s">
        <v>138</v>
      </c>
    </row>
    <row r="449" spans="1:18">
      <c r="A449" s="303">
        <f>COUNTA($D$3:$D$449)</f>
        <v>447</v>
      </c>
      <c r="B449" s="303" t="s">
        <v>2302</v>
      </c>
      <c r="C449" s="303" t="s">
        <v>45</v>
      </c>
      <c r="D449" s="303" t="s">
        <v>29</v>
      </c>
      <c r="E449" s="303" t="s">
        <v>1214</v>
      </c>
      <c r="F449" s="304" t="s">
        <v>70</v>
      </c>
      <c r="G449" s="304">
        <v>44547</v>
      </c>
      <c r="H449" s="304"/>
      <c r="I449" s="304" t="s">
        <v>70</v>
      </c>
      <c r="J449" s="303" t="s">
        <v>1693</v>
      </c>
      <c r="K449" s="305" t="s">
        <v>1311</v>
      </c>
      <c r="L449" s="176">
        <v>44581</v>
      </c>
      <c r="M449" t="s">
        <v>2444</v>
      </c>
      <c r="N449" s="204">
        <v>44581</v>
      </c>
      <c r="O449" s="203"/>
    </row>
    <row r="450" spans="1:18">
      <c r="A450" s="303">
        <f>COUNTA($D$3:$D$450)</f>
        <v>448</v>
      </c>
      <c r="B450" s="303" t="s">
        <v>2447</v>
      </c>
      <c r="C450" s="303" t="s">
        <v>2448</v>
      </c>
      <c r="D450" s="303" t="s">
        <v>20</v>
      </c>
      <c r="E450" s="303" t="s">
        <v>2449</v>
      </c>
      <c r="F450" s="304"/>
      <c r="G450" s="304"/>
      <c r="H450" s="304"/>
      <c r="I450" s="304"/>
      <c r="J450" s="303" t="s">
        <v>1665</v>
      </c>
      <c r="K450" s="305"/>
      <c r="L450" s="176">
        <v>44581</v>
      </c>
      <c r="M450" t="s">
        <v>2459</v>
      </c>
      <c r="N450" s="204">
        <v>44581</v>
      </c>
      <c r="Q450" t="s">
        <v>1065</v>
      </c>
      <c r="R450" t="s">
        <v>138</v>
      </c>
    </row>
    <row r="451" spans="1:18">
      <c r="A451" s="303">
        <f>COUNTA($D$3:$D$451)</f>
        <v>449</v>
      </c>
      <c r="B451" s="303" t="s">
        <v>1885</v>
      </c>
      <c r="C451" s="303" t="s">
        <v>301</v>
      </c>
      <c r="D451" s="303" t="s">
        <v>56</v>
      </c>
      <c r="E451" s="303" t="s">
        <v>1245</v>
      </c>
      <c r="F451" s="304">
        <v>44451</v>
      </c>
      <c r="G451" s="304">
        <v>44448</v>
      </c>
      <c r="H451" s="304"/>
      <c r="I451" s="304">
        <v>44451</v>
      </c>
      <c r="J451" s="303" t="s">
        <v>1105</v>
      </c>
      <c r="K451" s="305"/>
      <c r="L451" s="176">
        <v>44570</v>
      </c>
      <c r="O451" s="203"/>
      <c r="Q451" t="s">
        <v>1741</v>
      </c>
      <c r="R451" t="s">
        <v>138</v>
      </c>
    </row>
    <row r="452" spans="1:18">
      <c r="A452" s="303">
        <f>COUNTA($D$3:$D$452)</f>
        <v>450</v>
      </c>
      <c r="B452" s="303" t="s">
        <v>1963</v>
      </c>
      <c r="C452" s="303" t="s">
        <v>41</v>
      </c>
      <c r="D452" s="303" t="s">
        <v>31</v>
      </c>
      <c r="E452" s="303" t="s">
        <v>1964</v>
      </c>
      <c r="F452" s="304">
        <v>44468</v>
      </c>
      <c r="G452" s="304">
        <v>44465</v>
      </c>
      <c r="H452" s="304"/>
      <c r="I452" s="304">
        <v>44468</v>
      </c>
      <c r="J452" s="303" t="s">
        <v>1105</v>
      </c>
      <c r="K452" s="305"/>
      <c r="L452" s="176">
        <v>44570</v>
      </c>
      <c r="M452" t="s">
        <v>2409</v>
      </c>
      <c r="N452" s="204">
        <v>44781</v>
      </c>
      <c r="Q452" t="s">
        <v>1741</v>
      </c>
      <c r="R452" t="s">
        <v>138</v>
      </c>
    </row>
    <row r="453" spans="1:18">
      <c r="A453" s="303">
        <f>COUNTA($D$3:$D$453)</f>
        <v>451</v>
      </c>
      <c r="B453" s="303" t="s">
        <v>1883</v>
      </c>
      <c r="C453" s="303" t="s">
        <v>48</v>
      </c>
      <c r="D453" s="303" t="s">
        <v>34</v>
      </c>
      <c r="E453" s="303" t="s">
        <v>93</v>
      </c>
      <c r="F453" s="304" t="s">
        <v>70</v>
      </c>
      <c r="G453" s="304">
        <v>44440</v>
      </c>
      <c r="H453" s="304">
        <v>44440</v>
      </c>
      <c r="I453" s="304" t="s">
        <v>70</v>
      </c>
      <c r="J453" s="303" t="s">
        <v>1887</v>
      </c>
      <c r="K453" s="305"/>
      <c r="L453" s="176">
        <v>44570</v>
      </c>
      <c r="M453" t="s">
        <v>2411</v>
      </c>
      <c r="N453" s="204">
        <v>44570</v>
      </c>
      <c r="O453" s="203"/>
      <c r="Q453" t="s">
        <v>2637</v>
      </c>
    </row>
    <row r="454" spans="1:18">
      <c r="A454" s="303">
        <f>COUNTA($D$3:$D$454)</f>
        <v>452</v>
      </c>
      <c r="B454" s="303" t="s">
        <v>1876</v>
      </c>
      <c r="C454" s="303" t="s">
        <v>1112</v>
      </c>
      <c r="D454" s="303" t="s">
        <v>38</v>
      </c>
      <c r="E454" s="303" t="s">
        <v>1113</v>
      </c>
      <c r="F454" s="304">
        <v>44477</v>
      </c>
      <c r="G454" s="304">
        <v>44414</v>
      </c>
      <c r="H454" s="304">
        <v>44533</v>
      </c>
      <c r="I454" s="304">
        <v>44477</v>
      </c>
      <c r="J454" s="303" t="s">
        <v>1753</v>
      </c>
      <c r="K454" s="305" t="s">
        <v>134</v>
      </c>
      <c r="L454" s="176">
        <v>44570</v>
      </c>
      <c r="M454" t="s">
        <v>2411</v>
      </c>
      <c r="N454" s="204">
        <v>44601</v>
      </c>
      <c r="O454" s="203"/>
      <c r="Q454" t="s">
        <v>2637</v>
      </c>
      <c r="R454" t="s">
        <v>138</v>
      </c>
    </row>
    <row r="455" spans="1:18">
      <c r="A455" s="303">
        <f>COUNTA($D$3:$D$455)</f>
        <v>453</v>
      </c>
      <c r="B455" s="303" t="s">
        <v>1953</v>
      </c>
      <c r="C455" s="303" t="s">
        <v>45</v>
      </c>
      <c r="D455" s="303" t="s">
        <v>111</v>
      </c>
      <c r="E455" s="303" t="s">
        <v>1954</v>
      </c>
      <c r="F455" s="304" t="s">
        <v>70</v>
      </c>
      <c r="G455" s="304">
        <v>44471</v>
      </c>
      <c r="H455" s="304"/>
      <c r="I455" s="304" t="s">
        <v>70</v>
      </c>
      <c r="J455" s="303" t="s">
        <v>21</v>
      </c>
      <c r="K455" s="305"/>
      <c r="L455" s="176">
        <v>44570</v>
      </c>
      <c r="M455" t="s">
        <v>2408</v>
      </c>
      <c r="N455" s="204">
        <v>44570</v>
      </c>
      <c r="O455" s="203"/>
      <c r="Q455" t="s">
        <v>64</v>
      </c>
    </row>
    <row r="456" spans="1:18">
      <c r="A456" s="303">
        <f>COUNTA($D$3:$D$456)</f>
        <v>454</v>
      </c>
      <c r="B456" s="303" t="s">
        <v>1934</v>
      </c>
      <c r="C456" s="303" t="s">
        <v>48</v>
      </c>
      <c r="D456" s="303" t="s">
        <v>34</v>
      </c>
      <c r="E456" s="303" t="s">
        <v>91</v>
      </c>
      <c r="F456" s="304" t="s">
        <v>70</v>
      </c>
      <c r="G456" s="304">
        <v>44457</v>
      </c>
      <c r="H456" s="304"/>
      <c r="I456" s="304" t="s">
        <v>70</v>
      </c>
      <c r="J456" s="303" t="s">
        <v>1935</v>
      </c>
      <c r="K456" s="305"/>
      <c r="L456" s="176">
        <v>44570</v>
      </c>
      <c r="M456" t="s">
        <v>2407</v>
      </c>
      <c r="N456" s="204">
        <v>44570</v>
      </c>
      <c r="O456" s="203"/>
      <c r="Q456" t="s">
        <v>64</v>
      </c>
    </row>
    <row r="457" spans="1:18">
      <c r="A457" s="303">
        <f>COUNTA($D$3:$D$457)</f>
        <v>455</v>
      </c>
      <c r="B457" s="303" t="s">
        <v>1973</v>
      </c>
      <c r="C457" s="303" t="s">
        <v>1106</v>
      </c>
      <c r="D457" s="303" t="s">
        <v>1115</v>
      </c>
      <c r="E457" s="303" t="s">
        <v>1234</v>
      </c>
      <c r="F457" s="304">
        <v>44475</v>
      </c>
      <c r="G457" s="304">
        <v>44484</v>
      </c>
      <c r="H457" s="304"/>
      <c r="I457" s="304">
        <v>44475</v>
      </c>
      <c r="J457" s="303" t="s">
        <v>1738</v>
      </c>
      <c r="K457" s="305"/>
      <c r="L457" s="176">
        <v>44570</v>
      </c>
      <c r="M457" t="s">
        <v>2986</v>
      </c>
      <c r="N457" s="204">
        <v>44826</v>
      </c>
      <c r="Q457" t="s">
        <v>39</v>
      </c>
      <c r="R457" t="s">
        <v>138</v>
      </c>
    </row>
    <row r="458" spans="1:18">
      <c r="A458" s="303">
        <f>COUNTA($D$3:$D$458)</f>
        <v>456</v>
      </c>
      <c r="B458" s="303" t="s">
        <v>1969</v>
      </c>
      <c r="C458" s="303" t="s">
        <v>25</v>
      </c>
      <c r="D458" s="303" t="s">
        <v>1181</v>
      </c>
      <c r="E458" s="303" t="s">
        <v>1274</v>
      </c>
      <c r="F458" s="304" t="s">
        <v>2077</v>
      </c>
      <c r="G458" s="304">
        <v>44479</v>
      </c>
      <c r="H458" s="304"/>
      <c r="I458" s="304" t="s">
        <v>2077</v>
      </c>
      <c r="J458" s="303" t="s">
        <v>1970</v>
      </c>
      <c r="K458" s="305"/>
      <c r="L458" s="176">
        <v>44570</v>
      </c>
      <c r="M458" t="s">
        <v>2410</v>
      </c>
      <c r="N458" s="204">
        <v>44570</v>
      </c>
      <c r="Q458" t="s">
        <v>39</v>
      </c>
      <c r="R458" t="s">
        <v>138</v>
      </c>
    </row>
    <row r="459" spans="1:18">
      <c r="A459" s="303">
        <f>COUNTA($D$3:$D$459)</f>
        <v>457</v>
      </c>
      <c r="B459" s="303" t="s">
        <v>1903</v>
      </c>
      <c r="C459" s="303" t="s">
        <v>25</v>
      </c>
      <c r="D459" s="303" t="s">
        <v>34</v>
      </c>
      <c r="E459" s="303" t="s">
        <v>1904</v>
      </c>
      <c r="F459" s="304">
        <v>44467</v>
      </c>
      <c r="G459" s="304">
        <v>44465</v>
      </c>
      <c r="H459" s="304"/>
      <c r="I459" s="304">
        <v>44467</v>
      </c>
      <c r="J459" s="303" t="s">
        <v>1952</v>
      </c>
      <c r="K459" s="305"/>
      <c r="L459" s="176">
        <v>44570</v>
      </c>
      <c r="M459" t="s">
        <v>2410</v>
      </c>
      <c r="N459" s="204">
        <v>44570</v>
      </c>
      <c r="Q459" t="s">
        <v>39</v>
      </c>
      <c r="R459" t="s">
        <v>138</v>
      </c>
    </row>
    <row r="460" spans="1:18">
      <c r="A460" s="303">
        <f>COUNTA($D$3:$D$460)</f>
        <v>458</v>
      </c>
      <c r="B460" s="303" t="s">
        <v>1884</v>
      </c>
      <c r="C460" s="303" t="s">
        <v>78</v>
      </c>
      <c r="D460" s="303" t="s">
        <v>53</v>
      </c>
      <c r="E460" s="303" t="s">
        <v>1169</v>
      </c>
      <c r="F460" s="304">
        <v>44447</v>
      </c>
      <c r="G460" s="304">
        <v>44448</v>
      </c>
      <c r="H460" s="304"/>
      <c r="I460" s="304">
        <v>44447</v>
      </c>
      <c r="J460" s="303" t="s">
        <v>1909</v>
      </c>
      <c r="K460" s="305"/>
      <c r="L460" s="176">
        <v>44570</v>
      </c>
      <c r="M460" t="s">
        <v>2410</v>
      </c>
      <c r="N460" s="204">
        <v>44570</v>
      </c>
      <c r="Q460" t="s">
        <v>39</v>
      </c>
      <c r="R460" t="s">
        <v>138</v>
      </c>
    </row>
    <row r="461" spans="1:18">
      <c r="A461" s="303">
        <f>COUNTA($D$3:$D$461)</f>
        <v>459</v>
      </c>
      <c r="B461" s="303" t="s">
        <v>1956</v>
      </c>
      <c r="C461" s="303" t="s">
        <v>1131</v>
      </c>
      <c r="D461" s="303" t="s">
        <v>42</v>
      </c>
      <c r="E461" s="303" t="s">
        <v>1957</v>
      </c>
      <c r="F461" s="304">
        <v>44468</v>
      </c>
      <c r="G461" s="304">
        <v>44471</v>
      </c>
      <c r="H461" s="304">
        <v>44483</v>
      </c>
      <c r="I461" s="304">
        <v>44468</v>
      </c>
      <c r="J461" s="303" t="s">
        <v>1694</v>
      </c>
      <c r="K461" s="305"/>
      <c r="L461" s="176">
        <v>44570</v>
      </c>
      <c r="M461" t="s">
        <v>2980</v>
      </c>
      <c r="N461" s="204">
        <v>44616</v>
      </c>
      <c r="Q461" t="s">
        <v>32</v>
      </c>
      <c r="R461" t="s">
        <v>138</v>
      </c>
    </row>
    <row r="462" spans="1:18">
      <c r="A462" s="303">
        <f>COUNTA($D$3:$D$462)</f>
        <v>460</v>
      </c>
      <c r="B462" s="303" t="s">
        <v>2145</v>
      </c>
      <c r="C462" s="303" t="s">
        <v>48</v>
      </c>
      <c r="D462" s="303" t="s">
        <v>1719</v>
      </c>
      <c r="E462" s="303" t="s">
        <v>2146</v>
      </c>
      <c r="F462" s="304"/>
      <c r="G462" s="304"/>
      <c r="H462" s="304"/>
      <c r="I462" s="304"/>
      <c r="J462" s="303"/>
      <c r="K462" s="305"/>
      <c r="L462" s="176">
        <v>44547</v>
      </c>
      <c r="M462" t="s">
        <v>2295</v>
      </c>
      <c r="N462" s="204">
        <v>44547</v>
      </c>
    </row>
    <row r="463" spans="1:18">
      <c r="A463" s="303">
        <f>COUNTA($D$3:$D$463)</f>
        <v>461</v>
      </c>
      <c r="B463" s="303" t="s">
        <v>1889</v>
      </c>
      <c r="C463" s="303" t="s">
        <v>25</v>
      </c>
      <c r="D463" s="303" t="s">
        <v>1092</v>
      </c>
      <c r="E463" s="303" t="s">
        <v>1890</v>
      </c>
      <c r="F463" s="304">
        <v>44446</v>
      </c>
      <c r="G463" s="304"/>
      <c r="H463" s="304"/>
      <c r="I463" s="304" t="s">
        <v>9</v>
      </c>
      <c r="J463" s="303" t="s">
        <v>1891</v>
      </c>
      <c r="K463" s="305" t="s">
        <v>37</v>
      </c>
      <c r="L463" s="176">
        <v>44547</v>
      </c>
      <c r="M463" t="s">
        <v>2572</v>
      </c>
      <c r="N463" s="204">
        <v>44781</v>
      </c>
      <c r="Q463" t="s">
        <v>32</v>
      </c>
      <c r="R463" t="s">
        <v>138</v>
      </c>
    </row>
    <row r="464" spans="1:18">
      <c r="A464" s="303">
        <f>COUNTA($D$3:$D$464)</f>
        <v>462</v>
      </c>
      <c r="B464" s="303" t="s">
        <v>2248</v>
      </c>
      <c r="C464" s="303" t="s">
        <v>45</v>
      </c>
      <c r="D464" s="303" t="s">
        <v>36</v>
      </c>
      <c r="E464" s="303" t="s">
        <v>1202</v>
      </c>
      <c r="F464" s="304"/>
      <c r="G464" s="304"/>
      <c r="H464" s="304"/>
      <c r="I464" s="304"/>
      <c r="J464" s="303"/>
      <c r="K464" s="305" t="s">
        <v>110</v>
      </c>
      <c r="L464" s="176">
        <v>44532</v>
      </c>
      <c r="M464" t="s">
        <v>2262</v>
      </c>
      <c r="N464" s="204">
        <v>44532</v>
      </c>
    </row>
    <row r="465" spans="1:18">
      <c r="A465" s="303">
        <f>COUNTA($D$3:$D$465)</f>
        <v>463</v>
      </c>
      <c r="B465" s="303" t="s">
        <v>2201</v>
      </c>
      <c r="C465" s="303" t="s">
        <v>1285</v>
      </c>
      <c r="D465" s="303" t="s">
        <v>20</v>
      </c>
      <c r="E465" s="303" t="s">
        <v>2202</v>
      </c>
      <c r="F465" s="304"/>
      <c r="G465" s="304"/>
      <c r="H465" s="304"/>
      <c r="I465" s="304"/>
      <c r="J465" s="303" t="s">
        <v>2236</v>
      </c>
      <c r="K465" s="305" t="s">
        <v>1302</v>
      </c>
      <c r="L465" s="176">
        <v>44532</v>
      </c>
      <c r="M465" t="s">
        <v>2264</v>
      </c>
      <c r="N465" s="204">
        <v>44532</v>
      </c>
      <c r="Q465" t="s">
        <v>2697</v>
      </c>
      <c r="R465" t="s">
        <v>138</v>
      </c>
    </row>
    <row r="466" spans="1:18">
      <c r="A466" s="303">
        <f>COUNTA($D$3:$D$466)</f>
        <v>464</v>
      </c>
      <c r="B466" s="303" t="s">
        <v>2206</v>
      </c>
      <c r="C466" s="303" t="s">
        <v>1285</v>
      </c>
      <c r="D466" s="303" t="s">
        <v>20</v>
      </c>
      <c r="E466" s="303" t="s">
        <v>2207</v>
      </c>
      <c r="F466" s="304">
        <v>44517</v>
      </c>
      <c r="G466" s="304">
        <v>44519</v>
      </c>
      <c r="H466" s="304"/>
      <c r="I466" s="304">
        <v>44517</v>
      </c>
      <c r="J466" s="303" t="s">
        <v>2239</v>
      </c>
      <c r="K466" s="305" t="s">
        <v>1311</v>
      </c>
      <c r="L466" s="176">
        <v>44532</v>
      </c>
      <c r="M466" t="s">
        <v>2261</v>
      </c>
      <c r="N466" s="204">
        <v>44532</v>
      </c>
      <c r="Q466" t="s">
        <v>39</v>
      </c>
      <c r="R466" t="s">
        <v>138</v>
      </c>
    </row>
    <row r="467" spans="1:18">
      <c r="A467" s="303">
        <f>COUNTA($D$3:$D$467)</f>
        <v>465</v>
      </c>
      <c r="B467" s="303" t="s">
        <v>2205</v>
      </c>
      <c r="C467" s="303" t="s">
        <v>1285</v>
      </c>
      <c r="D467" s="303" t="s">
        <v>20</v>
      </c>
      <c r="E467" s="303" t="s">
        <v>1286</v>
      </c>
      <c r="F467" s="304">
        <v>44517</v>
      </c>
      <c r="G467" s="304">
        <v>44519</v>
      </c>
      <c r="H467" s="304"/>
      <c r="I467" s="304">
        <v>44517</v>
      </c>
      <c r="J467" s="303" t="s">
        <v>2238</v>
      </c>
      <c r="K467" s="305" t="s">
        <v>1289</v>
      </c>
      <c r="L467" s="176">
        <v>44532</v>
      </c>
      <c r="M467" t="s">
        <v>2261</v>
      </c>
      <c r="N467" s="204">
        <v>44532</v>
      </c>
      <c r="Q467" t="s">
        <v>39</v>
      </c>
      <c r="R467" t="s">
        <v>138</v>
      </c>
    </row>
    <row r="468" spans="1:18">
      <c r="A468" s="303">
        <f>COUNTA($D$3:$D$468)</f>
        <v>466</v>
      </c>
      <c r="B468" s="303" t="s">
        <v>2203</v>
      </c>
      <c r="C468" s="303" t="s">
        <v>1285</v>
      </c>
      <c r="D468" s="303" t="s">
        <v>20</v>
      </c>
      <c r="E468" s="303" t="s">
        <v>2204</v>
      </c>
      <c r="F468" s="304">
        <v>44517</v>
      </c>
      <c r="G468" s="304">
        <v>44519</v>
      </c>
      <c r="H468" s="304"/>
      <c r="I468" s="304">
        <v>44517</v>
      </c>
      <c r="J468" s="303" t="s">
        <v>2237</v>
      </c>
      <c r="K468" s="305" t="s">
        <v>1310</v>
      </c>
      <c r="L468" s="176">
        <v>44532</v>
      </c>
      <c r="M468" t="s">
        <v>2265</v>
      </c>
      <c r="N468" s="204">
        <v>44532</v>
      </c>
      <c r="Q468" t="s">
        <v>39</v>
      </c>
      <c r="R468" t="s">
        <v>138</v>
      </c>
    </row>
    <row r="469" spans="1:18">
      <c r="A469" s="303">
        <f>COUNTA($D$3:$D$469)</f>
        <v>467</v>
      </c>
      <c r="B469" s="303" t="s">
        <v>2183</v>
      </c>
      <c r="C469" s="303" t="s">
        <v>45</v>
      </c>
      <c r="D469" s="303" t="s">
        <v>53</v>
      </c>
      <c r="E469" s="303" t="s">
        <v>1100</v>
      </c>
      <c r="F469" s="304"/>
      <c r="G469" s="304"/>
      <c r="H469" s="304"/>
      <c r="I469" s="304"/>
      <c r="J469" s="303"/>
      <c r="K469" s="305"/>
      <c r="L469" s="176">
        <v>44526</v>
      </c>
      <c r="M469" t="s">
        <v>2243</v>
      </c>
      <c r="N469" s="204">
        <v>44526</v>
      </c>
      <c r="Q469" t="s">
        <v>1065</v>
      </c>
    </row>
    <row r="470" spans="1:18">
      <c r="A470" s="303">
        <f>COUNTA($D$3:$D$470)</f>
        <v>468</v>
      </c>
      <c r="B470" s="303" t="s">
        <v>2099</v>
      </c>
      <c r="C470" s="303" t="s">
        <v>1255</v>
      </c>
      <c r="D470" s="303" t="s">
        <v>1110</v>
      </c>
      <c r="E470" s="303" t="s">
        <v>2100</v>
      </c>
      <c r="F470" s="304">
        <v>44508</v>
      </c>
      <c r="G470" s="304">
        <v>44512</v>
      </c>
      <c r="H470" s="304"/>
      <c r="I470" s="304">
        <v>44508</v>
      </c>
      <c r="J470" s="303" t="s">
        <v>1105</v>
      </c>
      <c r="K470" s="305" t="s">
        <v>297</v>
      </c>
      <c r="L470" s="176">
        <v>44526</v>
      </c>
      <c r="M470" t="s">
        <v>2241</v>
      </c>
      <c r="N470" s="204">
        <v>44526</v>
      </c>
      <c r="Q470" t="s">
        <v>1741</v>
      </c>
      <c r="R470" t="s">
        <v>138</v>
      </c>
    </row>
    <row r="471" spans="1:18">
      <c r="A471" s="303">
        <f>COUNTA($D$3:$D$471)</f>
        <v>469</v>
      </c>
      <c r="B471" s="303" t="s">
        <v>2185</v>
      </c>
      <c r="C471" s="303" t="s">
        <v>45</v>
      </c>
      <c r="D471" s="303" t="s">
        <v>27</v>
      </c>
      <c r="E471" s="303" t="s">
        <v>1287</v>
      </c>
      <c r="F471" s="304"/>
      <c r="G471" s="304"/>
      <c r="H471" s="304"/>
      <c r="I471" s="304"/>
      <c r="J471" s="303" t="s">
        <v>1665</v>
      </c>
      <c r="K471" s="305" t="s">
        <v>1309</v>
      </c>
      <c r="L471" s="176">
        <v>44518</v>
      </c>
      <c r="M471" t="s">
        <v>2195</v>
      </c>
      <c r="N471" s="204">
        <v>44518</v>
      </c>
    </row>
    <row r="472" spans="1:18">
      <c r="A472" s="303">
        <f>COUNTA($D$3:$D$472)</f>
        <v>470</v>
      </c>
      <c r="B472" s="303" t="s">
        <v>2039</v>
      </c>
      <c r="C472" s="303" t="s">
        <v>2040</v>
      </c>
      <c r="D472" s="303" t="s">
        <v>1133</v>
      </c>
      <c r="E472" s="303" t="s">
        <v>2041</v>
      </c>
      <c r="F472" s="304">
        <v>44489</v>
      </c>
      <c r="G472" s="304">
        <v>44491</v>
      </c>
      <c r="H472" s="304"/>
      <c r="I472" s="304">
        <v>44489</v>
      </c>
      <c r="J472" s="303" t="s">
        <v>2070</v>
      </c>
      <c r="K472" s="305" t="s">
        <v>1302</v>
      </c>
      <c r="L472" s="176">
        <v>44518</v>
      </c>
      <c r="N472" s="204">
        <v>45021</v>
      </c>
      <c r="Q472" t="s">
        <v>39</v>
      </c>
      <c r="R472" t="s">
        <v>138</v>
      </c>
    </row>
    <row r="473" spans="1:18">
      <c r="A473" s="303">
        <f>COUNTA($D$3:$D$473)</f>
        <v>471</v>
      </c>
      <c r="B473" s="303" t="s">
        <v>1971</v>
      </c>
      <c r="C473" s="303" t="s">
        <v>45</v>
      </c>
      <c r="D473" s="303" t="s">
        <v>49</v>
      </c>
      <c r="E473" s="303" t="s">
        <v>1972</v>
      </c>
      <c r="F473" s="304"/>
      <c r="G473" s="304"/>
      <c r="H473" s="304"/>
      <c r="I473" s="304"/>
      <c r="J473" s="303" t="s">
        <v>1790</v>
      </c>
      <c r="K473" s="305" t="s">
        <v>1310</v>
      </c>
      <c r="L473" s="176">
        <v>44518</v>
      </c>
      <c r="M473" t="s">
        <v>2189</v>
      </c>
      <c r="N473" s="204">
        <v>44518</v>
      </c>
      <c r="O473" s="203"/>
      <c r="Q473" t="s">
        <v>1067</v>
      </c>
    </row>
    <row r="474" spans="1:18">
      <c r="A474" s="303">
        <f>COUNTA($D$3:$D$474)</f>
        <v>472</v>
      </c>
      <c r="B474" s="303" t="s">
        <v>2197</v>
      </c>
      <c r="C474" s="303" t="s">
        <v>1280</v>
      </c>
      <c r="D474" s="303" t="s">
        <v>111</v>
      </c>
      <c r="E474" s="303" t="s">
        <v>1281</v>
      </c>
      <c r="F474" s="304"/>
      <c r="G474" s="304"/>
      <c r="H474" s="304"/>
      <c r="I474" s="304"/>
      <c r="J474" s="303" t="s">
        <v>1665</v>
      </c>
      <c r="K474" s="305" t="s">
        <v>1302</v>
      </c>
      <c r="L474" s="176">
        <v>44518</v>
      </c>
      <c r="M474" t="s">
        <v>2214</v>
      </c>
      <c r="N474" s="204">
        <v>44795</v>
      </c>
      <c r="O474" s="203"/>
      <c r="Q474" t="s">
        <v>2698</v>
      </c>
      <c r="R474" t="s">
        <v>138</v>
      </c>
    </row>
    <row r="475" spans="1:18">
      <c r="A475" s="303">
        <f>COUNTA($D$3:$D$475)</f>
        <v>473</v>
      </c>
      <c r="B475" s="303" t="s">
        <v>2147</v>
      </c>
      <c r="C475" s="303" t="s">
        <v>48</v>
      </c>
      <c r="D475" s="303" t="s">
        <v>55</v>
      </c>
      <c r="E475" s="303" t="s">
        <v>266</v>
      </c>
      <c r="F475" s="304"/>
      <c r="G475" s="304"/>
      <c r="H475" s="304"/>
      <c r="I475" s="304"/>
      <c r="J475" s="303" t="s">
        <v>1665</v>
      </c>
      <c r="K475" s="305" t="s">
        <v>24</v>
      </c>
      <c r="L475" s="176">
        <v>44511</v>
      </c>
      <c r="M475" t="s">
        <v>2168</v>
      </c>
      <c r="N475" s="204">
        <v>44511</v>
      </c>
    </row>
    <row r="476" spans="1:18">
      <c r="A476" s="303">
        <f>COUNTA($D$3:$D$476)</f>
        <v>474</v>
      </c>
      <c r="B476" s="303" t="s">
        <v>1872</v>
      </c>
      <c r="C476" s="303" t="s">
        <v>313</v>
      </c>
      <c r="D476" s="303" t="s">
        <v>42</v>
      </c>
      <c r="E476" s="303" t="s">
        <v>1713</v>
      </c>
      <c r="F476" s="304"/>
      <c r="G476" s="304"/>
      <c r="H476" s="304"/>
      <c r="I476" s="304"/>
      <c r="J476" s="303" t="s">
        <v>1714</v>
      </c>
      <c r="K476" s="305" t="s">
        <v>58</v>
      </c>
      <c r="L476" s="176">
        <v>44511</v>
      </c>
      <c r="M476" t="s">
        <v>2161</v>
      </c>
      <c r="N476" s="204">
        <v>44511</v>
      </c>
      <c r="O476" s="203"/>
      <c r="Q476" t="s">
        <v>39</v>
      </c>
      <c r="R476" t="s">
        <v>138</v>
      </c>
    </row>
    <row r="477" spans="1:18">
      <c r="A477" s="303">
        <f>COUNTA($D$3:$D$477)</f>
        <v>475</v>
      </c>
      <c r="B477" s="303" t="s">
        <v>1863</v>
      </c>
      <c r="C477" s="303" t="s">
        <v>1238</v>
      </c>
      <c r="D477" s="303" t="s">
        <v>1115</v>
      </c>
      <c r="E477" s="303" t="s">
        <v>1864</v>
      </c>
      <c r="F477" s="304">
        <v>44403</v>
      </c>
      <c r="G477" s="304">
        <v>44402</v>
      </c>
      <c r="H477" s="304"/>
      <c r="I477" s="304">
        <v>44403</v>
      </c>
      <c r="J477" s="303" t="s">
        <v>1682</v>
      </c>
      <c r="K477" s="305" t="s">
        <v>1101</v>
      </c>
      <c r="L477" s="176">
        <v>44511</v>
      </c>
      <c r="M477" t="s">
        <v>2985</v>
      </c>
      <c r="N477" s="204">
        <v>44628</v>
      </c>
      <c r="Q477" t="s">
        <v>39</v>
      </c>
      <c r="R477" t="s">
        <v>138</v>
      </c>
    </row>
    <row r="478" spans="1:18">
      <c r="A478" s="303">
        <f>COUNTA($D$3:$D$478)</f>
        <v>476</v>
      </c>
      <c r="B478" s="303" t="s">
        <v>1892</v>
      </c>
      <c r="C478" s="303" t="s">
        <v>45</v>
      </c>
      <c r="D478" s="303" t="s">
        <v>1893</v>
      </c>
      <c r="E478" s="303">
        <v>20314060</v>
      </c>
      <c r="F478" s="304"/>
      <c r="G478" s="304"/>
      <c r="H478" s="304"/>
      <c r="I478" s="304"/>
      <c r="J478" s="303"/>
      <c r="K478" s="305" t="s">
        <v>58</v>
      </c>
      <c r="L478" s="176">
        <v>44511</v>
      </c>
      <c r="M478" t="s">
        <v>2162</v>
      </c>
      <c r="N478" s="204">
        <v>44511</v>
      </c>
      <c r="Q478" t="s">
        <v>2699</v>
      </c>
    </row>
    <row r="479" spans="1:18">
      <c r="A479" s="303">
        <f>COUNTA($D$3:$D$479)</f>
        <v>477</v>
      </c>
      <c r="B479" s="303" t="s">
        <v>1807</v>
      </c>
      <c r="C479" s="303" t="s">
        <v>100</v>
      </c>
      <c r="D479" s="303" t="s">
        <v>62</v>
      </c>
      <c r="E479" s="303" t="s">
        <v>1808</v>
      </c>
      <c r="F479" s="304">
        <v>44323</v>
      </c>
      <c r="G479" s="304">
        <v>44378</v>
      </c>
      <c r="H479" s="304"/>
      <c r="I479" s="304">
        <v>44323</v>
      </c>
      <c r="J479" s="303" t="s">
        <v>1809</v>
      </c>
      <c r="K479" s="305" t="s">
        <v>1101</v>
      </c>
      <c r="L479" s="176">
        <v>44505</v>
      </c>
      <c r="M479" t="s">
        <v>2109</v>
      </c>
      <c r="N479" s="204">
        <v>44505</v>
      </c>
      <c r="O479" s="203"/>
      <c r="Q479" t="s">
        <v>39</v>
      </c>
      <c r="R479" t="s">
        <v>138</v>
      </c>
    </row>
    <row r="480" spans="1:18">
      <c r="A480" s="303">
        <f>COUNTA($D$3:$D$480)</f>
        <v>478</v>
      </c>
      <c r="B480" s="303" t="s">
        <v>1815</v>
      </c>
      <c r="C480" s="303" t="s">
        <v>1816</v>
      </c>
      <c r="D480" s="303" t="s">
        <v>111</v>
      </c>
      <c r="E480" s="303" t="s">
        <v>1817</v>
      </c>
      <c r="F480" s="304">
        <v>44402</v>
      </c>
      <c r="G480" s="304">
        <v>44393</v>
      </c>
      <c r="H480" s="304"/>
      <c r="I480" s="304">
        <v>44402</v>
      </c>
      <c r="J480" s="303" t="s">
        <v>1818</v>
      </c>
      <c r="K480" s="305" t="s">
        <v>134</v>
      </c>
      <c r="L480" s="176">
        <v>44505</v>
      </c>
      <c r="M480" t="s">
        <v>2980</v>
      </c>
      <c r="N480" s="204">
        <v>44417</v>
      </c>
      <c r="Q480" t="s">
        <v>39</v>
      </c>
      <c r="R480" t="s">
        <v>138</v>
      </c>
    </row>
    <row r="481" spans="1:18">
      <c r="A481" s="303">
        <f>COUNTA($D$3:$D$481)</f>
        <v>479</v>
      </c>
      <c r="B481" s="303" t="s">
        <v>1793</v>
      </c>
      <c r="C481" s="303" t="s">
        <v>1268</v>
      </c>
      <c r="D481" s="303" t="s">
        <v>133</v>
      </c>
      <c r="E481" s="303" t="s">
        <v>132</v>
      </c>
      <c r="F481" s="304"/>
      <c r="G481" s="304"/>
      <c r="H481" s="304"/>
      <c r="I481" s="304"/>
      <c r="J481" s="303" t="s">
        <v>1967</v>
      </c>
      <c r="K481" s="305" t="s">
        <v>134</v>
      </c>
      <c r="L481" s="176">
        <v>44505</v>
      </c>
      <c r="M481" t="s">
        <v>2444</v>
      </c>
      <c r="N481" s="204">
        <v>44505</v>
      </c>
      <c r="Q481" t="s">
        <v>1092</v>
      </c>
      <c r="R481" t="s">
        <v>138</v>
      </c>
    </row>
    <row r="482" spans="1:18">
      <c r="A482" s="303">
        <f>COUNTA($D$3:$D$482)</f>
        <v>480</v>
      </c>
      <c r="B482" s="303" t="s">
        <v>1788</v>
      </c>
      <c r="C482" s="303" t="s">
        <v>1276</v>
      </c>
      <c r="D482" s="303" t="s">
        <v>49</v>
      </c>
      <c r="E482" s="303" t="s">
        <v>1789</v>
      </c>
      <c r="F482" s="304">
        <v>44368</v>
      </c>
      <c r="G482" s="304">
        <v>44364</v>
      </c>
      <c r="H482" s="304"/>
      <c r="I482" s="304">
        <v>44368</v>
      </c>
      <c r="J482" s="303" t="s">
        <v>1790</v>
      </c>
      <c r="K482" s="305" t="s">
        <v>134</v>
      </c>
      <c r="L482" s="176">
        <v>44505</v>
      </c>
      <c r="M482" t="s">
        <v>1086</v>
      </c>
      <c r="N482" s="204">
        <v>44664</v>
      </c>
      <c r="Q482" t="s">
        <v>1741</v>
      </c>
      <c r="R482" t="s">
        <v>138</v>
      </c>
    </row>
    <row r="483" spans="1:18">
      <c r="A483" s="303">
        <f>COUNTA($D$3:$D$483)</f>
        <v>481</v>
      </c>
      <c r="B483" s="303" t="s">
        <v>1791</v>
      </c>
      <c r="C483" s="303" t="s">
        <v>45</v>
      </c>
      <c r="D483" s="303" t="s">
        <v>38</v>
      </c>
      <c r="E483" s="303" t="s">
        <v>1792</v>
      </c>
      <c r="F483" s="304">
        <v>44387</v>
      </c>
      <c r="G483" s="304">
        <v>44364</v>
      </c>
      <c r="H483" s="304"/>
      <c r="I483" s="304">
        <v>44387</v>
      </c>
      <c r="J483" s="303" t="s">
        <v>21</v>
      </c>
      <c r="K483" s="305" t="s">
        <v>1101</v>
      </c>
      <c r="L483" s="176">
        <v>44505</v>
      </c>
      <c r="M483" t="s">
        <v>2102</v>
      </c>
      <c r="N483" s="204">
        <v>44505</v>
      </c>
      <c r="Q483" t="s">
        <v>64</v>
      </c>
    </row>
    <row r="484" spans="1:18">
      <c r="A484" s="303">
        <f>COUNTA($D$3:$D$484)</f>
        <v>482</v>
      </c>
      <c r="B484" s="303" t="s">
        <v>1825</v>
      </c>
      <c r="C484" s="303" t="s">
        <v>41</v>
      </c>
      <c r="D484" s="303" t="s">
        <v>49</v>
      </c>
      <c r="E484" s="303" t="s">
        <v>1678</v>
      </c>
      <c r="F484" s="304"/>
      <c r="G484" s="304">
        <v>44393</v>
      </c>
      <c r="H484" s="304">
        <v>44483</v>
      </c>
      <c r="I484" s="304"/>
      <c r="J484" s="303" t="s">
        <v>1850</v>
      </c>
      <c r="K484" s="305" t="s">
        <v>134</v>
      </c>
      <c r="L484" s="176">
        <v>44505</v>
      </c>
      <c r="M484" t="s">
        <v>2111</v>
      </c>
      <c r="N484" s="204">
        <v>44781</v>
      </c>
      <c r="Q484" t="s">
        <v>1741</v>
      </c>
      <c r="R484" t="s">
        <v>138</v>
      </c>
    </row>
    <row r="485" spans="1:18">
      <c r="A485" s="303">
        <f>COUNTA($D$3:$D$485)</f>
        <v>483</v>
      </c>
      <c r="B485" s="303" t="s">
        <v>1852</v>
      </c>
      <c r="C485" s="303" t="s">
        <v>41</v>
      </c>
      <c r="D485" s="303" t="s">
        <v>38</v>
      </c>
      <c r="E485" s="303" t="s">
        <v>1278</v>
      </c>
      <c r="F485" s="304">
        <v>44392</v>
      </c>
      <c r="G485" s="304">
        <v>44393</v>
      </c>
      <c r="H485" s="304"/>
      <c r="I485" s="304">
        <v>44392</v>
      </c>
      <c r="J485" s="303" t="s">
        <v>1500</v>
      </c>
      <c r="K485" s="305" t="s">
        <v>37</v>
      </c>
      <c r="L485" s="176">
        <v>44505</v>
      </c>
      <c r="M485" t="s">
        <v>2114</v>
      </c>
      <c r="N485" s="204">
        <v>44781</v>
      </c>
      <c r="Q485" t="s">
        <v>39</v>
      </c>
      <c r="R485" t="s">
        <v>138</v>
      </c>
    </row>
    <row r="486" spans="1:18">
      <c r="A486" s="303">
        <f>COUNTA($D$3:$D$486)</f>
        <v>484</v>
      </c>
      <c r="B486" s="303" t="s">
        <v>1827</v>
      </c>
      <c r="C486" s="303" t="s">
        <v>48</v>
      </c>
      <c r="D486" s="303" t="s">
        <v>1141</v>
      </c>
      <c r="E486" s="303" t="s">
        <v>1828</v>
      </c>
      <c r="F486" s="304" t="s">
        <v>70</v>
      </c>
      <c r="G486" s="304">
        <v>44402</v>
      </c>
      <c r="H486" s="304"/>
      <c r="I486" s="304" t="s">
        <v>70</v>
      </c>
      <c r="J486" s="303" t="s">
        <v>1851</v>
      </c>
      <c r="K486" s="305" t="s">
        <v>37</v>
      </c>
      <c r="L486" s="176">
        <v>44505</v>
      </c>
      <c r="M486" t="s">
        <v>2113</v>
      </c>
      <c r="N486" s="204">
        <v>44505</v>
      </c>
      <c r="Q486" t="s">
        <v>64</v>
      </c>
    </row>
    <row r="487" spans="1:18">
      <c r="A487" s="303">
        <f>COUNTA($D$3:$D$487)</f>
        <v>485</v>
      </c>
      <c r="B487" s="303" t="s">
        <v>1786</v>
      </c>
      <c r="C487" s="303" t="s">
        <v>48</v>
      </c>
      <c r="D487" s="303" t="s">
        <v>38</v>
      </c>
      <c r="E487" s="303" t="s">
        <v>137</v>
      </c>
      <c r="F487" s="304" t="s">
        <v>70</v>
      </c>
      <c r="G487" s="304">
        <v>44364</v>
      </c>
      <c r="H487" s="304"/>
      <c r="I487" s="304" t="s">
        <v>70</v>
      </c>
      <c r="J487" s="303" t="s">
        <v>1804</v>
      </c>
      <c r="K487" s="305" t="s">
        <v>1213</v>
      </c>
      <c r="L487" s="176">
        <v>44505</v>
      </c>
      <c r="M487" t="s">
        <v>2105</v>
      </c>
      <c r="N487" s="204">
        <v>44505</v>
      </c>
      <c r="Q487" t="s">
        <v>64</v>
      </c>
    </row>
    <row r="488" spans="1:18">
      <c r="A488" s="303">
        <f>COUNTA($D$3:$D$488)</f>
        <v>486</v>
      </c>
      <c r="B488" s="303" t="s">
        <v>1785</v>
      </c>
      <c r="C488" s="303" t="s">
        <v>25</v>
      </c>
      <c r="D488" s="303" t="s">
        <v>62</v>
      </c>
      <c r="E488" s="303" t="s">
        <v>1273</v>
      </c>
      <c r="F488" s="304">
        <v>44364</v>
      </c>
      <c r="G488" s="304">
        <v>44364</v>
      </c>
      <c r="H488" s="304"/>
      <c r="I488" s="304">
        <v>44364</v>
      </c>
      <c r="J488" s="303" t="s">
        <v>1803</v>
      </c>
      <c r="K488" s="305" t="s">
        <v>37</v>
      </c>
      <c r="L488" s="176">
        <v>44505</v>
      </c>
      <c r="M488" t="s">
        <v>2104</v>
      </c>
      <c r="N488" s="204">
        <v>44866</v>
      </c>
      <c r="Q488" t="s">
        <v>39</v>
      </c>
      <c r="R488" t="s">
        <v>138</v>
      </c>
    </row>
    <row r="489" spans="1:18">
      <c r="A489" s="303">
        <f>COUNTA($D$3:$D$489)</f>
        <v>487</v>
      </c>
      <c r="B489" s="303" t="s">
        <v>1797</v>
      </c>
      <c r="C489" s="303" t="s">
        <v>41</v>
      </c>
      <c r="D489" s="303" t="s">
        <v>38</v>
      </c>
      <c r="E489" s="303" t="s">
        <v>1798</v>
      </c>
      <c r="F489" s="304">
        <v>44368</v>
      </c>
      <c r="G489" s="304">
        <v>44372</v>
      </c>
      <c r="H489" s="304"/>
      <c r="I489" s="304">
        <v>44368</v>
      </c>
      <c r="J489" s="303" t="s">
        <v>21</v>
      </c>
      <c r="K489" s="305" t="s">
        <v>37</v>
      </c>
      <c r="L489" s="176">
        <v>44505</v>
      </c>
      <c r="M489" t="s">
        <v>2104</v>
      </c>
      <c r="N489" s="204">
        <v>44781</v>
      </c>
      <c r="Q489" t="s">
        <v>39</v>
      </c>
      <c r="R489" t="s">
        <v>138</v>
      </c>
    </row>
    <row r="490" spans="1:18">
      <c r="A490" s="303">
        <f>COUNTA($D$3:$D$490)</f>
        <v>488</v>
      </c>
      <c r="B490" s="303" t="s">
        <v>1796</v>
      </c>
      <c r="C490" s="303" t="s">
        <v>45</v>
      </c>
      <c r="D490" s="303" t="s">
        <v>1143</v>
      </c>
      <c r="E490" s="303" t="s">
        <v>1144</v>
      </c>
      <c r="F490" s="304" t="s">
        <v>70</v>
      </c>
      <c r="G490" s="304">
        <v>44364</v>
      </c>
      <c r="H490" s="304"/>
      <c r="I490" s="304" t="s">
        <v>70</v>
      </c>
      <c r="J490" s="303" t="s">
        <v>1694</v>
      </c>
      <c r="K490" s="305" t="s">
        <v>57</v>
      </c>
      <c r="L490" s="176">
        <v>44505</v>
      </c>
      <c r="M490" t="s">
        <v>2106</v>
      </c>
      <c r="N490" s="204">
        <v>44505</v>
      </c>
      <c r="Q490" t="s">
        <v>32</v>
      </c>
    </row>
    <row r="491" spans="1:18">
      <c r="A491" s="303">
        <f>COUNTA($D$3:$D$491)</f>
        <v>489</v>
      </c>
      <c r="B491" s="303" t="s">
        <v>1801</v>
      </c>
      <c r="C491" s="303" t="s">
        <v>25</v>
      </c>
      <c r="D491" s="303" t="s">
        <v>1181</v>
      </c>
      <c r="E491" s="303" t="s">
        <v>1283</v>
      </c>
      <c r="F491" s="304">
        <v>44364</v>
      </c>
      <c r="G491" s="304">
        <v>44372</v>
      </c>
      <c r="H491" s="304"/>
      <c r="I491" s="304">
        <v>44364</v>
      </c>
      <c r="J491" s="303" t="s">
        <v>1802</v>
      </c>
      <c r="K491" s="305" t="s">
        <v>37</v>
      </c>
      <c r="L491" s="176">
        <v>44505</v>
      </c>
      <c r="M491" t="s">
        <v>2107</v>
      </c>
      <c r="N491" s="204">
        <v>44907</v>
      </c>
      <c r="Q491" t="s">
        <v>39</v>
      </c>
      <c r="R491" t="s">
        <v>138</v>
      </c>
    </row>
    <row r="492" spans="1:18">
      <c r="A492" s="303">
        <f>COUNTA($D$3:$D$492)</f>
        <v>490</v>
      </c>
      <c r="B492" s="303" t="s">
        <v>1799</v>
      </c>
      <c r="C492" s="303" t="s">
        <v>25</v>
      </c>
      <c r="D492" s="303" t="s">
        <v>38</v>
      </c>
      <c r="E492" s="303" t="s">
        <v>1800</v>
      </c>
      <c r="F492" s="304">
        <v>44368</v>
      </c>
      <c r="G492" s="304">
        <v>44372</v>
      </c>
      <c r="H492" s="304"/>
      <c r="I492" s="304">
        <v>44368</v>
      </c>
      <c r="J492" s="303" t="s">
        <v>1658</v>
      </c>
      <c r="K492" s="305" t="s">
        <v>37</v>
      </c>
      <c r="L492" s="176">
        <v>44505</v>
      </c>
      <c r="M492" t="s">
        <v>2107</v>
      </c>
      <c r="N492" s="204">
        <v>44844</v>
      </c>
      <c r="Q492" t="s">
        <v>39</v>
      </c>
      <c r="R492" t="s">
        <v>138</v>
      </c>
    </row>
    <row r="493" spans="1:18">
      <c r="A493" s="303">
        <f>COUNTA($D$3:$D$493)</f>
        <v>491</v>
      </c>
      <c r="B493" s="303" t="s">
        <v>1862</v>
      </c>
      <c r="C493" s="303" t="s">
        <v>45</v>
      </c>
      <c r="D493" s="303" t="s">
        <v>1115</v>
      </c>
      <c r="E493" s="303" t="s">
        <v>1221</v>
      </c>
      <c r="F493" s="304" t="s">
        <v>70</v>
      </c>
      <c r="G493" s="304">
        <v>44402</v>
      </c>
      <c r="H493" s="304"/>
      <c r="I493" s="304" t="s">
        <v>70</v>
      </c>
      <c r="J493" s="303" t="s">
        <v>1804</v>
      </c>
      <c r="K493" s="305" t="s">
        <v>134</v>
      </c>
      <c r="L493" s="176">
        <v>44505</v>
      </c>
      <c r="M493" t="s">
        <v>2116</v>
      </c>
      <c r="N493" s="204">
        <v>44505</v>
      </c>
      <c r="Q493" t="s">
        <v>64</v>
      </c>
    </row>
    <row r="494" spans="1:18">
      <c r="A494" s="303">
        <f>COUNTA($D$3:$D$494)</f>
        <v>492</v>
      </c>
      <c r="B494" s="303" t="s">
        <v>1861</v>
      </c>
      <c r="C494" s="303" t="s">
        <v>45</v>
      </c>
      <c r="D494" s="303" t="s">
        <v>36</v>
      </c>
      <c r="E494" s="303" t="s">
        <v>1171</v>
      </c>
      <c r="F494" s="304" t="s">
        <v>70</v>
      </c>
      <c r="G494" s="304">
        <v>44402</v>
      </c>
      <c r="H494" s="304"/>
      <c r="I494" s="304" t="s">
        <v>70</v>
      </c>
      <c r="J494" s="303" t="s">
        <v>1870</v>
      </c>
      <c r="K494" s="305" t="s">
        <v>1101</v>
      </c>
      <c r="L494" s="176">
        <v>44505</v>
      </c>
      <c r="M494" t="s">
        <v>2115</v>
      </c>
      <c r="N494" s="204">
        <v>44505</v>
      </c>
      <c r="Q494" t="s">
        <v>64</v>
      </c>
    </row>
    <row r="495" spans="1:18">
      <c r="A495" s="303">
        <f>COUNTA($D$3:$D$495)</f>
        <v>493</v>
      </c>
      <c r="B495" s="303" t="s">
        <v>1854</v>
      </c>
      <c r="C495" s="303" t="s">
        <v>313</v>
      </c>
      <c r="D495" s="303" t="s">
        <v>23</v>
      </c>
      <c r="E495" s="303" t="s">
        <v>1855</v>
      </c>
      <c r="F495" s="304">
        <v>44402</v>
      </c>
      <c r="G495" s="304">
        <v>44402</v>
      </c>
      <c r="H495" s="304"/>
      <c r="I495" s="304">
        <v>44402</v>
      </c>
      <c r="J495" s="303" t="s">
        <v>1869</v>
      </c>
      <c r="K495" s="305" t="s">
        <v>37</v>
      </c>
      <c r="L495" s="176">
        <v>44505</v>
      </c>
      <c r="M495" t="s">
        <v>1086</v>
      </c>
      <c r="N495" s="204">
        <v>44572</v>
      </c>
      <c r="Q495" t="s">
        <v>39</v>
      </c>
      <c r="R495" t="s">
        <v>138</v>
      </c>
    </row>
    <row r="496" spans="1:18">
      <c r="A496" s="303">
        <f>COUNTA($D$3:$D$496)</f>
        <v>494</v>
      </c>
      <c r="B496" s="303" t="s">
        <v>1819</v>
      </c>
      <c r="C496" s="303" t="s">
        <v>1820</v>
      </c>
      <c r="D496" s="303" t="s">
        <v>1821</v>
      </c>
      <c r="E496" s="303" t="s">
        <v>1822</v>
      </c>
      <c r="F496" s="304">
        <v>44402</v>
      </c>
      <c r="G496" s="304">
        <v>44402</v>
      </c>
      <c r="H496" s="304">
        <v>44666</v>
      </c>
      <c r="I496" s="304">
        <v>44402</v>
      </c>
      <c r="J496" s="303" t="s">
        <v>1871</v>
      </c>
      <c r="K496" s="305" t="s">
        <v>24</v>
      </c>
      <c r="L496" s="176">
        <v>44505</v>
      </c>
      <c r="M496" t="s">
        <v>2110</v>
      </c>
      <c r="N496" s="204">
        <v>44672</v>
      </c>
      <c r="O496" s="203"/>
      <c r="Q496" t="s">
        <v>39</v>
      </c>
      <c r="R496" t="s">
        <v>138</v>
      </c>
    </row>
    <row r="497" spans="1:18">
      <c r="A497" s="303">
        <f>COUNTA($D$3:$D$497)</f>
        <v>495</v>
      </c>
      <c r="B497" s="303" t="s">
        <v>1783</v>
      </c>
      <c r="C497" s="303" t="s">
        <v>1089</v>
      </c>
      <c r="D497" s="303" t="s">
        <v>56</v>
      </c>
      <c r="E497" s="303" t="s">
        <v>1784</v>
      </c>
      <c r="F497" s="304">
        <v>44375</v>
      </c>
      <c r="G497" s="304">
        <v>44372</v>
      </c>
      <c r="H497" s="304"/>
      <c r="I497" s="304">
        <v>44375</v>
      </c>
      <c r="J497" s="303" t="s">
        <v>1170</v>
      </c>
      <c r="K497" s="305" t="s">
        <v>28</v>
      </c>
      <c r="L497" s="176">
        <v>44505</v>
      </c>
      <c r="M497" t="s">
        <v>2103</v>
      </c>
      <c r="N497" s="204">
        <v>44505</v>
      </c>
      <c r="Q497" t="s">
        <v>1741</v>
      </c>
      <c r="R497" t="s">
        <v>138</v>
      </c>
    </row>
    <row r="498" spans="1:18">
      <c r="A498" s="303">
        <f>COUNTA($D$3:$D$498)</f>
        <v>496</v>
      </c>
      <c r="B498" s="303" t="s">
        <v>1806</v>
      </c>
      <c r="C498" s="303" t="s">
        <v>45</v>
      </c>
      <c r="D498" s="303" t="s">
        <v>1115</v>
      </c>
      <c r="E498" s="303" t="s">
        <v>1120</v>
      </c>
      <c r="F498" s="304"/>
      <c r="G498" s="304"/>
      <c r="H498" s="304"/>
      <c r="I498" s="304"/>
      <c r="J498" s="303" t="s">
        <v>1682</v>
      </c>
      <c r="K498" s="305" t="s">
        <v>1101</v>
      </c>
      <c r="L498" s="176">
        <v>44505</v>
      </c>
      <c r="M498" t="s">
        <v>2108</v>
      </c>
      <c r="N498" s="204">
        <v>44505</v>
      </c>
      <c r="Q498" t="s">
        <v>32</v>
      </c>
    </row>
    <row r="499" spans="1:18">
      <c r="A499" s="303">
        <f>COUNTA($D$3:$D$499)</f>
        <v>497</v>
      </c>
      <c r="B499" s="303" t="s">
        <v>1787</v>
      </c>
      <c r="C499" s="303" t="s">
        <v>45</v>
      </c>
      <c r="D499" s="303" t="s">
        <v>1092</v>
      </c>
      <c r="E499" s="303" t="s">
        <v>1186</v>
      </c>
      <c r="F499" s="304" t="s">
        <v>70</v>
      </c>
      <c r="G499" s="304">
        <v>44364</v>
      </c>
      <c r="H499" s="304"/>
      <c r="I499" s="304" t="s">
        <v>70</v>
      </c>
      <c r="J499" s="303" t="s">
        <v>1500</v>
      </c>
      <c r="K499" s="305" t="s">
        <v>57</v>
      </c>
      <c r="L499" s="176">
        <v>44505</v>
      </c>
      <c r="M499" t="s">
        <v>2117</v>
      </c>
      <c r="N499" s="204">
        <v>44505</v>
      </c>
      <c r="Q499" t="s">
        <v>32</v>
      </c>
    </row>
    <row r="500" spans="1:18">
      <c r="A500" s="303">
        <f>COUNTA($D$3:$D$500)</f>
        <v>498</v>
      </c>
      <c r="B500" s="303" t="s">
        <v>1857</v>
      </c>
      <c r="C500" s="303" t="s">
        <v>313</v>
      </c>
      <c r="D500" s="303" t="s">
        <v>42</v>
      </c>
      <c r="E500" s="303" t="s">
        <v>1858</v>
      </c>
      <c r="F500" s="304">
        <v>44402</v>
      </c>
      <c r="G500" s="304">
        <v>44393</v>
      </c>
      <c r="H500" s="304"/>
      <c r="I500" s="304">
        <v>44402</v>
      </c>
      <c r="J500" s="303" t="s">
        <v>1859</v>
      </c>
      <c r="K500" s="305" t="s">
        <v>57</v>
      </c>
      <c r="L500" s="176">
        <v>44505</v>
      </c>
      <c r="M500" t="s">
        <v>2980</v>
      </c>
      <c r="N500" s="204">
        <v>44846</v>
      </c>
      <c r="Q500" t="s">
        <v>39</v>
      </c>
      <c r="R500" t="s">
        <v>138</v>
      </c>
    </row>
    <row r="501" spans="1:18">
      <c r="A501" s="303">
        <f>COUNTA($D$3:$D$501)</f>
        <v>499</v>
      </c>
      <c r="B501" s="303" t="s">
        <v>1826</v>
      </c>
      <c r="C501" s="303" t="s">
        <v>45</v>
      </c>
      <c r="D501" s="303" t="s">
        <v>60</v>
      </c>
      <c r="E501" s="303" t="s">
        <v>1244</v>
      </c>
      <c r="F501" s="304" t="s">
        <v>70</v>
      </c>
      <c r="G501" s="304">
        <v>44406</v>
      </c>
      <c r="H501" s="304"/>
      <c r="I501" s="304" t="s">
        <v>70</v>
      </c>
      <c r="J501" s="303" t="s">
        <v>1874</v>
      </c>
      <c r="K501" s="305" t="s">
        <v>22</v>
      </c>
      <c r="L501" s="176">
        <v>44505</v>
      </c>
      <c r="M501" t="s">
        <v>2112</v>
      </c>
      <c r="N501" s="204">
        <v>44505</v>
      </c>
      <c r="Q501" t="s">
        <v>64</v>
      </c>
    </row>
    <row r="502" spans="1:18">
      <c r="A502" s="303">
        <f>COUNTA($D$3:$D$502)</f>
        <v>500</v>
      </c>
      <c r="B502" s="303" t="s">
        <v>1812</v>
      </c>
      <c r="C502" s="303" t="s">
        <v>100</v>
      </c>
      <c r="D502" s="303" t="s">
        <v>23</v>
      </c>
      <c r="E502" s="303" t="s">
        <v>1813</v>
      </c>
      <c r="F502" s="304">
        <v>44323</v>
      </c>
      <c r="G502" s="304">
        <v>44378</v>
      </c>
      <c r="H502" s="304"/>
      <c r="I502" s="304">
        <v>44323</v>
      </c>
      <c r="J502" s="303" t="s">
        <v>1814</v>
      </c>
      <c r="K502" s="305" t="s">
        <v>134</v>
      </c>
      <c r="L502" s="176">
        <v>44505</v>
      </c>
      <c r="Q502" t="s">
        <v>39</v>
      </c>
      <c r="R502" t="s">
        <v>138</v>
      </c>
    </row>
    <row r="503" spans="1:18">
      <c r="A503" s="303">
        <f>COUNTA($D$3:$D$503)</f>
        <v>501</v>
      </c>
      <c r="B503" s="303" t="s">
        <v>2095</v>
      </c>
      <c r="C503" s="303" t="s">
        <v>45</v>
      </c>
      <c r="D503" s="303" t="s">
        <v>29</v>
      </c>
      <c r="E503" s="303" t="s">
        <v>1215</v>
      </c>
      <c r="F503" s="304"/>
      <c r="G503" s="304"/>
      <c r="H503" s="304"/>
      <c r="I503" s="304"/>
      <c r="J503" s="303" t="s">
        <v>2096</v>
      </c>
      <c r="K503" s="305" t="s">
        <v>110</v>
      </c>
      <c r="L503" s="176">
        <v>44498</v>
      </c>
      <c r="M503" t="s">
        <v>2101</v>
      </c>
      <c r="N503" s="204">
        <v>44498</v>
      </c>
    </row>
    <row r="504" spans="1:18">
      <c r="A504" s="303">
        <f>COUNTA($D$3:$D$504)</f>
        <v>502</v>
      </c>
      <c r="B504" s="303" t="s">
        <v>2031</v>
      </c>
      <c r="C504" s="303" t="s">
        <v>48</v>
      </c>
      <c r="D504" s="303" t="s">
        <v>1141</v>
      </c>
      <c r="E504" s="303" t="s">
        <v>1198</v>
      </c>
      <c r="F504" s="304">
        <v>44481.518435231497</v>
      </c>
      <c r="G504" s="304"/>
      <c r="H504" s="304"/>
      <c r="I504" s="304"/>
      <c r="J504" s="303" t="s">
        <v>1672</v>
      </c>
      <c r="K504" s="305" t="s">
        <v>22</v>
      </c>
      <c r="L504" s="176">
        <v>44457</v>
      </c>
      <c r="O504" t="s">
        <v>5598</v>
      </c>
      <c r="Q504" t="s">
        <v>64</v>
      </c>
      <c r="R504" t="s">
        <v>26</v>
      </c>
    </row>
    <row r="505" spans="1:18">
      <c r="A505" s="303">
        <f>COUNTA($D$3:$D$505)</f>
        <v>503</v>
      </c>
      <c r="B505" s="303" t="s">
        <v>1742</v>
      </c>
      <c r="C505" s="303" t="s">
        <v>1125</v>
      </c>
      <c r="D505" s="303" t="s">
        <v>68</v>
      </c>
      <c r="E505" s="303" t="s">
        <v>1743</v>
      </c>
      <c r="F505" s="304">
        <v>44323</v>
      </c>
      <c r="G505" s="304"/>
      <c r="H505" s="304">
        <v>44701</v>
      </c>
      <c r="I505" s="304">
        <v>44678</v>
      </c>
      <c r="J505" s="303" t="s">
        <v>1762</v>
      </c>
      <c r="K505" s="305" t="s">
        <v>110</v>
      </c>
      <c r="L505" s="176">
        <v>44457</v>
      </c>
      <c r="M505" t="s">
        <v>1921</v>
      </c>
      <c r="N505" s="204">
        <v>44457</v>
      </c>
      <c r="Q505" t="s">
        <v>32</v>
      </c>
      <c r="R505" t="s">
        <v>138</v>
      </c>
    </row>
    <row r="506" spans="1:18">
      <c r="A506" s="303">
        <f>COUNTA($D$3:$D$506)</f>
        <v>504</v>
      </c>
      <c r="B506" s="303" t="s">
        <v>1708</v>
      </c>
      <c r="C506" s="303" t="s">
        <v>44</v>
      </c>
      <c r="D506" s="303" t="s">
        <v>55</v>
      </c>
      <c r="E506" s="303" t="s">
        <v>1709</v>
      </c>
      <c r="F506" s="304"/>
      <c r="G506" s="304"/>
      <c r="H506" s="304"/>
      <c r="I506" s="304">
        <v>44305</v>
      </c>
      <c r="J506" s="303" t="s">
        <v>1760</v>
      </c>
      <c r="K506" s="305" t="s">
        <v>110</v>
      </c>
      <c r="L506" s="176">
        <v>44457</v>
      </c>
      <c r="M506" t="s">
        <v>1925</v>
      </c>
      <c r="N506" s="204">
        <v>44729</v>
      </c>
      <c r="Q506" t="s">
        <v>32</v>
      </c>
      <c r="R506" t="s">
        <v>138</v>
      </c>
    </row>
    <row r="507" spans="1:18">
      <c r="A507" s="303">
        <f>COUNTA($D$3:$D$507)</f>
        <v>505</v>
      </c>
      <c r="B507" s="303" t="s">
        <v>1711</v>
      </c>
      <c r="C507" s="303" t="s">
        <v>44</v>
      </c>
      <c r="D507" s="303" t="s">
        <v>55</v>
      </c>
      <c r="E507" s="303" t="s">
        <v>1712</v>
      </c>
      <c r="F507" s="304"/>
      <c r="G507" s="304"/>
      <c r="H507" s="304"/>
      <c r="I507" s="304">
        <v>44305</v>
      </c>
      <c r="J507" s="303" t="s">
        <v>1761</v>
      </c>
      <c r="K507" s="305" t="s">
        <v>28</v>
      </c>
      <c r="L507" s="176">
        <v>44457</v>
      </c>
      <c r="M507" t="s">
        <v>1928</v>
      </c>
      <c r="N507" s="204">
        <v>44729</v>
      </c>
      <c r="Q507" t="s">
        <v>39</v>
      </c>
      <c r="R507" t="s">
        <v>138</v>
      </c>
    </row>
    <row r="508" spans="1:18">
      <c r="A508" s="303">
        <f>COUNTA($D$3:$D$508)</f>
        <v>506</v>
      </c>
      <c r="B508" s="303" t="s">
        <v>1751</v>
      </c>
      <c r="C508" s="303" t="s">
        <v>1180</v>
      </c>
      <c r="D508" s="303" t="s">
        <v>68</v>
      </c>
      <c r="E508" s="303" t="s">
        <v>1752</v>
      </c>
      <c r="F508" s="304">
        <v>44323</v>
      </c>
      <c r="G508" s="304"/>
      <c r="H508" s="304"/>
      <c r="I508" s="304">
        <v>44320</v>
      </c>
      <c r="J508" s="303" t="s">
        <v>1753</v>
      </c>
      <c r="K508" s="305" t="s">
        <v>22</v>
      </c>
      <c r="L508" s="176">
        <v>44457</v>
      </c>
      <c r="M508" t="s">
        <v>1924</v>
      </c>
      <c r="N508" s="204">
        <v>44457</v>
      </c>
      <c r="Q508" t="s">
        <v>1741</v>
      </c>
      <c r="R508" t="s">
        <v>138</v>
      </c>
    </row>
    <row r="509" spans="1:18">
      <c r="A509" s="303">
        <f>COUNTA($D$3:$D$509)</f>
        <v>507</v>
      </c>
      <c r="B509" s="303" t="s">
        <v>1756</v>
      </c>
      <c r="C509" s="303" t="s">
        <v>1280</v>
      </c>
      <c r="D509" s="303" t="s">
        <v>40</v>
      </c>
      <c r="E509" s="303" t="s">
        <v>1757</v>
      </c>
      <c r="F509" s="304">
        <v>44328</v>
      </c>
      <c r="G509" s="304"/>
      <c r="H509" s="304"/>
      <c r="I509" s="304">
        <v>44321</v>
      </c>
      <c r="J509" s="303" t="s">
        <v>1758</v>
      </c>
      <c r="K509" s="305" t="s">
        <v>37</v>
      </c>
      <c r="L509" s="176">
        <v>44457</v>
      </c>
      <c r="M509" t="s">
        <v>1912</v>
      </c>
      <c r="N509" s="204">
        <v>44457</v>
      </c>
      <c r="Q509" t="s">
        <v>32</v>
      </c>
      <c r="R509" t="s">
        <v>138</v>
      </c>
    </row>
    <row r="510" spans="1:18">
      <c r="A510" s="303">
        <f>COUNTA($D$3:$D$510)</f>
        <v>508</v>
      </c>
      <c r="B510" s="303" t="s">
        <v>1744</v>
      </c>
      <c r="C510" s="303" t="s">
        <v>1159</v>
      </c>
      <c r="D510" s="303" t="s">
        <v>20</v>
      </c>
      <c r="E510" s="303" t="s">
        <v>1160</v>
      </c>
      <c r="F510" s="304">
        <v>44323</v>
      </c>
      <c r="G510" s="304"/>
      <c r="H510" s="304"/>
      <c r="I510" s="304">
        <v>44315</v>
      </c>
      <c r="J510" s="303" t="s">
        <v>21</v>
      </c>
      <c r="K510" s="305" t="s">
        <v>24</v>
      </c>
      <c r="L510" s="176">
        <v>44457</v>
      </c>
      <c r="M510" t="s">
        <v>1923</v>
      </c>
      <c r="N510" s="204">
        <v>44457</v>
      </c>
      <c r="Q510" t="s">
        <v>1069</v>
      </c>
      <c r="R510" t="s">
        <v>138</v>
      </c>
    </row>
    <row r="511" spans="1:18">
      <c r="A511" s="303">
        <f>COUNTA($D$3:$D$511)</f>
        <v>509</v>
      </c>
      <c r="B511" s="303" t="s">
        <v>1759</v>
      </c>
      <c r="C511" s="303" t="s">
        <v>117</v>
      </c>
      <c r="D511" s="303" t="s">
        <v>62</v>
      </c>
      <c r="E511" s="303" t="s">
        <v>1252</v>
      </c>
      <c r="F511" s="304"/>
      <c r="G511" s="304"/>
      <c r="H511" s="304"/>
      <c r="I511" s="304">
        <v>44322</v>
      </c>
      <c r="J511" s="303" t="s">
        <v>1763</v>
      </c>
      <c r="K511" s="305" t="s">
        <v>1192</v>
      </c>
      <c r="L511" s="176">
        <v>44457</v>
      </c>
      <c r="M511" t="s">
        <v>2987</v>
      </c>
      <c r="N511" s="204">
        <v>44845</v>
      </c>
      <c r="Q511" t="s">
        <v>64</v>
      </c>
      <c r="R511" t="s">
        <v>138</v>
      </c>
    </row>
    <row r="512" spans="1:18">
      <c r="A512" s="303">
        <f>COUNTA($D$3:$D$512)</f>
        <v>510</v>
      </c>
      <c r="B512" s="303" t="s">
        <v>1779</v>
      </c>
      <c r="C512" s="303" t="s">
        <v>1780</v>
      </c>
      <c r="D512" s="303" t="s">
        <v>23</v>
      </c>
      <c r="E512" s="303" t="s">
        <v>1781</v>
      </c>
      <c r="F512" s="304">
        <v>44358</v>
      </c>
      <c r="G512" s="304"/>
      <c r="H512" s="304"/>
      <c r="I512" s="304">
        <v>44345</v>
      </c>
      <c r="J512" s="303" t="s">
        <v>1782</v>
      </c>
      <c r="K512" s="305" t="s">
        <v>28</v>
      </c>
      <c r="L512" s="176">
        <v>44457</v>
      </c>
      <c r="M512" t="s">
        <v>1913</v>
      </c>
      <c r="N512" s="204">
        <v>44457</v>
      </c>
      <c r="Q512" t="s">
        <v>32</v>
      </c>
      <c r="R512" t="s">
        <v>138</v>
      </c>
    </row>
    <row r="513" spans="1:18">
      <c r="A513" s="303">
        <f>COUNTA($D$3:$D$513)</f>
        <v>511</v>
      </c>
      <c r="B513" s="303" t="s">
        <v>1754</v>
      </c>
      <c r="C513" s="303" t="s">
        <v>69</v>
      </c>
      <c r="D513" s="303" t="s">
        <v>1231</v>
      </c>
      <c r="E513" s="303" t="s">
        <v>1755</v>
      </c>
      <c r="F513" s="304">
        <v>44368</v>
      </c>
      <c r="G513" s="304"/>
      <c r="H513" s="304"/>
      <c r="I513" s="304">
        <v>44320</v>
      </c>
      <c r="J513" s="303" t="s">
        <v>1795</v>
      </c>
      <c r="K513" s="305" t="s">
        <v>24</v>
      </c>
      <c r="L513" s="176">
        <v>44457</v>
      </c>
      <c r="M513" t="s">
        <v>1914</v>
      </c>
      <c r="N513" s="204">
        <v>44457</v>
      </c>
      <c r="Q513" t="s">
        <v>32</v>
      </c>
      <c r="R513" t="s">
        <v>138</v>
      </c>
    </row>
    <row r="514" spans="1:18">
      <c r="A514" s="303">
        <f>COUNTA($D$3:$D$514)</f>
        <v>512</v>
      </c>
      <c r="B514" s="303" t="s">
        <v>1669</v>
      </c>
      <c r="C514" s="303" t="s">
        <v>25</v>
      </c>
      <c r="D514" s="303" t="s">
        <v>36</v>
      </c>
      <c r="E514" s="303" t="s">
        <v>1670</v>
      </c>
      <c r="F514" s="304">
        <v>44271</v>
      </c>
      <c r="G514" s="304"/>
      <c r="H514" s="304"/>
      <c r="I514" s="304">
        <v>44266</v>
      </c>
      <c r="J514" s="303" t="s">
        <v>369</v>
      </c>
      <c r="K514" s="305" t="s">
        <v>37</v>
      </c>
      <c r="L514" s="176">
        <v>44457</v>
      </c>
      <c r="M514" t="s">
        <v>1918</v>
      </c>
      <c r="N514" s="204">
        <v>44729</v>
      </c>
      <c r="Q514" t="s">
        <v>39</v>
      </c>
      <c r="R514" t="s">
        <v>138</v>
      </c>
    </row>
    <row r="515" spans="1:18">
      <c r="A515" s="303">
        <f>COUNTA($D$3:$D$515)</f>
        <v>513</v>
      </c>
      <c r="B515" s="303" t="s">
        <v>1750</v>
      </c>
      <c r="C515" s="303" t="s">
        <v>1177</v>
      </c>
      <c r="D515" s="303" t="s">
        <v>1178</v>
      </c>
      <c r="E515" s="303" t="s">
        <v>1179</v>
      </c>
      <c r="F515" s="304"/>
      <c r="G515" s="304"/>
      <c r="H515" s="304"/>
      <c r="I515" s="304">
        <v>44320.558471999997</v>
      </c>
      <c r="J515" s="303"/>
      <c r="K515" s="305" t="s">
        <v>1696</v>
      </c>
      <c r="L515" s="176">
        <v>44457</v>
      </c>
      <c r="M515" t="s">
        <v>1915</v>
      </c>
      <c r="N515" s="204">
        <v>44457</v>
      </c>
      <c r="Q515" t="s">
        <v>32</v>
      </c>
      <c r="R515" t="s">
        <v>138</v>
      </c>
    </row>
    <row r="516" spans="1:18">
      <c r="A516" s="303">
        <f>COUNTA($D$3:$D$516)</f>
        <v>514</v>
      </c>
      <c r="B516" s="303" t="s">
        <v>1766</v>
      </c>
      <c r="C516" s="303" t="s">
        <v>45</v>
      </c>
      <c r="D516" s="303" t="s">
        <v>20</v>
      </c>
      <c r="E516" s="303" t="s">
        <v>1218</v>
      </c>
      <c r="F516" s="304" t="s">
        <v>70</v>
      </c>
      <c r="G516" s="304"/>
      <c r="H516" s="304"/>
      <c r="I516" s="304">
        <v>44329</v>
      </c>
      <c r="J516" s="303" t="s">
        <v>1686</v>
      </c>
      <c r="K516" s="305" t="s">
        <v>1101</v>
      </c>
      <c r="L516" s="176">
        <v>44457</v>
      </c>
      <c r="M516" t="s">
        <v>1926</v>
      </c>
      <c r="N516" s="204">
        <v>44457</v>
      </c>
      <c r="Q516" t="s">
        <v>39</v>
      </c>
    </row>
    <row r="517" spans="1:18">
      <c r="A517" s="303">
        <f>COUNTA($D$3:$D$517)</f>
        <v>515</v>
      </c>
      <c r="B517" s="303" t="s">
        <v>1675</v>
      </c>
      <c r="C517" s="303" t="s">
        <v>1111</v>
      </c>
      <c r="D517" s="303" t="s">
        <v>42</v>
      </c>
      <c r="E517" s="303" t="s">
        <v>1676</v>
      </c>
      <c r="F517" s="304">
        <v>44273</v>
      </c>
      <c r="G517" s="304"/>
      <c r="H517" s="304"/>
      <c r="I517" s="304">
        <v>44271</v>
      </c>
      <c r="J517" s="303" t="s">
        <v>1677</v>
      </c>
      <c r="K517" s="305" t="s">
        <v>37</v>
      </c>
      <c r="L517" s="176">
        <v>44457</v>
      </c>
      <c r="M517" t="s">
        <v>2987</v>
      </c>
      <c r="N517" s="204">
        <v>44480</v>
      </c>
      <c r="Q517" t="s">
        <v>1741</v>
      </c>
      <c r="R517" t="s">
        <v>138</v>
      </c>
    </row>
    <row r="518" spans="1:18">
      <c r="A518" s="303">
        <f>COUNTA($D$3:$D$518)</f>
        <v>516</v>
      </c>
      <c r="B518" s="303" t="s">
        <v>1701</v>
      </c>
      <c r="C518" s="303" t="s">
        <v>48</v>
      </c>
      <c r="D518" s="303" t="s">
        <v>34</v>
      </c>
      <c r="E518" s="303" t="s">
        <v>244</v>
      </c>
      <c r="F518" s="304" t="s">
        <v>70</v>
      </c>
      <c r="G518" s="304"/>
      <c r="H518" s="304"/>
      <c r="I518" s="304">
        <v>44300</v>
      </c>
      <c r="J518" s="303" t="s">
        <v>1721</v>
      </c>
      <c r="K518" s="305" t="s">
        <v>37</v>
      </c>
      <c r="L518" s="176">
        <v>44457</v>
      </c>
      <c r="M518" t="s">
        <v>1917</v>
      </c>
      <c r="N518" s="204">
        <v>44457</v>
      </c>
      <c r="O518" s="203"/>
      <c r="Q518" t="s">
        <v>39</v>
      </c>
    </row>
    <row r="519" spans="1:18">
      <c r="A519" s="303">
        <f>COUNTA($D$3:$D$519)</f>
        <v>517</v>
      </c>
      <c r="B519" s="303" t="s">
        <v>1716</v>
      </c>
      <c r="C519" s="303" t="s">
        <v>41</v>
      </c>
      <c r="D519" s="303" t="s">
        <v>34</v>
      </c>
      <c r="E519" s="303" t="s">
        <v>1121</v>
      </c>
      <c r="F519" s="304">
        <v>44312</v>
      </c>
      <c r="G519" s="304"/>
      <c r="H519" s="304"/>
      <c r="I519" s="304">
        <v>44305</v>
      </c>
      <c r="J519" s="303" t="s">
        <v>1717</v>
      </c>
      <c r="K519" s="305" t="s">
        <v>1101</v>
      </c>
      <c r="L519" s="176">
        <v>44457</v>
      </c>
      <c r="M519" t="s">
        <v>1920</v>
      </c>
      <c r="N519" s="204">
        <v>44729</v>
      </c>
      <c r="O519" s="203"/>
      <c r="Q519" t="s">
        <v>39</v>
      </c>
      <c r="R519" t="s">
        <v>138</v>
      </c>
    </row>
    <row r="520" spans="1:18">
      <c r="A520" s="303">
        <f>COUNTA($D$3:$D$520)</f>
        <v>518</v>
      </c>
      <c r="B520" s="303" t="s">
        <v>1704</v>
      </c>
      <c r="C520" s="303" t="s">
        <v>45</v>
      </c>
      <c r="D520" s="303" t="s">
        <v>36</v>
      </c>
      <c r="E520" s="303" t="s">
        <v>1060</v>
      </c>
      <c r="F520" s="304" t="s">
        <v>70</v>
      </c>
      <c r="G520" s="304"/>
      <c r="H520" s="304"/>
      <c r="I520" s="304">
        <v>44305</v>
      </c>
      <c r="J520" s="303" t="s">
        <v>1705</v>
      </c>
      <c r="K520" s="305" t="s">
        <v>134</v>
      </c>
      <c r="L520" s="176">
        <v>44457</v>
      </c>
      <c r="M520" t="s">
        <v>1911</v>
      </c>
      <c r="N520" s="204">
        <v>44457</v>
      </c>
      <c r="O520" s="203"/>
      <c r="Q520" t="s">
        <v>32</v>
      </c>
    </row>
    <row r="521" spans="1:18">
      <c r="A521" s="303">
        <f>COUNTA($D$3:$D$521)</f>
        <v>519</v>
      </c>
      <c r="B521" s="303" t="s">
        <v>1769</v>
      </c>
      <c r="C521" s="303" t="s">
        <v>1254</v>
      </c>
      <c r="D521" s="303" t="s">
        <v>42</v>
      </c>
      <c r="E521" s="303" t="s">
        <v>1770</v>
      </c>
      <c r="F521" s="304">
        <v>44340</v>
      </c>
      <c r="G521" s="304"/>
      <c r="H521" s="304"/>
      <c r="I521" s="304">
        <v>44335</v>
      </c>
      <c r="J521" s="303" t="s">
        <v>1771</v>
      </c>
      <c r="K521" s="305" t="s">
        <v>22</v>
      </c>
      <c r="L521" s="176">
        <v>44457</v>
      </c>
      <c r="M521" t="s">
        <v>1927</v>
      </c>
      <c r="N521" s="204">
        <v>44457</v>
      </c>
      <c r="Q521" t="s">
        <v>39</v>
      </c>
      <c r="R521" t="s">
        <v>138</v>
      </c>
    </row>
    <row r="522" spans="1:18">
      <c r="A522" s="303">
        <f>COUNTA($D$3:$D$522)</f>
        <v>520</v>
      </c>
      <c r="B522" s="303" t="s">
        <v>1718</v>
      </c>
      <c r="C522" s="303" t="s">
        <v>41</v>
      </c>
      <c r="D522" s="303" t="s">
        <v>1719</v>
      </c>
      <c r="E522" s="303" t="s">
        <v>1720</v>
      </c>
      <c r="F522" s="304">
        <v>44322</v>
      </c>
      <c r="G522" s="304"/>
      <c r="H522" s="304"/>
      <c r="I522" s="304">
        <v>44305</v>
      </c>
      <c r="J522" s="303" t="s">
        <v>1723</v>
      </c>
      <c r="K522" s="305" t="s">
        <v>1213</v>
      </c>
      <c r="L522" s="176">
        <v>44457</v>
      </c>
      <c r="M522" t="s">
        <v>1916</v>
      </c>
      <c r="N522" s="204">
        <v>44457</v>
      </c>
      <c r="Q522" t="s">
        <v>1041</v>
      </c>
      <c r="R522" t="s">
        <v>138</v>
      </c>
    </row>
    <row r="523" spans="1:18">
      <c r="A523" s="303">
        <f>COUNTA($D$3:$D$523)</f>
        <v>521</v>
      </c>
      <c r="B523" s="303" t="s">
        <v>1710</v>
      </c>
      <c r="C523" s="303" t="s">
        <v>44</v>
      </c>
      <c r="D523" s="303" t="s">
        <v>1135</v>
      </c>
      <c r="E523" s="303" t="s">
        <v>1764</v>
      </c>
      <c r="F523" s="304">
        <v>44313</v>
      </c>
      <c r="G523" s="304"/>
      <c r="H523" s="304"/>
      <c r="I523" s="304">
        <v>44305</v>
      </c>
      <c r="J523" s="303" t="s">
        <v>1739</v>
      </c>
      <c r="K523" s="305" t="s">
        <v>37</v>
      </c>
      <c r="L523" s="176">
        <v>44457</v>
      </c>
      <c r="M523" t="s">
        <v>1919</v>
      </c>
      <c r="N523" s="204">
        <v>44729</v>
      </c>
      <c r="Q523" t="s">
        <v>39</v>
      </c>
      <c r="R523" t="s">
        <v>138</v>
      </c>
    </row>
    <row r="524" spans="1:18">
      <c r="A524" s="303">
        <f>COUNTA($D$3:$D$524)</f>
        <v>522</v>
      </c>
      <c r="B524" s="303" t="s">
        <v>1730</v>
      </c>
      <c r="C524" s="303" t="s">
        <v>1731</v>
      </c>
      <c r="D524" s="303" t="s">
        <v>68</v>
      </c>
      <c r="E524" s="303" t="s">
        <v>1732</v>
      </c>
      <c r="F524" s="304">
        <v>44312</v>
      </c>
      <c r="G524" s="304"/>
      <c r="H524" s="304"/>
      <c r="I524" s="304">
        <v>44309</v>
      </c>
      <c r="J524" s="303" t="s">
        <v>1733</v>
      </c>
      <c r="K524" s="305" t="s">
        <v>24</v>
      </c>
      <c r="L524" s="176">
        <v>44457</v>
      </c>
      <c r="M524" t="s">
        <v>1919</v>
      </c>
      <c r="N524" s="204">
        <v>44781</v>
      </c>
      <c r="Q524" t="s">
        <v>39</v>
      </c>
      <c r="R524" t="s">
        <v>138</v>
      </c>
    </row>
    <row r="525" spans="1:18">
      <c r="A525" s="303">
        <f>COUNTA($D$3:$D$525)</f>
        <v>523</v>
      </c>
      <c r="B525" s="303" t="s">
        <v>1307</v>
      </c>
      <c r="C525" s="303" t="s">
        <v>1239</v>
      </c>
      <c r="D525" s="303" t="s">
        <v>62</v>
      </c>
      <c r="E525" s="303" t="s">
        <v>1240</v>
      </c>
      <c r="F525" s="304">
        <v>44251</v>
      </c>
      <c r="G525" s="304"/>
      <c r="H525" s="304"/>
      <c r="I525" s="304">
        <v>44249</v>
      </c>
      <c r="J525" s="303" t="s">
        <v>1308</v>
      </c>
      <c r="K525" s="305" t="s">
        <v>22</v>
      </c>
      <c r="L525" s="176">
        <v>44457</v>
      </c>
      <c r="M525" t="s">
        <v>1922</v>
      </c>
      <c r="N525" s="204">
        <v>44457</v>
      </c>
      <c r="Q525" t="s">
        <v>39</v>
      </c>
      <c r="R525" t="s">
        <v>138</v>
      </c>
    </row>
    <row r="526" spans="1:18">
      <c r="A526" s="303">
        <f>COUNTA($D$3:$D$526)</f>
        <v>524</v>
      </c>
      <c r="B526" s="303" t="s">
        <v>1772</v>
      </c>
      <c r="C526" s="303" t="s">
        <v>1093</v>
      </c>
      <c r="D526" s="303" t="s">
        <v>1095</v>
      </c>
      <c r="E526" s="303" t="s">
        <v>1094</v>
      </c>
      <c r="F526" s="304">
        <v>44342</v>
      </c>
      <c r="G526" s="304"/>
      <c r="H526" s="304"/>
      <c r="I526" s="304">
        <v>44337</v>
      </c>
      <c r="J526" s="303" t="s">
        <v>1773</v>
      </c>
      <c r="K526" s="305" t="s">
        <v>37</v>
      </c>
      <c r="L526" s="176">
        <v>44416</v>
      </c>
      <c r="M526" t="s">
        <v>1875</v>
      </c>
      <c r="N526" s="204">
        <v>44416</v>
      </c>
      <c r="Q526" t="s">
        <v>1086</v>
      </c>
      <c r="R526" t="s">
        <v>138</v>
      </c>
    </row>
    <row r="527" spans="1:18">
      <c r="A527" s="303">
        <f>COUNTA($D$3:$D$527)</f>
        <v>525</v>
      </c>
      <c r="B527" s="303" t="s">
        <v>1706</v>
      </c>
      <c r="C527" s="303" t="s">
        <v>44</v>
      </c>
      <c r="D527" s="303" t="s">
        <v>1135</v>
      </c>
      <c r="E527" s="303" t="s">
        <v>1707</v>
      </c>
      <c r="F527" s="304">
        <v>44314</v>
      </c>
      <c r="G527" s="304"/>
      <c r="H527" s="304"/>
      <c r="I527" s="304">
        <v>44308</v>
      </c>
      <c r="J527" s="303" t="s">
        <v>1738</v>
      </c>
      <c r="K527" s="305" t="s">
        <v>22</v>
      </c>
      <c r="L527" s="176">
        <v>44402</v>
      </c>
      <c r="Q527" t="s">
        <v>39</v>
      </c>
      <c r="R527" t="s">
        <v>26</v>
      </c>
    </row>
    <row r="528" spans="1:18">
      <c r="A528" s="303">
        <f>COUNTA($D$3:$D$528)</f>
        <v>526</v>
      </c>
      <c r="B528" s="303" t="s">
        <v>1726</v>
      </c>
      <c r="C528" s="303" t="s">
        <v>1727</v>
      </c>
      <c r="D528" s="303" t="s">
        <v>42</v>
      </c>
      <c r="E528" s="303" t="s">
        <v>1728</v>
      </c>
      <c r="F528" s="304">
        <v>44322</v>
      </c>
      <c r="G528" s="304">
        <v>44322</v>
      </c>
      <c r="H528" s="304"/>
      <c r="I528" s="304">
        <v>44309</v>
      </c>
      <c r="J528" s="303" t="s">
        <v>1500</v>
      </c>
      <c r="K528" s="305" t="s">
        <v>1213</v>
      </c>
      <c r="L528" s="176">
        <v>44402</v>
      </c>
      <c r="M528" t="s">
        <v>1865</v>
      </c>
      <c r="N528" s="204">
        <v>44402</v>
      </c>
      <c r="Q528" t="s">
        <v>39</v>
      </c>
      <c r="R528" t="s">
        <v>138</v>
      </c>
    </row>
    <row r="529" spans="1:18">
      <c r="A529" s="303">
        <f>COUNTA($D$3:$D$529)</f>
        <v>527</v>
      </c>
      <c r="B529" s="303" t="s">
        <v>1724</v>
      </c>
      <c r="C529" s="303" t="s">
        <v>1190</v>
      </c>
      <c r="D529" s="303" t="s">
        <v>20</v>
      </c>
      <c r="E529" s="303" t="s">
        <v>1725</v>
      </c>
      <c r="F529" s="304">
        <v>44321</v>
      </c>
      <c r="G529" s="304">
        <v>44321</v>
      </c>
      <c r="H529" s="304"/>
      <c r="I529" s="304">
        <v>44309</v>
      </c>
      <c r="J529" s="303" t="s">
        <v>1740</v>
      </c>
      <c r="K529" s="305" t="s">
        <v>1213</v>
      </c>
      <c r="L529" s="176">
        <v>44402</v>
      </c>
      <c r="M529" t="s">
        <v>1868</v>
      </c>
      <c r="N529" s="204">
        <v>44402</v>
      </c>
      <c r="O529" s="203"/>
      <c r="Q529" t="s">
        <v>39</v>
      </c>
      <c r="R529" t="s">
        <v>138</v>
      </c>
    </row>
    <row r="530" spans="1:18">
      <c r="A530" s="303">
        <f>COUNTA($D$3:$D$530)</f>
        <v>528</v>
      </c>
      <c r="B530" s="303" t="s">
        <v>1745</v>
      </c>
      <c r="C530" s="303" t="s">
        <v>1746</v>
      </c>
      <c r="D530" s="303" t="s">
        <v>1747</v>
      </c>
      <c r="E530" s="303" t="s">
        <v>1748</v>
      </c>
      <c r="F530" s="304">
        <v>44323</v>
      </c>
      <c r="G530" s="304">
        <v>44323</v>
      </c>
      <c r="H530" s="304"/>
      <c r="I530" s="304">
        <v>44315</v>
      </c>
      <c r="J530" s="303" t="s">
        <v>1749</v>
      </c>
      <c r="K530" s="305" t="s">
        <v>24</v>
      </c>
      <c r="L530" s="176">
        <v>44402</v>
      </c>
      <c r="M530" t="s">
        <v>1867</v>
      </c>
      <c r="N530" s="204">
        <v>44402</v>
      </c>
      <c r="Q530" t="s">
        <v>1741</v>
      </c>
      <c r="R530" t="s">
        <v>138</v>
      </c>
    </row>
    <row r="531" spans="1:18">
      <c r="A531" s="303">
        <f>COUNTA($D$3:$D$531)</f>
        <v>529</v>
      </c>
      <c r="B531" s="303" t="s">
        <v>2832</v>
      </c>
      <c r="C531" s="303" t="s">
        <v>48</v>
      </c>
      <c r="D531" s="303" t="s">
        <v>34</v>
      </c>
      <c r="E531" s="303" t="s">
        <v>118</v>
      </c>
      <c r="F531" s="304">
        <v>44665</v>
      </c>
      <c r="G531" s="304"/>
      <c r="H531" s="304"/>
      <c r="I531" s="304"/>
      <c r="J531" s="303"/>
      <c r="K531" s="305"/>
      <c r="L531" s="176">
        <v>44672</v>
      </c>
      <c r="M531" t="s">
        <v>2988</v>
      </c>
      <c r="N531" s="204">
        <v>44805</v>
      </c>
      <c r="R531" t="s">
        <v>26</v>
      </c>
    </row>
    <row r="532" spans="1:18">
      <c r="A532" s="303">
        <f>COUNTA($D$3:$D$532)</f>
        <v>530</v>
      </c>
      <c r="B532" s="303" t="s">
        <v>2719</v>
      </c>
      <c r="C532" s="303" t="s">
        <v>48</v>
      </c>
      <c r="D532" s="303" t="s">
        <v>34</v>
      </c>
      <c r="E532" s="303" t="s">
        <v>92</v>
      </c>
      <c r="F532" s="304">
        <v>44643</v>
      </c>
      <c r="G532" s="304"/>
      <c r="H532" s="304"/>
      <c r="I532" s="304"/>
      <c r="J532" s="303"/>
      <c r="K532" s="305"/>
      <c r="L532" s="176">
        <v>44651</v>
      </c>
      <c r="M532" t="s">
        <v>2988</v>
      </c>
      <c r="N532" s="204">
        <v>44651</v>
      </c>
    </row>
    <row r="533" spans="1:18">
      <c r="A533" s="303">
        <f>COUNTA($D$3:$D$533)</f>
        <v>531</v>
      </c>
      <c r="B533" s="303" t="s">
        <v>2690</v>
      </c>
      <c r="C533" s="303" t="s">
        <v>48</v>
      </c>
      <c r="D533" s="303" t="s">
        <v>34</v>
      </c>
      <c r="E533" s="303" t="s">
        <v>88</v>
      </c>
      <c r="F533" s="304">
        <v>44637</v>
      </c>
      <c r="G533" s="304"/>
      <c r="H533" s="304"/>
      <c r="I533" s="304"/>
      <c r="J533" s="303"/>
      <c r="K533" s="305"/>
      <c r="L533" s="176">
        <v>44650</v>
      </c>
      <c r="M533" t="s">
        <v>2988</v>
      </c>
      <c r="N533" s="204">
        <v>44805</v>
      </c>
      <c r="R533" t="s">
        <v>26</v>
      </c>
    </row>
    <row r="534" spans="1:18">
      <c r="A534" s="303">
        <f>COUNTA($D$3:$D$534)</f>
        <v>532</v>
      </c>
      <c r="B534" s="303" t="s">
        <v>2677</v>
      </c>
      <c r="C534" s="303" t="s">
        <v>48</v>
      </c>
      <c r="D534" s="303" t="s">
        <v>34</v>
      </c>
      <c r="E534" s="303" t="s">
        <v>63</v>
      </c>
      <c r="F534" s="304">
        <v>44636</v>
      </c>
      <c r="G534" s="304"/>
      <c r="H534" s="304"/>
      <c r="I534" s="304"/>
      <c r="J534" s="303"/>
      <c r="K534" s="305"/>
      <c r="L534" s="176">
        <v>44643</v>
      </c>
      <c r="M534" t="s">
        <v>2988</v>
      </c>
      <c r="N534" s="204">
        <v>44805</v>
      </c>
      <c r="R534" t="s">
        <v>26</v>
      </c>
    </row>
    <row r="535" spans="1:18">
      <c r="A535" s="303">
        <f>COUNTA($D$3:$D$535)</f>
        <v>533</v>
      </c>
      <c r="B535" s="303" t="s">
        <v>2599</v>
      </c>
      <c r="C535" s="303" t="s">
        <v>48</v>
      </c>
      <c r="D535" s="303" t="s">
        <v>34</v>
      </c>
      <c r="E535" s="303" t="s">
        <v>125</v>
      </c>
      <c r="F535" s="304">
        <v>44621</v>
      </c>
      <c r="G535" s="304"/>
      <c r="H535" s="304"/>
      <c r="I535" s="304"/>
      <c r="J535" s="303"/>
      <c r="K535" s="305"/>
      <c r="L535" s="176">
        <v>44645</v>
      </c>
      <c r="M535" t="s">
        <v>2988</v>
      </c>
      <c r="N535" s="204">
        <v>44805</v>
      </c>
      <c r="R535" t="s">
        <v>26</v>
      </c>
    </row>
    <row r="536" spans="1:18">
      <c r="A536" s="303">
        <f>COUNTA($D$3:$D$536)</f>
        <v>534</v>
      </c>
      <c r="B536" s="303" t="s">
        <v>2556</v>
      </c>
      <c r="C536" s="303" t="s">
        <v>48</v>
      </c>
      <c r="D536" s="303" t="s">
        <v>34</v>
      </c>
      <c r="E536" s="303" t="s">
        <v>93</v>
      </c>
      <c r="F536" s="304">
        <v>44615</v>
      </c>
      <c r="G536" s="304"/>
      <c r="H536" s="304"/>
      <c r="I536" s="304"/>
      <c r="J536" s="303"/>
      <c r="K536" s="305"/>
      <c r="L536" s="176">
        <v>44620</v>
      </c>
      <c r="M536" t="s">
        <v>2988</v>
      </c>
      <c r="N536" s="204">
        <v>44805</v>
      </c>
      <c r="R536" t="s">
        <v>26</v>
      </c>
    </row>
    <row r="537" spans="1:18">
      <c r="A537" s="303">
        <f>COUNTA($D$3:$D$537)</f>
        <v>535</v>
      </c>
      <c r="B537" s="303" t="s">
        <v>2480</v>
      </c>
      <c r="C537" s="303" t="s">
        <v>48</v>
      </c>
      <c r="D537" s="303" t="s">
        <v>53</v>
      </c>
      <c r="E537" s="303" t="s">
        <v>65</v>
      </c>
      <c r="F537" s="304">
        <v>44586</v>
      </c>
      <c r="G537" s="304"/>
      <c r="H537" s="304"/>
      <c r="I537" s="304"/>
      <c r="J537" s="303"/>
      <c r="K537" s="305"/>
      <c r="L537" s="176">
        <v>44620</v>
      </c>
      <c r="M537" t="s">
        <v>2988</v>
      </c>
      <c r="N537" s="204">
        <v>44805</v>
      </c>
      <c r="O537" s="203"/>
      <c r="R537" t="s">
        <v>26</v>
      </c>
    </row>
    <row r="538" spans="1:18">
      <c r="A538" s="303">
        <f>COUNTA($D$3:$D$538)</f>
        <v>536</v>
      </c>
      <c r="B538" s="303" t="s">
        <v>2939</v>
      </c>
      <c r="C538" s="303" t="s">
        <v>48</v>
      </c>
      <c r="D538" s="303" t="s">
        <v>1279</v>
      </c>
      <c r="E538" s="303" t="s">
        <v>233</v>
      </c>
      <c r="F538" s="304">
        <v>44552</v>
      </c>
      <c r="G538" s="304"/>
      <c r="H538" s="304"/>
      <c r="I538" s="304"/>
      <c r="J538" s="303"/>
      <c r="K538" s="305"/>
      <c r="L538" s="176">
        <v>44552</v>
      </c>
      <c r="M538" t="s">
        <v>2988</v>
      </c>
      <c r="N538" s="204">
        <v>44805</v>
      </c>
      <c r="R538" t="s">
        <v>26</v>
      </c>
    </row>
    <row r="539" spans="1:18">
      <c r="A539" s="303">
        <f>COUNTA($D$3:$D$539)</f>
        <v>537</v>
      </c>
      <c r="B539" s="303" t="s">
        <v>2198</v>
      </c>
      <c r="C539" s="303" t="s">
        <v>48</v>
      </c>
      <c r="D539" s="303" t="s">
        <v>34</v>
      </c>
      <c r="E539" s="303" t="s">
        <v>252</v>
      </c>
      <c r="F539" s="304">
        <v>44512</v>
      </c>
      <c r="G539" s="304"/>
      <c r="H539" s="304"/>
      <c r="I539" s="304"/>
      <c r="J539" s="303"/>
      <c r="K539" s="305"/>
      <c r="L539" s="176">
        <v>44526</v>
      </c>
      <c r="M539" t="s">
        <v>2988</v>
      </c>
      <c r="N539" s="204">
        <v>44419</v>
      </c>
      <c r="O539" s="203"/>
    </row>
    <row r="540" spans="1:18">
      <c r="A540" s="303">
        <f>COUNTA($D$3:$D$540)</f>
        <v>538</v>
      </c>
      <c r="B540" s="303" t="s">
        <v>2079</v>
      </c>
      <c r="C540" s="303" t="s">
        <v>48</v>
      </c>
      <c r="D540" s="303" t="s">
        <v>38</v>
      </c>
      <c r="E540" s="303" t="s">
        <v>52</v>
      </c>
      <c r="F540" s="304">
        <v>44494</v>
      </c>
      <c r="G540" s="304"/>
      <c r="H540" s="304"/>
      <c r="I540" s="304"/>
      <c r="J540" s="303"/>
      <c r="K540" s="305"/>
      <c r="L540" s="176">
        <v>44554</v>
      </c>
      <c r="M540" t="s">
        <v>2988</v>
      </c>
      <c r="N540" s="204">
        <v>44805</v>
      </c>
      <c r="O540" s="203"/>
      <c r="R540" t="s">
        <v>26</v>
      </c>
    </row>
    <row r="541" spans="1:18">
      <c r="A541" s="303">
        <f>COUNTA($D$3:$D$541)</f>
        <v>539</v>
      </c>
      <c r="B541" s="303" t="s">
        <v>2052</v>
      </c>
      <c r="C541" s="303" t="s">
        <v>48</v>
      </c>
      <c r="D541" s="303" t="s">
        <v>34</v>
      </c>
      <c r="E541" s="303" t="s">
        <v>121</v>
      </c>
      <c r="F541" s="304">
        <v>44484</v>
      </c>
      <c r="G541" s="304"/>
      <c r="H541" s="304"/>
      <c r="I541" s="304"/>
      <c r="J541" s="303"/>
      <c r="K541" s="305"/>
      <c r="L541" s="176">
        <v>44606</v>
      </c>
      <c r="M541" t="s">
        <v>2988</v>
      </c>
      <c r="N541" s="204">
        <v>44606</v>
      </c>
      <c r="O541" s="203"/>
    </row>
    <row r="542" spans="1:18">
      <c r="A542" s="303">
        <f>COUNTA($D$3:$D$542)</f>
        <v>540</v>
      </c>
      <c r="B542" s="303" t="s">
        <v>2940</v>
      </c>
      <c r="C542" s="303" t="s">
        <v>48</v>
      </c>
      <c r="D542" s="303" t="s">
        <v>34</v>
      </c>
      <c r="E542" s="303" t="s">
        <v>90</v>
      </c>
      <c r="F542" s="304">
        <v>44323</v>
      </c>
      <c r="G542" s="304"/>
      <c r="H542" s="304"/>
      <c r="I542" s="304"/>
      <c r="J542" s="303"/>
      <c r="K542" s="305"/>
      <c r="L542" s="176">
        <v>44333</v>
      </c>
      <c r="M542" t="s">
        <v>2988</v>
      </c>
      <c r="N542" s="204">
        <v>44747</v>
      </c>
      <c r="O542" s="203"/>
    </row>
    <row r="543" spans="1:18">
      <c r="A543" s="303">
        <f>COUNTA($D$3:$D$543)</f>
        <v>541</v>
      </c>
      <c r="B543" s="303" t="s">
        <v>2941</v>
      </c>
      <c r="C543" s="303" t="s">
        <v>48</v>
      </c>
      <c r="D543" s="303" t="s">
        <v>1138</v>
      </c>
      <c r="E543" s="303" t="s">
        <v>225</v>
      </c>
      <c r="F543" s="304">
        <v>44214</v>
      </c>
      <c r="G543" s="304"/>
      <c r="H543" s="304"/>
      <c r="I543" s="304"/>
      <c r="J543" s="303"/>
      <c r="K543" s="305"/>
      <c r="L543" s="176">
        <v>44228</v>
      </c>
      <c r="M543" t="s">
        <v>2988</v>
      </c>
      <c r="N543" s="204">
        <v>44805</v>
      </c>
      <c r="O543" s="203"/>
      <c r="R543" t="s">
        <v>26</v>
      </c>
    </row>
    <row r="544" spans="1:18">
      <c r="A544" s="303">
        <f>COUNTA($D$3:$D$544)</f>
        <v>542</v>
      </c>
      <c r="B544" s="303" t="s">
        <v>2942</v>
      </c>
      <c r="C544" s="303" t="s">
        <v>48</v>
      </c>
      <c r="D544" s="303" t="s">
        <v>38</v>
      </c>
      <c r="E544" s="303" t="s">
        <v>94</v>
      </c>
      <c r="F544" s="304">
        <v>44095</v>
      </c>
      <c r="G544" s="304"/>
      <c r="H544" s="304"/>
      <c r="I544" s="304"/>
      <c r="J544" s="303"/>
      <c r="K544" s="305"/>
      <c r="L544" s="176">
        <v>44103</v>
      </c>
      <c r="M544" t="s">
        <v>2988</v>
      </c>
      <c r="N544" s="204">
        <v>44805</v>
      </c>
      <c r="O544" s="203"/>
      <c r="R544" t="s">
        <v>26</v>
      </c>
    </row>
    <row r="545" spans="1:18">
      <c r="A545" s="303">
        <f>COUNTA($D$3:$D$545)</f>
        <v>543</v>
      </c>
      <c r="B545" s="303" t="s">
        <v>3118</v>
      </c>
      <c r="C545" s="303" t="s">
        <v>1125</v>
      </c>
      <c r="D545" s="303" t="s">
        <v>68</v>
      </c>
      <c r="E545" s="303" t="s">
        <v>3119</v>
      </c>
      <c r="F545" s="304">
        <v>44064</v>
      </c>
      <c r="G545" s="304"/>
      <c r="H545" s="304" t="s">
        <v>3672</v>
      </c>
      <c r="I545" s="304">
        <v>44678</v>
      </c>
      <c r="J545" s="303"/>
      <c r="K545" s="305"/>
      <c r="N545" s="204">
        <v>44743</v>
      </c>
      <c r="Q545" t="s">
        <v>32</v>
      </c>
      <c r="R545" t="s">
        <v>138</v>
      </c>
    </row>
    <row r="546" spans="1:18">
      <c r="A546" s="303">
        <f>COUNTA($D$3:$D$546)</f>
        <v>544</v>
      </c>
      <c r="B546" s="303" t="s">
        <v>2249</v>
      </c>
      <c r="C546" s="303" t="s">
        <v>41</v>
      </c>
      <c r="D546" s="303" t="s">
        <v>38</v>
      </c>
      <c r="E546" s="303" t="s">
        <v>1980</v>
      </c>
      <c r="F546" s="304">
        <v>44523.521006944444</v>
      </c>
      <c r="G546" s="304">
        <v>44623.899884259263</v>
      </c>
      <c r="H546" s="304"/>
      <c r="I546" s="304"/>
      <c r="J546" s="303"/>
      <c r="K546" s="305"/>
      <c r="L546" s="176">
        <v>44623.899884259263</v>
      </c>
      <c r="N546" s="204">
        <v>44743</v>
      </c>
      <c r="O546" s="203"/>
      <c r="R546" t="s">
        <v>138</v>
      </c>
    </row>
    <row r="547" spans="1:18">
      <c r="A547" s="303">
        <f>COUNTA($D$3:$D$547)</f>
        <v>545</v>
      </c>
      <c r="B547" s="303" t="s">
        <v>3374</v>
      </c>
      <c r="C547" s="303" t="s">
        <v>41</v>
      </c>
      <c r="D547" s="303" t="s">
        <v>34</v>
      </c>
      <c r="E547" s="303" t="s">
        <v>3391</v>
      </c>
      <c r="F547" s="304">
        <v>44279.462233796294</v>
      </c>
      <c r="G547" s="304">
        <v>44399.643055555556</v>
      </c>
      <c r="H547" s="304"/>
      <c r="I547" s="304"/>
      <c r="J547" s="303"/>
      <c r="K547" s="305"/>
      <c r="L547" s="176">
        <v>44399.643055555556</v>
      </c>
      <c r="N547" s="204">
        <v>44743</v>
      </c>
      <c r="O547" s="203"/>
      <c r="R547" t="s">
        <v>138</v>
      </c>
    </row>
    <row r="548" spans="1:18">
      <c r="A548" s="303">
        <f>COUNTA($D$3:$D$548)</f>
        <v>546</v>
      </c>
      <c r="B548" s="303" t="s">
        <v>3390</v>
      </c>
      <c r="C548" s="303" t="s">
        <v>41</v>
      </c>
      <c r="D548" s="303" t="s">
        <v>38</v>
      </c>
      <c r="E548" s="303" t="s">
        <v>3392</v>
      </c>
      <c r="F548" s="304">
        <v>44217.642002314817</v>
      </c>
      <c r="G548" s="304">
        <v>44323.71943287037</v>
      </c>
      <c r="H548" s="304"/>
      <c r="I548" s="304"/>
      <c r="J548" s="303"/>
      <c r="K548" s="305"/>
      <c r="L548" s="176">
        <v>44323.71943287037</v>
      </c>
      <c r="N548" s="204">
        <v>44743</v>
      </c>
      <c r="R548" t="s">
        <v>138</v>
      </c>
    </row>
    <row r="549" spans="1:18">
      <c r="A549" s="303">
        <f>COUNTA($D$3:$D$549)</f>
        <v>547</v>
      </c>
      <c r="B549" s="303" t="s">
        <v>3383</v>
      </c>
      <c r="C549" s="303" t="s">
        <v>41</v>
      </c>
      <c r="D549" s="303" t="s">
        <v>34</v>
      </c>
      <c r="E549" s="303" t="s">
        <v>3393</v>
      </c>
      <c r="F549" s="304">
        <v>44215.423460648148</v>
      </c>
      <c r="G549" s="304">
        <v>44323.718263888892</v>
      </c>
      <c r="H549" s="304"/>
      <c r="I549" s="304"/>
      <c r="J549" s="303"/>
      <c r="K549" s="305"/>
      <c r="L549" s="176">
        <v>44323.718263888892</v>
      </c>
      <c r="N549" s="204">
        <v>44743</v>
      </c>
      <c r="O549" s="203"/>
      <c r="R549" t="s">
        <v>138</v>
      </c>
    </row>
    <row r="550" spans="1:18">
      <c r="A550" s="303">
        <f>COUNTA($D$3:$D$550)</f>
        <v>548</v>
      </c>
      <c r="B550" s="303" t="s">
        <v>3389</v>
      </c>
      <c r="C550" s="303" t="s">
        <v>41</v>
      </c>
      <c r="D550" s="303" t="s">
        <v>34</v>
      </c>
      <c r="E550" s="303" t="s">
        <v>3394</v>
      </c>
      <c r="F550" s="304">
        <v>44133.551365740743</v>
      </c>
      <c r="G550" s="304">
        <v>44230.66170138889</v>
      </c>
      <c r="H550" s="304"/>
      <c r="I550" s="304"/>
      <c r="J550" s="303"/>
      <c r="K550" s="305"/>
      <c r="L550" s="176">
        <v>44230.66170138889</v>
      </c>
      <c r="N550" s="204">
        <v>44743</v>
      </c>
      <c r="R550" t="s">
        <v>138</v>
      </c>
    </row>
    <row r="551" spans="1:18">
      <c r="A551" s="303">
        <f>COUNTA($D$3:$D$551)</f>
        <v>549</v>
      </c>
      <c r="B551" s="303" t="s">
        <v>3382</v>
      </c>
      <c r="C551" s="303" t="s">
        <v>41</v>
      </c>
      <c r="D551" s="303" t="s">
        <v>38</v>
      </c>
      <c r="E551" s="303" t="s">
        <v>3395</v>
      </c>
      <c r="F551" s="304">
        <v>44102.462546296294</v>
      </c>
      <c r="G551" s="304">
        <v>44281.586087962962</v>
      </c>
      <c r="H551" s="304"/>
      <c r="I551" s="304"/>
      <c r="J551" s="303"/>
      <c r="K551" s="305"/>
      <c r="L551" s="176">
        <v>44281.586087962962</v>
      </c>
      <c r="N551" s="204">
        <v>44743</v>
      </c>
      <c r="O551" s="203"/>
      <c r="R551" t="s">
        <v>138</v>
      </c>
    </row>
    <row r="552" spans="1:18">
      <c r="A552" s="303">
        <f>COUNTA($D$3:$D$552)</f>
        <v>550</v>
      </c>
      <c r="B552" s="303" t="s">
        <v>3381</v>
      </c>
      <c r="C552" s="303" t="s">
        <v>41</v>
      </c>
      <c r="D552" s="303" t="s">
        <v>34</v>
      </c>
      <c r="E552" s="303" t="s">
        <v>3396</v>
      </c>
      <c r="F552" s="304">
        <v>44095.376898148148</v>
      </c>
      <c r="G552" s="304">
        <v>44200.697511574072</v>
      </c>
      <c r="H552" s="304"/>
      <c r="I552" s="304"/>
      <c r="J552" s="303"/>
      <c r="K552" s="305"/>
      <c r="L552" s="176">
        <v>44200.697511574072</v>
      </c>
      <c r="N552" s="204">
        <v>44743</v>
      </c>
      <c r="O552" s="203"/>
      <c r="R552" t="s">
        <v>138</v>
      </c>
    </row>
    <row r="553" spans="1:18">
      <c r="A553" s="303">
        <f>COUNTA($D$3:$D$553)</f>
        <v>551</v>
      </c>
      <c r="B553" s="303" t="s">
        <v>3380</v>
      </c>
      <c r="C553" s="303" t="s">
        <v>41</v>
      </c>
      <c r="D553" s="303" t="s">
        <v>34</v>
      </c>
      <c r="E553" s="303" t="s">
        <v>3397</v>
      </c>
      <c r="F553" s="304">
        <v>44095.376215277778</v>
      </c>
      <c r="G553" s="304">
        <v>44200.697083333333</v>
      </c>
      <c r="H553" s="304"/>
      <c r="I553" s="304"/>
      <c r="J553" s="303"/>
      <c r="K553" s="305"/>
      <c r="L553" s="176">
        <v>44200.697083333333</v>
      </c>
      <c r="N553" s="204">
        <v>44743</v>
      </c>
      <c r="O553" s="203"/>
      <c r="R553" t="s">
        <v>138</v>
      </c>
    </row>
    <row r="554" spans="1:18">
      <c r="A554" s="303">
        <f>COUNTA($D$3:$D$554)</f>
        <v>552</v>
      </c>
      <c r="B554" s="303" t="s">
        <v>3379</v>
      </c>
      <c r="C554" s="303" t="s">
        <v>41</v>
      </c>
      <c r="D554" s="303" t="s">
        <v>34</v>
      </c>
      <c r="E554" s="303" t="s">
        <v>3398</v>
      </c>
      <c r="F554" s="304">
        <v>43984.391377314816</v>
      </c>
      <c r="G554" s="304">
        <v>44105.56046296296</v>
      </c>
      <c r="H554" s="304"/>
      <c r="I554" s="304"/>
      <c r="J554" s="303"/>
      <c r="K554" s="305"/>
      <c r="L554" s="176">
        <v>44105.56046296296</v>
      </c>
      <c r="N554" s="204">
        <v>44743</v>
      </c>
      <c r="O554" s="203"/>
      <c r="R554" t="s">
        <v>138</v>
      </c>
    </row>
    <row r="555" spans="1:18">
      <c r="A555" s="303">
        <f>COUNTA($D$3:$D$555)</f>
        <v>553</v>
      </c>
      <c r="B555" s="303" t="s">
        <v>3388</v>
      </c>
      <c r="C555" s="303" t="s">
        <v>41</v>
      </c>
      <c r="D555" s="303" t="s">
        <v>38</v>
      </c>
      <c r="E555" s="303" t="s">
        <v>3399</v>
      </c>
      <c r="F555" s="304">
        <v>43964.603564814817</v>
      </c>
      <c r="G555" s="304">
        <v>44074.598981481482</v>
      </c>
      <c r="H555" s="304"/>
      <c r="I555" s="304"/>
      <c r="J555" s="303"/>
      <c r="K555" s="305"/>
      <c r="L555" s="176">
        <v>44074.598981481482</v>
      </c>
      <c r="N555" s="204">
        <v>44743</v>
      </c>
      <c r="R555" t="s">
        <v>138</v>
      </c>
    </row>
    <row r="556" spans="1:18">
      <c r="A556" s="303">
        <f>COUNTA($D$3:$D$556)</f>
        <v>554</v>
      </c>
      <c r="B556" s="303" t="s">
        <v>3378</v>
      </c>
      <c r="C556" s="303" t="s">
        <v>41</v>
      </c>
      <c r="D556" s="303" t="s">
        <v>38</v>
      </c>
      <c r="E556" s="303" t="s">
        <v>3400</v>
      </c>
      <c r="F556" s="304">
        <v>43963.6327662037</v>
      </c>
      <c r="G556" s="304">
        <v>44074.598425925928</v>
      </c>
      <c r="H556" s="304"/>
      <c r="I556" s="304"/>
      <c r="J556" s="303"/>
      <c r="K556" s="305"/>
      <c r="L556" s="176">
        <v>44074.598425925928</v>
      </c>
      <c r="N556" s="204">
        <v>44743</v>
      </c>
      <c r="R556" t="s">
        <v>138</v>
      </c>
    </row>
    <row r="557" spans="1:18">
      <c r="A557" s="303">
        <f>COUNTA($D$3:$D$557)</f>
        <v>555</v>
      </c>
      <c r="B557" s="303" t="s">
        <v>3377</v>
      </c>
      <c r="C557" s="303" t="s">
        <v>41</v>
      </c>
      <c r="D557" s="303" t="s">
        <v>38</v>
      </c>
      <c r="E557" s="303" t="s">
        <v>3401</v>
      </c>
      <c r="F557" s="304">
        <v>43902.712847222225</v>
      </c>
      <c r="G557" s="304">
        <v>44011.367164351854</v>
      </c>
      <c r="H557" s="304"/>
      <c r="I557" s="304"/>
      <c r="J557" s="303"/>
      <c r="K557" s="305"/>
      <c r="L557" s="176">
        <v>44011.367164351854</v>
      </c>
      <c r="N557" s="204">
        <v>44743</v>
      </c>
      <c r="O557" s="203"/>
      <c r="R557" t="s">
        <v>138</v>
      </c>
    </row>
    <row r="558" spans="1:18">
      <c r="A558" s="303">
        <f>COUNTA($D$3:$D$558)</f>
        <v>556</v>
      </c>
      <c r="B558" s="303" t="s">
        <v>3376</v>
      </c>
      <c r="C558" s="303" t="s">
        <v>41</v>
      </c>
      <c r="D558" s="303" t="s">
        <v>34</v>
      </c>
      <c r="E558" s="303" t="s">
        <v>3402</v>
      </c>
      <c r="F558" s="304">
        <v>43902.711967592593</v>
      </c>
      <c r="G558" s="304">
        <v>44011.366875</v>
      </c>
      <c r="H558" s="304"/>
      <c r="I558" s="304"/>
      <c r="J558" s="303"/>
      <c r="K558" s="305"/>
      <c r="L558" s="176">
        <v>44011.366875</v>
      </c>
      <c r="N558" s="204">
        <v>44743</v>
      </c>
      <c r="R558" t="s">
        <v>138</v>
      </c>
    </row>
    <row r="559" spans="1:18">
      <c r="A559" s="303">
        <f>COUNTA($D$3:$D$559)</f>
        <v>557</v>
      </c>
      <c r="B559" s="303" t="s">
        <v>3386</v>
      </c>
      <c r="C559" s="303" t="s">
        <v>41</v>
      </c>
      <c r="D559" s="303" t="s">
        <v>34</v>
      </c>
      <c r="E559" s="303" t="s">
        <v>3403</v>
      </c>
      <c r="F559" s="304">
        <v>43902.710266203707</v>
      </c>
      <c r="G559" s="304">
        <v>44011.353437500002</v>
      </c>
      <c r="H559" s="304"/>
      <c r="I559" s="304"/>
      <c r="J559" s="303"/>
      <c r="K559" s="305"/>
      <c r="L559" s="176">
        <v>44011.353437500002</v>
      </c>
      <c r="N559" s="204">
        <v>44743</v>
      </c>
      <c r="R559" t="s">
        <v>138</v>
      </c>
    </row>
    <row r="560" spans="1:18">
      <c r="A560" s="303">
        <f>COUNTA($D$3:$D$560)</f>
        <v>558</v>
      </c>
      <c r="B560" s="303" t="s">
        <v>3385</v>
      </c>
      <c r="C560" s="303" t="s">
        <v>41</v>
      </c>
      <c r="D560" s="303" t="s">
        <v>34</v>
      </c>
      <c r="E560" s="303" t="s">
        <v>3404</v>
      </c>
      <c r="F560" s="304">
        <v>43833.634259259263</v>
      </c>
      <c r="G560" s="304">
        <v>43983.40048611111</v>
      </c>
      <c r="H560" s="304"/>
      <c r="I560" s="304"/>
      <c r="J560" s="303"/>
      <c r="K560" s="305"/>
      <c r="L560" s="176">
        <v>43983.40048611111</v>
      </c>
      <c r="N560" s="204">
        <v>44743</v>
      </c>
      <c r="O560" s="203"/>
      <c r="R560" t="s">
        <v>138</v>
      </c>
    </row>
    <row r="561" spans="1:18">
      <c r="A561" s="303">
        <f>COUNTA($D$3:$D$561)</f>
        <v>559</v>
      </c>
      <c r="B561" s="303" t="s">
        <v>3375</v>
      </c>
      <c r="C561" s="303" t="s">
        <v>41</v>
      </c>
      <c r="D561" s="303" t="s">
        <v>38</v>
      </c>
      <c r="E561" s="303" t="s">
        <v>3405</v>
      </c>
      <c r="F561" s="304">
        <v>43832.432858796295</v>
      </c>
      <c r="G561" s="304">
        <v>43983.400671296295</v>
      </c>
      <c r="H561" s="304"/>
      <c r="I561" s="304"/>
      <c r="J561" s="303"/>
      <c r="K561" s="305"/>
      <c r="L561" s="176">
        <v>43983.400671296295</v>
      </c>
      <c r="N561" s="204">
        <v>44743</v>
      </c>
      <c r="R561" t="s">
        <v>138</v>
      </c>
    </row>
    <row r="562" spans="1:18">
      <c r="A562" s="303">
        <f>COUNTA($D$3:$D$562)</f>
        <v>560</v>
      </c>
      <c r="B562" s="303" t="s">
        <v>3387</v>
      </c>
      <c r="C562" s="303" t="s">
        <v>41</v>
      </c>
      <c r="D562" s="303" t="s">
        <v>34</v>
      </c>
      <c r="E562" s="303" t="s">
        <v>3406</v>
      </c>
      <c r="F562" s="304">
        <v>43825.660532407404</v>
      </c>
      <c r="G562" s="304">
        <v>44011.358414351853</v>
      </c>
      <c r="H562" s="304"/>
      <c r="I562" s="304"/>
      <c r="J562" s="303"/>
      <c r="K562" s="305"/>
      <c r="L562" s="176">
        <v>44011.358414351853</v>
      </c>
      <c r="N562" s="204">
        <v>44743</v>
      </c>
      <c r="R562" t="s">
        <v>138</v>
      </c>
    </row>
    <row r="563" spans="1:18">
      <c r="A563" s="303">
        <f>COUNTA($D$3:$D$563)</f>
        <v>561</v>
      </c>
      <c r="B563" s="303" t="s">
        <v>3384</v>
      </c>
      <c r="C563" s="303" t="s">
        <v>41</v>
      </c>
      <c r="D563" s="303" t="s">
        <v>34</v>
      </c>
      <c r="E563" s="303" t="s">
        <v>3407</v>
      </c>
      <c r="F563" s="304">
        <v>43816.342986111114</v>
      </c>
      <c r="G563" s="304">
        <v>43983.459270833337</v>
      </c>
      <c r="H563" s="304"/>
      <c r="I563" s="304"/>
      <c r="J563" s="303"/>
      <c r="K563" s="305"/>
      <c r="L563" s="176">
        <v>43983.459270833337</v>
      </c>
      <c r="N563" s="204">
        <v>44743</v>
      </c>
      <c r="R563" t="s">
        <v>138</v>
      </c>
    </row>
    <row r="564" spans="1:18">
      <c r="A564" s="303">
        <f>COUNTA($D$3:$D$564)</f>
        <v>562</v>
      </c>
      <c r="B564" s="303" t="s">
        <v>3666</v>
      </c>
      <c r="C564" s="303" t="s">
        <v>25</v>
      </c>
      <c r="D564" s="303" t="s">
        <v>36</v>
      </c>
      <c r="E564" s="303" t="s">
        <v>3667</v>
      </c>
      <c r="F564" s="304">
        <v>43480</v>
      </c>
      <c r="G564" s="304">
        <v>43775</v>
      </c>
      <c r="H564" s="304"/>
      <c r="I564" s="304"/>
      <c r="J564" s="303"/>
      <c r="K564" s="305"/>
      <c r="N564" s="204">
        <v>44907</v>
      </c>
      <c r="O564" s="203"/>
      <c r="Q564" t="s">
        <v>39</v>
      </c>
      <c r="R564" t="s">
        <v>26</v>
      </c>
    </row>
    <row r="565" spans="1:18">
      <c r="A565" s="303">
        <f>COUNTA($D$3:$D$565)</f>
        <v>563</v>
      </c>
      <c r="B565" s="303" t="s">
        <v>3669</v>
      </c>
      <c r="C565" s="303" t="s">
        <v>3670</v>
      </c>
      <c r="D565" s="303" t="s">
        <v>29</v>
      </c>
      <c r="E565" s="303" t="s">
        <v>3671</v>
      </c>
      <c r="F565" s="304">
        <v>44228</v>
      </c>
      <c r="G565" s="304">
        <v>44231</v>
      </c>
      <c r="H565" s="304">
        <v>44851</v>
      </c>
      <c r="I565" s="304"/>
      <c r="J565" s="303"/>
      <c r="K565" s="305"/>
      <c r="L565" s="176">
        <v>44329</v>
      </c>
      <c r="N565" s="204">
        <v>44851</v>
      </c>
      <c r="O565" s="203"/>
      <c r="Q565" t="s">
        <v>39</v>
      </c>
      <c r="R565" t="s">
        <v>26</v>
      </c>
    </row>
    <row r="566" spans="1:18">
      <c r="A566" s="303">
        <f>COUNTA($D$3:$D$566)</f>
        <v>564</v>
      </c>
      <c r="B566" s="303" t="s">
        <v>3673</v>
      </c>
      <c r="C566" s="303" t="s">
        <v>2793</v>
      </c>
      <c r="D566" s="303" t="s">
        <v>2709</v>
      </c>
      <c r="E566" s="303" t="s">
        <v>3706</v>
      </c>
      <c r="F566" s="304">
        <v>44005.404016203705</v>
      </c>
      <c r="G566" s="304">
        <v>44005.564687500002</v>
      </c>
      <c r="H566" s="304"/>
      <c r="I566" s="304"/>
      <c r="J566" s="303"/>
      <c r="K566" s="305"/>
      <c r="L566" s="176">
        <v>44014.575416666667</v>
      </c>
      <c r="N566" s="204">
        <v>44048</v>
      </c>
      <c r="O566" s="203"/>
      <c r="Q566" t="s">
        <v>39</v>
      </c>
      <c r="R566" t="s">
        <v>138</v>
      </c>
    </row>
    <row r="567" spans="1:18">
      <c r="A567" s="303">
        <f>COUNTA($D$3:$D$567)</f>
        <v>565</v>
      </c>
      <c r="B567" s="303" t="s">
        <v>3674</v>
      </c>
      <c r="C567" s="303" t="s">
        <v>25</v>
      </c>
      <c r="D567" s="303" t="s">
        <v>38</v>
      </c>
      <c r="E567" s="303" t="s">
        <v>3707</v>
      </c>
      <c r="F567" s="304">
        <v>43894.458680555559</v>
      </c>
      <c r="G567" s="304">
        <v>43900.658368055556</v>
      </c>
      <c r="H567" s="304"/>
      <c r="I567" s="304"/>
      <c r="J567" s="303"/>
      <c r="K567" s="305"/>
      <c r="L567" s="176">
        <v>44011.352349537039</v>
      </c>
      <c r="N567" s="204">
        <v>44048</v>
      </c>
      <c r="O567" s="203"/>
      <c r="Q567" t="s">
        <v>39</v>
      </c>
      <c r="R567" t="s">
        <v>138</v>
      </c>
    </row>
    <row r="568" spans="1:18">
      <c r="A568" s="303">
        <f>COUNTA($D$3:$D$568)</f>
        <v>566</v>
      </c>
      <c r="B568" s="303" t="s">
        <v>3675</v>
      </c>
      <c r="C568" s="303" t="s">
        <v>2908</v>
      </c>
      <c r="D568" s="303" t="s">
        <v>55</v>
      </c>
      <c r="E568" s="303" t="s">
        <v>3708</v>
      </c>
      <c r="F568" s="304">
        <v>43921.617719907408</v>
      </c>
      <c r="G568" s="304">
        <v>43935.685046296298</v>
      </c>
      <c r="H568" s="304"/>
      <c r="I568" s="304"/>
      <c r="J568" s="303"/>
      <c r="K568" s="305"/>
      <c r="L568" s="176">
        <v>44063.705254629633</v>
      </c>
      <c r="N568" s="204">
        <v>44055</v>
      </c>
      <c r="Q568" t="s">
        <v>39</v>
      </c>
      <c r="R568" t="s">
        <v>138</v>
      </c>
    </row>
    <row r="569" spans="1:18">
      <c r="A569" s="303">
        <f>COUNTA($D$3:$D$569)</f>
        <v>567</v>
      </c>
      <c r="B569" s="303" t="s">
        <v>3676</v>
      </c>
      <c r="C569" s="303" t="s">
        <v>2793</v>
      </c>
      <c r="D569" s="303" t="s">
        <v>62</v>
      </c>
      <c r="E569" s="303" t="s">
        <v>3709</v>
      </c>
      <c r="F569" s="304">
        <v>44286.684907407405</v>
      </c>
      <c r="G569" s="304">
        <v>44286.695532407408</v>
      </c>
      <c r="H569" s="304"/>
      <c r="I569" s="304"/>
      <c r="J569" s="303"/>
      <c r="K569" s="305"/>
      <c r="L569" s="176">
        <v>44298.568159722221</v>
      </c>
      <c r="O569" s="203"/>
      <c r="Q569" t="s">
        <v>39</v>
      </c>
      <c r="R569" t="s">
        <v>138</v>
      </c>
    </row>
    <row r="570" spans="1:18">
      <c r="A570" s="303">
        <f>COUNTA($D$3:$D$570)</f>
        <v>568</v>
      </c>
      <c r="B570" s="303" t="s">
        <v>3677</v>
      </c>
      <c r="C570" s="303" t="s">
        <v>3710</v>
      </c>
      <c r="D570" s="303" t="s">
        <v>53</v>
      </c>
      <c r="E570" s="303" t="s">
        <v>3711</v>
      </c>
      <c r="F570" s="304">
        <v>44048.434907407405</v>
      </c>
      <c r="G570" s="304">
        <v>44056.625115740739</v>
      </c>
      <c r="H570" s="304"/>
      <c r="I570" s="304"/>
      <c r="J570" s="303"/>
      <c r="K570" s="305"/>
      <c r="L570" s="176">
        <v>44180.422789351855</v>
      </c>
      <c r="N570" s="204">
        <v>45051</v>
      </c>
      <c r="O570" s="203" t="s">
        <v>26</v>
      </c>
      <c r="Q570" t="s">
        <v>39</v>
      </c>
      <c r="R570" t="s">
        <v>26</v>
      </c>
    </row>
    <row r="571" spans="1:18">
      <c r="A571" s="303">
        <f>COUNTA($D$3:$D$571)</f>
        <v>569</v>
      </c>
      <c r="B571" s="303" t="s">
        <v>3678</v>
      </c>
      <c r="C571" s="303" t="s">
        <v>3710</v>
      </c>
      <c r="D571" s="303" t="s">
        <v>55</v>
      </c>
      <c r="E571" s="303" t="s">
        <v>3712</v>
      </c>
      <c r="F571" s="304">
        <v>44048.435347222221</v>
      </c>
      <c r="G571" s="304">
        <v>44054.465405092589</v>
      </c>
      <c r="H571" s="304"/>
      <c r="I571" s="304"/>
      <c r="J571" s="303"/>
      <c r="K571" s="305"/>
      <c r="L571" s="176">
        <v>44174.617847222224</v>
      </c>
      <c r="N571" s="204">
        <v>45051</v>
      </c>
      <c r="O571" s="203" t="s">
        <v>26</v>
      </c>
      <c r="Q571" t="s">
        <v>39</v>
      </c>
      <c r="R571" t="s">
        <v>26</v>
      </c>
    </row>
    <row r="572" spans="1:18">
      <c r="A572" s="303">
        <f>COUNTA($D$3:$D$572)</f>
        <v>570</v>
      </c>
      <c r="B572" s="303" t="s">
        <v>3679</v>
      </c>
      <c r="C572" s="303" t="s">
        <v>1131</v>
      </c>
      <c r="D572" s="303" t="s">
        <v>68</v>
      </c>
      <c r="E572" s="303" t="s">
        <v>3713</v>
      </c>
      <c r="F572" s="304">
        <v>44117.550474537034</v>
      </c>
      <c r="G572" s="304">
        <v>44118.426886574074</v>
      </c>
      <c r="H572" s="304"/>
      <c r="I572" s="304"/>
      <c r="J572" s="303"/>
      <c r="K572" s="305"/>
      <c r="L572" s="176">
        <v>44127.461550925924</v>
      </c>
      <c r="N572" s="204">
        <v>44805</v>
      </c>
      <c r="O572" s="203"/>
      <c r="R572" t="s">
        <v>138</v>
      </c>
    </row>
    <row r="573" spans="1:18">
      <c r="A573" s="303">
        <f>COUNTA($D$3:$D$573)</f>
        <v>571</v>
      </c>
      <c r="B573" s="303" t="s">
        <v>3680</v>
      </c>
      <c r="C573" s="303" t="s">
        <v>25</v>
      </c>
      <c r="D573" s="303" t="s">
        <v>34</v>
      </c>
      <c r="E573" s="303" t="s">
        <v>3714</v>
      </c>
      <c r="F573" s="304">
        <v>44138.680636574078</v>
      </c>
      <c r="G573" s="304">
        <v>44141.693749999999</v>
      </c>
      <c r="H573" s="304"/>
      <c r="I573" s="304"/>
      <c r="J573" s="303"/>
      <c r="K573" s="305"/>
      <c r="L573" s="176">
        <v>44264.490706018521</v>
      </c>
      <c r="N573" s="204">
        <v>44907</v>
      </c>
      <c r="O573" s="203"/>
      <c r="Q573" t="s">
        <v>39</v>
      </c>
      <c r="R573" t="s">
        <v>138</v>
      </c>
    </row>
    <row r="574" spans="1:18">
      <c r="A574" s="303">
        <f>COUNTA($D$3:$D$574)</f>
        <v>572</v>
      </c>
      <c r="B574" s="303" t="s">
        <v>3681</v>
      </c>
      <c r="C574" s="303" t="s">
        <v>25</v>
      </c>
      <c r="D574" s="303" t="s">
        <v>36</v>
      </c>
      <c r="E574" s="303" t="s">
        <v>3715</v>
      </c>
      <c r="F574" s="304">
        <v>44138.693993055553</v>
      </c>
      <c r="G574" s="304">
        <v>44144.729583333334</v>
      </c>
      <c r="H574" s="304"/>
      <c r="I574" s="304"/>
      <c r="J574" s="303"/>
      <c r="K574" s="305"/>
      <c r="L574" s="176">
        <v>44264.495150462964</v>
      </c>
      <c r="N574" s="204">
        <v>44907</v>
      </c>
      <c r="O574" s="203"/>
      <c r="Q574" t="s">
        <v>39</v>
      </c>
      <c r="R574" t="s">
        <v>138</v>
      </c>
    </row>
    <row r="575" spans="1:18">
      <c r="A575" s="303">
        <f>COUNTA($D$3:$D$575)</f>
        <v>573</v>
      </c>
      <c r="B575" s="303" t="s">
        <v>3682</v>
      </c>
      <c r="C575" s="303" t="s">
        <v>25</v>
      </c>
      <c r="D575" s="303" t="s">
        <v>36</v>
      </c>
      <c r="E575" s="303" t="s">
        <v>3716</v>
      </c>
      <c r="F575" s="304">
        <v>44138.705428240741</v>
      </c>
      <c r="G575" s="304">
        <v>44144.596215277779</v>
      </c>
      <c r="H575" s="304"/>
      <c r="I575" s="304"/>
      <c r="J575" s="303"/>
      <c r="K575" s="305"/>
      <c r="L575" s="176">
        <v>44264.493020833332</v>
      </c>
      <c r="N575" s="204">
        <v>44907</v>
      </c>
      <c r="O575" s="203"/>
      <c r="Q575" t="s">
        <v>39</v>
      </c>
      <c r="R575" t="s">
        <v>138</v>
      </c>
    </row>
    <row r="576" spans="1:18">
      <c r="A576" s="303">
        <f>COUNTA($D$3:$D$576)</f>
        <v>574</v>
      </c>
      <c r="B576" s="303" t="s">
        <v>3683</v>
      </c>
      <c r="C576" s="303" t="s">
        <v>25</v>
      </c>
      <c r="D576" s="303" t="s">
        <v>36</v>
      </c>
      <c r="E576" s="303" t="s">
        <v>3717</v>
      </c>
      <c r="F576" s="304">
        <v>44138.704814814817</v>
      </c>
      <c r="G576" s="304">
        <v>44140.474212962959</v>
      </c>
      <c r="H576" s="304"/>
      <c r="I576" s="304"/>
      <c r="J576" s="303"/>
      <c r="K576" s="305"/>
      <c r="L576" s="176">
        <v>44264.487453703703</v>
      </c>
      <c r="N576" s="204">
        <v>43907</v>
      </c>
      <c r="Q576" t="s">
        <v>39</v>
      </c>
      <c r="R576" t="s">
        <v>138</v>
      </c>
    </row>
    <row r="577" spans="1:18">
      <c r="A577" s="303">
        <f>COUNTA($D$3:$D$577)</f>
        <v>575</v>
      </c>
      <c r="B577" s="303" t="s">
        <v>3684</v>
      </c>
      <c r="C577" s="303" t="s">
        <v>25</v>
      </c>
      <c r="D577" s="303" t="s">
        <v>38</v>
      </c>
      <c r="E577" s="303" t="s">
        <v>3718</v>
      </c>
      <c r="F577" s="304">
        <v>44138.687060185184</v>
      </c>
      <c r="G577" s="304">
        <v>44140.700208333335</v>
      </c>
      <c r="H577" s="304"/>
      <c r="I577" s="304"/>
      <c r="J577" s="303"/>
      <c r="K577" s="305"/>
      <c r="L577" s="176">
        <v>44264.475138888891</v>
      </c>
      <c r="N577" s="204">
        <v>44907</v>
      </c>
      <c r="Q577" t="s">
        <v>39</v>
      </c>
      <c r="R577" t="s">
        <v>138</v>
      </c>
    </row>
    <row r="578" spans="1:18">
      <c r="A578" s="303">
        <f>COUNTA($D$3:$D$578)</f>
        <v>576</v>
      </c>
      <c r="B578" s="303" t="s">
        <v>3685</v>
      </c>
      <c r="C578" s="303" t="s">
        <v>25</v>
      </c>
      <c r="D578" s="303" t="s">
        <v>38</v>
      </c>
      <c r="E578" s="303" t="s">
        <v>3719</v>
      </c>
      <c r="F578" s="304">
        <v>44138.692349537036</v>
      </c>
      <c r="G578" s="304">
        <v>44139.679907407408</v>
      </c>
      <c r="H578" s="304"/>
      <c r="I578" s="304"/>
      <c r="J578" s="303"/>
      <c r="K578" s="305"/>
      <c r="L578" s="176">
        <v>44264.486898148149</v>
      </c>
      <c r="N578" s="204">
        <v>43958</v>
      </c>
      <c r="Q578" t="s">
        <v>39</v>
      </c>
      <c r="R578" t="s">
        <v>138</v>
      </c>
    </row>
    <row r="579" spans="1:18">
      <c r="A579" s="303">
        <f>COUNTA($D$3:$D$579)</f>
        <v>577</v>
      </c>
      <c r="B579" s="303" t="s">
        <v>3686</v>
      </c>
      <c r="C579" s="303" t="s">
        <v>25</v>
      </c>
      <c r="D579" s="303" t="s">
        <v>38</v>
      </c>
      <c r="E579" s="303" t="s">
        <v>3720</v>
      </c>
      <c r="F579" s="304">
        <v>44138.688298611109</v>
      </c>
      <c r="G579" s="304">
        <v>44141.552476851852</v>
      </c>
      <c r="H579" s="304"/>
      <c r="I579" s="304"/>
      <c r="J579" s="303"/>
      <c r="K579" s="305"/>
      <c r="L579" s="176">
        <v>44264.489444444444</v>
      </c>
      <c r="N579" s="204">
        <v>44907</v>
      </c>
      <c r="Q579" t="s">
        <v>39</v>
      </c>
      <c r="R579" t="s">
        <v>138</v>
      </c>
    </row>
    <row r="580" spans="1:18">
      <c r="A580" s="303">
        <f>COUNTA($D$3:$D$580)</f>
        <v>578</v>
      </c>
      <c r="B580" s="303" t="s">
        <v>3687</v>
      </c>
      <c r="C580" s="303" t="s">
        <v>1268</v>
      </c>
      <c r="D580" s="303" t="s">
        <v>1216</v>
      </c>
      <c r="E580" s="303" t="s">
        <v>3721</v>
      </c>
      <c r="F580" s="304">
        <v>44138.68550925926</v>
      </c>
      <c r="G580" s="304">
        <v>44145.597592592596</v>
      </c>
      <c r="H580" s="304"/>
      <c r="I580" s="304"/>
      <c r="J580" s="303"/>
      <c r="K580" s="305"/>
      <c r="L580" s="176">
        <v>44264.476840277777</v>
      </c>
      <c r="Q580" t="s">
        <v>39</v>
      </c>
      <c r="R580" t="s">
        <v>138</v>
      </c>
    </row>
    <row r="581" spans="1:18">
      <c r="A581" s="303">
        <f>COUNTA($D$3:$D$581)</f>
        <v>579</v>
      </c>
      <c r="B581" s="303" t="s">
        <v>3688</v>
      </c>
      <c r="C581" s="303" t="s">
        <v>25</v>
      </c>
      <c r="D581" s="303" t="s">
        <v>36</v>
      </c>
      <c r="E581" s="303" t="s">
        <v>3722</v>
      </c>
      <c r="F581" s="304">
        <v>44138.694953703707</v>
      </c>
      <c r="G581" s="304">
        <v>44144.654907407406</v>
      </c>
      <c r="H581" s="304"/>
      <c r="I581" s="304"/>
      <c r="J581" s="303"/>
      <c r="K581" s="305"/>
      <c r="L581" s="176">
        <v>44264.494259259256</v>
      </c>
      <c r="N581" s="204">
        <v>44907</v>
      </c>
      <c r="Q581" t="s">
        <v>39</v>
      </c>
      <c r="R581" t="s">
        <v>138</v>
      </c>
    </row>
    <row r="582" spans="1:18">
      <c r="A582" s="303">
        <f>COUNTA($D$3:$D$582)</f>
        <v>580</v>
      </c>
      <c r="B582" s="303" t="s">
        <v>3689</v>
      </c>
      <c r="C582" s="303" t="s">
        <v>3723</v>
      </c>
      <c r="D582" s="303" t="s">
        <v>68</v>
      </c>
      <c r="E582" s="303" t="s">
        <v>3724</v>
      </c>
      <c r="F582" s="304">
        <v>44158.625949074078</v>
      </c>
      <c r="G582" s="304">
        <v>44159.661157407405</v>
      </c>
      <c r="H582" s="304"/>
      <c r="I582" s="304"/>
      <c r="J582" s="303"/>
      <c r="K582" s="305"/>
      <c r="L582" s="176">
        <v>44172.682453703703</v>
      </c>
      <c r="N582" s="204">
        <v>43962</v>
      </c>
      <c r="Q582" t="s">
        <v>39</v>
      </c>
      <c r="R582" t="s">
        <v>138</v>
      </c>
    </row>
    <row r="583" spans="1:18">
      <c r="A583" s="303">
        <f>COUNTA($D$3:$D$583)</f>
        <v>581</v>
      </c>
      <c r="B583" s="303" t="s">
        <v>3690</v>
      </c>
      <c r="C583" s="303" t="s">
        <v>1280</v>
      </c>
      <c r="D583" s="303" t="s">
        <v>23</v>
      </c>
      <c r="E583" s="303" t="s">
        <v>3725</v>
      </c>
      <c r="F583" s="304">
        <v>44271.716053240743</v>
      </c>
      <c r="G583" s="304">
        <v>44272.368668981479</v>
      </c>
      <c r="H583" s="304"/>
      <c r="I583" s="304"/>
      <c r="J583" s="303"/>
      <c r="K583" s="305"/>
      <c r="L583" s="176">
        <v>44287.360347222224</v>
      </c>
      <c r="M583" t="s">
        <v>3792</v>
      </c>
      <c r="N583" s="204">
        <v>44797</v>
      </c>
      <c r="Q583" t="s">
        <v>32</v>
      </c>
      <c r="R583" t="s">
        <v>138</v>
      </c>
    </row>
    <row r="584" spans="1:18">
      <c r="A584" s="303">
        <f>COUNTA($D$3:$D$584)</f>
        <v>582</v>
      </c>
      <c r="B584" s="303" t="s">
        <v>3691</v>
      </c>
      <c r="C584" s="303" t="s">
        <v>25</v>
      </c>
      <c r="D584" s="303" t="s">
        <v>36</v>
      </c>
      <c r="E584" s="303" t="s">
        <v>3726</v>
      </c>
      <c r="F584" s="304">
        <v>44161.508344907408</v>
      </c>
      <c r="G584" s="304">
        <v>44162.45821759259</v>
      </c>
      <c r="H584" s="304"/>
      <c r="I584" s="304"/>
      <c r="J584" s="303"/>
      <c r="K584" s="305"/>
      <c r="L584" s="176">
        <v>44264.477337962962</v>
      </c>
      <c r="N584" s="204">
        <v>44907</v>
      </c>
      <c r="Q584" t="s">
        <v>39</v>
      </c>
      <c r="R584" t="s">
        <v>138</v>
      </c>
    </row>
    <row r="585" spans="1:18">
      <c r="A585" s="303">
        <f>COUNTA($D$3:$D$585)</f>
        <v>583</v>
      </c>
      <c r="B585" s="303" t="s">
        <v>3692</v>
      </c>
      <c r="C585" s="303" t="s">
        <v>25</v>
      </c>
      <c r="D585" s="303" t="s">
        <v>36</v>
      </c>
      <c r="E585" s="303" t="s">
        <v>3727</v>
      </c>
      <c r="F585" s="304">
        <v>44161.675254629627</v>
      </c>
      <c r="G585" s="304">
        <v>44166.347268518519</v>
      </c>
      <c r="H585" s="304"/>
      <c r="I585" s="304"/>
      <c r="J585" s="303"/>
      <c r="K585" s="305"/>
      <c r="L585" s="176">
        <v>44264.47928240741</v>
      </c>
      <c r="N585" s="204">
        <v>44907</v>
      </c>
      <c r="Q585" t="s">
        <v>39</v>
      </c>
      <c r="R585" t="s">
        <v>138</v>
      </c>
    </row>
    <row r="586" spans="1:18">
      <c r="A586" s="303">
        <f>COUNTA($D$3:$D$586)</f>
        <v>584</v>
      </c>
      <c r="B586" s="303" t="s">
        <v>3693</v>
      </c>
      <c r="C586" s="303" t="s">
        <v>25</v>
      </c>
      <c r="D586" s="303" t="s">
        <v>20</v>
      </c>
      <c r="E586" s="303" t="s">
        <v>3728</v>
      </c>
      <c r="F586" s="304">
        <v>44187.666678240741</v>
      </c>
      <c r="G586" s="304">
        <v>44190.346076388887</v>
      </c>
      <c r="H586" s="304"/>
      <c r="I586" s="304"/>
      <c r="J586" s="303"/>
      <c r="K586" s="305"/>
      <c r="L586" s="176">
        <v>44284.391400462962</v>
      </c>
      <c r="N586" s="204">
        <v>44907</v>
      </c>
      <c r="Q586" t="s">
        <v>39</v>
      </c>
      <c r="R586" t="s">
        <v>138</v>
      </c>
    </row>
    <row r="587" spans="1:18">
      <c r="A587" s="303">
        <f>COUNTA($D$3:$D$587)</f>
        <v>585</v>
      </c>
      <c r="B587" s="303" t="s">
        <v>3694</v>
      </c>
      <c r="C587" s="303" t="s">
        <v>25</v>
      </c>
      <c r="D587" s="303" t="s">
        <v>34</v>
      </c>
      <c r="E587" s="303" t="s">
        <v>3729</v>
      </c>
      <c r="F587" s="304">
        <v>44193.409733796296</v>
      </c>
      <c r="G587" s="304">
        <v>44194.637673611112</v>
      </c>
      <c r="H587" s="304"/>
      <c r="I587" s="304"/>
      <c r="J587" s="303"/>
      <c r="K587" s="305"/>
      <c r="L587" s="176">
        <v>44284.391747685186</v>
      </c>
      <c r="N587" s="204">
        <v>44907</v>
      </c>
      <c r="Q587" t="s">
        <v>39</v>
      </c>
      <c r="R587" t="s">
        <v>138</v>
      </c>
    </row>
    <row r="588" spans="1:18">
      <c r="A588" s="303">
        <f>COUNTA($D$3:$D$588)</f>
        <v>586</v>
      </c>
      <c r="B588" s="303" t="s">
        <v>3695</v>
      </c>
      <c r="C588" s="303" t="s">
        <v>2793</v>
      </c>
      <c r="D588" s="303" t="s">
        <v>42</v>
      </c>
      <c r="E588" s="303" t="s">
        <v>3730</v>
      </c>
      <c r="F588" s="304">
        <v>44195.378298611111</v>
      </c>
      <c r="G588" s="304">
        <v>44202.639837962961</v>
      </c>
      <c r="H588" s="304"/>
      <c r="I588" s="304"/>
      <c r="J588" s="303"/>
      <c r="K588" s="305"/>
      <c r="L588" s="176">
        <v>44284.397060185183</v>
      </c>
      <c r="Q588" t="s">
        <v>39</v>
      </c>
      <c r="R588" t="s">
        <v>138</v>
      </c>
    </row>
    <row r="589" spans="1:18">
      <c r="A589" s="303">
        <f>COUNTA($D$3:$D$589)</f>
        <v>587</v>
      </c>
      <c r="B589" s="303" t="s">
        <v>3696</v>
      </c>
      <c r="C589" s="303" t="s">
        <v>25</v>
      </c>
      <c r="D589" s="303" t="s">
        <v>1181</v>
      </c>
      <c r="E589" s="303" t="s">
        <v>3731</v>
      </c>
      <c r="F589" s="304">
        <v>44203.71979166667</v>
      </c>
      <c r="G589" s="304">
        <v>44209.681921296295</v>
      </c>
      <c r="H589" s="304"/>
      <c r="I589" s="304"/>
      <c r="J589" s="303"/>
      <c r="K589" s="305"/>
      <c r="L589" s="176">
        <v>44323.716990740744</v>
      </c>
      <c r="N589" s="204">
        <v>44907</v>
      </c>
      <c r="Q589" t="s">
        <v>39</v>
      </c>
      <c r="R589" t="s">
        <v>138</v>
      </c>
    </row>
    <row r="590" spans="1:18">
      <c r="A590" s="303">
        <f>COUNTA($D$3:$D$590)</f>
        <v>588</v>
      </c>
      <c r="B590" s="303" t="s">
        <v>3697</v>
      </c>
      <c r="C590" s="303" t="s">
        <v>3710</v>
      </c>
      <c r="D590" s="303" t="s">
        <v>55</v>
      </c>
      <c r="E590" s="303" t="s">
        <v>3732</v>
      </c>
      <c r="F590" s="304">
        <v>44217.469050925924</v>
      </c>
      <c r="G590" s="304">
        <v>44217.471400462964</v>
      </c>
      <c r="H590" s="304"/>
      <c r="I590" s="304"/>
      <c r="J590" s="303"/>
      <c r="K590" s="305"/>
      <c r="L590" s="176">
        <v>44323.723078703704</v>
      </c>
      <c r="N590" s="204">
        <v>45051</v>
      </c>
      <c r="Q590" t="s">
        <v>39</v>
      </c>
      <c r="R590" t="s">
        <v>138</v>
      </c>
    </row>
    <row r="591" spans="1:18">
      <c r="A591" s="303">
        <f>COUNTA($D$3:$D$591)</f>
        <v>589</v>
      </c>
      <c r="B591" s="303" t="s">
        <v>3698</v>
      </c>
      <c r="C591" s="303" t="s">
        <v>3710</v>
      </c>
      <c r="D591" s="303" t="s">
        <v>53</v>
      </c>
      <c r="E591" s="303" t="s">
        <v>3733</v>
      </c>
      <c r="F591" s="304">
        <v>44224.696585648147</v>
      </c>
      <c r="G591" s="304">
        <v>44224.699421296296</v>
      </c>
      <c r="H591" s="304"/>
      <c r="I591" s="304"/>
      <c r="J591" s="303"/>
      <c r="K591" s="305"/>
      <c r="L591" s="176">
        <v>44323.723761574074</v>
      </c>
      <c r="N591" s="204">
        <v>45051</v>
      </c>
      <c r="Q591" t="s">
        <v>39</v>
      </c>
      <c r="R591" t="s">
        <v>138</v>
      </c>
    </row>
    <row r="592" spans="1:18">
      <c r="A592" s="303">
        <f>COUNTA($D$3:$D$592)</f>
        <v>590</v>
      </c>
      <c r="B592" s="303" t="s">
        <v>3699</v>
      </c>
      <c r="C592" s="303" t="s">
        <v>3734</v>
      </c>
      <c r="D592" s="303" t="s">
        <v>1133</v>
      </c>
      <c r="E592" s="303" t="s">
        <v>3735</v>
      </c>
      <c r="F592" s="304">
        <v>44245.66914351852</v>
      </c>
      <c r="G592" s="304">
        <v>44246.386840277781</v>
      </c>
      <c r="H592" s="304"/>
      <c r="I592" s="304"/>
      <c r="J592" s="303"/>
      <c r="K592" s="305"/>
      <c r="L592" s="176">
        <v>44420.40520833333</v>
      </c>
      <c r="Q592" t="s">
        <v>39</v>
      </c>
      <c r="R592" t="s">
        <v>138</v>
      </c>
    </row>
    <row r="593" spans="1:18">
      <c r="A593" s="303">
        <f>COUNTA($D$3:$D$593)</f>
        <v>591</v>
      </c>
      <c r="B593" s="303" t="s">
        <v>3700</v>
      </c>
      <c r="C593" s="303" t="s">
        <v>3736</v>
      </c>
      <c r="D593" s="303" t="s">
        <v>1133</v>
      </c>
      <c r="E593" s="303" t="s">
        <v>3737</v>
      </c>
      <c r="F593" s="304">
        <v>44222.68241898148</v>
      </c>
      <c r="G593" s="304">
        <v>44223.706712962965</v>
      </c>
      <c r="H593" s="304"/>
      <c r="I593" s="304"/>
      <c r="J593" s="303"/>
      <c r="K593" s="305"/>
      <c r="L593" s="176">
        <v>44323.721851851849</v>
      </c>
      <c r="Q593" t="s">
        <v>39</v>
      </c>
      <c r="R593" t="s">
        <v>138</v>
      </c>
    </row>
    <row r="594" spans="1:18">
      <c r="A594" s="303">
        <f>COUNTA($D$3:$D$594)</f>
        <v>592</v>
      </c>
      <c r="B594" s="303" t="s">
        <v>3701</v>
      </c>
      <c r="C594" s="303" t="s">
        <v>44</v>
      </c>
      <c r="D594" s="303" t="s">
        <v>53</v>
      </c>
      <c r="E594" s="303" t="s">
        <v>3738</v>
      </c>
      <c r="F594" s="304">
        <v>44263.620578703703</v>
      </c>
      <c r="G594" s="304">
        <v>44264.484814814816</v>
      </c>
      <c r="H594" s="304"/>
      <c r="I594" s="304"/>
      <c r="J594" s="303"/>
      <c r="K594" s="305"/>
      <c r="L594" s="176">
        <v>44420.407430555555</v>
      </c>
      <c r="Q594" t="s">
        <v>39</v>
      </c>
      <c r="R594" t="s">
        <v>138</v>
      </c>
    </row>
    <row r="595" spans="1:18">
      <c r="A595" s="303">
        <f>COUNTA($D$3:$D$595)</f>
        <v>593</v>
      </c>
      <c r="B595" s="303" t="s">
        <v>3702</v>
      </c>
      <c r="C595" s="303" t="s">
        <v>44</v>
      </c>
      <c r="D595" s="303" t="s">
        <v>55</v>
      </c>
      <c r="E595" s="303" t="s">
        <v>3739</v>
      </c>
      <c r="F595" s="304">
        <v>44263.621759259258</v>
      </c>
      <c r="G595" s="304">
        <v>44265.440196759257</v>
      </c>
      <c r="H595" s="304"/>
      <c r="I595" s="304"/>
      <c r="J595" s="303"/>
      <c r="K595" s="305"/>
      <c r="L595" s="176">
        <v>44420.408402777779</v>
      </c>
      <c r="Q595" t="s">
        <v>39</v>
      </c>
      <c r="R595" t="s">
        <v>138</v>
      </c>
    </row>
    <row r="596" spans="1:18">
      <c r="A596" s="303">
        <f>COUNTA($D$3:$D$596)</f>
        <v>594</v>
      </c>
      <c r="B596" s="303" t="s">
        <v>3703</v>
      </c>
      <c r="C596" s="303" t="s">
        <v>25</v>
      </c>
      <c r="D596" s="303" t="s">
        <v>38</v>
      </c>
      <c r="E596" s="303" t="s">
        <v>3740</v>
      </c>
      <c r="F596" s="304">
        <v>44266.436921296299</v>
      </c>
      <c r="G596" s="304">
        <v>44270.424398148149</v>
      </c>
      <c r="H596" s="304"/>
      <c r="I596" s="304"/>
      <c r="J596" s="303"/>
      <c r="K596" s="305"/>
      <c r="L596" s="176">
        <v>44420.413449074076</v>
      </c>
      <c r="N596" s="204">
        <v>44907</v>
      </c>
      <c r="Q596" t="s">
        <v>39</v>
      </c>
      <c r="R596" t="s">
        <v>138</v>
      </c>
    </row>
    <row r="597" spans="1:18">
      <c r="A597" s="303">
        <f>COUNTA($D$3:$D$597)</f>
        <v>595</v>
      </c>
      <c r="B597" s="303" t="s">
        <v>3704</v>
      </c>
      <c r="C597" s="303" t="s">
        <v>25</v>
      </c>
      <c r="D597" s="303" t="s">
        <v>34</v>
      </c>
      <c r="E597" s="303" t="s">
        <v>3741</v>
      </c>
      <c r="F597" s="304">
        <v>44266.437314814815</v>
      </c>
      <c r="G597" s="304">
        <v>44270.604618055557</v>
      </c>
      <c r="H597" s="304"/>
      <c r="I597" s="304"/>
      <c r="J597" s="303"/>
      <c r="K597" s="305"/>
      <c r="L597" s="176">
        <v>44420.414097222223</v>
      </c>
      <c r="N597" s="204">
        <v>44959</v>
      </c>
      <c r="Q597" t="s">
        <v>39</v>
      </c>
      <c r="R597" t="s">
        <v>138</v>
      </c>
    </row>
    <row r="598" spans="1:18">
      <c r="A598" s="303">
        <f>COUNTA($D$3:$D$598)</f>
        <v>596</v>
      </c>
      <c r="B598" s="303" t="s">
        <v>3705</v>
      </c>
      <c r="C598" s="303" t="s">
        <v>100</v>
      </c>
      <c r="D598" s="303" t="s">
        <v>34</v>
      </c>
      <c r="E598" s="303" t="s">
        <v>3742</v>
      </c>
      <c r="F598" s="304">
        <v>44279.616979166669</v>
      </c>
      <c r="G598" s="304">
        <v>44285.420266203706</v>
      </c>
      <c r="H598" s="304"/>
      <c r="I598" s="304"/>
      <c r="J598" s="303"/>
      <c r="K598" s="305"/>
      <c r="L598" s="176">
        <v>44399.643969907411</v>
      </c>
      <c r="Q598" t="s">
        <v>39</v>
      </c>
      <c r="R598" t="s">
        <v>138</v>
      </c>
    </row>
    <row r="599" spans="1:18">
      <c r="A599" s="303">
        <f>COUNTA($D$3:$D$599)</f>
        <v>597</v>
      </c>
      <c r="B599" s="303" t="s">
        <v>3664</v>
      </c>
      <c r="C599" s="303" t="s">
        <v>2396</v>
      </c>
      <c r="D599" s="303" t="s">
        <v>60</v>
      </c>
      <c r="E599" s="303" t="s">
        <v>2723</v>
      </c>
      <c r="F599" s="304">
        <v>44774.77615740741</v>
      </c>
      <c r="G599" s="304">
        <v>44774.777025462965</v>
      </c>
      <c r="H599" s="304"/>
      <c r="I599" s="304"/>
      <c r="J599" s="303"/>
      <c r="K599" s="305"/>
      <c r="L599" s="176">
        <v>44774.790706018517</v>
      </c>
      <c r="N599" s="204">
        <v>44802</v>
      </c>
      <c r="R599" t="s">
        <v>26</v>
      </c>
    </row>
    <row r="600" spans="1:18">
      <c r="A600" s="303">
        <f>COUNTA($D$3:$D$600)</f>
        <v>598</v>
      </c>
      <c r="B600" s="303" t="s">
        <v>3895</v>
      </c>
      <c r="C600" s="303" t="s">
        <v>45</v>
      </c>
      <c r="D600" s="303" t="s">
        <v>55</v>
      </c>
      <c r="E600" s="303" t="s">
        <v>3769</v>
      </c>
      <c r="F600" s="304">
        <v>44802</v>
      </c>
      <c r="G600" s="304"/>
      <c r="H600" s="304"/>
      <c r="I600" s="304"/>
      <c r="J600" s="303"/>
      <c r="K600" s="305"/>
      <c r="L600" s="176">
        <v>44813</v>
      </c>
      <c r="O600" t="s">
        <v>72</v>
      </c>
      <c r="R600" t="s">
        <v>26</v>
      </c>
    </row>
    <row r="601" spans="1:18">
      <c r="A601" s="303">
        <f>COUNTA($D$3:$D$601)</f>
        <v>599</v>
      </c>
      <c r="B601" s="303" t="s">
        <v>3986</v>
      </c>
      <c r="C601" s="303" t="s">
        <v>45</v>
      </c>
      <c r="D601" s="303" t="s">
        <v>20</v>
      </c>
      <c r="E601" s="303" t="s">
        <v>3991</v>
      </c>
      <c r="F601" s="304">
        <v>44106</v>
      </c>
      <c r="G601" s="304"/>
      <c r="H601" s="304"/>
      <c r="I601" s="304"/>
      <c r="J601" s="303"/>
      <c r="K601" s="305"/>
      <c r="L601" s="176">
        <v>44232</v>
      </c>
      <c r="N601" s="204">
        <v>44844</v>
      </c>
      <c r="R601" t="s">
        <v>26</v>
      </c>
    </row>
    <row r="602" spans="1:18">
      <c r="A602" s="303">
        <f>COUNTA($D$3:$D$602)</f>
        <v>600</v>
      </c>
      <c r="B602" s="303" t="s">
        <v>3987</v>
      </c>
      <c r="C602" s="303" t="s">
        <v>45</v>
      </c>
      <c r="D602" s="303" t="s">
        <v>20</v>
      </c>
      <c r="E602" s="303" t="s">
        <v>3992</v>
      </c>
      <c r="F602" s="304">
        <v>44099</v>
      </c>
      <c r="G602" s="304"/>
      <c r="H602" s="304"/>
      <c r="I602" s="304"/>
      <c r="J602" s="303"/>
      <c r="K602" s="305"/>
      <c r="L602" s="176">
        <v>44202</v>
      </c>
      <c r="O602" t="s">
        <v>5598</v>
      </c>
      <c r="R602" t="s">
        <v>26</v>
      </c>
    </row>
    <row r="603" spans="1:18">
      <c r="A603" s="303">
        <f>COUNTA($D$3:$D$603)</f>
        <v>601</v>
      </c>
      <c r="B603" s="303" t="s">
        <v>3988</v>
      </c>
      <c r="C603" s="303" t="s">
        <v>295</v>
      </c>
      <c r="D603" s="303" t="s">
        <v>1141</v>
      </c>
      <c r="E603" s="303" t="s">
        <v>3993</v>
      </c>
      <c r="F603" s="304">
        <v>43756</v>
      </c>
      <c r="G603" s="304"/>
      <c r="H603" s="304"/>
      <c r="I603" s="304"/>
      <c r="J603" s="303"/>
      <c r="K603" s="305"/>
      <c r="L603" s="176">
        <v>43896</v>
      </c>
      <c r="O603" t="s">
        <v>5598</v>
      </c>
      <c r="R603" t="s">
        <v>26</v>
      </c>
    </row>
    <row r="604" spans="1:18">
      <c r="A604" s="303">
        <f>COUNTA($D$3:$D$604)</f>
        <v>602</v>
      </c>
      <c r="B604" s="303" t="s">
        <v>3989</v>
      </c>
      <c r="C604" s="303" t="s">
        <v>45</v>
      </c>
      <c r="D604" s="303" t="s">
        <v>1141</v>
      </c>
      <c r="E604" s="303" t="s">
        <v>3994</v>
      </c>
      <c r="F604" s="304">
        <v>43754</v>
      </c>
      <c r="G604" s="304"/>
      <c r="H604" s="304"/>
      <c r="I604" s="304"/>
      <c r="J604" s="303"/>
      <c r="K604" s="305"/>
      <c r="L604" s="176">
        <v>43895</v>
      </c>
      <c r="O604" t="s">
        <v>5598</v>
      </c>
      <c r="R604" t="s">
        <v>26</v>
      </c>
    </row>
    <row r="605" spans="1:18">
      <c r="A605" s="303">
        <f>COUNTA($D$3:$D$605)</f>
        <v>603</v>
      </c>
      <c r="B605" s="303" t="s">
        <v>3990</v>
      </c>
      <c r="C605" s="303" t="s">
        <v>45</v>
      </c>
      <c r="D605" s="303" t="s">
        <v>29</v>
      </c>
      <c r="E605" s="303" t="s">
        <v>3995</v>
      </c>
      <c r="F605" s="304">
        <v>43697</v>
      </c>
      <c r="G605" s="304"/>
      <c r="H605" s="304"/>
      <c r="I605" s="304"/>
      <c r="J605" s="303"/>
      <c r="K605" s="305"/>
      <c r="L605" s="176">
        <v>43846</v>
      </c>
      <c r="O605" t="s">
        <v>1078</v>
      </c>
      <c r="R605" t="s">
        <v>26</v>
      </c>
    </row>
    <row r="606" spans="1:18">
      <c r="I606" s="182"/>
    </row>
  </sheetData>
  <autoFilter ref="A2:R582" xr:uid="{00000000-0001-0000-0A00-000000000000}"/>
  <phoneticPr fontId="37" type="noConversion"/>
  <conditionalFormatting sqref="B221 B1:B219 B261:B1048576">
    <cfRule type="duplicateValues" dxfId="24" priority="4636"/>
  </conditionalFormatting>
  <conditionalFormatting sqref="E258:E1048576 E1:E221">
    <cfRule type="duplicateValues" dxfId="23" priority="9"/>
  </conditionalFormatting>
  <conditionalFormatting sqref="B258:B260">
    <cfRule type="duplicateValues" dxfId="22" priority="6"/>
  </conditionalFormatting>
  <conditionalFormatting sqref="B258:B260">
    <cfRule type="duplicateValues" dxfId="21" priority="7"/>
  </conditionalFormatting>
  <conditionalFormatting sqref="B222:B257">
    <cfRule type="duplicateValues" dxfId="20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8" customWidth="1"/>
    <col min="2" max="2" width="10.28515625" style="28" bestFit="1" customWidth="1"/>
    <col min="3" max="3" width="17" style="28" customWidth="1"/>
    <col min="4" max="4" width="17.5703125" style="28" customWidth="1"/>
    <col min="5" max="5" width="38.7109375" style="28" bestFit="1" customWidth="1"/>
    <col min="6" max="6" width="13.28515625" style="28" bestFit="1" customWidth="1"/>
    <col min="7" max="7" width="8.7109375" style="28" bestFit="1" customWidth="1"/>
    <col min="8" max="8" width="28.28515625" style="28" bestFit="1" customWidth="1"/>
    <col min="9" max="9" width="14.28515625" style="51" customWidth="1"/>
    <col min="10" max="10" width="18.42578125" style="28" bestFit="1" customWidth="1"/>
    <col min="11" max="11" width="20.28515625" style="28" customWidth="1"/>
    <col min="12" max="12" width="8.42578125" style="28" customWidth="1"/>
    <col min="13" max="13" width="8.7109375" style="28"/>
    <col min="14" max="14" width="16.28515625" style="28" customWidth="1"/>
    <col min="15" max="16384" width="8.7109375" style="28"/>
  </cols>
  <sheetData>
    <row r="2" spans="1:14">
      <c r="B2" s="29" t="s">
        <v>140</v>
      </c>
      <c r="C2" s="30" t="s">
        <v>141</v>
      </c>
      <c r="D2" s="30" t="s">
        <v>142</v>
      </c>
      <c r="E2" s="29" t="s">
        <v>143</v>
      </c>
      <c r="F2" s="29" t="s">
        <v>144</v>
      </c>
      <c r="G2" s="29" t="s">
        <v>145</v>
      </c>
      <c r="H2" s="29" t="s">
        <v>146</v>
      </c>
      <c r="I2" s="31" t="s">
        <v>147</v>
      </c>
      <c r="J2" s="32" t="s">
        <v>148</v>
      </c>
      <c r="K2" s="29" t="s">
        <v>271</v>
      </c>
      <c r="N2" s="78" t="s">
        <v>293</v>
      </c>
    </row>
    <row r="3" spans="1:14">
      <c r="A3" s="28">
        <v>1</v>
      </c>
      <c r="B3" s="33">
        <v>43616</v>
      </c>
      <c r="C3" s="34">
        <v>330030345138</v>
      </c>
      <c r="D3" s="34">
        <v>441140822083</v>
      </c>
      <c r="E3" s="35" t="s">
        <v>149</v>
      </c>
      <c r="F3" s="36" t="s">
        <v>150</v>
      </c>
      <c r="G3" s="36">
        <v>1</v>
      </c>
      <c r="H3" s="36" t="s">
        <v>151</v>
      </c>
      <c r="I3" s="37">
        <v>189834</v>
      </c>
      <c r="J3" s="38" t="s">
        <v>152</v>
      </c>
      <c r="K3" s="39">
        <v>41852</v>
      </c>
      <c r="L3" s="28" t="e">
        <v>#N/A</v>
      </c>
    </row>
    <row r="4" spans="1:14">
      <c r="A4" s="28">
        <v>2</v>
      </c>
      <c r="B4" s="39">
        <v>43616</v>
      </c>
      <c r="C4" s="40">
        <v>330030345138</v>
      </c>
      <c r="D4" s="40">
        <v>441140822084</v>
      </c>
      <c r="E4" s="38" t="s">
        <v>153</v>
      </c>
      <c r="F4" s="38" t="s">
        <v>122</v>
      </c>
      <c r="G4" s="38">
        <v>1</v>
      </c>
      <c r="H4" s="38"/>
      <c r="I4" s="41"/>
      <c r="J4" s="38"/>
      <c r="K4" s="39">
        <v>43008</v>
      </c>
      <c r="L4" s="28" t="e">
        <v>#N/A</v>
      </c>
    </row>
    <row r="5" spans="1:14">
      <c r="A5" s="28">
        <v>3</v>
      </c>
      <c r="B5" s="39">
        <v>43616</v>
      </c>
      <c r="C5" s="40">
        <v>330030345140</v>
      </c>
      <c r="D5" s="40">
        <v>441140801784</v>
      </c>
      <c r="E5" s="38" t="s">
        <v>154</v>
      </c>
      <c r="F5" s="38" t="s">
        <v>155</v>
      </c>
      <c r="G5" s="38">
        <v>1</v>
      </c>
      <c r="H5" s="38" t="s">
        <v>156</v>
      </c>
      <c r="I5" s="41">
        <v>75595</v>
      </c>
      <c r="J5" s="38"/>
      <c r="K5" s="39">
        <v>41852</v>
      </c>
      <c r="L5" s="28" t="e">
        <v>#N/A</v>
      </c>
    </row>
    <row r="6" spans="1:14">
      <c r="A6" s="28">
        <v>4</v>
      </c>
      <c r="B6" s="39">
        <v>43616</v>
      </c>
      <c r="C6" s="40">
        <v>330030345142</v>
      </c>
      <c r="D6" s="40">
        <v>441140801786</v>
      </c>
      <c r="E6" s="38" t="s">
        <v>157</v>
      </c>
      <c r="F6" s="38" t="s">
        <v>158</v>
      </c>
      <c r="G6" s="38">
        <v>1</v>
      </c>
      <c r="H6" s="38" t="s">
        <v>156</v>
      </c>
      <c r="I6" s="41">
        <v>80895</v>
      </c>
      <c r="J6" s="38"/>
      <c r="K6" s="39">
        <v>41852</v>
      </c>
      <c r="L6" s="28" t="e">
        <v>#N/A</v>
      </c>
    </row>
    <row r="7" spans="1:14">
      <c r="A7" s="28">
        <v>5</v>
      </c>
      <c r="B7" s="39">
        <v>43616</v>
      </c>
      <c r="C7" s="40">
        <v>330030345144</v>
      </c>
      <c r="D7" s="40">
        <v>441140801788</v>
      </c>
      <c r="E7" s="38" t="s">
        <v>159</v>
      </c>
      <c r="F7" s="38" t="s">
        <v>132</v>
      </c>
      <c r="G7" s="38">
        <v>1</v>
      </c>
      <c r="H7" s="38" t="s">
        <v>156</v>
      </c>
      <c r="I7" s="41">
        <v>60161</v>
      </c>
      <c r="J7" s="38"/>
      <c r="K7" s="39">
        <v>41852</v>
      </c>
      <c r="L7" s="28" t="e">
        <v>#N/A</v>
      </c>
    </row>
    <row r="8" spans="1:14">
      <c r="A8" s="28">
        <v>6</v>
      </c>
      <c r="B8" s="39">
        <v>43616</v>
      </c>
      <c r="C8" s="40">
        <v>330030345148</v>
      </c>
      <c r="D8" s="40">
        <v>441140801790</v>
      </c>
      <c r="E8" s="38" t="s">
        <v>160</v>
      </c>
      <c r="F8" s="38" t="s">
        <v>161</v>
      </c>
      <c r="G8" s="38">
        <v>1</v>
      </c>
      <c r="H8" s="38" t="s">
        <v>156</v>
      </c>
      <c r="I8" s="41">
        <v>54383</v>
      </c>
      <c r="J8" s="38"/>
      <c r="K8" s="39">
        <v>41852</v>
      </c>
      <c r="L8" s="28" t="e">
        <v>#N/A</v>
      </c>
    </row>
    <row r="9" spans="1:14">
      <c r="A9" s="28">
        <v>7</v>
      </c>
      <c r="B9" s="39">
        <v>43616</v>
      </c>
      <c r="C9" s="40">
        <v>330030345150</v>
      </c>
      <c r="D9" s="40">
        <v>441140801792</v>
      </c>
      <c r="E9" s="38" t="s">
        <v>162</v>
      </c>
      <c r="F9" s="38" t="s">
        <v>163</v>
      </c>
      <c r="G9" s="38">
        <v>1</v>
      </c>
      <c r="H9" s="38" t="s">
        <v>156</v>
      </c>
      <c r="I9" s="41">
        <v>546950</v>
      </c>
      <c r="J9" s="38"/>
      <c r="K9" s="39">
        <v>41852</v>
      </c>
      <c r="L9" s="28" t="e">
        <v>#N/A</v>
      </c>
    </row>
    <row r="10" spans="1:14">
      <c r="A10" s="28">
        <v>8</v>
      </c>
      <c r="B10" s="39">
        <v>43616</v>
      </c>
      <c r="C10" s="40">
        <v>330030345153</v>
      </c>
      <c r="D10" s="40">
        <v>441140801794</v>
      </c>
      <c r="E10" s="38" t="s">
        <v>164</v>
      </c>
      <c r="F10" s="38" t="s">
        <v>165</v>
      </c>
      <c r="G10" s="38">
        <v>1</v>
      </c>
      <c r="H10" s="38" t="s">
        <v>156</v>
      </c>
      <c r="I10" s="41">
        <v>180964</v>
      </c>
      <c r="J10" s="38"/>
      <c r="K10" s="39">
        <v>41852</v>
      </c>
      <c r="L10" s="28" t="e">
        <v>#N/A</v>
      </c>
    </row>
    <row r="11" spans="1:14">
      <c r="A11" s="28">
        <v>9</v>
      </c>
      <c r="B11" s="39">
        <v>43616</v>
      </c>
      <c r="C11" s="40">
        <v>330030345155</v>
      </c>
      <c r="D11" s="40">
        <v>441140801796</v>
      </c>
      <c r="E11" s="38" t="s">
        <v>166</v>
      </c>
      <c r="F11" s="38" t="s">
        <v>167</v>
      </c>
      <c r="G11" s="38">
        <v>1</v>
      </c>
      <c r="H11" s="38" t="s">
        <v>156</v>
      </c>
      <c r="I11" s="41">
        <v>187777</v>
      </c>
      <c r="J11" s="38"/>
      <c r="K11" s="39">
        <v>41852</v>
      </c>
      <c r="L11" s="28" t="e">
        <v>#N/A</v>
      </c>
    </row>
    <row r="12" spans="1:14">
      <c r="A12" s="28">
        <v>10</v>
      </c>
      <c r="B12" s="39">
        <v>43616</v>
      </c>
      <c r="C12" s="40">
        <v>330030345157</v>
      </c>
      <c r="D12" s="40">
        <v>441140801798</v>
      </c>
      <c r="E12" s="38" t="s">
        <v>168</v>
      </c>
      <c r="F12" s="38" t="s">
        <v>128</v>
      </c>
      <c r="G12" s="38">
        <v>1</v>
      </c>
      <c r="H12" s="38" t="s">
        <v>156</v>
      </c>
      <c r="I12" s="41">
        <v>53897</v>
      </c>
      <c r="J12" s="38"/>
      <c r="K12" s="39">
        <v>41852</v>
      </c>
      <c r="L12" s="28" t="e">
        <v>#N/A</v>
      </c>
    </row>
    <row r="13" spans="1:14">
      <c r="A13" s="28">
        <v>11</v>
      </c>
      <c r="B13" s="39">
        <v>43616</v>
      </c>
      <c r="C13" s="40">
        <v>330030345159</v>
      </c>
      <c r="D13" s="40">
        <v>441140801800</v>
      </c>
      <c r="E13" s="38" t="s">
        <v>169</v>
      </c>
      <c r="F13" s="38" t="s">
        <v>170</v>
      </c>
      <c r="G13" s="38">
        <v>1</v>
      </c>
      <c r="H13" s="38" t="s">
        <v>156</v>
      </c>
      <c r="I13" s="41">
        <v>86672</v>
      </c>
      <c r="J13" s="38"/>
      <c r="K13" s="39">
        <v>41852</v>
      </c>
      <c r="L13" s="28" t="e">
        <v>#N/A</v>
      </c>
    </row>
    <row r="14" spans="1:14">
      <c r="A14" s="28">
        <v>12</v>
      </c>
      <c r="B14" s="39">
        <v>43616</v>
      </c>
      <c r="C14" s="40">
        <v>330030345161</v>
      </c>
      <c r="D14" s="40">
        <v>441140801802</v>
      </c>
      <c r="E14" s="38" t="s">
        <v>171</v>
      </c>
      <c r="F14" s="38" t="s">
        <v>172</v>
      </c>
      <c r="G14" s="38">
        <v>1</v>
      </c>
      <c r="H14" s="38" t="s">
        <v>156</v>
      </c>
      <c r="I14" s="41">
        <v>68136</v>
      </c>
      <c r="J14" s="38"/>
      <c r="K14" s="39">
        <v>41852</v>
      </c>
      <c r="L14" s="28" t="e">
        <v>#N/A</v>
      </c>
    </row>
    <row r="15" spans="1:14">
      <c r="A15" s="28">
        <v>13</v>
      </c>
      <c r="B15" s="39">
        <v>43616</v>
      </c>
      <c r="C15" s="40">
        <v>330030345163</v>
      </c>
      <c r="D15" s="40">
        <v>441140801804</v>
      </c>
      <c r="E15" s="38" t="s">
        <v>173</v>
      </c>
      <c r="F15" s="38" t="s">
        <v>174</v>
      </c>
      <c r="G15" s="38">
        <v>1</v>
      </c>
      <c r="H15" s="38" t="s">
        <v>175</v>
      </c>
      <c r="I15" s="41">
        <v>72060</v>
      </c>
      <c r="J15" s="38"/>
      <c r="K15" s="39">
        <v>41852</v>
      </c>
      <c r="L15" s="28" t="e">
        <v>#N/A</v>
      </c>
    </row>
    <row r="16" spans="1:14">
      <c r="A16" s="28">
        <v>14</v>
      </c>
      <c r="B16" s="39">
        <v>43616</v>
      </c>
      <c r="C16" s="40">
        <v>330030345165</v>
      </c>
      <c r="D16" s="40">
        <v>441140801806</v>
      </c>
      <c r="E16" s="38" t="s">
        <v>176</v>
      </c>
      <c r="F16" s="38" t="s">
        <v>50</v>
      </c>
      <c r="G16" s="38">
        <v>1</v>
      </c>
      <c r="H16" s="38" t="s">
        <v>175</v>
      </c>
      <c r="I16" s="41">
        <v>74989</v>
      </c>
      <c r="J16" s="38"/>
      <c r="K16" s="39">
        <v>41852</v>
      </c>
      <c r="L16" s="28" t="e">
        <v>#N/A</v>
      </c>
    </row>
    <row r="17" spans="1:13">
      <c r="A17" s="28">
        <v>15</v>
      </c>
      <c r="B17" s="33">
        <v>43616</v>
      </c>
      <c r="C17" s="34">
        <v>330030346656</v>
      </c>
      <c r="D17" s="34">
        <v>441140822089</v>
      </c>
      <c r="E17" s="35" t="s">
        <v>177</v>
      </c>
      <c r="F17" s="42" t="s">
        <v>178</v>
      </c>
      <c r="G17" s="43">
        <v>1</v>
      </c>
      <c r="H17" s="43" t="s">
        <v>156</v>
      </c>
      <c r="I17" s="44">
        <v>189834</v>
      </c>
      <c r="J17" s="45" t="s">
        <v>152</v>
      </c>
      <c r="K17" s="33">
        <v>41852</v>
      </c>
      <c r="L17" s="28" t="e">
        <v>#N/A</v>
      </c>
      <c r="M17" s="46"/>
    </row>
    <row r="18" spans="1:13">
      <c r="A18" s="28">
        <v>16</v>
      </c>
      <c r="B18" s="47">
        <v>43616</v>
      </c>
      <c r="C18" s="48">
        <v>330030346656</v>
      </c>
      <c r="D18" s="48">
        <v>441140822091</v>
      </c>
      <c r="E18" s="49" t="s">
        <v>179</v>
      </c>
      <c r="F18" s="49" t="s">
        <v>180</v>
      </c>
      <c r="G18" s="49">
        <v>1</v>
      </c>
      <c r="H18" s="49"/>
      <c r="I18" s="50"/>
      <c r="J18" s="38"/>
      <c r="K18" s="47">
        <v>43008</v>
      </c>
      <c r="L18" s="28" t="e">
        <v>#N/A</v>
      </c>
    </row>
    <row r="19" spans="1:13">
      <c r="A19" s="28">
        <v>17</v>
      </c>
      <c r="B19" s="39">
        <v>43616</v>
      </c>
      <c r="C19" s="40">
        <v>330030346666</v>
      </c>
      <c r="D19" s="40">
        <v>441140822093</v>
      </c>
      <c r="E19" s="38" t="s">
        <v>181</v>
      </c>
      <c r="F19" s="38" t="s">
        <v>182</v>
      </c>
      <c r="G19" s="38">
        <v>1</v>
      </c>
      <c r="H19" s="38" t="s">
        <v>156</v>
      </c>
      <c r="I19" s="41">
        <v>54381</v>
      </c>
      <c r="J19" s="38"/>
      <c r="K19" s="39">
        <v>41852</v>
      </c>
      <c r="L19" s="28" t="e">
        <v>#N/A</v>
      </c>
    </row>
    <row r="20" spans="1:13">
      <c r="A20" s="28">
        <v>18</v>
      </c>
      <c r="B20" s="39">
        <v>43616</v>
      </c>
      <c r="C20" s="40">
        <v>330030346667</v>
      </c>
      <c r="D20" s="40">
        <v>441140822095</v>
      </c>
      <c r="E20" s="38" t="s">
        <v>183</v>
      </c>
      <c r="F20" s="38" t="s">
        <v>136</v>
      </c>
      <c r="G20" s="38">
        <v>1</v>
      </c>
      <c r="H20" s="38" t="s">
        <v>156</v>
      </c>
      <c r="I20" s="41">
        <v>54381</v>
      </c>
      <c r="J20" s="38"/>
      <c r="K20" s="39">
        <v>41852</v>
      </c>
      <c r="L20" s="28" t="e">
        <v>#N/A</v>
      </c>
    </row>
    <row r="21" spans="1:13">
      <c r="A21" s="28">
        <v>19</v>
      </c>
      <c r="B21" s="39">
        <v>43616</v>
      </c>
      <c r="C21" s="40">
        <v>330030346668</v>
      </c>
      <c r="D21" s="40">
        <v>441140822097</v>
      </c>
      <c r="E21" s="38" t="s">
        <v>184</v>
      </c>
      <c r="F21" s="38" t="s">
        <v>185</v>
      </c>
      <c r="G21" s="38">
        <v>1</v>
      </c>
      <c r="H21" s="38" t="s">
        <v>156</v>
      </c>
      <c r="I21" s="41">
        <v>54381</v>
      </c>
      <c r="J21" s="38"/>
      <c r="K21" s="39">
        <v>41852</v>
      </c>
      <c r="L21" s="28" t="e">
        <v>#N/A</v>
      </c>
    </row>
    <row r="22" spans="1:13">
      <c r="A22" s="28">
        <v>20</v>
      </c>
      <c r="B22" s="39">
        <v>43616</v>
      </c>
      <c r="C22" s="40">
        <v>330030346669</v>
      </c>
      <c r="D22" s="40">
        <v>441140822099</v>
      </c>
      <c r="E22" s="38" t="s">
        <v>186</v>
      </c>
      <c r="F22" s="38" t="s">
        <v>187</v>
      </c>
      <c r="G22" s="38">
        <v>1</v>
      </c>
      <c r="H22" s="38" t="s">
        <v>156</v>
      </c>
      <c r="I22" s="41">
        <v>54381</v>
      </c>
      <c r="J22" s="38"/>
      <c r="K22" s="39">
        <v>41852</v>
      </c>
      <c r="L22" s="28" t="e">
        <v>#N/A</v>
      </c>
    </row>
    <row r="23" spans="1:13">
      <c r="A23" s="28">
        <v>21</v>
      </c>
      <c r="B23" s="39">
        <v>43616</v>
      </c>
      <c r="C23" s="40">
        <v>330030346674</v>
      </c>
      <c r="D23" s="40">
        <v>441140822101</v>
      </c>
      <c r="E23" s="38" t="s">
        <v>188</v>
      </c>
      <c r="F23" s="38" t="s">
        <v>126</v>
      </c>
      <c r="G23" s="38">
        <v>1</v>
      </c>
      <c r="H23" s="38" t="s">
        <v>156</v>
      </c>
      <c r="I23" s="41">
        <v>53896</v>
      </c>
      <c r="J23" s="38"/>
      <c r="K23" s="39">
        <v>41852</v>
      </c>
      <c r="L23" s="28" t="e">
        <v>#N/A</v>
      </c>
    </row>
    <row r="24" spans="1:13">
      <c r="A24" s="28">
        <v>22</v>
      </c>
      <c r="B24" s="39">
        <v>43616</v>
      </c>
      <c r="C24" s="40">
        <v>330030346676</v>
      </c>
      <c r="D24" s="40">
        <v>441140822103</v>
      </c>
      <c r="E24" s="38" t="s">
        <v>189</v>
      </c>
      <c r="F24" s="38" t="s">
        <v>190</v>
      </c>
      <c r="G24" s="38">
        <v>1</v>
      </c>
      <c r="H24" s="38" t="s">
        <v>156</v>
      </c>
      <c r="I24" s="41">
        <v>68134</v>
      </c>
      <c r="J24" s="38"/>
      <c r="K24" s="39">
        <v>41852</v>
      </c>
      <c r="L24" s="28" t="e">
        <v>#N/A</v>
      </c>
    </row>
    <row r="25" spans="1:13">
      <c r="A25" s="28">
        <v>23</v>
      </c>
      <c r="B25" s="39">
        <v>43616</v>
      </c>
      <c r="C25" s="40">
        <v>330030346680</v>
      </c>
      <c r="D25" s="40">
        <v>441140822107</v>
      </c>
      <c r="E25" s="38" t="s">
        <v>191</v>
      </c>
      <c r="F25" s="38" t="s">
        <v>192</v>
      </c>
      <c r="G25" s="38">
        <v>1</v>
      </c>
      <c r="H25" s="38" t="s">
        <v>156</v>
      </c>
      <c r="I25" s="41">
        <v>72047</v>
      </c>
      <c r="J25" s="38"/>
      <c r="K25" s="39">
        <v>41852</v>
      </c>
      <c r="L25" s="28" t="e">
        <v>#N/A</v>
      </c>
    </row>
    <row r="26" spans="1:13">
      <c r="A26" s="28">
        <v>24</v>
      </c>
      <c r="B26" s="39">
        <v>43616</v>
      </c>
      <c r="C26" s="40">
        <v>330030346681</v>
      </c>
      <c r="D26" s="40">
        <v>441140822109</v>
      </c>
      <c r="E26" s="38" t="s">
        <v>193</v>
      </c>
      <c r="F26" s="38" t="s">
        <v>194</v>
      </c>
      <c r="G26" s="38">
        <v>1</v>
      </c>
      <c r="H26" s="38" t="s">
        <v>156</v>
      </c>
      <c r="I26" s="41">
        <v>72047</v>
      </c>
      <c r="J26" s="38"/>
      <c r="K26" s="39">
        <v>41852</v>
      </c>
      <c r="L26" s="28" t="e">
        <v>#N/A</v>
      </c>
    </row>
    <row r="27" spans="1:13">
      <c r="A27" s="28">
        <v>25</v>
      </c>
      <c r="B27" s="39">
        <v>43616</v>
      </c>
      <c r="C27" s="40">
        <v>330030346686</v>
      </c>
      <c r="D27" s="40">
        <v>441140822111</v>
      </c>
      <c r="E27" s="38" t="s">
        <v>195</v>
      </c>
      <c r="F27" s="38" t="s">
        <v>115</v>
      </c>
      <c r="G27" s="38">
        <v>1</v>
      </c>
      <c r="H27" s="38" t="s">
        <v>175</v>
      </c>
      <c r="I27" s="41">
        <v>74987</v>
      </c>
      <c r="J27" s="38"/>
      <c r="K27" s="39">
        <v>41852</v>
      </c>
      <c r="L27" s="28" t="e">
        <v>#N/A</v>
      </c>
    </row>
    <row r="28" spans="1:13">
      <c r="A28" s="28">
        <v>26</v>
      </c>
      <c r="B28" s="39">
        <v>43616</v>
      </c>
      <c r="C28" s="40">
        <v>330030350367</v>
      </c>
      <c r="D28" s="40">
        <v>441140801936</v>
      </c>
      <c r="E28" s="38" t="s">
        <v>196</v>
      </c>
      <c r="F28" s="38" t="s">
        <v>197</v>
      </c>
      <c r="G28" s="38">
        <v>1</v>
      </c>
      <c r="H28" s="38" t="s">
        <v>156</v>
      </c>
      <c r="I28" s="41">
        <v>81794</v>
      </c>
      <c r="J28" s="38"/>
      <c r="K28" s="39">
        <v>41998</v>
      </c>
      <c r="L28" s="28" t="e">
        <v>#N/A</v>
      </c>
    </row>
    <row r="29" spans="1:13">
      <c r="A29" s="28">
        <v>27</v>
      </c>
      <c r="B29" s="39">
        <v>43616</v>
      </c>
      <c r="C29" s="40">
        <v>330030350379</v>
      </c>
      <c r="D29" s="40">
        <v>441140801938</v>
      </c>
      <c r="E29" s="38" t="s">
        <v>198</v>
      </c>
      <c r="F29" s="38" t="s">
        <v>109</v>
      </c>
      <c r="G29" s="38">
        <v>1</v>
      </c>
      <c r="H29" s="38" t="s">
        <v>156</v>
      </c>
      <c r="I29" s="41">
        <v>85110</v>
      </c>
      <c r="J29" s="38"/>
      <c r="K29" s="39">
        <v>41998</v>
      </c>
      <c r="L29" s="28" t="e">
        <v>#N/A</v>
      </c>
    </row>
    <row r="30" spans="1:13">
      <c r="A30" s="28">
        <v>28</v>
      </c>
      <c r="B30" s="39">
        <v>43616</v>
      </c>
      <c r="C30" s="40">
        <v>330030350398</v>
      </c>
      <c r="D30" s="40">
        <v>441140801940</v>
      </c>
      <c r="E30" s="38" t="s">
        <v>199</v>
      </c>
      <c r="F30" s="38" t="s">
        <v>200</v>
      </c>
      <c r="G30" s="38">
        <v>1</v>
      </c>
      <c r="H30" s="38" t="s">
        <v>201</v>
      </c>
      <c r="I30" s="41">
        <v>85110</v>
      </c>
      <c r="J30" s="38"/>
      <c r="K30" s="39">
        <v>41998</v>
      </c>
      <c r="L30" s="28" t="e">
        <v>#N/A</v>
      </c>
    </row>
    <row r="31" spans="1:13">
      <c r="A31" s="28">
        <v>29</v>
      </c>
      <c r="B31" s="39">
        <v>43616</v>
      </c>
      <c r="C31" s="40">
        <v>330030351782</v>
      </c>
      <c r="D31" s="40">
        <v>441140801984</v>
      </c>
      <c r="E31" s="38" t="s">
        <v>202</v>
      </c>
      <c r="F31" s="38" t="s">
        <v>203</v>
      </c>
      <c r="G31" s="38">
        <v>1</v>
      </c>
      <c r="H31" s="38" t="s">
        <v>156</v>
      </c>
      <c r="I31" s="41">
        <v>85110</v>
      </c>
      <c r="J31" s="38"/>
      <c r="K31" s="39">
        <v>41998</v>
      </c>
      <c r="L31" s="28" t="e">
        <v>#N/A</v>
      </c>
    </row>
    <row r="32" spans="1:13">
      <c r="A32" s="28">
        <v>30</v>
      </c>
      <c r="B32" s="39">
        <v>43616</v>
      </c>
      <c r="C32" s="40">
        <v>330030352281</v>
      </c>
      <c r="D32" s="40">
        <v>441140801986</v>
      </c>
      <c r="E32" s="38" t="s">
        <v>204</v>
      </c>
      <c r="F32" s="38" t="s">
        <v>205</v>
      </c>
      <c r="G32" s="38">
        <v>1</v>
      </c>
      <c r="H32" s="38" t="s">
        <v>156</v>
      </c>
      <c r="I32" s="41">
        <v>77552</v>
      </c>
      <c r="J32" s="38"/>
      <c r="K32" s="39">
        <v>41998</v>
      </c>
      <c r="L32" s="28" t="e">
        <v>#N/A</v>
      </c>
    </row>
    <row r="33" spans="1:14">
      <c r="A33" s="28">
        <v>31</v>
      </c>
      <c r="B33" s="39">
        <v>43616</v>
      </c>
      <c r="C33" s="40">
        <v>330030352283</v>
      </c>
      <c r="D33" s="40">
        <v>441140801988</v>
      </c>
      <c r="E33" s="38" t="s">
        <v>206</v>
      </c>
      <c r="F33" s="38" t="s">
        <v>124</v>
      </c>
      <c r="G33" s="38">
        <v>1</v>
      </c>
      <c r="H33" s="38" t="s">
        <v>156</v>
      </c>
      <c r="I33" s="41">
        <v>77552</v>
      </c>
      <c r="J33" s="38"/>
      <c r="K33" s="39">
        <v>41998</v>
      </c>
      <c r="L33" s="28" t="e">
        <v>#N/A</v>
      </c>
    </row>
    <row r="34" spans="1:14">
      <c r="A34" s="28">
        <v>32</v>
      </c>
      <c r="B34" s="39">
        <v>43616</v>
      </c>
      <c r="C34" s="40">
        <v>330030352285</v>
      </c>
      <c r="D34" s="40">
        <v>441140801990</v>
      </c>
      <c r="E34" s="38" t="s">
        <v>207</v>
      </c>
      <c r="F34" s="38" t="s">
        <v>85</v>
      </c>
      <c r="G34" s="38">
        <v>1</v>
      </c>
      <c r="H34" s="38" t="s">
        <v>156</v>
      </c>
      <c r="I34" s="41">
        <v>77552</v>
      </c>
      <c r="J34" s="38"/>
      <c r="K34" s="39">
        <v>41998</v>
      </c>
      <c r="L34" s="28" t="e">
        <v>#N/A</v>
      </c>
    </row>
    <row r="35" spans="1:14">
      <c r="A35" s="28">
        <v>33</v>
      </c>
      <c r="B35" s="39">
        <v>43616</v>
      </c>
      <c r="C35" s="40">
        <v>330030352299</v>
      </c>
      <c r="D35" s="40">
        <v>441140801992</v>
      </c>
      <c r="E35" s="38" t="s">
        <v>208</v>
      </c>
      <c r="F35" s="38" t="s">
        <v>209</v>
      </c>
      <c r="G35" s="38">
        <v>1</v>
      </c>
      <c r="H35" s="38" t="s">
        <v>156</v>
      </c>
      <c r="I35" s="41">
        <v>102717</v>
      </c>
      <c r="J35" s="38"/>
      <c r="K35" s="39">
        <v>41998</v>
      </c>
      <c r="L35" s="28" t="e">
        <v>#N/A</v>
      </c>
    </row>
    <row r="36" spans="1:14">
      <c r="A36" s="28">
        <v>34</v>
      </c>
      <c r="B36" s="39">
        <v>43616</v>
      </c>
      <c r="C36" s="40">
        <v>330030352301</v>
      </c>
      <c r="D36" s="40">
        <v>441140801994</v>
      </c>
      <c r="E36" s="38" t="s">
        <v>210</v>
      </c>
      <c r="F36" s="38" t="s">
        <v>211</v>
      </c>
      <c r="G36" s="38">
        <v>1</v>
      </c>
      <c r="H36" s="38" t="s">
        <v>156</v>
      </c>
      <c r="I36" s="41">
        <v>102717</v>
      </c>
      <c r="J36" s="38"/>
      <c r="K36" s="39">
        <v>41998</v>
      </c>
      <c r="L36" s="28" t="e">
        <v>#N/A</v>
      </c>
    </row>
    <row r="37" spans="1:14">
      <c r="A37" s="28">
        <v>35</v>
      </c>
      <c r="B37" s="39">
        <v>43616</v>
      </c>
      <c r="C37" s="40">
        <v>330030352303</v>
      </c>
      <c r="D37" s="40">
        <v>441140801996</v>
      </c>
      <c r="E37" s="38" t="s">
        <v>212</v>
      </c>
      <c r="F37" s="38" t="s">
        <v>213</v>
      </c>
      <c r="G37" s="38">
        <v>1</v>
      </c>
      <c r="H37" s="38" t="s">
        <v>156</v>
      </c>
      <c r="I37" s="41">
        <v>102717</v>
      </c>
      <c r="J37" s="38"/>
      <c r="K37" s="39">
        <v>41998</v>
      </c>
      <c r="L37" s="28" t="e">
        <v>#N/A</v>
      </c>
    </row>
    <row r="38" spans="1:14">
      <c r="A38" s="28">
        <v>36</v>
      </c>
      <c r="B38" s="39">
        <v>43616</v>
      </c>
      <c r="C38" s="40">
        <v>330030352305</v>
      </c>
      <c r="D38" s="40">
        <v>441140801998</v>
      </c>
      <c r="E38" s="38" t="s">
        <v>214</v>
      </c>
      <c r="F38" s="38" t="s">
        <v>215</v>
      </c>
      <c r="G38" s="38">
        <v>1</v>
      </c>
      <c r="H38" s="38" t="s">
        <v>156</v>
      </c>
      <c r="I38" s="41">
        <v>102717</v>
      </c>
      <c r="J38" s="38"/>
      <c r="K38" s="39">
        <v>41998</v>
      </c>
      <c r="L38" s="28" t="e">
        <v>#N/A</v>
      </c>
    </row>
    <row r="39" spans="1:14">
      <c r="A39" s="28">
        <v>37</v>
      </c>
      <c r="B39" s="39">
        <v>43616</v>
      </c>
      <c r="C39" s="40">
        <v>330030352307</v>
      </c>
      <c r="D39" s="40">
        <v>441140802000</v>
      </c>
      <c r="E39" s="38" t="s">
        <v>216</v>
      </c>
      <c r="F39" s="38" t="s">
        <v>217</v>
      </c>
      <c r="G39" s="38">
        <v>1</v>
      </c>
      <c r="H39" s="38" t="s">
        <v>156</v>
      </c>
      <c r="I39" s="41">
        <v>102717</v>
      </c>
      <c r="J39" s="38"/>
      <c r="K39" s="39">
        <v>41998</v>
      </c>
      <c r="L39" s="28" t="e">
        <v>#N/A</v>
      </c>
    </row>
    <row r="40" spans="1:14">
      <c r="A40" s="28">
        <v>38</v>
      </c>
      <c r="B40" s="39">
        <v>43616</v>
      </c>
      <c r="C40" s="40">
        <v>330030352354</v>
      </c>
      <c r="D40" s="40">
        <v>441140802014</v>
      </c>
      <c r="E40" s="38" t="s">
        <v>218</v>
      </c>
      <c r="F40" s="38" t="s">
        <v>107</v>
      </c>
      <c r="G40" s="38">
        <v>1</v>
      </c>
      <c r="H40" s="38" t="s">
        <v>219</v>
      </c>
      <c r="I40" s="41">
        <v>77552</v>
      </c>
      <c r="J40" s="38"/>
      <c r="K40" s="39">
        <v>41998</v>
      </c>
      <c r="L40" s="28" t="e">
        <v>#N/A</v>
      </c>
    </row>
    <row r="41" spans="1:14">
      <c r="A41" s="28">
        <v>39</v>
      </c>
      <c r="B41" s="39">
        <v>43616</v>
      </c>
      <c r="C41" s="40">
        <v>330030352369</v>
      </c>
      <c r="D41" s="40">
        <v>441140802016</v>
      </c>
      <c r="E41" s="38" t="s">
        <v>220</v>
      </c>
      <c r="F41" s="38" t="s">
        <v>97</v>
      </c>
      <c r="G41" s="38">
        <v>1</v>
      </c>
      <c r="H41" s="38" t="s">
        <v>221</v>
      </c>
      <c r="I41" s="41">
        <v>77552</v>
      </c>
      <c r="J41" s="38"/>
      <c r="K41" s="39">
        <v>41998</v>
      </c>
      <c r="L41" s="28" t="e">
        <v>#N/A</v>
      </c>
    </row>
    <row r="42" spans="1:14">
      <c r="A42" s="28">
        <v>40</v>
      </c>
      <c r="B42" s="39">
        <v>43616</v>
      </c>
      <c r="C42" s="40">
        <v>330030408784</v>
      </c>
      <c r="D42" s="40">
        <v>441140803614</v>
      </c>
      <c r="E42" s="38" t="s">
        <v>222</v>
      </c>
      <c r="F42" s="38" t="s">
        <v>223</v>
      </c>
      <c r="G42" s="38">
        <v>1</v>
      </c>
      <c r="H42" s="38" t="s">
        <v>221</v>
      </c>
      <c r="I42" s="41">
        <v>203892</v>
      </c>
      <c r="J42" s="38"/>
      <c r="K42" s="39">
        <v>43008</v>
      </c>
      <c r="L42" s="28" t="e">
        <v>#N/A</v>
      </c>
    </row>
    <row r="43" spans="1:14">
      <c r="A43" s="28">
        <v>41</v>
      </c>
      <c r="B43" s="39">
        <v>43616</v>
      </c>
      <c r="C43" s="40">
        <v>330030408786</v>
      </c>
      <c r="D43" s="40">
        <v>441140803616</v>
      </c>
      <c r="E43" s="38" t="s">
        <v>224</v>
      </c>
      <c r="F43" s="38" t="s">
        <v>225</v>
      </c>
      <c r="G43" s="38">
        <v>1</v>
      </c>
      <c r="H43" s="38" t="s">
        <v>226</v>
      </c>
      <c r="I43" s="41">
        <v>195805</v>
      </c>
      <c r="J43" s="38"/>
      <c r="K43" s="39">
        <v>43008</v>
      </c>
      <c r="L43" s="28" t="e">
        <v>#N/A</v>
      </c>
    </row>
    <row r="44" spans="1:14">
      <c r="A44" s="28">
        <v>42</v>
      </c>
      <c r="B44" s="39">
        <v>43616</v>
      </c>
      <c r="C44" s="40">
        <v>330030408788</v>
      </c>
      <c r="D44" s="40">
        <v>441140803618</v>
      </c>
      <c r="E44" s="38" t="s">
        <v>227</v>
      </c>
      <c r="F44" s="38" t="s">
        <v>65</v>
      </c>
      <c r="G44" s="38">
        <v>1</v>
      </c>
      <c r="H44" s="38" t="s">
        <v>226</v>
      </c>
      <c r="I44" s="41">
        <v>274280</v>
      </c>
      <c r="J44" s="38"/>
      <c r="K44" s="39">
        <v>43008</v>
      </c>
      <c r="L44" s="28" t="e">
        <v>#N/A</v>
      </c>
      <c r="N44" s="28" t="s">
        <v>294</v>
      </c>
    </row>
    <row r="45" spans="1:14">
      <c r="A45" s="28">
        <v>43</v>
      </c>
      <c r="B45" s="39">
        <v>43616</v>
      </c>
      <c r="C45" s="40">
        <v>330030408790</v>
      </c>
      <c r="D45" s="40">
        <v>441140803620</v>
      </c>
      <c r="E45" s="38" t="s">
        <v>228</v>
      </c>
      <c r="F45" s="38" t="s">
        <v>229</v>
      </c>
      <c r="G45" s="38">
        <v>1</v>
      </c>
      <c r="H45" s="38" t="s">
        <v>226</v>
      </c>
      <c r="I45" s="41">
        <v>350612</v>
      </c>
      <c r="J45" s="38"/>
      <c r="K45" s="39">
        <v>43008</v>
      </c>
      <c r="L45" s="28" t="e">
        <v>#N/A</v>
      </c>
    </row>
    <row r="46" spans="1:14">
      <c r="A46" s="28">
        <v>44</v>
      </c>
      <c r="B46" s="39">
        <v>43616</v>
      </c>
      <c r="C46" s="40">
        <v>330030408792</v>
      </c>
      <c r="D46" s="40">
        <v>441140803622</v>
      </c>
      <c r="E46" s="38" t="s">
        <v>230</v>
      </c>
      <c r="F46" s="38" t="s">
        <v>231</v>
      </c>
      <c r="G46" s="38">
        <v>1</v>
      </c>
      <c r="H46" s="38" t="s">
        <v>175</v>
      </c>
      <c r="I46" s="41">
        <v>392892</v>
      </c>
      <c r="J46" s="38"/>
      <c r="K46" s="39">
        <v>43008</v>
      </c>
      <c r="L46" s="28" t="e">
        <v>#N/A</v>
      </c>
    </row>
    <row r="47" spans="1:14">
      <c r="A47" s="28">
        <v>45</v>
      </c>
      <c r="B47" s="39">
        <v>43616</v>
      </c>
      <c r="C47" s="40">
        <v>330030408794</v>
      </c>
      <c r="D47" s="40">
        <v>441140803624</v>
      </c>
      <c r="E47" s="38" t="s">
        <v>232</v>
      </c>
      <c r="F47" s="38" t="s">
        <v>233</v>
      </c>
      <c r="G47" s="38">
        <v>1</v>
      </c>
      <c r="H47" s="38" t="s">
        <v>226</v>
      </c>
      <c r="I47" s="41">
        <v>176223</v>
      </c>
      <c r="J47" s="38"/>
      <c r="K47" s="39">
        <v>43008</v>
      </c>
      <c r="L47" s="28" t="e">
        <v>#N/A</v>
      </c>
    </row>
    <row r="48" spans="1:14">
      <c r="A48" s="28">
        <v>46</v>
      </c>
      <c r="B48" s="39">
        <v>43616</v>
      </c>
      <c r="C48" s="40">
        <v>330030412032</v>
      </c>
      <c r="D48" s="40">
        <v>441140805409</v>
      </c>
      <c r="E48" s="38" t="s">
        <v>234</v>
      </c>
      <c r="F48" s="38" t="s">
        <v>86</v>
      </c>
      <c r="G48" s="38">
        <v>1</v>
      </c>
      <c r="H48" s="38" t="s">
        <v>235</v>
      </c>
      <c r="I48" s="41">
        <v>222550</v>
      </c>
      <c r="J48" s="38"/>
      <c r="K48" s="39">
        <v>43069</v>
      </c>
      <c r="L48" s="28" t="e">
        <v>#N/A</v>
      </c>
    </row>
    <row r="49" spans="1:12">
      <c r="A49" s="28">
        <v>47</v>
      </c>
      <c r="B49" s="39">
        <v>43616</v>
      </c>
      <c r="C49" s="40">
        <v>330030412033</v>
      </c>
      <c r="D49" s="40">
        <v>441140805410</v>
      </c>
      <c r="E49" s="38" t="s">
        <v>236</v>
      </c>
      <c r="F49" s="38" t="s">
        <v>95</v>
      </c>
      <c r="G49" s="38">
        <v>1</v>
      </c>
      <c r="H49" s="38" t="s">
        <v>156</v>
      </c>
      <c r="I49" s="41">
        <v>231066</v>
      </c>
      <c r="J49" s="38"/>
      <c r="K49" s="39">
        <v>43069</v>
      </c>
      <c r="L49" s="28" t="e">
        <v>#N/A</v>
      </c>
    </row>
    <row r="50" spans="1:12">
      <c r="A50" s="28">
        <v>48</v>
      </c>
      <c r="B50" s="39">
        <v>43616</v>
      </c>
      <c r="C50" s="40">
        <v>330030412338</v>
      </c>
      <c r="D50" s="40">
        <v>441140805426</v>
      </c>
      <c r="E50" s="38" t="s">
        <v>237</v>
      </c>
      <c r="F50" s="38" t="s">
        <v>87</v>
      </c>
      <c r="G50" s="38">
        <v>1</v>
      </c>
      <c r="H50" s="38" t="s">
        <v>156</v>
      </c>
      <c r="I50" s="41">
        <v>222550</v>
      </c>
      <c r="J50" s="38"/>
      <c r="K50" s="39">
        <v>43069</v>
      </c>
      <c r="L50" s="28" t="e">
        <v>#N/A</v>
      </c>
    </row>
    <row r="51" spans="1:12">
      <c r="A51" s="28">
        <v>49</v>
      </c>
      <c r="B51" s="39">
        <v>43616</v>
      </c>
      <c r="C51" s="40">
        <v>330030412339</v>
      </c>
      <c r="D51" s="40">
        <v>441140805427</v>
      </c>
      <c r="E51" s="38" t="s">
        <v>238</v>
      </c>
      <c r="F51" s="38" t="s">
        <v>90</v>
      </c>
      <c r="G51" s="38">
        <v>1</v>
      </c>
      <c r="H51" s="38" t="s">
        <v>156</v>
      </c>
      <c r="I51" s="41">
        <v>222550</v>
      </c>
      <c r="J51" s="38"/>
      <c r="K51" s="39">
        <v>43069</v>
      </c>
      <c r="L51" s="28" t="e">
        <v>#N/A</v>
      </c>
    </row>
    <row r="52" spans="1:12">
      <c r="A52" s="28">
        <v>50</v>
      </c>
      <c r="B52" s="39">
        <v>43616</v>
      </c>
      <c r="C52" s="40">
        <v>330030412340</v>
      </c>
      <c r="D52" s="40">
        <v>441140805428</v>
      </c>
      <c r="E52" s="38" t="s">
        <v>239</v>
      </c>
      <c r="F52" s="38" t="s">
        <v>118</v>
      </c>
      <c r="G52" s="38">
        <v>1</v>
      </c>
      <c r="H52" s="38" t="s">
        <v>221</v>
      </c>
      <c r="I52" s="41">
        <v>222550</v>
      </c>
      <c r="J52" s="38"/>
      <c r="K52" s="39">
        <v>43069</v>
      </c>
      <c r="L52" s="28" t="e">
        <v>#N/A</v>
      </c>
    </row>
    <row r="53" spans="1:12">
      <c r="A53" s="28">
        <v>51</v>
      </c>
      <c r="B53" s="39">
        <v>43616</v>
      </c>
      <c r="C53" s="40">
        <v>330030412341</v>
      </c>
      <c r="D53" s="40">
        <v>441140805429</v>
      </c>
      <c r="E53" s="38" t="s">
        <v>240</v>
      </c>
      <c r="F53" s="38" t="s">
        <v>88</v>
      </c>
      <c r="G53" s="38">
        <v>1</v>
      </c>
      <c r="H53" s="38" t="s">
        <v>156</v>
      </c>
      <c r="I53" s="41">
        <v>222550</v>
      </c>
      <c r="J53" s="38"/>
      <c r="K53" s="39">
        <v>43069</v>
      </c>
      <c r="L53" s="28" t="e">
        <v>#N/A</v>
      </c>
    </row>
    <row r="54" spans="1:12">
      <c r="A54" s="28">
        <v>52</v>
      </c>
      <c r="B54" s="39">
        <v>43616</v>
      </c>
      <c r="C54" s="40">
        <v>330030412342</v>
      </c>
      <c r="D54" s="40">
        <v>441140805430</v>
      </c>
      <c r="E54" s="38" t="s">
        <v>241</v>
      </c>
      <c r="F54" s="38" t="s">
        <v>121</v>
      </c>
      <c r="G54" s="38">
        <v>1</v>
      </c>
      <c r="H54" s="38" t="s">
        <v>156</v>
      </c>
      <c r="I54" s="41">
        <v>222550</v>
      </c>
      <c r="J54" s="38"/>
      <c r="K54" s="39">
        <v>43069</v>
      </c>
      <c r="L54" s="28" t="e">
        <v>#N/A</v>
      </c>
    </row>
    <row r="55" spans="1:12">
      <c r="A55" s="28">
        <v>53</v>
      </c>
      <c r="B55" s="39">
        <v>43616</v>
      </c>
      <c r="C55" s="40">
        <v>330030412343</v>
      </c>
      <c r="D55" s="40">
        <v>441140805431</v>
      </c>
      <c r="E55" s="38" t="s">
        <v>242</v>
      </c>
      <c r="F55" s="38" t="s">
        <v>63</v>
      </c>
      <c r="G55" s="38">
        <v>1</v>
      </c>
      <c r="H55" s="38" t="s">
        <v>156</v>
      </c>
      <c r="I55" s="41">
        <v>222550</v>
      </c>
      <c r="J55" s="38"/>
      <c r="K55" s="39">
        <v>43069</v>
      </c>
      <c r="L55" s="28" t="e">
        <v>#N/A</v>
      </c>
    </row>
    <row r="56" spans="1:12">
      <c r="A56" s="28">
        <v>54</v>
      </c>
      <c r="B56" s="39">
        <v>43616</v>
      </c>
      <c r="C56" s="40">
        <v>330030412344</v>
      </c>
      <c r="D56" s="40">
        <v>441140805432</v>
      </c>
      <c r="E56" s="38" t="s">
        <v>243</v>
      </c>
      <c r="F56" s="38" t="s">
        <v>244</v>
      </c>
      <c r="G56" s="38">
        <v>1</v>
      </c>
      <c r="H56" s="38" t="s">
        <v>156</v>
      </c>
      <c r="I56" s="41">
        <v>222550</v>
      </c>
      <c r="J56" s="38"/>
      <c r="K56" s="39">
        <v>43069</v>
      </c>
      <c r="L56" s="28" t="e">
        <v>#N/A</v>
      </c>
    </row>
    <row r="57" spans="1:12">
      <c r="A57" s="28">
        <v>55</v>
      </c>
      <c r="B57" s="39">
        <v>43616</v>
      </c>
      <c r="C57" s="40">
        <v>330030412345</v>
      </c>
      <c r="D57" s="40">
        <v>441140805433</v>
      </c>
      <c r="E57" s="38" t="s">
        <v>245</v>
      </c>
      <c r="F57" s="38" t="s">
        <v>93</v>
      </c>
      <c r="G57" s="38">
        <v>1</v>
      </c>
      <c r="H57" s="38" t="s">
        <v>246</v>
      </c>
      <c r="I57" s="41">
        <v>222550</v>
      </c>
      <c r="J57" s="38"/>
      <c r="K57" s="39">
        <v>43069</v>
      </c>
      <c r="L57" s="28" t="e">
        <v>#N/A</v>
      </c>
    </row>
    <row r="58" spans="1:12">
      <c r="A58" s="28">
        <v>56</v>
      </c>
      <c r="B58" s="39">
        <v>43616</v>
      </c>
      <c r="C58" s="40">
        <v>330030412346</v>
      </c>
      <c r="D58" s="40">
        <v>441140805434</v>
      </c>
      <c r="E58" s="38" t="s">
        <v>247</v>
      </c>
      <c r="F58" s="38" t="s">
        <v>125</v>
      </c>
      <c r="G58" s="38">
        <v>1</v>
      </c>
      <c r="H58" s="38" t="s">
        <v>156</v>
      </c>
      <c r="I58" s="41">
        <v>222550</v>
      </c>
      <c r="J58" s="38"/>
      <c r="K58" s="39">
        <v>43069</v>
      </c>
      <c r="L58" s="28" t="e">
        <v>#N/A</v>
      </c>
    </row>
    <row r="59" spans="1:12">
      <c r="A59" s="28">
        <v>57</v>
      </c>
      <c r="B59" s="39">
        <v>43616</v>
      </c>
      <c r="C59" s="40">
        <v>330030412347</v>
      </c>
      <c r="D59" s="40">
        <v>441140805435</v>
      </c>
      <c r="E59" s="38" t="s">
        <v>248</v>
      </c>
      <c r="F59" s="38" t="s">
        <v>89</v>
      </c>
      <c r="G59" s="38">
        <v>1</v>
      </c>
      <c r="H59" s="38" t="s">
        <v>156</v>
      </c>
      <c r="I59" s="41">
        <v>222550</v>
      </c>
      <c r="J59" s="38"/>
      <c r="K59" s="39">
        <v>43069</v>
      </c>
      <c r="L59" s="28" t="e">
        <v>#N/A</v>
      </c>
    </row>
    <row r="60" spans="1:12">
      <c r="A60" s="28">
        <v>58</v>
      </c>
      <c r="B60" s="39">
        <v>43616</v>
      </c>
      <c r="C60" s="40">
        <v>330030412348</v>
      </c>
      <c r="D60" s="40">
        <v>441140805436</v>
      </c>
      <c r="E60" s="38" t="s">
        <v>249</v>
      </c>
      <c r="F60" s="38" t="s">
        <v>92</v>
      </c>
      <c r="G60" s="38">
        <v>1</v>
      </c>
      <c r="H60" s="38" t="s">
        <v>250</v>
      </c>
      <c r="I60" s="41">
        <v>222550</v>
      </c>
      <c r="J60" s="38"/>
      <c r="K60" s="39">
        <v>43069</v>
      </c>
      <c r="L60" s="28" t="e">
        <v>#N/A</v>
      </c>
    </row>
    <row r="61" spans="1:12">
      <c r="A61" s="28">
        <v>59</v>
      </c>
      <c r="B61" s="39">
        <v>43616</v>
      </c>
      <c r="C61" s="40">
        <v>330030412349</v>
      </c>
      <c r="D61" s="40">
        <v>441140805437</v>
      </c>
      <c r="E61" s="38" t="s">
        <v>251</v>
      </c>
      <c r="F61" s="38" t="s">
        <v>252</v>
      </c>
      <c r="G61" s="38">
        <v>1</v>
      </c>
      <c r="H61" s="38" t="s">
        <v>253</v>
      </c>
      <c r="I61" s="41">
        <v>222550</v>
      </c>
      <c r="J61" s="38"/>
      <c r="K61" s="39">
        <v>43069</v>
      </c>
      <c r="L61" s="28" t="e">
        <v>#N/A</v>
      </c>
    </row>
    <row r="62" spans="1:12">
      <c r="A62" s="28">
        <v>60</v>
      </c>
      <c r="B62" s="39">
        <v>43616</v>
      </c>
      <c r="C62" s="40">
        <v>330030412350</v>
      </c>
      <c r="D62" s="40">
        <v>441140805438</v>
      </c>
      <c r="E62" s="38" t="s">
        <v>254</v>
      </c>
      <c r="F62" s="38" t="s">
        <v>129</v>
      </c>
      <c r="G62" s="38">
        <v>1</v>
      </c>
      <c r="H62" s="38" t="s">
        <v>250</v>
      </c>
      <c r="I62" s="41">
        <v>222550</v>
      </c>
      <c r="J62" s="38"/>
      <c r="K62" s="39">
        <v>43069</v>
      </c>
      <c r="L62" s="28" t="e">
        <v>#N/A</v>
      </c>
    </row>
    <row r="63" spans="1:12">
      <c r="A63" s="28">
        <v>61</v>
      </c>
      <c r="B63" s="39">
        <v>43616</v>
      </c>
      <c r="C63" s="40">
        <v>330030412351</v>
      </c>
      <c r="D63" s="40">
        <v>441140805439</v>
      </c>
      <c r="E63" s="38" t="s">
        <v>255</v>
      </c>
      <c r="F63" s="38" t="s">
        <v>91</v>
      </c>
      <c r="G63" s="38">
        <v>1</v>
      </c>
      <c r="H63" s="38" t="s">
        <v>156</v>
      </c>
      <c r="I63" s="41">
        <v>222550</v>
      </c>
      <c r="J63" s="38"/>
      <c r="K63" s="39">
        <v>43069</v>
      </c>
      <c r="L63" s="28" t="e">
        <v>#N/A</v>
      </c>
    </row>
    <row r="64" spans="1:12">
      <c r="A64" s="28">
        <v>62</v>
      </c>
      <c r="B64" s="39">
        <v>43616</v>
      </c>
      <c r="C64" s="40">
        <v>330030412352</v>
      </c>
      <c r="D64" s="40">
        <v>441140805440</v>
      </c>
      <c r="E64" s="38" t="s">
        <v>256</v>
      </c>
      <c r="F64" s="38" t="s">
        <v>52</v>
      </c>
      <c r="G64" s="38">
        <v>1</v>
      </c>
      <c r="H64" s="38" t="s">
        <v>175</v>
      </c>
      <c r="I64" s="41">
        <v>231065</v>
      </c>
      <c r="J64" s="38"/>
      <c r="K64" s="39">
        <v>43069</v>
      </c>
      <c r="L64" s="28" t="e">
        <v>#N/A</v>
      </c>
    </row>
    <row r="65" spans="1:12">
      <c r="A65" s="28">
        <v>63</v>
      </c>
      <c r="B65" s="39">
        <v>43616</v>
      </c>
      <c r="C65" s="40">
        <v>330030412353</v>
      </c>
      <c r="D65" s="40">
        <v>441140805441</v>
      </c>
      <c r="E65" s="38" t="s">
        <v>257</v>
      </c>
      <c r="F65" s="38" t="s">
        <v>123</v>
      </c>
      <c r="G65" s="38">
        <v>1</v>
      </c>
      <c r="H65" s="38" t="s">
        <v>156</v>
      </c>
      <c r="I65" s="41">
        <v>231065</v>
      </c>
      <c r="J65" s="38"/>
      <c r="K65" s="39">
        <v>43069</v>
      </c>
      <c r="L65" s="28" t="e">
        <v>#N/A</v>
      </c>
    </row>
    <row r="66" spans="1:12">
      <c r="A66" s="28">
        <v>64</v>
      </c>
      <c r="B66" s="39">
        <v>43616</v>
      </c>
      <c r="C66" s="40">
        <v>330030412354</v>
      </c>
      <c r="D66" s="40">
        <v>441140805442</v>
      </c>
      <c r="E66" s="38" t="s">
        <v>258</v>
      </c>
      <c r="F66" s="38" t="s">
        <v>135</v>
      </c>
      <c r="G66" s="38">
        <v>1</v>
      </c>
      <c r="H66" s="38" t="s">
        <v>259</v>
      </c>
      <c r="I66" s="41">
        <v>231065</v>
      </c>
      <c r="J66" s="38"/>
      <c r="K66" s="39">
        <v>43069</v>
      </c>
      <c r="L66" s="28" t="e">
        <v>#N/A</v>
      </c>
    </row>
    <row r="67" spans="1:12">
      <c r="A67" s="28">
        <v>65</v>
      </c>
      <c r="B67" s="39">
        <v>43616</v>
      </c>
      <c r="C67" s="40">
        <v>330030412355</v>
      </c>
      <c r="D67" s="40">
        <v>441140805443</v>
      </c>
      <c r="E67" s="38" t="s">
        <v>260</v>
      </c>
      <c r="F67" s="38" t="s">
        <v>137</v>
      </c>
      <c r="G67" s="38">
        <v>1</v>
      </c>
      <c r="H67" s="38" t="s">
        <v>175</v>
      </c>
      <c r="I67" s="41">
        <v>231065</v>
      </c>
      <c r="J67" s="38"/>
      <c r="K67" s="39">
        <v>43069</v>
      </c>
      <c r="L67" s="28" t="e">
        <v>#N/A</v>
      </c>
    </row>
    <row r="68" spans="1:12">
      <c r="A68" s="28">
        <v>66</v>
      </c>
      <c r="B68" s="39">
        <v>43616</v>
      </c>
      <c r="C68" s="40">
        <v>330030412356</v>
      </c>
      <c r="D68" s="40">
        <v>441140805444</v>
      </c>
      <c r="E68" s="38" t="s">
        <v>261</v>
      </c>
      <c r="F68" s="38" t="s">
        <v>94</v>
      </c>
      <c r="G68" s="38">
        <v>1</v>
      </c>
      <c r="H68" s="38" t="s">
        <v>262</v>
      </c>
      <c r="I68" s="41">
        <v>231065</v>
      </c>
      <c r="J68" s="38"/>
      <c r="K68" s="39">
        <v>43069</v>
      </c>
      <c r="L68" s="28" t="e">
        <v>#N/A</v>
      </c>
    </row>
    <row r="69" spans="1:12">
      <c r="A69" s="28">
        <v>67</v>
      </c>
      <c r="B69" s="39">
        <v>43616</v>
      </c>
      <c r="C69" s="40">
        <v>330030412357</v>
      </c>
      <c r="D69" s="40">
        <v>441140805445</v>
      </c>
      <c r="E69" s="38" t="s">
        <v>263</v>
      </c>
      <c r="F69" s="38" t="s">
        <v>264</v>
      </c>
      <c r="G69" s="38">
        <v>1</v>
      </c>
      <c r="H69" s="38" t="s">
        <v>156</v>
      </c>
      <c r="I69" s="41">
        <v>231065</v>
      </c>
      <c r="J69" s="38"/>
      <c r="K69" s="39">
        <v>43069</v>
      </c>
      <c r="L69" s="28" t="e">
        <v>#N/A</v>
      </c>
    </row>
    <row r="70" spans="1:12">
      <c r="A70" s="52">
        <v>68</v>
      </c>
      <c r="B70" s="53">
        <v>43616</v>
      </c>
      <c r="C70" s="54">
        <v>330030424612</v>
      </c>
      <c r="D70" s="54">
        <v>441140816597</v>
      </c>
      <c r="E70" s="55" t="s">
        <v>265</v>
      </c>
      <c r="F70" s="55" t="s">
        <v>266</v>
      </c>
      <c r="G70" s="55">
        <v>1</v>
      </c>
      <c r="H70" s="55" t="s">
        <v>219</v>
      </c>
      <c r="I70" s="56">
        <v>365431</v>
      </c>
      <c r="J70" s="55"/>
      <c r="K70" s="53">
        <v>43277</v>
      </c>
      <c r="L70" s="28" t="e">
        <v>#N/A</v>
      </c>
    </row>
    <row r="71" spans="1:12">
      <c r="A71" s="52">
        <v>69</v>
      </c>
      <c r="B71" s="53">
        <v>43616</v>
      </c>
      <c r="C71" s="54">
        <v>330030424613</v>
      </c>
      <c r="D71" s="54">
        <v>441140816598</v>
      </c>
      <c r="E71" s="55" t="s">
        <v>267</v>
      </c>
      <c r="F71" s="55" t="s">
        <v>268</v>
      </c>
      <c r="G71" s="55">
        <v>1</v>
      </c>
      <c r="H71" s="55" t="s">
        <v>219</v>
      </c>
      <c r="I71" s="56">
        <v>365431</v>
      </c>
      <c r="J71" s="55"/>
      <c r="K71" s="53">
        <v>43277</v>
      </c>
      <c r="L71" s="28" t="e">
        <v>#N/A</v>
      </c>
    </row>
    <row r="72" spans="1:12">
      <c r="A72" s="52">
        <v>70</v>
      </c>
      <c r="B72" s="57">
        <v>43616</v>
      </c>
      <c r="C72" s="58">
        <v>330030424614</v>
      </c>
      <c r="D72" s="58">
        <v>441140816599</v>
      </c>
      <c r="E72" s="59" t="s">
        <v>269</v>
      </c>
      <c r="F72" s="59" t="s">
        <v>127</v>
      </c>
      <c r="G72" s="59">
        <v>1</v>
      </c>
      <c r="H72" s="59" t="s">
        <v>226</v>
      </c>
      <c r="I72" s="60">
        <v>435567</v>
      </c>
      <c r="J72" s="59"/>
      <c r="K72" s="57">
        <v>43277</v>
      </c>
      <c r="L72" s="28" t="e">
        <v>#N/A</v>
      </c>
    </row>
    <row r="73" spans="1:12" ht="18.75">
      <c r="A73" s="32"/>
      <c r="B73" s="32"/>
      <c r="C73" s="32"/>
      <c r="D73" s="32"/>
      <c r="E73" s="64" t="s">
        <v>34</v>
      </c>
      <c r="F73" s="61" t="s">
        <v>139</v>
      </c>
      <c r="G73" s="32"/>
      <c r="H73" s="32"/>
      <c r="I73" s="62"/>
      <c r="J73" s="63" t="s">
        <v>273</v>
      </c>
      <c r="K73" s="32"/>
      <c r="L73" s="28" t="e">
        <v>#N/A</v>
      </c>
    </row>
    <row r="74" spans="1:12">
      <c r="E74" s="28" t="s">
        <v>270</v>
      </c>
      <c r="G74" s="28">
        <f>SUM(G3:G73)</f>
        <v>70</v>
      </c>
      <c r="I74" s="51">
        <f>SUM(I3:I73)</f>
        <v>11435090</v>
      </c>
    </row>
  </sheetData>
  <autoFilter ref="A2:L74" xr:uid="{00000000-0009-0000-0000-00000B000000}"/>
  <phoneticPr fontId="24"/>
  <conditionalFormatting sqref="F73">
    <cfRule type="duplicateValues" dxfId="1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272</v>
      </c>
    </row>
  </sheetData>
  <phoneticPr fontId="2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L31"/>
  <sheetViews>
    <sheetView workbookViewId="0">
      <selection activeCell="C5" sqref="C5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6</v>
      </c>
      <c r="B1">
        <f>SUM(B2:B24)</f>
        <v>113</v>
      </c>
      <c r="C1" s="21">
        <v>0</v>
      </c>
      <c r="D1">
        <v>0</v>
      </c>
      <c r="L1" s="16" t="s">
        <v>1070</v>
      </c>
    </row>
    <row r="2" spans="1:12">
      <c r="A2" t="s">
        <v>1065</v>
      </c>
      <c r="B2">
        <v>0</v>
      </c>
      <c r="C2" s="21" t="str">
        <f>"esql select Customer, Model, SN,Receive,Location, Status, Note from mlist where rma &gt;'"&amp;Filter!D1&amp; "' order by 1"</f>
        <v>esql select Customer, Model, SN,Receive,Location, Status, Note from mlist where rma &gt;'FMSV2023070012' order by 1</v>
      </c>
      <c r="L2" s="16" t="s">
        <v>110</v>
      </c>
    </row>
    <row r="3" spans="1:12">
      <c r="A3" t="s">
        <v>66</v>
      </c>
      <c r="B3">
        <v>2</v>
      </c>
      <c r="C3" s="21" t="s">
        <v>299</v>
      </c>
      <c r="L3" s="16" t="s">
        <v>24</v>
      </c>
    </row>
    <row r="4" spans="1:12">
      <c r="A4" t="s">
        <v>303</v>
      </c>
      <c r="C4" s="21" t="str">
        <f ca="1">"esql select customer, model, sn,receive,Inspection,mj_mn,issue,PIC, note,location from mlist where Inspection&gt;=#"&amp;TEXT(TODAY()-7*C1-D1-WEEKDAY(TODAY()),"mm/dd/yyyy")&amp;"#"</f>
        <v>esql select customer, model, sn,receive,Inspection,mj_mn,issue,PIC, note,location from mlist where Inspection&gt;=#07/08/2023#</v>
      </c>
      <c r="L4" s="16" t="s">
        <v>28</v>
      </c>
    </row>
    <row r="5" spans="1:12">
      <c r="A5" t="s">
        <v>1041</v>
      </c>
      <c r="B5">
        <v>11</v>
      </c>
      <c r="C5" s="21" t="s">
        <v>1064</v>
      </c>
      <c r="L5" s="16" t="s">
        <v>108</v>
      </c>
    </row>
    <row r="6" spans="1:12">
      <c r="A6" t="s">
        <v>39</v>
      </c>
      <c r="B6">
        <v>25</v>
      </c>
      <c r="C6" s="21" t="s">
        <v>306</v>
      </c>
      <c r="L6" s="16" t="s">
        <v>37</v>
      </c>
    </row>
    <row r="7" spans="1:12">
      <c r="A7" t="s">
        <v>64</v>
      </c>
      <c r="B7">
        <v>16</v>
      </c>
      <c r="C7" s="21" t="s">
        <v>102</v>
      </c>
      <c r="L7" s="16" t="s">
        <v>134</v>
      </c>
    </row>
    <row r="8" spans="1:12">
      <c r="A8" t="s">
        <v>32</v>
      </c>
      <c r="B8">
        <v>42</v>
      </c>
      <c r="C8" s="21" t="s">
        <v>1097</v>
      </c>
      <c r="L8" s="16" t="s">
        <v>120</v>
      </c>
    </row>
    <row r="9" spans="1:12">
      <c r="A9" t="s">
        <v>30</v>
      </c>
      <c r="B9">
        <v>10</v>
      </c>
      <c r="C9" s="21" t="s">
        <v>305</v>
      </c>
      <c r="L9" s="16" t="s">
        <v>1101</v>
      </c>
    </row>
    <row r="10" spans="1:12">
      <c r="A10" t="s">
        <v>106</v>
      </c>
      <c r="B10">
        <v>7</v>
      </c>
      <c r="C10" s="21" t="s">
        <v>1210</v>
      </c>
      <c r="L10" s="16"/>
    </row>
    <row r="11" spans="1:12">
      <c r="A11" t="s">
        <v>312</v>
      </c>
      <c r="B11">
        <v>0</v>
      </c>
      <c r="C11" s="21" t="s">
        <v>1099</v>
      </c>
      <c r="L11" s="16"/>
    </row>
    <row r="12" spans="1:12">
      <c r="A12" t="s">
        <v>71</v>
      </c>
      <c r="B12">
        <v>0</v>
      </c>
      <c r="C12" s="21" t="s">
        <v>5286</v>
      </c>
      <c r="L12" s="16"/>
    </row>
    <row r="13" spans="1:12">
      <c r="A13" t="s">
        <v>33</v>
      </c>
      <c r="B13">
        <v>0</v>
      </c>
      <c r="C13" s="21" t="s">
        <v>4044</v>
      </c>
      <c r="L13" s="16"/>
    </row>
    <row r="14" spans="1:12">
      <c r="A14" t="s">
        <v>96</v>
      </c>
      <c r="B14">
        <v>0</v>
      </c>
      <c r="C14" s="21" t="s">
        <v>130</v>
      </c>
      <c r="L14" s="16"/>
    </row>
    <row r="15" spans="1:12">
      <c r="A15" t="s">
        <v>1096</v>
      </c>
      <c r="C15" s="21" t="s">
        <v>1098</v>
      </c>
      <c r="L15" s="16"/>
    </row>
    <row r="16" spans="1:12">
      <c r="A16" t="s">
        <v>1069</v>
      </c>
    </row>
    <row r="17" spans="1:10">
      <c r="A17" t="s">
        <v>1068</v>
      </c>
      <c r="G17">
        <v>0</v>
      </c>
      <c r="H17" t="s">
        <v>1053</v>
      </c>
      <c r="I17" t="s">
        <v>1065</v>
      </c>
      <c r="J17" t="s">
        <v>1071</v>
      </c>
    </row>
    <row r="18" spans="1:10">
      <c r="A18" t="s">
        <v>1066</v>
      </c>
      <c r="D18" s="23"/>
      <c r="G18">
        <v>1</v>
      </c>
      <c r="H18" t="s">
        <v>1065</v>
      </c>
      <c r="I18" t="s">
        <v>72</v>
      </c>
      <c r="J18" t="s">
        <v>1071</v>
      </c>
    </row>
    <row r="19" spans="1:10">
      <c r="A19" t="s">
        <v>1067</v>
      </c>
      <c r="D19" s="23"/>
      <c r="G19">
        <v>2</v>
      </c>
      <c r="H19" t="s">
        <v>72</v>
      </c>
      <c r="I19" t="s">
        <v>1072</v>
      </c>
      <c r="J19" t="s">
        <v>9</v>
      </c>
    </row>
    <row r="20" spans="1:10">
      <c r="D20" s="23"/>
      <c r="G20">
        <v>3</v>
      </c>
      <c r="H20" t="s">
        <v>1073</v>
      </c>
      <c r="I20" t="s">
        <v>1074</v>
      </c>
      <c r="J20" t="s">
        <v>1075</v>
      </c>
    </row>
    <row r="21" spans="1:10">
      <c r="D21" s="23"/>
      <c r="G21">
        <v>4</v>
      </c>
      <c r="H21" t="s">
        <v>19</v>
      </c>
      <c r="I21" t="s">
        <v>1077</v>
      </c>
      <c r="J21" t="s">
        <v>1091</v>
      </c>
    </row>
    <row r="22" spans="1:10">
      <c r="D22" s="23"/>
      <c r="G22">
        <v>5</v>
      </c>
      <c r="H22" t="s">
        <v>1076</v>
      </c>
      <c r="I22" t="s">
        <v>1076</v>
      </c>
      <c r="J22" t="s">
        <v>1078</v>
      </c>
    </row>
    <row r="23" spans="1:10">
      <c r="D23" s="24"/>
      <c r="G23">
        <v>6</v>
      </c>
      <c r="H23" t="s">
        <v>1079</v>
      </c>
      <c r="I23" t="s">
        <v>1080</v>
      </c>
      <c r="J23" t="s">
        <v>1081</v>
      </c>
    </row>
    <row r="24" spans="1:10">
      <c r="D24" s="25"/>
      <c r="G24">
        <v>7</v>
      </c>
      <c r="H24" t="s">
        <v>30</v>
      </c>
      <c r="I24" t="s">
        <v>1082</v>
      </c>
      <c r="J24" t="s">
        <v>1081</v>
      </c>
    </row>
    <row r="25" spans="1:10">
      <c r="D25" s="25"/>
      <c r="G25">
        <v>8</v>
      </c>
      <c r="H25" t="s">
        <v>1083</v>
      </c>
      <c r="I25" t="s">
        <v>1084</v>
      </c>
      <c r="J25" t="s">
        <v>1085</v>
      </c>
    </row>
    <row r="26" spans="1:10">
      <c r="D26" s="25"/>
      <c r="G26">
        <v>9</v>
      </c>
      <c r="H26" t="s">
        <v>312</v>
      </c>
      <c r="I26" t="s">
        <v>1086</v>
      </c>
      <c r="J26" t="s">
        <v>1085</v>
      </c>
    </row>
    <row r="27" spans="1:10">
      <c r="D27" s="25"/>
      <c r="H27" t="s">
        <v>1087</v>
      </c>
    </row>
    <row r="28" spans="1:10">
      <c r="D28" s="25"/>
      <c r="H28" t="s">
        <v>71</v>
      </c>
    </row>
    <row r="29" spans="1:10">
      <c r="D29" s="25"/>
    </row>
    <row r="30" spans="1:10">
      <c r="D30" s="25"/>
    </row>
    <row r="31" spans="1:10">
      <c r="D31" s="25"/>
    </row>
  </sheetData>
  <phoneticPr fontId="24"/>
  <conditionalFormatting sqref="D18:D23">
    <cfRule type="expression" dxfId="18" priority="17">
      <formula>#REF!=$AE$11</formula>
    </cfRule>
    <cfRule type="expression" dxfId="17" priority="18">
      <formula>#REF!=$AE$12</formula>
    </cfRule>
    <cfRule type="expression" dxfId="16" priority="19">
      <formula>#REF!=$AE$13</formula>
    </cfRule>
    <cfRule type="expression" dxfId="15" priority="20">
      <formula>#REF!=$AE$14</formula>
    </cfRule>
    <cfRule type="expression" dxfId="14" priority="21">
      <formula>#REF!=#REF!</formula>
    </cfRule>
    <cfRule type="expression" dxfId="13" priority="22">
      <formula>#REF!=$AE$16</formula>
    </cfRule>
    <cfRule type="expression" dxfId="12" priority="23">
      <formula>#REF!=$AE$17</formula>
    </cfRule>
    <cfRule type="expression" dxfId="11" priority="24">
      <formula>#REF!=$AE$18</formula>
    </cfRule>
    <cfRule type="expression" dxfId="10" priority="25">
      <formula>#REF!=$AE$19</formula>
    </cfRule>
    <cfRule type="expression" dxfId="9" priority="26">
      <formula>#REF!=$AE$20</formula>
    </cfRule>
    <cfRule type="expression" dxfId="8" priority="27">
      <formula>#REF!=$AE$21</formula>
    </cfRule>
  </conditionalFormatting>
  <conditionalFormatting sqref="D18:D23">
    <cfRule type="duplicateValues" dxfId="7" priority="28"/>
  </conditionalFormatting>
  <conditionalFormatting sqref="D18:D31">
    <cfRule type="duplicateValues" dxfId="6" priority="16"/>
  </conditionalFormatting>
  <conditionalFormatting sqref="D18:D31">
    <cfRule type="duplicateValues" dxfId="5" priority="15"/>
  </conditionalFormatting>
  <conditionalFormatting sqref="D24:D27">
    <cfRule type="duplicateValues" dxfId="4" priority="14"/>
  </conditionalFormatting>
  <conditionalFormatting sqref="D30:D31">
    <cfRule type="duplicateValues" dxfId="3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Summary 07-Jul</vt:lpstr>
      <vt:lpstr>Chart</vt:lpstr>
      <vt:lpstr>39 items HMU</vt:lpstr>
      <vt:lpstr>FFAP</vt:lpstr>
      <vt:lpstr>1.MasterPendingList</vt:lpstr>
      <vt:lpstr>Code</vt:lpstr>
      <vt:lpstr>3. Dispose</vt:lpstr>
      <vt:lpstr>2. Completed</vt:lpstr>
      <vt:lpstr>3. Transfer to sales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2023-06-05T07:42:40Z</cp:lastPrinted>
  <dcterms:created xsi:type="dcterms:W3CDTF">2018-11-06T06:24:21Z</dcterms:created>
  <dcterms:modified xsi:type="dcterms:W3CDTF">2023-07-10T03:27:52Z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