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inspection\FF asset\"/>
    </mc:Choice>
  </mc:AlternateContent>
  <xr:revisionPtr revIDLastSave="0" documentId="8_{20C7B3E6-FBE3-4F77-904A-D54411EB8534}" xr6:coauthVersionLast="47" xr6:coauthVersionMax="47" xr10:uidLastSave="{00000000-0000-0000-0000-000000000000}"/>
  <bookViews>
    <workbookView xWindow="-108" yWindow="-108" windowWidth="23256" windowHeight="12576" firstSheet="13" activeTab="14" xr2:uid="{00000000-000D-0000-FFFF-FFFF00000000}"/>
  </bookViews>
  <sheets>
    <sheet name="Dashboard" sheetId="89" state="hidden" r:id="rId1"/>
    <sheet name="Summary 15-Sep" sheetId="83" r:id="rId2"/>
    <sheet name="FFAP" sheetId="84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r:id="rId14"/>
    <sheet name="5. FF Asset" sheetId="91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'1.MasterPendingList'!$A$4:$AP$90</definedName>
    <definedName name="_xlnm._FilterDatabase" localSheetId="9" hidden="1">'2. Completed'!$A$2:$AD$1006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15-Sep'!#REF!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'1.MasterPendingList'!$B$4:$AP$91</definedName>
    <definedName name="mNo" localSheetId="9">'1.MasterPendingList'!$B$4:$B$12</definedName>
    <definedName name="mNo" localSheetId="4">'[2]1.MasterPendingList'!$B$4:$B$95</definedName>
    <definedName name="mNo">'1.MasterPendingList'!$B$4:$B$91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91" l="1"/>
  <c r="E40" i="91" l="1"/>
  <c r="F40" i="91"/>
  <c r="E41" i="91"/>
  <c r="F41" i="91"/>
  <c r="E42" i="91"/>
  <c r="F42" i="91"/>
  <c r="E43" i="91"/>
  <c r="F43" i="91"/>
  <c r="E44" i="91"/>
  <c r="F44" i="91"/>
  <c r="E45" i="91"/>
  <c r="F45" i="91"/>
  <c r="E46" i="91"/>
  <c r="F46" i="91"/>
  <c r="E47" i="91"/>
  <c r="F47" i="91"/>
  <c r="E48" i="91"/>
  <c r="F48" i="91"/>
  <c r="E49" i="91"/>
  <c r="F49" i="91"/>
  <c r="E50" i="91"/>
  <c r="F50" i="91"/>
  <c r="E51" i="91"/>
  <c r="F51" i="91"/>
  <c r="E52" i="91"/>
  <c r="F52" i="91"/>
  <c r="E53" i="91"/>
  <c r="F53" i="91"/>
  <c r="E54" i="91"/>
  <c r="F54" i="91"/>
  <c r="E55" i="91"/>
  <c r="F55" i="91"/>
  <c r="E56" i="91"/>
  <c r="F56" i="91"/>
  <c r="E57" i="91"/>
  <c r="F57" i="91"/>
  <c r="E58" i="91"/>
  <c r="F58" i="91"/>
  <c r="E59" i="91"/>
  <c r="F59" i="91"/>
  <c r="E60" i="91"/>
  <c r="F60" i="91"/>
  <c r="E61" i="91"/>
  <c r="F61" i="91"/>
  <c r="E62" i="91"/>
  <c r="F62" i="91"/>
  <c r="E63" i="91"/>
  <c r="F63" i="91"/>
  <c r="E64" i="91"/>
  <c r="F64" i="91"/>
  <c r="E65" i="91"/>
  <c r="F65" i="91"/>
  <c r="E66" i="91"/>
  <c r="F66" i="91"/>
  <c r="E67" i="91"/>
  <c r="F67" i="91"/>
  <c r="E68" i="91"/>
  <c r="F68" i="91"/>
  <c r="E69" i="91"/>
  <c r="F69" i="91"/>
  <c r="E70" i="91"/>
  <c r="F70" i="91"/>
  <c r="E71" i="91"/>
  <c r="F71" i="91"/>
  <c r="E72" i="91"/>
  <c r="F72" i="91"/>
  <c r="E73" i="91"/>
  <c r="F73" i="91"/>
  <c r="E74" i="91"/>
  <c r="F74" i="91"/>
  <c r="E75" i="91"/>
  <c r="F75" i="91"/>
  <c r="F39" i="91"/>
  <c r="E39" i="91"/>
  <c r="A38" i="91" l="1"/>
  <c r="A40" i="91"/>
  <c r="A43" i="91"/>
  <c r="A45" i="91"/>
  <c r="A48" i="91"/>
  <c r="A50" i="91"/>
  <c r="A51" i="91"/>
  <c r="A52" i="91"/>
  <c r="A56" i="91"/>
  <c r="A57" i="91"/>
  <c r="A58" i="91"/>
  <c r="A59" i="91"/>
  <c r="A60" i="91"/>
  <c r="A75" i="91"/>
  <c r="A76" i="91"/>
  <c r="A77" i="91"/>
  <c r="A78" i="91"/>
  <c r="A81" i="91"/>
  <c r="A88" i="91"/>
  <c r="A91" i="91"/>
  <c r="A92" i="91"/>
  <c r="A93" i="91"/>
  <c r="A94" i="91"/>
  <c r="A95" i="91"/>
  <c r="AA95" i="91"/>
  <c r="AA94" i="91"/>
  <c r="AA93" i="91"/>
  <c r="AA92" i="91"/>
  <c r="A89" i="91"/>
  <c r="A90" i="91"/>
  <c r="AA89" i="91"/>
  <c r="AA90" i="91"/>
  <c r="AA91" i="91"/>
  <c r="A87" i="91"/>
  <c r="AA87" i="91"/>
  <c r="AA88" i="91"/>
  <c r="A82" i="91"/>
  <c r="A83" i="91"/>
  <c r="A84" i="91"/>
  <c r="A85" i="91"/>
  <c r="A86" i="91"/>
  <c r="AA82" i="91"/>
  <c r="AA83" i="91"/>
  <c r="AA84" i="91"/>
  <c r="AA85" i="91"/>
  <c r="AA86" i="91"/>
  <c r="A79" i="91"/>
  <c r="A80" i="91"/>
  <c r="AA79" i="91"/>
  <c r="AA80" i="91"/>
  <c r="AA81" i="91"/>
  <c r="AA78" i="91"/>
  <c r="AA77" i="91"/>
  <c r="AA76" i="91"/>
  <c r="C40" i="91"/>
  <c r="C41" i="91"/>
  <c r="C42" i="91"/>
  <c r="C43" i="91"/>
  <c r="C44" i="91"/>
  <c r="C45" i="91"/>
  <c r="C46" i="91"/>
  <c r="C47" i="91"/>
  <c r="C48" i="91"/>
  <c r="C49" i="91"/>
  <c r="C50" i="91"/>
  <c r="C51" i="91"/>
  <c r="C52" i="91"/>
  <c r="C53" i="91"/>
  <c r="C54" i="91"/>
  <c r="C55" i="91"/>
  <c r="C56" i="91"/>
  <c r="C57" i="91"/>
  <c r="C58" i="91"/>
  <c r="C59" i="91"/>
  <c r="C60" i="91"/>
  <c r="C61" i="91"/>
  <c r="C62" i="91"/>
  <c r="C63" i="91"/>
  <c r="C64" i="91"/>
  <c r="C65" i="91"/>
  <c r="C66" i="91"/>
  <c r="C67" i="91"/>
  <c r="C68" i="91"/>
  <c r="C69" i="91"/>
  <c r="C70" i="91"/>
  <c r="C71" i="91"/>
  <c r="C72" i="91"/>
  <c r="C73" i="91"/>
  <c r="C74" i="91"/>
  <c r="C75" i="91"/>
  <c r="C39" i="91"/>
  <c r="A73" i="91"/>
  <c r="A74" i="91"/>
  <c r="A61" i="91"/>
  <c r="A62" i="91"/>
  <c r="A63" i="91"/>
  <c r="A64" i="91"/>
  <c r="A65" i="91"/>
  <c r="A66" i="91"/>
  <c r="A67" i="91"/>
  <c r="A68" i="91"/>
  <c r="A69" i="91"/>
  <c r="A70" i="91"/>
  <c r="A71" i="91"/>
  <c r="A72" i="91"/>
  <c r="A53" i="91"/>
  <c r="A54" i="91"/>
  <c r="A55" i="91"/>
  <c r="A49" i="91"/>
  <c r="A46" i="91"/>
  <c r="A47" i="91"/>
  <c r="A44" i="91"/>
  <c r="A41" i="91"/>
  <c r="A42" i="91"/>
  <c r="A39" i="91"/>
  <c r="AA39" i="91"/>
  <c r="AA40" i="91"/>
  <c r="AA13" i="91"/>
  <c r="AA47" i="91" l="1"/>
  <c r="AA54" i="91"/>
  <c r="AA74" i="91"/>
  <c r="AA55" i="91"/>
  <c r="AA53" i="91"/>
  <c r="AA69" i="91"/>
  <c r="AA71" i="91"/>
  <c r="AA75" i="91"/>
  <c r="AA72" i="91"/>
  <c r="AA56" i="91"/>
  <c r="AA44" i="91"/>
  <c r="AA61" i="91"/>
  <c r="AA52" i="91"/>
  <c r="AA45" i="91"/>
  <c r="AA62" i="91"/>
  <c r="AA60" i="91"/>
  <c r="AA51" i="91"/>
  <c r="AA63" i="91"/>
  <c r="AA59" i="91"/>
  <c r="AA64" i="91"/>
  <c r="AA58" i="91"/>
  <c r="AA49" i="91"/>
  <c r="AA41" i="91"/>
  <c r="AA65" i="91"/>
  <c r="AA57" i="91"/>
  <c r="AA50" i="91"/>
  <c r="AA42" i="91"/>
  <c r="AA66" i="91"/>
  <c r="AA43" i="91"/>
  <c r="AA67" i="91"/>
  <c r="AA68" i="91"/>
  <c r="AA46" i="91"/>
  <c r="AA73" i="91"/>
  <c r="AA70" i="91"/>
  <c r="AA48" i="91"/>
  <c r="AA3" i="91"/>
  <c r="AA15" i="91"/>
  <c r="AA27" i="91"/>
  <c r="AA16" i="91"/>
  <c r="AA28" i="91"/>
  <c r="AA17" i="91"/>
  <c r="AA29" i="91"/>
  <c r="AA18" i="91"/>
  <c r="AA30" i="91"/>
  <c r="AA19" i="91"/>
  <c r="AA31" i="91"/>
  <c r="AA20" i="91"/>
  <c r="AA21" i="91"/>
  <c r="AA4" i="91"/>
  <c r="AA5" i="91"/>
  <c r="AA6" i="91"/>
  <c r="AA7" i="91"/>
  <c r="AA8" i="91"/>
  <c r="AA9" i="91"/>
  <c r="AA10" i="91"/>
  <c r="AA22" i="91"/>
  <c r="AA34" i="91"/>
  <c r="AA23" i="91"/>
  <c r="AA35" i="91"/>
  <c r="AA37" i="91"/>
  <c r="AA14" i="91"/>
  <c r="AA38" i="91"/>
  <c r="AA32" i="91"/>
  <c r="AA33" i="91"/>
  <c r="AA11" i="91"/>
  <c r="AA12" i="91"/>
  <c r="AA24" i="91"/>
  <c r="AA36" i="91"/>
  <c r="AA25" i="91"/>
  <c r="AA26" i="91"/>
  <c r="V3" i="88" l="1"/>
  <c r="AC3" i="88"/>
  <c r="AA3" i="88"/>
  <c r="Y3" i="88"/>
  <c r="U45" i="88"/>
  <c r="U46" i="88"/>
  <c r="U47" i="88"/>
  <c r="U48" i="88"/>
  <c r="U49" i="88"/>
  <c r="U50" i="88"/>
  <c r="U44" i="88"/>
  <c r="AD3" i="88"/>
  <c r="U5" i="88"/>
  <c r="U7" i="88"/>
  <c r="U10" i="88"/>
  <c r="U11" i="88"/>
  <c r="U12" i="88"/>
  <c r="U13" i="88"/>
  <c r="U14" i="88"/>
  <c r="U15" i="88"/>
  <c r="U16" i="88"/>
  <c r="U20" i="88"/>
  <c r="U21" i="88"/>
  <c r="U25" i="88"/>
  <c r="U26" i="88"/>
  <c r="U27" i="88"/>
  <c r="U28" i="88"/>
  <c r="U29" i="88"/>
  <c r="U30" i="88"/>
  <c r="U31" i="88"/>
  <c r="U32" i="88"/>
  <c r="X11" i="88"/>
  <c r="Z11" i="88" s="1"/>
  <c r="AB11" i="88" s="1"/>
  <c r="X24" i="88"/>
  <c r="Z24" i="88" s="1"/>
  <c r="A87" i="2"/>
  <c r="H5" i="84"/>
  <c r="J3" i="89"/>
  <c r="C24" i="84"/>
  <c r="C5" i="84"/>
  <c r="AB24" i="88" l="1"/>
  <c r="M17" i="84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58" i="2"/>
  <c r="A77" i="2"/>
  <c r="A80" i="2"/>
  <c r="A86" i="2"/>
  <c r="A91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T157" i="90"/>
  <c r="U159" i="90"/>
  <c r="S171" i="90"/>
  <c r="S183" i="90"/>
  <c r="Q203" i="90"/>
  <c r="T219" i="90"/>
  <c r="U3" i="90"/>
  <c r="R3" i="90"/>
  <c r="Q3" i="90"/>
  <c r="A37" i="91"/>
  <c r="A36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25" i="91"/>
  <c r="A26" i="91"/>
  <c r="A27" i="91"/>
  <c r="A28" i="91"/>
  <c r="A29" i="91"/>
  <c r="A30" i="91"/>
  <c r="A31" i="91"/>
  <c r="A32" i="91"/>
  <c r="A33" i="91"/>
  <c r="A34" i="91"/>
  <c r="A35" i="91"/>
  <c r="B85" i="90"/>
  <c r="C85" i="90"/>
  <c r="D85" i="90"/>
  <c r="E85" i="90"/>
  <c r="U231" i="90" l="1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3" i="91"/>
  <c r="A4" i="91"/>
  <c r="A5" i="91"/>
  <c r="A6" i="91"/>
  <c r="A7" i="91"/>
  <c r="A8" i="91"/>
  <c r="A9" i="91"/>
  <c r="A10" i="91"/>
  <c r="A11" i="91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55" i="83"/>
  <c r="A24" i="83"/>
  <c r="B45" i="83"/>
  <c r="B46" i="83"/>
  <c r="B47" i="83"/>
  <c r="B48" i="83"/>
  <c r="B49" i="83"/>
  <c r="B50" i="83"/>
  <c r="B51" i="83"/>
  <c r="B52" i="83"/>
  <c r="B53" i="83"/>
  <c r="B54" i="83"/>
  <c r="B44" i="83"/>
  <c r="B5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31" i="84" a="1"/>
  <c r="C31" i="84" s="1"/>
  <c r="C12" i="84" a="1"/>
  <c r="C12" i="84" s="1"/>
  <c r="A611" i="28" l="1"/>
  <c r="A9" i="2"/>
  <c r="A12" i="2"/>
  <c r="A81" i="2"/>
  <c r="A82" i="2"/>
  <c r="A85" i="2"/>
  <c r="A89" i="2"/>
  <c r="A90" i="2"/>
  <c r="A49" i="2"/>
  <c r="A78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9" i="2"/>
  <c r="A60" i="2"/>
  <c r="A61" i="2"/>
  <c r="A63" i="2"/>
  <c r="A64" i="2"/>
  <c r="A67" i="2"/>
  <c r="A68" i="2"/>
  <c r="A69" i="2"/>
  <c r="A70" i="2"/>
  <c r="A71" i="2"/>
  <c r="A72" i="2"/>
  <c r="A74" i="2"/>
  <c r="A75" i="2"/>
  <c r="A76" i="2"/>
  <c r="A79" i="2"/>
  <c r="A83" i="2"/>
  <c r="A84" i="2"/>
  <c r="A88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2" i="2"/>
  <c r="A65" i="2"/>
  <c r="A66" i="2"/>
  <c r="A73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23" i="84" a="1"/>
  <c r="C23" i="84" s="1"/>
  <c r="T3" i="84" l="1"/>
  <c r="S4" i="84"/>
  <c r="U4" i="84" s="1"/>
  <c r="S3" i="84"/>
  <c r="U3" i="84" s="1"/>
  <c r="T4" i="84" l="1"/>
  <c r="V3" i="84"/>
  <c r="A610" i="28"/>
  <c r="A609" i="28"/>
  <c r="A608" i="28"/>
  <c r="A607" i="28"/>
  <c r="A606" i="28"/>
  <c r="A605" i="28"/>
  <c r="A604" i="28"/>
  <c r="A603" i="28"/>
  <c r="C4" i="84" a="1"/>
  <c r="C4" i="84" s="1"/>
  <c r="A978" i="88" l="1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B19" i="83" l="1"/>
  <c r="C19" i="83"/>
  <c r="B20" i="83"/>
  <c r="C20" i="83"/>
  <c r="C18" i="83"/>
  <c r="B18" i="83"/>
  <c r="A938" i="88"/>
  <c r="A937" i="88"/>
  <c r="A936" i="88"/>
  <c r="A935" i="88"/>
  <c r="A934" i="88"/>
  <c r="A933" i="88"/>
  <c r="A932" i="88"/>
  <c r="A931" i="88"/>
  <c r="A930" i="88"/>
  <c r="A929" i="88"/>
  <c r="A16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33" i="84" l="1"/>
  <c r="C14" i="84"/>
  <c r="B1" i="6" l="1"/>
  <c r="B1" i="5"/>
  <c r="I74" i="17"/>
  <c r="G74" i="17"/>
  <c r="R1" i="30" l="1"/>
  <c r="A22" i="83" l="1"/>
  <c r="A29" i="89" l="1"/>
  <c r="D105" i="31"/>
  <c r="E442" i="31"/>
  <c r="D339" i="31"/>
  <c r="D174" i="31"/>
  <c r="E163" i="31"/>
  <c r="E184" i="31"/>
  <c r="D313" i="31"/>
  <c r="E195" i="31"/>
  <c r="E619" i="31"/>
  <c r="D45" i="31"/>
  <c r="D224" i="31"/>
  <c r="D107" i="31"/>
  <c r="E161" i="31"/>
  <c r="E584" i="31"/>
  <c r="E609" i="31"/>
  <c r="D5" i="31"/>
  <c r="E98" i="31"/>
  <c r="E353" i="31"/>
  <c r="D557" i="31"/>
  <c r="E635" i="31"/>
  <c r="E520" i="31"/>
  <c r="D443" i="31"/>
  <c r="D354" i="31"/>
  <c r="D543" i="31"/>
  <c r="D450" i="31"/>
  <c r="E236" i="31"/>
  <c r="D284" i="31"/>
  <c r="E644" i="31"/>
  <c r="D361" i="31"/>
  <c r="D597" i="31"/>
  <c r="E436" i="31"/>
  <c r="E580" i="31"/>
  <c r="E361" i="31"/>
  <c r="D368" i="31"/>
  <c r="D610" i="31"/>
  <c r="D316" i="31"/>
  <c r="E355" i="31"/>
  <c r="D547" i="31"/>
  <c r="E35" i="31"/>
  <c r="E153" i="31"/>
  <c r="D288" i="31"/>
  <c r="E187" i="31"/>
  <c r="E423" i="31"/>
  <c r="E631" i="31"/>
  <c r="D44" i="31"/>
  <c r="D493" i="31"/>
  <c r="E257" i="31"/>
  <c r="D410" i="31"/>
  <c r="E393" i="31"/>
  <c r="D580" i="31"/>
  <c r="D17" i="31"/>
  <c r="D616" i="31"/>
  <c r="D399" i="31"/>
  <c r="E639" i="31"/>
  <c r="D255" i="31"/>
  <c r="D110" i="31"/>
  <c r="D326" i="31"/>
  <c r="D484" i="31"/>
  <c r="D433" i="31"/>
  <c r="D130" i="31"/>
  <c r="D621" i="31"/>
  <c r="D545" i="31"/>
  <c r="D479" i="31"/>
  <c r="D609" i="31"/>
  <c r="E490" i="31"/>
  <c r="E499" i="31"/>
  <c r="D341" i="31"/>
  <c r="D167" i="31"/>
  <c r="D553" i="31"/>
  <c r="E602" i="31"/>
  <c r="E528" i="31"/>
  <c r="E173" i="31"/>
  <c r="D570" i="31"/>
  <c r="D142" i="31"/>
  <c r="E413" i="31"/>
  <c r="E534" i="31"/>
  <c r="E69" i="31"/>
  <c r="E51" i="31"/>
  <c r="D572" i="31"/>
  <c r="E213" i="31"/>
  <c r="E210" i="31"/>
  <c r="D75" i="31"/>
  <c r="E125" i="31"/>
  <c r="E57" i="31"/>
  <c r="E292" i="31"/>
  <c r="E480" i="31"/>
  <c r="E558" i="31"/>
  <c r="D462" i="31"/>
  <c r="D37" i="31"/>
  <c r="D613" i="31"/>
  <c r="D356" i="31"/>
  <c r="D51" i="31"/>
  <c r="E205" i="31"/>
  <c r="E608" i="31"/>
  <c r="E612" i="31"/>
  <c r="D487" i="31"/>
  <c r="D34" i="31"/>
  <c r="D476" i="31"/>
  <c r="E64" i="31"/>
  <c r="E244" i="31"/>
  <c r="D209" i="31"/>
  <c r="E180" i="31"/>
  <c r="E470" i="31"/>
  <c r="E579" i="31"/>
  <c r="E572" i="31"/>
  <c r="E326" i="31"/>
  <c r="E348" i="31"/>
  <c r="D191" i="31"/>
  <c r="E215" i="31"/>
  <c r="D50" i="31"/>
  <c r="D90" i="31"/>
  <c r="E611" i="31"/>
  <c r="E363" i="31"/>
  <c r="E472" i="31"/>
  <c r="E370" i="31"/>
  <c r="D117" i="31"/>
  <c r="D221" i="31"/>
  <c r="D251" i="31"/>
  <c r="D614" i="31"/>
  <c r="D258" i="31"/>
  <c r="E533" i="31"/>
  <c r="D163" i="31"/>
  <c r="D593" i="31"/>
  <c r="E336" i="31"/>
  <c r="E239" i="31"/>
  <c r="D193" i="31"/>
  <c r="D648" i="31"/>
  <c r="E122" i="31"/>
  <c r="D294" i="31"/>
  <c r="E471" i="31"/>
  <c r="D524" i="31"/>
  <c r="D109" i="31"/>
  <c r="D131" i="31"/>
  <c r="E581" i="31"/>
  <c r="E268" i="31"/>
  <c r="D544" i="31"/>
  <c r="D14" i="31"/>
  <c r="E561" i="31"/>
  <c r="E267" i="31"/>
  <c r="E387" i="31"/>
  <c r="D499" i="31"/>
  <c r="E473" i="31"/>
  <c r="E583" i="31"/>
  <c r="E232" i="31"/>
  <c r="E346" i="31"/>
  <c r="E10" i="31"/>
  <c r="E110" i="31"/>
  <c r="D599" i="31"/>
  <c r="D452" i="31"/>
  <c r="D297" i="31"/>
  <c r="D379" i="31"/>
  <c r="E235" i="31"/>
  <c r="D91" i="31"/>
  <c r="E30" i="31"/>
  <c r="E328" i="31"/>
  <c r="E233" i="31"/>
  <c r="D88" i="31"/>
  <c r="D304" i="31"/>
  <c r="D103" i="31"/>
  <c r="D240" i="31"/>
  <c r="E569" i="31"/>
  <c r="D155" i="31"/>
  <c r="E155" i="31"/>
  <c r="D133" i="31"/>
  <c r="D459" i="31"/>
  <c r="D59" i="31"/>
  <c r="D590" i="31"/>
  <c r="E53" i="31"/>
  <c r="D371" i="31"/>
  <c r="E241" i="31"/>
  <c r="D397" i="31"/>
  <c r="D523" i="31"/>
  <c r="D381" i="31"/>
  <c r="E647" i="31"/>
  <c r="D518" i="31"/>
  <c r="D62" i="31"/>
  <c r="D151" i="31"/>
  <c r="E457" i="31"/>
  <c r="E352" i="31"/>
  <c r="D236" i="31"/>
  <c r="D31" i="31"/>
  <c r="E474" i="31"/>
  <c r="D311" i="31"/>
  <c r="D173" i="31"/>
  <c r="E316" i="31"/>
  <c r="E253" i="31"/>
  <c r="D256" i="31"/>
  <c r="D461" i="31"/>
  <c r="E613" i="31"/>
  <c r="E108" i="31"/>
  <c r="E378" i="31"/>
  <c r="E72" i="31"/>
  <c r="D359" i="31"/>
  <c r="E563" i="31"/>
  <c r="E296" i="31"/>
  <c r="D100" i="31"/>
  <c r="E271" i="31"/>
  <c r="D605" i="31"/>
  <c r="D185" i="31"/>
  <c r="E512" i="31"/>
  <c r="E247" i="31"/>
  <c r="E427" i="31"/>
  <c r="D463" i="31"/>
  <c r="D222" i="31"/>
  <c r="E585" i="31"/>
  <c r="D538" i="31"/>
  <c r="D270" i="31"/>
  <c r="E80" i="31"/>
  <c r="D317" i="31"/>
  <c r="E209" i="31"/>
  <c r="E459" i="31"/>
  <c r="D583" i="31"/>
  <c r="E278" i="31"/>
  <c r="E344" i="31"/>
  <c r="D48" i="31"/>
  <c r="E174" i="31"/>
  <c r="E11" i="31"/>
  <c r="E189" i="31"/>
  <c r="D262" i="31"/>
  <c r="D629" i="31"/>
  <c r="E312" i="31"/>
  <c r="E178" i="31"/>
  <c r="E571" i="31"/>
  <c r="E383" i="31"/>
  <c r="E197" i="31"/>
  <c r="D408" i="31"/>
  <c r="E394" i="31"/>
  <c r="D114" i="31"/>
  <c r="E546" i="31"/>
  <c r="D61" i="31"/>
  <c r="D587" i="31"/>
  <c r="E246" i="31"/>
  <c r="E13" i="31"/>
  <c r="E550" i="31"/>
  <c r="E616" i="31"/>
  <c r="D11" i="31"/>
  <c r="D507" i="31"/>
  <c r="E604" i="31"/>
  <c r="D150" i="31"/>
  <c r="D362" i="31"/>
  <c r="E136" i="31"/>
  <c r="E100" i="31"/>
  <c r="D512" i="31"/>
  <c r="E347" i="31"/>
  <c r="D631" i="31"/>
  <c r="E412" i="31"/>
  <c r="D427" i="31"/>
  <c r="D525" i="31"/>
  <c r="E497" i="31"/>
  <c r="E339" i="31"/>
  <c r="E610" i="31"/>
  <c r="E37" i="31"/>
  <c r="D321" i="31"/>
  <c r="D519" i="31"/>
  <c r="E592" i="31"/>
  <c r="E372" i="31"/>
  <c r="E516" i="31"/>
  <c r="E541" i="31"/>
  <c r="D43" i="31"/>
  <c r="D466" i="31"/>
  <c r="D554" i="31"/>
  <c r="D344" i="31"/>
  <c r="E349" i="31"/>
  <c r="D365" i="31"/>
  <c r="D643" i="31"/>
  <c r="D234" i="31"/>
  <c r="E252" i="31"/>
  <c r="E386" i="31"/>
  <c r="E245" i="31"/>
  <c r="E329" i="31"/>
  <c r="E489" i="31"/>
  <c r="E624" i="31"/>
  <c r="D376" i="31"/>
  <c r="D520" i="31"/>
  <c r="D259" i="31"/>
  <c r="D559" i="31"/>
  <c r="E251" i="31"/>
  <c r="D420" i="31"/>
  <c r="D340" i="31"/>
  <c r="E119" i="31"/>
  <c r="E637" i="31"/>
  <c r="D253" i="31"/>
  <c r="E422" i="31"/>
  <c r="D647" i="31"/>
  <c r="E467" i="31"/>
  <c r="E92" i="31"/>
  <c r="D139" i="31"/>
  <c r="D53" i="31"/>
  <c r="D478" i="31"/>
  <c r="D489" i="31"/>
  <c r="E196" i="31"/>
  <c r="D226" i="31"/>
  <c r="E397" i="31"/>
  <c r="E606" i="31"/>
  <c r="D646" i="31"/>
  <c r="E511" i="31"/>
  <c r="E238" i="31"/>
  <c r="D6" i="31"/>
  <c r="E15" i="31"/>
  <c r="E179" i="31"/>
  <c r="D385" i="31"/>
  <c r="E582" i="31"/>
  <c r="D159" i="31"/>
  <c r="D292" i="31"/>
  <c r="D369" i="31"/>
  <c r="D145" i="31"/>
  <c r="E597" i="31"/>
  <c r="D581" i="31"/>
  <c r="D477" i="31"/>
  <c r="D407" i="31"/>
  <c r="E290" i="31"/>
  <c r="D377" i="31"/>
  <c r="D266" i="31"/>
  <c r="E287" i="31"/>
  <c r="E380" i="31"/>
  <c r="E22" i="31"/>
  <c r="D589" i="31"/>
  <c r="D468" i="31"/>
  <c r="E537" i="31"/>
  <c r="E274" i="31"/>
  <c r="E536" i="31"/>
  <c r="E574" i="31"/>
  <c r="D198" i="31"/>
  <c r="D347" i="31"/>
  <c r="D602" i="31"/>
  <c r="D320" i="31"/>
  <c r="D200" i="31"/>
  <c r="D447" i="31"/>
  <c r="E285" i="31"/>
  <c r="E203" i="31"/>
  <c r="D29" i="31"/>
  <c r="E640" i="31"/>
  <c r="E90" i="31"/>
  <c r="E129" i="31"/>
  <c r="D595" i="31"/>
  <c r="E36" i="31"/>
  <c r="E431" i="31"/>
  <c r="E6" i="31"/>
  <c r="E299" i="31"/>
  <c r="D505" i="31"/>
  <c r="E201" i="31"/>
  <c r="D500" i="31"/>
  <c r="E359" i="31"/>
  <c r="E364" i="31"/>
  <c r="E517" i="31"/>
  <c r="E32" i="31"/>
  <c r="D563" i="31"/>
  <c r="E116" i="31"/>
  <c r="E432" i="31"/>
  <c r="E172" i="31"/>
  <c r="E84" i="31"/>
  <c r="D615" i="31"/>
  <c r="E544" i="31"/>
  <c r="E313" i="31"/>
  <c r="D336" i="31"/>
  <c r="D146" i="31"/>
  <c r="D531" i="31"/>
  <c r="E283" i="31"/>
  <c r="D122" i="31"/>
  <c r="E91" i="31"/>
  <c r="D169" i="31"/>
  <c r="D552" i="31"/>
  <c r="E142" i="31"/>
  <c r="E300" i="31"/>
  <c r="D39" i="31"/>
  <c r="D624" i="31"/>
  <c r="E83" i="31"/>
  <c r="E494" i="31"/>
  <c r="D424" i="31"/>
  <c r="D338" i="31"/>
  <c r="E495" i="31"/>
  <c r="D82" i="31"/>
  <c r="E327" i="31"/>
  <c r="E492" i="31"/>
  <c r="D95" i="31"/>
  <c r="D80" i="31"/>
  <c r="E532" i="31"/>
  <c r="E564" i="31"/>
  <c r="D492" i="31"/>
  <c r="D83" i="31"/>
  <c r="E625" i="31"/>
  <c r="E158" i="31"/>
  <c r="D35" i="31"/>
  <c r="D636" i="31"/>
  <c r="D532" i="31"/>
  <c r="E437" i="31"/>
  <c r="E89" i="31"/>
  <c r="D642" i="31"/>
  <c r="E222" i="31"/>
  <c r="D324" i="31"/>
  <c r="E8" i="31"/>
  <c r="D189" i="31"/>
  <c r="E620" i="31"/>
  <c r="D65" i="31"/>
  <c r="E9" i="31"/>
  <c r="E425" i="31"/>
  <c r="D467" i="31"/>
  <c r="D591" i="31"/>
  <c r="D441" i="31"/>
  <c r="E379" i="31"/>
  <c r="E376" i="31"/>
  <c r="D218" i="31"/>
  <c r="D372" i="31"/>
  <c r="D125" i="31"/>
  <c r="D54" i="31"/>
  <c r="D141" i="31"/>
  <c r="D285" i="31"/>
  <c r="D418" i="31"/>
  <c r="D337" i="31"/>
  <c r="D374" i="31"/>
  <c r="E318" i="31"/>
  <c r="D384" i="31"/>
  <c r="D156" i="31"/>
  <c r="D115" i="31"/>
  <c r="E504" i="31"/>
  <c r="E117" i="31"/>
  <c r="E456" i="31"/>
  <c r="E242" i="31"/>
  <c r="D456" i="31"/>
  <c r="D367" i="31"/>
  <c r="E562" i="31"/>
  <c r="D295" i="31"/>
  <c r="E265" i="31"/>
  <c r="E576" i="31"/>
  <c r="D263" i="31"/>
  <c r="E115" i="31"/>
  <c r="E330" i="31"/>
  <c r="E449" i="31"/>
  <c r="D435" i="31"/>
  <c r="E331" i="31"/>
  <c r="D342" i="31"/>
  <c r="E632" i="31"/>
  <c r="D275" i="31"/>
  <c r="E295" i="31"/>
  <c r="E641" i="31"/>
  <c r="E259" i="31"/>
  <c r="D197" i="31"/>
  <c r="E126" i="31"/>
  <c r="D598" i="31"/>
  <c r="E266" i="31"/>
  <c r="E294" i="31"/>
  <c r="E501" i="31"/>
  <c r="D638" i="31"/>
  <c r="E335" i="31"/>
  <c r="E357" i="31"/>
  <c r="D400" i="31"/>
  <c r="E623" i="31"/>
  <c r="E111" i="31"/>
  <c r="D21" i="31"/>
  <c r="D199" i="31"/>
  <c r="E373" i="31"/>
  <c r="E258" i="31"/>
  <c r="E7" i="31"/>
  <c r="E315" i="31"/>
  <c r="D225" i="31"/>
  <c r="D481" i="31"/>
  <c r="E128" i="31"/>
  <c r="D135" i="31"/>
  <c r="E460" i="31"/>
  <c r="E643" i="31"/>
  <c r="E341" i="31"/>
  <c r="D370" i="31"/>
  <c r="D12" i="31"/>
  <c r="E121" i="31"/>
  <c r="E40" i="31"/>
  <c r="D23" i="31"/>
  <c r="D204" i="31"/>
  <c r="E483" i="31"/>
  <c r="E260" i="31"/>
  <c r="D302" i="31"/>
  <c r="E618" i="31"/>
  <c r="E418" i="31"/>
  <c r="D409" i="31"/>
  <c r="E466" i="31"/>
  <c r="D57" i="31"/>
  <c r="D334" i="31"/>
  <c r="E461" i="31"/>
  <c r="E565" i="31"/>
  <c r="E99" i="31"/>
  <c r="D432" i="31"/>
  <c r="D423" i="31"/>
  <c r="E314" i="31"/>
  <c r="D537" i="31"/>
  <c r="D201" i="31"/>
  <c r="D619" i="31"/>
  <c r="D144" i="31"/>
  <c r="D438" i="31"/>
  <c r="D510" i="31"/>
  <c r="E342" i="31"/>
  <c r="E211" i="31"/>
  <c r="E308" i="31"/>
  <c r="D92" i="31"/>
  <c r="D560" i="31"/>
  <c r="E198" i="31"/>
  <c r="E493" i="31"/>
  <c r="D28" i="31"/>
  <c r="E160" i="31"/>
  <c r="D138" i="31"/>
  <c r="D454" i="31"/>
  <c r="E417" i="31"/>
  <c r="E555" i="31"/>
  <c r="E395" i="31"/>
  <c r="D166" i="31"/>
  <c r="D451" i="31"/>
  <c r="E159" i="31"/>
  <c r="E192" i="31"/>
  <c r="E277" i="31"/>
  <c r="E530" i="31"/>
  <c r="E513" i="31"/>
  <c r="E134" i="31"/>
  <c r="E444" i="31"/>
  <c r="E262" i="31"/>
  <c r="D596" i="31"/>
  <c r="D569" i="31"/>
  <c r="D419" i="31"/>
  <c r="D69" i="31"/>
  <c r="E559" i="31"/>
  <c r="E351" i="31"/>
  <c r="E367" i="31"/>
  <c r="E147" i="31"/>
  <c r="D217" i="31"/>
  <c r="D526" i="31"/>
  <c r="D195" i="31"/>
  <c r="E243" i="31"/>
  <c r="D273" i="31"/>
  <c r="E95" i="31"/>
  <c r="E402" i="31"/>
  <c r="E16" i="31"/>
  <c r="D149" i="31"/>
  <c r="E465" i="31"/>
  <c r="D515" i="31"/>
  <c r="E531" i="31"/>
  <c r="E131" i="31"/>
  <c r="D22" i="31"/>
  <c r="D406" i="31"/>
  <c r="D546" i="31"/>
  <c r="D516" i="31"/>
  <c r="E441" i="31"/>
  <c r="E45" i="31"/>
  <c r="D534" i="31"/>
  <c r="D30" i="31"/>
  <c r="E500" i="31"/>
  <c r="E514" i="31"/>
  <c r="D364" i="31"/>
  <c r="D625" i="31"/>
  <c r="E77" i="31"/>
  <c r="D293" i="31"/>
  <c r="D571" i="31"/>
  <c r="E273" i="31"/>
  <c r="E617" i="31"/>
  <c r="E225" i="31"/>
  <c r="E409" i="31"/>
  <c r="E400" i="31"/>
  <c r="D94" i="31"/>
  <c r="E130" i="31"/>
  <c r="D628" i="31"/>
  <c r="E199" i="31"/>
  <c r="E638" i="31"/>
  <c r="D322" i="31"/>
  <c r="D25" i="31"/>
  <c r="D160" i="31"/>
  <c r="E440" i="31"/>
  <c r="E3" i="31"/>
  <c r="E450" i="31"/>
  <c r="E55" i="31"/>
  <c r="E433" i="31"/>
  <c r="D101" i="31"/>
  <c r="E551" i="31"/>
  <c r="D216" i="31"/>
  <c r="E114" i="31"/>
  <c r="D353" i="31"/>
  <c r="E390" i="31"/>
  <c r="E462" i="31"/>
  <c r="D153" i="31"/>
  <c r="E385" i="31"/>
  <c r="E103" i="31"/>
  <c r="E605" i="31"/>
  <c r="E439" i="31"/>
  <c r="E109" i="31"/>
  <c r="E181" i="31"/>
  <c r="D202" i="31"/>
  <c r="D561" i="31"/>
  <c r="E240" i="31"/>
  <c r="E157" i="31"/>
  <c r="D132" i="31"/>
  <c r="E231" i="31"/>
  <c r="D264" i="31"/>
  <c r="D482" i="31"/>
  <c r="E18" i="31"/>
  <c r="E547" i="31"/>
  <c r="D210" i="31"/>
  <c r="E553" i="31"/>
  <c r="E633" i="31"/>
  <c r="D363" i="31"/>
  <c r="E204" i="31"/>
  <c r="E419" i="31"/>
  <c r="E521" i="31"/>
  <c r="D305" i="31"/>
  <c r="E275" i="31"/>
  <c r="D172" i="31"/>
  <c r="D277" i="31"/>
  <c r="E428" i="31"/>
  <c r="D243" i="31"/>
  <c r="E334" i="31"/>
  <c r="D335" i="31"/>
  <c r="D640" i="31"/>
  <c r="E270" i="31"/>
  <c r="E485" i="31"/>
  <c r="D186" i="31"/>
  <c r="E206" i="31"/>
  <c r="D252" i="31"/>
  <c r="D56" i="31"/>
  <c r="E75" i="31"/>
  <c r="E545" i="31"/>
  <c r="E112" i="31"/>
  <c r="D229" i="31"/>
  <c r="E123" i="31"/>
  <c r="D517" i="31"/>
  <c r="D241" i="31"/>
  <c r="E398" i="31"/>
  <c r="D127" i="31"/>
  <c r="D4" i="31"/>
  <c r="D473" i="31"/>
  <c r="D180" i="31"/>
  <c r="D279" i="31"/>
  <c r="D449" i="31"/>
  <c r="E578" i="31"/>
  <c r="E443" i="31"/>
  <c r="E590" i="31"/>
  <c r="E454" i="31"/>
  <c r="D46" i="31"/>
  <c r="E603" i="31"/>
  <c r="E162" i="31"/>
  <c r="D315" i="31"/>
  <c r="D280" i="31"/>
  <c r="E14" i="31"/>
  <c r="E263" i="31"/>
  <c r="D527" i="31"/>
  <c r="E614" i="31"/>
  <c r="E507" i="31"/>
  <c r="D246" i="31"/>
  <c r="D158" i="31"/>
  <c r="E484" i="31"/>
  <c r="E34" i="31"/>
  <c r="D244" i="31"/>
  <c r="D278" i="31"/>
  <c r="D89" i="31"/>
  <c r="D645" i="31"/>
  <c r="D350" i="31"/>
  <c r="D396" i="31"/>
  <c r="D405" i="31"/>
  <c r="D314" i="31"/>
  <c r="E455" i="31"/>
  <c r="D333" i="31"/>
  <c r="D238" i="31"/>
  <c r="D566" i="31"/>
  <c r="D600" i="31"/>
  <c r="D496" i="31"/>
  <c r="D64" i="31"/>
  <c r="E319" i="31"/>
  <c r="D390" i="31"/>
  <c r="E560" i="31"/>
  <c r="E176" i="31"/>
  <c r="E61" i="31"/>
  <c r="E256" i="31"/>
  <c r="E148" i="31"/>
  <c r="E404" i="31"/>
  <c r="D429" i="31"/>
  <c r="D421" i="31"/>
  <c r="D231" i="31"/>
  <c r="E183" i="31"/>
  <c r="D617" i="31"/>
  <c r="D232" i="31"/>
  <c r="E301" i="31"/>
  <c r="D373" i="31"/>
  <c r="E568" i="31"/>
  <c r="D323" i="31"/>
  <c r="D300" i="31"/>
  <c r="D271" i="31"/>
  <c r="D143" i="31"/>
  <c r="E591" i="31"/>
  <c r="D530" i="31"/>
  <c r="E166" i="31"/>
  <c r="D394" i="31"/>
  <c r="D233" i="31"/>
  <c r="E307" i="31"/>
  <c r="E526" i="31"/>
  <c r="E73" i="31"/>
  <c r="D626" i="31"/>
  <c r="E27" i="31"/>
  <c r="D247" i="31"/>
  <c r="D165" i="31"/>
  <c r="D148" i="31"/>
  <c r="D413" i="31"/>
  <c r="D70" i="31"/>
  <c r="D170" i="31"/>
  <c r="D498" i="31"/>
  <c r="D154" i="31"/>
  <c r="D503" i="31"/>
  <c r="E414" i="31"/>
  <c r="E175" i="31"/>
  <c r="D76" i="31"/>
  <c r="E479" i="31"/>
  <c r="D289" i="31"/>
  <c r="D291" i="31"/>
  <c r="E269" i="31"/>
  <c r="E63" i="31"/>
  <c r="E577" i="31"/>
  <c r="E167" i="31"/>
  <c r="E570" i="31"/>
  <c r="E218" i="31"/>
  <c r="E594" i="31"/>
  <c r="D383" i="31"/>
  <c r="D445" i="31"/>
  <c r="E88" i="31"/>
  <c r="E281" i="31"/>
  <c r="E392" i="31"/>
  <c r="E365" i="31"/>
  <c r="D129" i="31"/>
  <c r="D568" i="31"/>
  <c r="E491" i="31"/>
  <c r="D257" i="31"/>
  <c r="E286" i="31"/>
  <c r="D18" i="31"/>
  <c r="E391" i="31"/>
  <c r="E421" i="31"/>
  <c r="D331" i="31"/>
  <c r="D178" i="31"/>
  <c r="E469" i="31"/>
  <c r="D633" i="31"/>
  <c r="E426" i="31"/>
  <c r="D93" i="31"/>
  <c r="D194" i="31"/>
  <c r="E105" i="31"/>
  <c r="D121" i="31"/>
  <c r="D483" i="31"/>
  <c r="E46" i="31"/>
  <c r="E59" i="31"/>
  <c r="E79" i="31"/>
  <c r="D506" i="31"/>
  <c r="E303" i="31"/>
  <c r="E49" i="31"/>
  <c r="D565" i="31"/>
  <c r="E106" i="31"/>
  <c r="D586" i="31"/>
  <c r="E502" i="31"/>
  <c r="D608" i="31"/>
  <c r="D627" i="31"/>
  <c r="D343" i="31"/>
  <c r="D276" i="31"/>
  <c r="D585" i="31"/>
  <c r="D611" i="31"/>
  <c r="D308" i="31"/>
  <c r="D73" i="31"/>
  <c r="E381" i="31"/>
  <c r="D542" i="31"/>
  <c r="D592" i="31"/>
  <c r="E408" i="31"/>
  <c r="D124" i="31"/>
  <c r="E524" i="31"/>
  <c r="D511" i="31"/>
  <c r="E70" i="31"/>
  <c r="D618" i="31"/>
  <c r="E212" i="31"/>
  <c r="E438" i="31"/>
  <c r="E475" i="31"/>
  <c r="E24" i="31"/>
  <c r="D86" i="31"/>
  <c r="D514" i="31"/>
  <c r="E622" i="31"/>
  <c r="E522" i="31"/>
  <c r="E324" i="31"/>
  <c r="D348" i="31"/>
  <c r="D488" i="31"/>
  <c r="E254" i="31"/>
  <c r="E145" i="31"/>
  <c r="E362" i="31"/>
  <c r="D318" i="31"/>
  <c r="E227" i="31"/>
  <c r="E170" i="31"/>
  <c r="D41" i="31"/>
  <c r="D282" i="31"/>
  <c r="E405" i="31"/>
  <c r="E598" i="31"/>
  <c r="D330" i="31"/>
  <c r="E525" i="31"/>
  <c r="D594" i="31"/>
  <c r="D19" i="31"/>
  <c r="E220" i="31"/>
  <c r="D235" i="31"/>
  <c r="E5" i="31"/>
  <c r="E337" i="31"/>
  <c r="D261" i="31"/>
  <c r="D440" i="31"/>
  <c r="D620" i="31"/>
  <c r="E302" i="31"/>
  <c r="D319" i="31"/>
  <c r="D227" i="31"/>
  <c r="D118" i="31"/>
  <c r="E595" i="31"/>
  <c r="D79" i="31"/>
  <c r="E12" i="31"/>
  <c r="E305" i="31"/>
  <c r="D20" i="31"/>
  <c r="E503" i="31"/>
  <c r="D360" i="31"/>
  <c r="E224" i="31"/>
  <c r="D428" i="31"/>
  <c r="D283" i="31"/>
  <c r="E333" i="31"/>
  <c r="E141" i="31"/>
  <c r="D27" i="31"/>
  <c r="D113" i="31"/>
  <c r="D237" i="31"/>
  <c r="E60" i="31"/>
  <c r="D472" i="31"/>
  <c r="D104" i="31"/>
  <c r="D13" i="31"/>
  <c r="E96" i="31"/>
  <c r="E435" i="31"/>
  <c r="E543" i="31"/>
  <c r="E139" i="31"/>
  <c r="D584" i="31"/>
  <c r="D214" i="31"/>
  <c r="D66" i="31"/>
  <c r="D183" i="31"/>
  <c r="E420" i="31"/>
  <c r="E208" i="31"/>
  <c r="D220" i="31"/>
  <c r="E56" i="31"/>
  <c r="D77" i="31"/>
  <c r="E322" i="31"/>
  <c r="D345" i="31"/>
  <c r="E396" i="31"/>
  <c r="D411" i="31"/>
  <c r="E487" i="31"/>
  <c r="E411" i="31"/>
  <c r="D352" i="31"/>
  <c r="E165" i="31"/>
  <c r="E317" i="31"/>
  <c r="E410" i="31"/>
  <c r="E85" i="31"/>
  <c r="D184" i="31"/>
  <c r="E389" i="31"/>
  <c r="D260" i="31"/>
  <c r="D306" i="31"/>
  <c r="E306" i="31"/>
  <c r="E97" i="31"/>
  <c r="E191" i="31"/>
  <c r="E124" i="31"/>
  <c r="D307" i="31"/>
  <c r="E113" i="31"/>
  <c r="D395" i="31"/>
  <c r="D471" i="31"/>
  <c r="D551" i="31"/>
  <c r="E587" i="31"/>
  <c r="E33" i="31"/>
  <c r="D588" i="31"/>
  <c r="E486" i="31"/>
  <c r="E133" i="31"/>
  <c r="D203" i="31"/>
  <c r="D644" i="31"/>
  <c r="D230" i="31"/>
  <c r="D549" i="31"/>
  <c r="E542" i="31"/>
  <c r="E234" i="31"/>
  <c r="D140" i="31"/>
  <c r="E600" i="31"/>
  <c r="D9" i="31"/>
  <c r="E280" i="31"/>
  <c r="E214" i="31"/>
  <c r="E237" i="31"/>
  <c r="E368" i="31"/>
  <c r="E648" i="31"/>
  <c r="D112" i="31"/>
  <c r="E168" i="31"/>
  <c r="D453" i="31"/>
  <c r="E358" i="31"/>
  <c r="E261" i="31"/>
  <c r="E452" i="31"/>
  <c r="D529" i="31"/>
  <c r="D632" i="31"/>
  <c r="D439" i="31"/>
  <c r="E21" i="31"/>
  <c r="D26" i="31"/>
  <c r="D128" i="31"/>
  <c r="E325" i="31"/>
  <c r="D164" i="31"/>
  <c r="E477" i="31"/>
  <c r="D67" i="31"/>
  <c r="D404" i="31"/>
  <c r="D228" i="31"/>
  <c r="E360" i="31"/>
  <c r="D49" i="31"/>
  <c r="D81" i="31"/>
  <c r="E140" i="31"/>
  <c r="E529" i="31"/>
  <c r="E118" i="31"/>
  <c r="E249" i="31"/>
  <c r="E132" i="31"/>
  <c r="E248" i="31"/>
  <c r="D357" i="31"/>
  <c r="E482" i="31"/>
  <c r="E508" i="31"/>
  <c r="D458" i="31"/>
  <c r="E182" i="31"/>
  <c r="E120" i="31"/>
  <c r="D577" i="31"/>
  <c r="E519" i="31"/>
  <c r="D355" i="31"/>
  <c r="E76" i="31"/>
  <c r="E345" i="31"/>
  <c r="D85" i="31"/>
  <c r="E135" i="31"/>
  <c r="D327" i="31"/>
  <c r="E193" i="31"/>
  <c r="E223" i="31"/>
  <c r="E371" i="31"/>
  <c r="D582" i="31"/>
  <c r="E626" i="31"/>
  <c r="E310" i="31"/>
  <c r="D635" i="31"/>
  <c r="D55" i="31"/>
  <c r="D248" i="31"/>
  <c r="E586" i="31"/>
  <c r="D457" i="31"/>
  <c r="D495" i="31"/>
  <c r="D497" i="31"/>
  <c r="E221" i="31"/>
  <c r="D162" i="31"/>
  <c r="E298" i="31"/>
  <c r="D422" i="31"/>
  <c r="D182" i="31"/>
  <c r="D382" i="31"/>
  <c r="D567" i="31"/>
  <c r="D607" i="31"/>
  <c r="D555" i="31"/>
  <c r="E25" i="31"/>
  <c r="D574" i="31"/>
  <c r="D398" i="31"/>
  <c r="E177" i="31"/>
  <c r="D509" i="31"/>
  <c r="D192" i="31"/>
  <c r="D623" i="31"/>
  <c r="E154" i="31"/>
  <c r="D287" i="31"/>
  <c r="D32" i="31"/>
  <c r="D564" i="31"/>
  <c r="D541" i="31"/>
  <c r="D328" i="31"/>
  <c r="D535" i="31"/>
  <c r="D33" i="31"/>
  <c r="E406" i="31"/>
  <c r="E101" i="31"/>
  <c r="D254" i="31"/>
  <c r="D312" i="31"/>
  <c r="E78" i="31"/>
  <c r="D639" i="31"/>
  <c r="E26" i="31"/>
  <c r="D455" i="31"/>
  <c r="D60" i="31"/>
  <c r="D437" i="31"/>
  <c r="D601" i="31"/>
  <c r="D98" i="31"/>
  <c r="D366" i="31"/>
  <c r="E388" i="31"/>
  <c r="D211" i="31"/>
  <c r="E288" i="31"/>
  <c r="E505" i="31"/>
  <c r="E634" i="31"/>
  <c r="E515" i="31"/>
  <c r="D325" i="31"/>
  <c r="D630" i="31"/>
  <c r="E642" i="31"/>
  <c r="D470" i="31"/>
  <c r="D8" i="31"/>
  <c r="E343" i="31"/>
  <c r="D522" i="31"/>
  <c r="E320" i="31"/>
  <c r="E164" i="31"/>
  <c r="E429" i="31"/>
  <c r="E276" i="31"/>
  <c r="E58" i="31"/>
  <c r="E226" i="31"/>
  <c r="E19" i="31"/>
  <c r="E548" i="31"/>
  <c r="E94" i="31"/>
  <c r="D301" i="31"/>
  <c r="E415" i="31"/>
  <c r="E366" i="31"/>
  <c r="E488" i="31"/>
  <c r="E149" i="31"/>
  <c r="D604" i="31"/>
  <c r="E186" i="31"/>
  <c r="E527" i="31"/>
  <c r="D485" i="31"/>
  <c r="D494" i="31"/>
  <c r="E447" i="31"/>
  <c r="E509" i="31"/>
  <c r="E289" i="31"/>
  <c r="E601" i="31"/>
  <c r="D386" i="31"/>
  <c r="D3" i="31"/>
  <c r="E588" i="31"/>
  <c r="E81" i="31"/>
  <c r="D417" i="31"/>
  <c r="E468" i="31"/>
  <c r="D358" i="31"/>
  <c r="E152" i="31"/>
  <c r="E518" i="31"/>
  <c r="E599" i="31"/>
  <c r="E434" i="31"/>
  <c r="D7" i="31"/>
  <c r="E416" i="31"/>
  <c r="D491" i="31"/>
  <c r="E228" i="31"/>
  <c r="D480" i="31"/>
  <c r="E38" i="31"/>
  <c r="E62" i="31"/>
  <c r="E230" i="31"/>
  <c r="D434" i="31"/>
  <c r="D303" i="31"/>
  <c r="D212" i="31"/>
  <c r="E31" i="31"/>
  <c r="D448" i="31"/>
  <c r="D298" i="31"/>
  <c r="D469" i="31"/>
  <c r="D575" i="31"/>
  <c r="E481" i="31"/>
  <c r="D265" i="31"/>
  <c r="E596" i="31"/>
  <c r="E399" i="31"/>
  <c r="D387" i="31"/>
  <c r="D513" i="31"/>
  <c r="D425" i="31"/>
  <c r="D42" i="31"/>
  <c r="E293" i="31"/>
  <c r="D533" i="31"/>
  <c r="E190" i="31"/>
  <c r="D268" i="31"/>
  <c r="D521" i="31"/>
  <c r="E194" i="31"/>
  <c r="E403" i="31"/>
  <c r="D84" i="31"/>
  <c r="E445" i="31"/>
  <c r="E44" i="31"/>
  <c r="E350" i="31"/>
  <c r="D464" i="31"/>
  <c r="E20" i="31"/>
  <c r="E464" i="31"/>
  <c r="E207" i="31"/>
  <c r="D47" i="31"/>
  <c r="E217" i="31"/>
  <c r="D120" i="31"/>
  <c r="D414" i="31"/>
  <c r="E255" i="31"/>
  <c r="D641" i="31"/>
  <c r="E171" i="31"/>
  <c r="E104" i="31"/>
  <c r="E384" i="31"/>
  <c r="D637" i="31"/>
  <c r="E304" i="31"/>
  <c r="E506" i="31"/>
  <c r="E250" i="31"/>
  <c r="D375" i="31"/>
  <c r="D274" i="31"/>
  <c r="D536" i="31"/>
  <c r="D134" i="31"/>
  <c r="E50" i="31"/>
  <c r="E498" i="31"/>
  <c r="D187" i="31"/>
  <c r="D444" i="31"/>
  <c r="D126" i="31"/>
  <c r="D329" i="31"/>
  <c r="D188" i="31"/>
  <c r="E107" i="31"/>
  <c r="D38" i="31"/>
  <c r="D502" i="31"/>
  <c r="D412" i="31"/>
  <c r="E156" i="31"/>
  <c r="E52" i="31"/>
  <c r="D223" i="31"/>
  <c r="E143" i="31"/>
  <c r="D119" i="31"/>
  <c r="E607" i="31"/>
  <c r="D446" i="31"/>
  <c r="D528" i="31"/>
  <c r="E539" i="31"/>
  <c r="D508" i="31"/>
  <c r="D430" i="31"/>
  <c r="D351" i="31"/>
  <c r="D465" i="31"/>
  <c r="E451" i="31"/>
  <c r="E321" i="31"/>
  <c r="D106" i="31"/>
  <c r="D431" i="31"/>
  <c r="E615" i="31"/>
  <c r="E43" i="31"/>
  <c r="E621" i="31"/>
  <c r="E29" i="31"/>
  <c r="D460" i="31"/>
  <c r="E42" i="31"/>
  <c r="D177" i="31"/>
  <c r="D196" i="31"/>
  <c r="D416" i="31"/>
  <c r="D242" i="31"/>
  <c r="E557" i="31"/>
  <c r="D213" i="31"/>
  <c r="D108" i="31"/>
  <c r="D176" i="31"/>
  <c r="E297" i="31"/>
  <c r="D123" i="31"/>
  <c r="E47" i="31"/>
  <c r="E538" i="31"/>
  <c r="D486" i="31"/>
  <c r="E311" i="31"/>
  <c r="D15" i="31"/>
  <c r="E66" i="31"/>
  <c r="E629" i="31"/>
  <c r="D58" i="31"/>
  <c r="D239" i="31"/>
  <c r="E407" i="31"/>
  <c r="E332" i="31"/>
  <c r="E87" i="31"/>
  <c r="E188" i="31"/>
  <c r="E567" i="31"/>
  <c r="E354" i="31"/>
  <c r="D402" i="31"/>
  <c r="D556" i="31"/>
  <c r="E566" i="31"/>
  <c r="D16" i="31"/>
  <c r="E630" i="31"/>
  <c r="E476" i="31"/>
  <c r="E593" i="31"/>
  <c r="E68" i="31"/>
  <c r="E549" i="31"/>
  <c r="E356" i="31"/>
  <c r="D190" i="31"/>
  <c r="E375" i="31"/>
  <c r="D249" i="31"/>
  <c r="D272" i="31"/>
  <c r="E169" i="31"/>
  <c r="D290" i="31"/>
  <c r="D634" i="31"/>
  <c r="D71" i="31"/>
  <c r="D573" i="31"/>
  <c r="E340" i="31"/>
  <c r="E291" i="31"/>
  <c r="D579" i="31"/>
  <c r="D299" i="31"/>
  <c r="D540" i="31"/>
  <c r="D393" i="31"/>
  <c r="E229" i="31"/>
  <c r="D389" i="31"/>
  <c r="D403" i="31"/>
  <c r="E23" i="31"/>
  <c r="D442" i="31"/>
  <c r="D603" i="31"/>
  <c r="E377" i="31"/>
  <c r="E185" i="31"/>
  <c r="D10" i="31"/>
  <c r="E627" i="31"/>
  <c r="D97" i="31"/>
  <c r="E138" i="31"/>
  <c r="D74" i="31"/>
  <c r="D269" i="31"/>
  <c r="D401" i="31"/>
  <c r="E478" i="31"/>
  <c r="E628" i="31"/>
  <c r="D245" i="31"/>
  <c r="E424" i="31"/>
  <c r="D490" i="31"/>
  <c r="D378" i="31"/>
  <c r="D562" i="31"/>
  <c r="D96" i="31"/>
  <c r="E200" i="31"/>
  <c r="E496" i="31"/>
  <c r="D78" i="31"/>
  <c r="E575" i="31"/>
  <c r="D181" i="31"/>
  <c r="D52" i="31"/>
  <c r="D206" i="31"/>
  <c r="D576" i="31"/>
  <c r="E82" i="31"/>
  <c r="D87" i="31"/>
  <c r="E645" i="31"/>
  <c r="E86" i="31"/>
  <c r="D111" i="31"/>
  <c r="E282" i="31"/>
  <c r="E150" i="31"/>
  <c r="E151" i="31"/>
  <c r="D622" i="31"/>
  <c r="D40" i="31"/>
  <c r="D415" i="31"/>
  <c r="E430" i="31"/>
  <c r="E446" i="31"/>
  <c r="D475" i="31"/>
  <c r="D24" i="31"/>
  <c r="D346" i="31"/>
  <c r="E448" i="31"/>
  <c r="E93" i="31"/>
  <c r="D99" i="31"/>
  <c r="E137" i="31"/>
  <c r="E67" i="31"/>
  <c r="D152" i="31"/>
  <c r="D208" i="31"/>
  <c r="D474" i="31"/>
  <c r="E146" i="31"/>
  <c r="D550" i="31"/>
  <c r="D171" i="31"/>
  <c r="D606" i="31"/>
  <c r="E216" i="31"/>
  <c r="E65" i="31"/>
  <c r="E144" i="31"/>
  <c r="E401" i="31"/>
  <c r="E510" i="31"/>
  <c r="D215" i="31"/>
  <c r="D349" i="31"/>
  <c r="E589" i="31"/>
  <c r="E54" i="31"/>
  <c r="D286" i="31"/>
  <c r="E374" i="31"/>
  <c r="E552" i="31"/>
  <c r="D548" i="31"/>
  <c r="E338" i="31"/>
  <c r="E554" i="31"/>
  <c r="D281" i="31"/>
  <c r="E41" i="31"/>
  <c r="D380" i="31"/>
  <c r="D332" i="31"/>
  <c r="E127" i="31"/>
  <c r="D102" i="31"/>
  <c r="E48" i="31"/>
  <c r="E540" i="31"/>
  <c r="E4" i="31"/>
  <c r="E382" i="31"/>
  <c r="E573" i="31"/>
  <c r="E523" i="31"/>
  <c r="E369" i="31"/>
  <c r="D539" i="31"/>
  <c r="D558" i="31"/>
  <c r="D136" i="31"/>
  <c r="E284" i="31"/>
  <c r="D436" i="31"/>
  <c r="D207" i="31"/>
  <c r="D168" i="31"/>
  <c r="E17" i="31"/>
  <c r="E646" i="31"/>
  <c r="E71" i="31"/>
  <c r="E458" i="31"/>
  <c r="D36" i="31"/>
  <c r="E279" i="31"/>
  <c r="D578" i="31"/>
  <c r="D392" i="31"/>
  <c r="E219" i="31"/>
  <c r="E264" i="31"/>
  <c r="D267" i="31"/>
  <c r="D116" i="31"/>
  <c r="D68" i="31"/>
  <c r="E202" i="31"/>
  <c r="D310" i="31"/>
  <c r="E28" i="31"/>
  <c r="D175" i="31"/>
  <c r="E556" i="31"/>
  <c r="D157" i="31"/>
  <c r="D504" i="31"/>
  <c r="D219" i="31"/>
  <c r="E453" i="31"/>
  <c r="D612" i="31"/>
  <c r="D250" i="31"/>
  <c r="D63" i="31"/>
  <c r="D205" i="31"/>
  <c r="D179" i="31"/>
  <c r="D309" i="31"/>
  <c r="E102" i="31"/>
  <c r="E535" i="31"/>
  <c r="D161" i="31"/>
  <c r="E74" i="31"/>
  <c r="D426" i="31"/>
  <c r="E39" i="31"/>
  <c r="D147" i="31"/>
  <c r="D137" i="31"/>
  <c r="E463" i="31"/>
  <c r="E323" i="31"/>
  <c r="E309" i="31"/>
  <c r="D391" i="31"/>
  <c r="D72" i="31"/>
  <c r="D501" i="31"/>
  <c r="E636" i="31"/>
  <c r="D296" i="31"/>
  <c r="D388" i="31"/>
  <c r="E272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<sst xmlns="http://schemas.openxmlformats.org/spreadsheetml/2006/main" count="20766" uniqueCount="6489">
  <si>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</si>
  <si>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</si>
  <si>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</si>
  <si>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</si>
  <si>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</si>
  <si>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</si>
  <si>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</si>
  <si>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</si>
  <si>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</si>
  <si>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</si>
  <si>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</si>
  <si>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</si>
  <si>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</si>
  <si>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</si>
  <si>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</si>
  <si>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</si>
  <si>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</si>
  <si>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</si>
  <si>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</si>
  <si>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</si>
  <si>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</si>
  <si>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</si>
  <si>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</si>
  <si>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</si>
  <si>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</si>
  <si>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</si>
  <si>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</si>
  <si>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</si>
  <si>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</si>
  <si>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</si>
  <si>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</si>
  <si>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</si>
  <si>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</si>
  <si>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</si>
  <si>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</si>
  <si>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</si>
  <si>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</si>
  <si>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</si>
  <si>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</si>
  <si>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</si>
  <si>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</si>
  <si>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</si>
  <si>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</si>
  <si>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</si>
  <si>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</si>
  <si>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</si>
  <si>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</si>
  <si>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</si>
  <si>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</si>
  <si>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</si>
  <si>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</si>
  <si>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</si>
  <si>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</si>
  <si>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</si>
  <si>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</si>
  <si>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</si>
  <si>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</si>
  <si>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</si>
  <si>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</si>
  <si>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</si>
  <si>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</si>
  <si>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</si>
  <si>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</si>
  <si>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</si>
  <si>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</si>
  <si>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</si>
  <si>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</si>
  <si>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</si>
  <si>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</si>
  <si>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</si>
  <si>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</si>
  <si>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</si>
  <si>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</si>
  <si>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</si>
  <si>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</si>
  <si>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</si>
  <si>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</si>
  <si>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</si>
  <si>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</si>
  <si>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</si>
  <si>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</si>
  <si>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</si>
  <si>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</si>
  <si>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</si>
  <si>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</si>
  <si>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</si>
  <si>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</si>
  <si>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</si>
  <si>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</si>
  <si>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</si>
  <si>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</si>
  <si>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</si>
  <si>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</si>
  <si>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</si>
  <si>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</si>
  <si>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</si>
  <si>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</si>
  <si>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</si>
  <si>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</si>
  <si>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</si>
  <si>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</si>
  <si>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</si>
  <si>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</si>
  <si>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</si>
  <si>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</si>
  <si>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</si>
  <si>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</si>
  <si>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</si>
  <si>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</si>
  <si>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</si>
  <si>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</si>
  <si>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</si>
  <si>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</si>
  <si>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</si>
  <si>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</si>
  <si>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</si>
  <si>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</si>
  <si>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</si>
  <si>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</si>
  <si>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</si>
  <si>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</si>
  <si>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</si>
  <si>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</si>
  <si>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</si>
  <si>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</si>
  <si>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</si>
  <si>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</si>
  <si>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</si>
  <si>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</si>
  <si>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</si>
  <si>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</si>
  <si>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</si>
  <si>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</si>
  <si>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</si>
  <si>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</si>
  <si>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</si>
  <si>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</si>
  <si>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</si>
  <si>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</si>
  <si>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</si>
  <si>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</si>
  <si>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</si>
  <si>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</si>
  <si>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</si>
  <si>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</si>
  <si>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</si>
  <si>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</si>
  <si>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</si>
  <si>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</si>
  <si>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</si>
  <si>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</si>
  <si>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</si>
  <si>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</si>
  <si>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</si>
  <si>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</si>
  <si>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</si>
  <si>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</si>
  <si>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</si>
  <si>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</si>
  <si>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</si>
  <si>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</si>
  <si>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</si>
  <si>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</si>
  <si>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</si>
  <si>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</si>
  <si>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</si>
  <si>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</si>
  <si>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</si>
  <si>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</si>
  <si>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</si>
  <si>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</si>
  <si>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</si>
  <si>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</si>
  <si>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</si>
  <si>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</si>
  <si>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</si>
  <si>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</si>
  <si>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</si>
  <si>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</si>
  <si>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</si>
  <si>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</si>
  <si>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</si>
  <si>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</si>
  <si>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</si>
  <si>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</si>
  <si>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</si>
  <si>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</si>
  <si>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</si>
  <si>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</si>
  <si>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</si>
  <si>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</si>
  <si>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</si>
  <si>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</si>
  <si>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</si>
  <si>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</si>
  <si>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</si>
  <si>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</si>
  <si>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</si>
  <si>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</si>
  <si>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</si>
  <si>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</si>
  <si>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</si>
  <si>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</si>
  <si>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</si>
  <si>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</si>
  <si>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</si>
  <si>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</si>
  <si>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</si>
  <si>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</si>
  <si>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</si>
  <si>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</si>
  <si>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</si>
  <si>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</si>
  <si>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</si>
  <si>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</si>
  <si>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</si>
  <si>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</si>
  <si>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</si>
  <si>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</si>
  <si>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</si>
  <si>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</si>
  <si>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</si>
  <si>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</si>
  <si>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</si>
  <si>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</si>
  <si>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</si>
  <si>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</si>
  <si>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</si>
  <si>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</si>
  <si>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</si>
  <si>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</si>
  <si>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</si>
  <si>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</si>
  <si>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</si>
  <si>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</si>
  <si>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</si>
  <si>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</si>
  <si>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</si>
  <si>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</si>
  <si>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</si>
  <si>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</si>
  <si>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</si>
  <si>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</si>
  <si>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</si>
  <si>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</si>
  <si>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</si>
  <si>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</si>
  <si>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</si>
  <si>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</si>
  <si>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</si>
  <si>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</si>
  <si>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</si>
  <si>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</si>
  <si>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</si>
  <si>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</si>
  <si>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</si>
  <si>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</si>
  <si>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</si>
  <si>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</si>
  <si>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</si>
  <si>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</si>
  <si>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</si>
  <si>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</si>
  <si>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</si>
  <si>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</si>
  <si>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</si>
  <si>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</si>
  <si>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</si>
  <si>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</si>
  <si>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</si>
  <si>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</si>
  <si>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</si>
  <si>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</si>
  <si>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</si>
  <si>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</si>
  <si>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</si>
  <si>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</si>
  <si>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</si>
  <si>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</si>
  <si>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</si>
  <si>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</si>
  <si>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</si>
  <si>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</si>
  <si>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</si>
  <si>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</si>
  <si>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</si>
  <si>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</si>
  <si>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</si>
  <si>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</si>
  <si>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</si>
  <si>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</si>
  <si>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</si>
  <si>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</si>
  <si>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</si>
  <si>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</si>
  <si>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</si>
  <si>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</si>
  <si>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</si>
  <si>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</si>
  <si>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</si>
  <si>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</si>
  <si>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</si>
  <si>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</si>
  <si>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</si>
  <si>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</si>
  <si>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</si>
  <si>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</si>
  <si>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</si>
  <si>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</si>
  <si>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</si>
  <si>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</si>
  <si>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</si>
  <si>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</si>
  <si>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</si>
  <si>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</si>
  <si>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</si>
  <si>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</si>
  <si>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</si>
  <si>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</si>
  <si>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</si>
  <si>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</si>
  <si>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</si>
  <si>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</si>
  <si>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</si>
  <si>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</si>
  <si>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</si>
  <si>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</si>
  <si>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</si>
  <si>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</si>
  <si>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</si>
  <si>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</si>
  <si>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</si>
  <si>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</si>
  <si>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</si>
  <si>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</si>
  <si>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</si>
  <si>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</si>
  <si>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</si>
  <si>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</si>
  <si>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</si>
  <si>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</si>
  <si>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</si>
  <si>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</si>
  <si>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</si>
  <si>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</si>
  <si>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</si>
  <si>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</si>
  <si>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</si>
  <si>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</si>
  <si>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</si>
  <si>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</si>
  <si>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</si>
  <si>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</si>
  <si>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</si>
  <si>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</si>
  <si>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</si>
  <si>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</si>
  <si>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</si>
  <si>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</si>
  <si>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</si>
  <si>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</si>
  <si>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</si>
  <si>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</si>
  <si>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</si>
  <si>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</si>
  <si>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</si>
  <si>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</si>
  <si>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</si>
  <si>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</si>
  <si>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</si>
  <si>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</si>
  <si>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</si>
  <si>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</si>
  <si>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</si>
  <si>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</si>
  <si>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</si>
  <si>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</si>
  <si>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</si>
  <si>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</si>
  <si>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</si>
  <si>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</si>
  <si>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</si>
  <si>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</si>
  <si>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</si>
  <si>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</si>
  <si>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</si>
  <si>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</si>
  <si>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</si>
  <si>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</si>
  <si>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</si>
  <si>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</si>
  <si>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</si>
  <si>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</si>
  <si>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</si>
  <si>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</si>
  <si>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</si>
  <si>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</si>
  <si>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</si>
  <si>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</si>
  <si>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</si>
  <si>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</si>
  <si>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</si>
  <si>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</si>
  <si>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</si>
  <si>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</si>
  <si>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</si>
  <si>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</si>
  <si>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</si>
  <si>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</si>
  <si>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</si>
  <si>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</si>
  <si>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</si>
  <si>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</si>
  <si>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</si>
  <si>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</si>
  <si>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</si>
  <si>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</si>
  <si>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</si>
  <si>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</si>
  <si>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</si>
  <si>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</si>
  <si>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</si>
  <si>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</si>
  <si>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</si>
  <si>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</si>
  <si>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</si>
  <si>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</si>
  <si>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</si>
  <si>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</si>
  <si>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</si>
  <si>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</si>
  <si>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</si>
  <si>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</si>
  <si>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</si>
  <si>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</si>
  <si>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</si>
  <si>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</si>
  <si>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</si>
  <si>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</si>
  <si>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</si>
  <si>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</si>
  <si>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</si>
  <si>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</si>
  <si>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</si>
  <si>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</si>
  <si>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</si>
  <si>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</si>
  <si>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</si>
  <si>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</si>
  <si>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</si>
  <si>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</si>
  <si>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</si>
  <si>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</si>
  <si>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</si>
  <si>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</si>
  <si>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</si>
  <si>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</si>
  <si>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</si>
  <si>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</si>
  <si>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</si>
  <si>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</si>
  <si>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</si>
  <si>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</si>
  <si>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</si>
  <si>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</si>
  <si>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</si>
  <si>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</si>
  <si>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</si>
  <si>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</si>
  <si>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</si>
  <si>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</si>
  <si>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</si>
  <si>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</si>
  <si>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</si>
  <si>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</si>
  <si>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</si>
  <si>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</si>
  <si>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</si>
  <si>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</si>
  <si>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</si>
  <si>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</si>
  <si>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</si>
  <si>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</si>
  <si>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</si>
  <si>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</si>
  <si>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</si>
  <si>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</si>
  <si>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</si>
  <si>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</si>
  <si>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</si>
  <si>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</si>
  <si>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</si>
  <si>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</si>
  <si>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</si>
  <si>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</si>
  <si>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</si>
  <si>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</si>
  <si>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</si>
  <si>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</si>
  <si>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</si>
  <si>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</si>
  <si>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</si>
  <si>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</si>
  <si>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</si>
  <si>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</si>
  <si>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</si>
  <si>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</si>
  <si>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</si>
  <si>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</si>
  <si>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</si>
  <si>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</si>
  <si>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</si>
  <si>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</si>
  <si>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</si>
  <si>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</si>
  <si>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</si>
  <si>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</si>
  <si>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</si>
  <si>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</si>
  <si>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</si>
  <si>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</si>
  <si>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</si>
  <si>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</si>
  <si>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</si>
  <si>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</si>
  <si>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</si>
  <si>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</si>
  <si>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</si>
  <si>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</si>
  <si>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</si>
  <si>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</si>
  <si>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</si>
  <si>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</si>
  <si>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</si>
  <si>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</si>
  <si>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</si>
  <si>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</si>
  <si>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</si>
  <si>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</si>
  <si>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</si>
  <si>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</si>
  <si>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</si>
  <si>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</si>
  <si>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</si>
  <si>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</si>
  <si>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</si>
  <si>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</si>
  <si>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</si>
  <si>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</si>
  <si>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</si>
  <si>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</si>
  <si>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</si>
  <si>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</si>
  <si>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</si>
  <si>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</si>
  <si>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</si>
  <si>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</si>
  <si>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</si>
  <si>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</si>
  <si>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</si>
  <si>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</si>
  <si>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</si>
  <si>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</si>
  <si>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</si>
  <si>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</si>
  <si>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</si>
  <si>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</si>
  <si>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</si>
  <si>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</si>
  <si>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</si>
  <si>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</si>
  <si>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</si>
  <si>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</si>
  <si>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</si>
  <si>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</si>
  <si>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</si>
  <si>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</si>
  <si>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</si>
  <si>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</si>
  <si>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</si>
  <si>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</si>
  <si>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</si>
  <si>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</si>
  <si>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</si>
  <si>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</si>
  <si>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</si>
  <si>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</si>
  <si>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</si>
  <si>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</si>
  <si>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</si>
  <si>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</si>
  <si>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</si>
  <si>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</si>
  <si>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</si>
  <si>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</si>
  <si>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</si>
  <si>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</si>
  <si>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</si>
  <si>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</si>
  <si>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</si>
  <si>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</si>
  <si>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</si>
  <si>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</si>
  <si>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</si>
  <si>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</si>
  <si>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</si>
  <si>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</si>
  <si>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</si>
  <si>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</si>
  <si>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</si>
  <si>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</si>
  <si>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</si>
  <si>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</si>
  <si>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</si>
  <si>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</si>
  <si>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</si>
  <si>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</si>
  <si>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</si>
  <si>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</si>
  <si>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</si>
  <si>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</si>
  <si>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</si>
  <si>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</si>
  <si>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</si>
  <si>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</si>
  <si>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</si>
  <si>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</si>
  <si>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</si>
  <si>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</si>
  <si>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</si>
  <si>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</si>
  <si>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</si>
  <si>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</si>
  <si>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</si>
  <si>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</si>
  <si>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</si>
  <si>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</si>
  <si>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</si>
  <si>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</si>
  <si>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</si>
  <si>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</si>
  <si>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</si>
  <si>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</si>
  <si>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</si>
  <si>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</si>
  <si>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</si>
  <si>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</si>
  <si>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</si>
  <si>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</si>
  <si>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</si>
  <si>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</si>
  <si>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</si>
  <si>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</si>
  <si>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</si>
  <si>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</si>
  <si>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</si>
  <si>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</si>
  <si>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</si>
  <si>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</si>
  <si>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</si>
  <si>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</si>
  <si>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</si>
  <si>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</si>
  <si>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</si>
  <si>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</si>
  <si>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</si>
  <si>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</si>
  <si>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</si>
  <si>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</si>
  <si>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</si>
  <si>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</si>
  <si>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</si>
  <si>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</si>
  <si>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</si>
  <si>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</si>
  <si>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</si>
  <si>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</si>
  <si>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</si>
  <si>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</si>
  <si>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</si>
  <si>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</si>
  <si>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</si>
  <si>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</si>
  <si>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</si>
  <si>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</si>
  <si>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</si>
  <si>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</si>
  <si>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</si>
  <si>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</si>
  <si>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</si>
  <si>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</si>
  <si>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</si>
  <si>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</si>
  <si>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</si>
  <si>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</si>
  <si>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</si>
  <si>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</si>
  <si>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</si>
  <si>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</si>
  <si>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</si>
  <si>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</si>
  <si>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</si>
  <si>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</si>
  <si>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</si>
  <si>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</si>
  <si>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</si>
  <si>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</si>
  <si>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</si>
  <si>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</si>
  <si>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</si>
  <si>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</si>
  <si>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</si>
  <si>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</si>
  <si>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</si>
  <si>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</si>
  <si>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</si>
  <si>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</si>
  <si>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</si>
  <si>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</si>
  <si>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</si>
  <si>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</si>
  <si>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</si>
  <si>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</si>
  <si>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</si>
  <si>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</si>
  <si>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</si>
  <si>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</si>
  <si>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</si>
  <si>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</si>
  <si>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</si>
  <si>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</si>
  <si>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</si>
  <si>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</si>
  <si>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</si>
  <si>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</si>
  <si>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</si>
  <si>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</si>
  <si>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</si>
  <si>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</si>
  <si>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</si>
  <si>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</si>
  <si>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</si>
  <si>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</si>
  <si>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</si>
  <si>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</si>
  <si>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</si>
  <si>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</si>
  <si>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</si>
  <si>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</si>
  <si>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</si>
  <si>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</si>
  <si>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</si>
  <si>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</si>
  <si>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</si>
  <si>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</si>
  <si>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</si>
  <si>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</si>
  <si>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</si>
  <si>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</si>
  <si>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</si>
  <si>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</si>
  <si>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</si>
  <si>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</si>
  <si>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</si>
  <si>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</si>
  <si>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</si>
  <si>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</si>
  <si>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</si>
  <si>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</si>
  <si>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</si>
  <si>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</si>
  <si>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</si>
  <si>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</si>
  <si>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</si>
  <si>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</si>
  <si>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</si>
  <si>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</si>
  <si>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</si>
  <si>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</si>
  <si>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</si>
  <si>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</si>
  <si>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</si>
  <si>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</si>
  <si>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</si>
  <si>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</si>
  <si>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</si>
  <si>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</si>
  <si>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</si>
  <si>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</si>
  <si>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</si>
  <si>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</si>
  <si>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</si>
  <si>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</si>
  <si>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</si>
  <si>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</si>
  <si>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</si>
  <si>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</si>
  <si>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</si>
  <si>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</si>
  <si>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</si>
  <si>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</si>
  <si>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</si>
  <si>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</si>
  <si>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</si>
  <si>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</si>
  <si>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</si>
  <si>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</si>
  <si>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</si>
  <si>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</si>
  <si>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</si>
  <si>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</si>
  <si>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</si>
  <si>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</si>
  <si>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</si>
  <si>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</si>
  <si>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</si>
  <si>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</si>
  <si>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</si>
  <si>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</si>
  <si>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</si>
  <si>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</si>
  <si>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</si>
  <si>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</si>
  <si>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</si>
  <si>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</si>
  <si>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</si>
  <si>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</si>
  <si>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</si>
  <si>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</si>
  <si>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</si>
  <si>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</si>
  <si>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</si>
  <si>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</si>
  <si>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</si>
  <si>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</si>
  <si>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</si>
  <si>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</si>
  <si>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</si>
  <si>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</si>
  <si>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</si>
  <si>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</si>
  <si>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</si>
  <si>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</si>
  <si>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</si>
  <si>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</si>
  <si>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</si>
  <si>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</si>
  <si>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</si>
  <si>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</si>
  <si>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</si>
  <si>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</si>
  <si>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</si>
  <si>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</si>
  <si>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</si>
  <si>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</si>
  <si>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</si>
  <si>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</si>
  <si>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</si>
  <si>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</si>
  <si>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</si>
  <si>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</si>
  <si>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</si>
  <si>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</si>
  <si>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</si>
  <si>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</si>
  <si>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</si>
  <si>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</si>
  <si>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</si>
  <si>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</si>
  <si>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</si>
  <si>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</si>
  <si>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</si>
  <si>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</si>
  <si>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</si>
  <si>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</si>
  <si>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</si>
  <si>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</si>
  <si>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</si>
  <si>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</si>
  <si>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</si>
  <si>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</si>
  <si>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</si>
  <si>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</si>
  <si>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</si>
  <si>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</si>
  <si>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</si>
  <si>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</si>
  <si>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</si>
  <si>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</si>
  <si>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</si>
  <si>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</si>
  <si>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</si>
  <si>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</si>
  <si>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</si>
  <si>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</si>
  <si>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</si>
  <si>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</si>
  <si>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</si>
  <si>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</si>
  <si>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</si>
  <si>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</si>
  <si>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</si>
  <si>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</si>
  <si>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</si>
  <si>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</si>
  <si>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</si>
  <si>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</si>
  <si>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</si>
  <si>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</si>
  <si>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</si>
  <si>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</si>
  <si>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</si>
  <si>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</si>
  <si>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</si>
  <si>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</si>
  <si>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</si>
  <si>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</si>
  <si>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</si>
  <si>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</si>
  <si>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</si>
  <si>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</si>
  <si>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</si>
  <si>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</si>
  <si>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</si>
  <si>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</si>
  <si>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</si>
  <si>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</si>
  <si>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</si>
  <si>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</si>
  <si>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</si>
  <si>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</si>
  <si>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</si>
  <si>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</si>
  <si>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</si>
  <si>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</si>
  <si>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</si>
  <si>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</si>
  <si>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</si>
  <si>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</si>
  <si>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</si>
  <si>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</si>
  <si>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</si>
  <si>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</si>
  <si>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</si>
  <si>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</si>
  <si>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</si>
  <si>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</si>
  <si>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</si>
  <si>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</si>
  <si>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</si>
  <si>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</si>
  <si>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</si>
  <si>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</si>
  <si>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</si>
  <si>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</si>
  <si>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</si>
  <si>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</si>
  <si>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</si>
  <si>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</si>
  <si>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</si>
  <si>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</si>
  <si>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</si>
  <si>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</si>
  <si>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</si>
  <si>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</si>
  <si>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</si>
  <si>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</si>
  <si>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</si>
  <si>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</si>
  <si>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</si>
  <si>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</si>
  <si>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</si>
  <si>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</si>
  <si>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</si>
  <si>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</si>
  <si>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</si>
  <si>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</si>
  <si>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</si>
  <si>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</si>
  <si>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</si>
  <si>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</si>
  <si>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</si>
  <si>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</si>
  <si>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</si>
  <si>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</si>
  <si>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</si>
  <si>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</si>
  <si>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</si>
  <si>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</si>
  <si>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</si>
  <si>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</si>
  <si>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</si>
  <si>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</si>
  <si>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</si>
  <si>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</si>
  <si>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</si>
  <si>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</si>
  <si>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</si>
  <si>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</si>
  <si>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</si>
  <si>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</si>
  <si>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</si>
  <si>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</si>
  <si>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</si>
  <si>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</si>
  <si>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</si>
  <si>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</si>
  <si>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</si>
  <si>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</si>
  <si>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</si>
  <si>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</si>
  <si>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</si>
  <si>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</si>
  <si>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</si>
  <si>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</si>
  <si>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</si>
  <si>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</si>
  <si>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</si>
  <si>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</si>
  <si>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</si>
  <si>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</si>
  <si>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</si>
  <si>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</si>
  <si>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</si>
  <si>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</si>
  <si>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</si>
  <si>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</si>
  <si>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</si>
  <si>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</si>
  <si>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</si>
  <si>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</si>
  <si>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</si>
  <si>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</si>
  <si>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</si>
  <si>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</si>
  <si>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</si>
  <si>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</si>
  <si>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</si>
  <si>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</si>
  <si>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</si>
  <si>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</si>
  <si>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</si>
  <si>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</si>
  <si>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</si>
  <si>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</si>
  <si>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</si>
  <si>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</si>
  <si>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</si>
  <si>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</si>
  <si>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</si>
  <si>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</si>
  <si>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</si>
  <si>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</si>
  <si>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</si>
  <si>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</si>
  <si>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</si>
  <si>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</si>
  <si>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</si>
  <si>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</si>
  <si>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</si>
  <si>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</si>
  <si>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</si>
  <si>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</si>
  <si>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</si>
  <si>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</si>
  <si>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</si>
  <si>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</si>
  <si>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</si>
  <si>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</si>
  <si>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</si>
  <si>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</si>
  <si>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</si>
  <si>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</si>
  <si>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</si>
  <si>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</si>
  <si>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</si>
  <si>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</si>
  <si>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</si>
  <si>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</si>
  <si>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</si>
  <si>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</si>
  <si>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</si>
  <si>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</si>
  <si>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</si>
  <si>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</si>
  <si>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</si>
  <si>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</si>
  <si>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</si>
  <si>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</si>
  <si>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</si>
  <si>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</si>
  <si>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</si>
  <si>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</si>
  <si>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</si>
  <si>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</si>
  <si>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</si>
  <si>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</si>
  <si>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</si>
  <si>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</si>
  <si>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</si>
  <si>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</si>
  <si>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</si>
  <si>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</si>
  <si>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</si>
  <si>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</si>
  <si>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</si>
  <si>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</si>
  <si>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</si>
  <si>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</si>
  <si>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</si>
  <si>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</si>
  <si>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</si>
  <si>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</si>
  <si>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</si>
  <si>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</si>
  <si>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</si>
  <si>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</si>
  <si>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</si>
  <si>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</si>
  <si>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</si>
  <si>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</si>
  <si>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</si>
  <si>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</si>
  <si>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</si>
  <si>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</si>
  <si>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</si>
  <si>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</si>
  <si>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</si>
  <si>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</si>
  <si>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</si>
  <si>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</si>
  <si>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</si>
  <si>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</si>
  <si>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</si>
  <si>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</si>
  <si>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</si>
  <si>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</si>
  <si>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</si>
  <si>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</si>
  <si>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</si>
  <si>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</si>
  <si>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</si>
  <si>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</si>
  <si>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</si>
  <si>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</si>
  <si>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</si>
  <si>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</si>
  <si>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</si>
  <si>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</si>
  <si>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</si>
  <si>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</si>
  <si>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</si>
  <si>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</si>
  <si>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</si>
  <si>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</si>
  <si>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</si>
  <si>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</si>
  <si>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</si>
  <si>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</si>
  <si>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</si>
  <si>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</si>
  <si>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</si>
  <si>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</si>
  <si>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</si>
  <si>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</si>
  <si>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</si>
  <si>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</si>
  <si>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</si>
  <si>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</si>
  <si>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</si>
  <si>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</si>
  <si>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</si>
  <si>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</si>
  <si>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</si>
  <si>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</si>
  <si>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</si>
  <si>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</si>
  <si>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</si>
  <si>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</si>
  <si>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</si>
  <si>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</si>
  <si>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</si>
  <si>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</si>
  <si>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</si>
  <si>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</si>
  <si>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</si>
  <si>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</si>
  <si>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</si>
  <si>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</si>
  <si>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</si>
  <si>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</si>
  <si>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</si>
  <si>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</si>
  <si>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</si>
  <si>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</si>
  <si>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</si>
  <si>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</si>
  <si>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</si>
  <si>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</si>
  <si>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</si>
  <si>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</si>
  <si>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</si>
  <si>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</si>
  <si>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</si>
  <si>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</si>
  <si>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</si>
  <si>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</si>
  <si>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</si>
  <si>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</si>
  <si>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</si>
  <si>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</si>
  <si>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</si>
  <si>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</si>
  <si>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</si>
  <si>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</si>
  <si>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</si>
  <si>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</si>
  <si>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</si>
  <si>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</si>
  <si>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</si>
  <si>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</si>
  <si>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</si>
  <si>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</si>
  <si>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</si>
  <si>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</si>
  <si>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</si>
  <si>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</si>
  <si>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</si>
  <si>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</si>
  <si>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</si>
  <si>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</si>
  <si>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</si>
  <si>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</si>
  <si>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</si>
  <si>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</si>
  <si>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</si>
  <si>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</si>
  <si>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</si>
  <si>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</si>
  <si>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</si>
  <si>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</si>
  <si>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</si>
  <si>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</si>
  <si>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</si>
  <si>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</si>
  <si>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</si>
  <si>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</si>
  <si>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</si>
  <si>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</si>
  <si>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</si>
  <si>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</si>
  <si>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</si>
  <si>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</si>
  <si>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</si>
  <si>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</si>
  <si>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</si>
  <si>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</si>
  <si>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</si>
  <si>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</si>
  <si>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</si>
  <si>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</si>
  <si>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</si>
  <si>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</si>
  <si>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</si>
  <si>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</si>
  <si>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</si>
  <si>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</si>
  <si>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</si>
  <si>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</si>
  <si>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</si>
  <si>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</si>
  <si>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</si>
  <si>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</si>
  <si>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</si>
  <si>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</si>
  <si>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</si>
  <si>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</si>
  <si>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</si>
  <si>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</si>
  <si>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</si>
  <si>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</si>
  <si>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</si>
  <si>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</si>
  <si>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</si>
  <si>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</si>
  <si>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</si>
  <si>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</si>
  <si>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</si>
  <si>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</si>
  <si>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</si>
  <si>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</si>
  <si>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</si>
  <si>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</si>
  <si>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</si>
  <si>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</si>
  <si>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</si>
  <si>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</si>
  <si>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</si>
  <si>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</si>
  <si>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</si>
  <si>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</si>
  <si>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</si>
  <si>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</si>
  <si>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</si>
  <si>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</si>
  <si>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</si>
  <si>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</si>
  <si>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</si>
  <si>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</si>
  <si>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</si>
  <si>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</si>
  <si>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</si>
  <si>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</si>
  <si>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</si>
  <si>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</si>
  <si>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</si>
  <si>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</si>
  <si>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</si>
  <si>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</si>
  <si>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</si>
  <si>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</si>
  <si>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</si>
  <si>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</si>
  <si>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</si>
  <si>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</si>
  <si>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</si>
  <si>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</si>
  <si>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</si>
  <si>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</si>
  <si>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</si>
  <si>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</si>
  <si>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</si>
  <si>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</si>
  <si>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</si>
  <si>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</si>
  <si>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</si>
  <si>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</si>
  <si>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</si>
  <si>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</si>
  <si>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</si>
  <si>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</si>
  <si>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</si>
  <si>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</si>
  <si>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</si>
  <si>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</si>
  <si>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</si>
  <si>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</si>
  <si>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</si>
  <si>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</si>
  <si>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</si>
  <si>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</si>
  <si>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</si>
  <si>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</si>
  <si>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</si>
  <si>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</si>
  <si>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</si>
  <si>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</si>
  <si>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</si>
  <si>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</si>
  <si>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</si>
  <si>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</si>
  <si>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</si>
  <si>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</si>
  <si>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</si>
  <si>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</si>
  <si>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</si>
  <si>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</si>
  <si>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</si>
  <si>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</si>
  <si>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</si>
  <si>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</si>
  <si>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</si>
  <si>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</si>
  <si>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</si>
  <si>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</si>
  <si>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</si>
  <si>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</si>
  <si>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</si>
  <si>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</si>
  <si>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</si>
  <si>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</si>
  <si>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</si>
  <si>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</si>
  <si>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</si>
  <si>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</si>
  <si>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</si>
  <si>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</si>
  <si>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</si>
  <si>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</si>
  <si>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</si>
  <si>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</si>
  <si>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</si>
  <si>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</si>
  <si>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</si>
  <si>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</si>
  <si>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</si>
  <si>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</si>
  <si>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</si>
  <si>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</si>
  <si>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</si>
  <si>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</si>
  <si>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</si>
  <si>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</si>
  <si>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</si>
  <si>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</si>
  <si>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</si>
  <si>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</si>
  <si>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</si>
  <si>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</si>
  <si>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</si>
  <si>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</si>
  <si>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</si>
  <si>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</si>
  <si>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</si>
  <si>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</si>
  <si>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</si>
  <si>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</si>
  <si>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</si>
  <si>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</si>
  <si>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</si>
  <si>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</si>
  <si>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</si>
  <si>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</si>
  <si>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</si>
  <si>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</si>
  <si>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</si>
  <si>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</si>
  <si>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</si>
  <si>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</si>
  <si>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</si>
  <si>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</si>
  <si>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</si>
  <si>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</si>
  <si>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</si>
  <si>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</si>
  <si>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</si>
  <si>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</si>
  <si>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</si>
  <si>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</si>
  <si>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</si>
  <si>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</si>
  <si>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</si>
  <si>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</si>
  <si>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</si>
  <si>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</si>
  <si>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</si>
  <si>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</si>
  <si>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</si>
  <si>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</si>
  <si>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</si>
  <si>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</si>
  <si>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</si>
  <si>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</si>
  <si>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</si>
  <si>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</si>
  <si>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</si>
  <si>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</si>
  <si>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</si>
  <si>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</si>
  <si>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</si>
  <si>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</si>
  <si>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</si>
  <si>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</si>
  <si>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</si>
  <si>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</si>
  <si>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</si>
  <si>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</si>
  <si>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</si>
  <si>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</si>
  <si>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</si>
  <si>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</si>
  <si>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</si>
  <si>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</si>
  <si>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</si>
  <si>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</si>
  <si>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</si>
  <si>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</si>
  <si>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</si>
  <si>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</si>
  <si>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</si>
  <si>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</si>
  <si>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</si>
  <si>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</si>
  <si>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</si>
  <si>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</si>
  <si>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</si>
  <si>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</si>
  <si>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</si>
  <si>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</si>
  <si>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</si>
  <si>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</si>
  <si>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</si>
  <si>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</si>
  <si>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</si>
  <si>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</si>
  <si>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</si>
  <si>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</si>
  <si>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</si>
  <si>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</si>
  <si>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</si>
  <si>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</si>
  <si>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</si>
  <si>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</si>
  <si>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</si>
  <si>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</si>
  <si>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</si>
  <si>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</si>
  <si>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</si>
  <si>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</si>
  <si>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</si>
  <si>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</si>
  <si>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</si>
  <si>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</si>
  <si>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</si>
  <si>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</si>
  <si>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</si>
  <si>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</si>
  <si>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</si>
  <si>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</si>
  <si>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</si>
  <si>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</si>
  <si>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</si>
  <si>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</si>
  <si>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</si>
  <si>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</si>
  <si>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</si>
  <si>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</si>
  <si>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</si>
  <si>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</si>
  <si>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</si>
  <si>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</si>
  <si>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</si>
  <si>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</si>
  <si>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</si>
  <si>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</si>
  <si>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</si>
  <si>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</si>
  <si>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</si>
  <si>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</si>
  <si>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</si>
  <si>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</si>
  <si>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</si>
  <si>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</si>
  <si>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</si>
  <si>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</si>
  <si>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</si>
  <si>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</si>
  <si>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</si>
  <si>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</si>
  <si>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</si>
  <si>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</si>
  <si>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</si>
  <si>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</si>
  <si>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</si>
  <si>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</si>
  <si>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</si>
  <si>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</si>
  <si>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</si>
  <si>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</si>
  <si>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</si>
  <si>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</si>
  <si>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</si>
  <si>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</si>
  <si>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</si>
  <si>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</si>
  <si>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</si>
  <si>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</si>
  <si>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</si>
  <si>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</si>
  <si>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</si>
  <si>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</si>
  <si>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</si>
  <si>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</si>
  <si>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</si>
  <si>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</si>
  <si>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</si>
  <si>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</si>
  <si>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</si>
  <si>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</si>
  <si>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</si>
  <si>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</si>
  <si>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</si>
  <si>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</si>
  <si>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</si>
  <si>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</si>
  <si>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</si>
  <si>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</si>
  <si>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</si>
  <si>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</si>
  <si>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</si>
  <si>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</si>
  <si>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</si>
  <si>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</si>
  <si>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</si>
  <si>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</si>
  <si>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</si>
  <si>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</si>
  <si>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</si>
  <si>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</si>
  <si>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</si>
  <si>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</si>
  <si>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</si>
  <si>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</si>
  <si>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</si>
  <si>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</si>
  <si>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</si>
  <si>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</si>
  <si>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</si>
  <si>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</si>
  <si>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</si>
  <si>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</si>
  <si>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</si>
  <si>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</si>
  <si>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</si>
  <si>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</si>
  <si>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</si>
  <si>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</si>
  <si>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</si>
  <si>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</si>
  <si>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</si>
  <si>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</si>
  <si>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</si>
  <si>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</si>
  <si>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</si>
  <si>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</si>
  <si>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</si>
  <si>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</si>
  <si>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</si>
  <si>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</si>
  <si>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</si>
  <si>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</si>
  <si>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</si>
  <si>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</si>
  <si>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</si>
  <si>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</si>
  <si>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</si>
  <si>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</si>
  <si>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</si>
  <si>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</si>
  <si>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</si>
  <si>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</si>
  <si>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</si>
  <si>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</si>
  <si>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</si>
  <si>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</si>
  <si>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</si>
  <si>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</si>
  <si>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</si>
  <si>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</si>
  <si>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</si>
  <si>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</si>
  <si>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</si>
  <si>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</si>
  <si>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</si>
  <si>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</si>
  <si>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</si>
  <si>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</si>
  <si>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</si>
  <si>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</si>
  <si>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</si>
  <si>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</si>
  <si>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</si>
  <si>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</si>
  <si>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</si>
  <si>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</si>
  <si>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</si>
  <si>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</si>
  <si>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</si>
  <si>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</si>
  <si>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</si>
  <si>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</si>
  <si>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</si>
  <si>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</si>
  <si>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</si>
  <si>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</si>
  <si>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</si>
  <si>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</si>
  <si>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</si>
  <si>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</si>
  <si>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</si>
  <si>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</si>
  <si>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</si>
  <si>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</si>
  <si>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</si>
  <si>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</si>
  <si>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</si>
  <si>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</si>
  <si>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</si>
  <si>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</si>
  <si>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</si>
  <si>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</si>
  <si>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</si>
  <si>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</si>
  <si>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</si>
  <si>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</si>
  <si>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</si>
  <si>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</si>
  <si>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</si>
  <si>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</si>
  <si>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</si>
  <si>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</si>
  <si>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</si>
  <si>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</si>
  <si>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</si>
  <si>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</si>
  <si>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</si>
  <si>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</si>
  <si>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</si>
  <si>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</si>
  <si>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</si>
  <si>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</si>
  <si>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</si>
  <si>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</si>
  <si>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</si>
  <si>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</si>
  <si>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</si>
  <si>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</si>
  <si>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</si>
  <si>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</si>
  <si>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</si>
  <si>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</si>
  <si>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</si>
  <si>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</si>
  <si>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</si>
  <si>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</si>
  <si>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</si>
  <si>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</si>
  <si>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</si>
  <si>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</si>
  <si>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</si>
  <si>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</si>
  <si>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</si>
  <si>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</si>
  <si>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</si>
  <si>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</si>
  <si>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</si>
  <si>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</si>
  <si>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</si>
  <si>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</si>
  <si>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</si>
  <si>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</si>
  <si>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</si>
  <si>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</si>
  <si>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</si>
  <si>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</si>
  <si>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</si>
  <si>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</si>
  <si>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</si>
  <si>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</si>
  <si>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</si>
  <si>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</si>
  <si>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</si>
  <si>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</si>
  <si>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</si>
  <si>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</si>
  <si>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</si>
  <si>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</si>
  <si>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</si>
  <si>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</si>
  <si>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</si>
  <si>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</si>
  <si>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</si>
  <si>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</si>
  <si>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</si>
  <si>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</si>
  <si>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</si>
  <si>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</si>
  <si>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</si>
  <si>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</si>
  <si>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</si>
  <si>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</si>
  <si>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</si>
  <si>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</si>
  <si>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</si>
  <si>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</si>
  <si>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</si>
  <si>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</si>
  <si>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</si>
  <si>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</si>
  <si>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</si>
  <si>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</si>
  <si>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</si>
  <si>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</si>
  <si>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</si>
  <si>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</si>
  <si>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</si>
  <si>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</si>
  <si>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</si>
  <si>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</si>
  <si>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</si>
  <si>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</si>
  <si>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</si>
  <si>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</si>
  <si>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</si>
  <si>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</si>
  <si>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</si>
  <si>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</si>
  <si>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</si>
  <si>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</si>
  <si>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</si>
  <si>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</si>
  <si>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</si>
  <si>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</si>
  <si>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</si>
  <si>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</si>
  <si>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</si>
  <si>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</si>
  <si>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</si>
  <si>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</si>
  <si>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</si>
  <si>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</si>
  <si>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</si>
  <si>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</si>
  <si>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</si>
  <si>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</si>
  <si>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</si>
  <si>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</si>
  <si>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</si>
  <si>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</si>
  <si>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</si>
  <si>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</si>
  <si>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</si>
  <si>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</si>
  <si>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</si>
  <si>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</si>
  <si>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</si>
  <si>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</si>
  <si>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</si>
  <si>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</si>
  <si>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</si>
  <si>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</si>
  <si>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</si>
  <si>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</si>
  <si>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</si>
  <si>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</si>
  <si>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</si>
  <si>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</si>
  <si>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</si>
  <si>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</si>
  <si>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</si>
  <si>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</si>
  <si>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</si>
  <si>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</si>
  <si>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</si>
  <si>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</si>
  <si>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</si>
  <si>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</si>
  <si>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</si>
  <si>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</si>
  <si>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</si>
  <si>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</si>
  <si>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</si>
  <si>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</si>
  <si>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</si>
  <si>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</si>
  <si>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</si>
  <si>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</si>
  <si>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</si>
  <si>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</si>
  <si>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</si>
  <si>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</si>
  <si>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</si>
  <si>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</si>
  <si>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</si>
  <si>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</si>
  <si>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</si>
  <si>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</si>
  <si>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</si>
  <si>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</si>
  <si>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</si>
  <si>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</si>
  <si>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</si>
  <si>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</si>
  <si>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</si>
  <si>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</si>
  <si>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</si>
  <si>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</si>
  <si>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</si>
  <si>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</si>
  <si>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</si>
  <si>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</si>
  <si>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</si>
  <si>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</si>
  <si>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</si>
  <si>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</si>
  <si>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</si>
  <si>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</si>
  <si>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</si>
  <si>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</si>
  <si>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</si>
  <si>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</si>
  <si>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</si>
  <si>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</si>
  <si>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</si>
  <si>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</si>
  <si>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</si>
  <si>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</si>
  <si>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</si>
  <si>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</si>
  <si>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</si>
  <si>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</si>
  <si>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</si>
  <si>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</si>
  <si>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</si>
  <si>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</si>
  <si>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</si>
  <si>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</si>
  <si>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</si>
  <si>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</si>
  <si>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</si>
  <si>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</si>
  <si>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</si>
  <si>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</si>
  <si>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</si>
  <si>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</si>
  <si>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</si>
  <si>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</si>
  <si>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</si>
  <si>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</si>
  <si>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</si>
  <si>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</si>
  <si>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</si>
  <si>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</si>
  <si>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</si>
  <si>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</si>
  <si>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</si>
  <si>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</si>
  <si>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</si>
  <si>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</si>
  <si>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</si>
  <si>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</si>
  <si>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</si>
  <si>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</si>
  <si>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</si>
  <si>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</si>
  <si>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</si>
  <si>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</si>
  <si>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</si>
  <si>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</si>
  <si>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</si>
  <si>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</si>
  <si>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</si>
  <si>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</si>
  <si>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</si>
  <si>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</si>
  <si>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</si>
  <si>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</si>
  <si>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</si>
  <si>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</si>
  <si>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</si>
  <si>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</si>
  <si>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</si>
  <si>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</si>
  <si>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</si>
  <si>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</si>
  <si>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</si>
  <si>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</si>
  <si>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</si>
  <si>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</si>
  <si>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</si>
  <si>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</si>
  <si>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</si>
  <si>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</si>
  <si>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</si>
  <si>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</si>
  <si>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</si>
  <si>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</si>
  <si>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</si>
  <si>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</si>
  <si>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</si>
  <si>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</si>
  <si>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</si>
  <si>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</si>
  <si>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</si>
  <si>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</si>
  <si>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</si>
  <si>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</si>
  <si>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</si>
  <si>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</si>
  <si>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</si>
  <si>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</si>
  <si>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</si>
  <si>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</si>
  <si>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</si>
  <si>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</si>
  <si>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</si>
  <si>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</si>
  <si>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</si>
  <si>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</si>
  <si>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</si>
  <si>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</si>
  <si>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</si>
  <si>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</si>
  <si>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</si>
  <si>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</si>
  <si>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</si>
  <si>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</si>
  <si>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</si>
  <si>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</si>
  <si>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</si>
  <si>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</si>
  <si>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</si>
  <si>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</si>
  <si>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</si>
  <si>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</si>
  <si>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</si>
  <si>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</si>
  <si>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</si>
  <si>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</si>
  <si>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</si>
  <si>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</si>
  <si>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</si>
  <si>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</si>
  <si>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</si>
  <si>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</si>
  <si>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</si>
  <si>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</si>
  <si>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</si>
  <si>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</si>
  <si>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</si>
  <si>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</si>
  <si>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</si>
  <si>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</si>
  <si>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</si>
  <si>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</si>
  <si>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</si>
  <si>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</si>
  <si>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</si>
  <si>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</si>
  <si>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</si>
  <si>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</si>
  <si>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</si>
  <si>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</si>
  <si>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</si>
  <si>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</si>
  <si>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</si>
  <si>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</si>
  <si>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</si>
  <si>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</si>
  <si>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</si>
  <si>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</si>
  <si>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</si>
  <si>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</si>
  <si>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</si>
  <si>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</si>
  <si>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</si>
  <si>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</si>
  <si>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</si>
  <si>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</si>
  <si>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</si>
  <si>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</si>
  <si>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</si>
  <si>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</si>
  <si>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</si>
  <si>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</si>
  <si>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</si>
  <si>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</si>
  <si>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</si>
  <si>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</si>
  <si>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</si>
  <si>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</si>
  <si>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</si>
  <si>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</si>
  <si>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</si>
  <si>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</si>
  <si>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</si>
  <si>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</si>
  <si>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</si>
  <si>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</si>
  <si>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</si>
  <si>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</si>
  <si>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</si>
  <si>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</si>
  <si>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</si>
  <si>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</si>
  <si>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</si>
  <si>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</si>
  <si>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</si>
  <si>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</si>
  <si>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</si>
  <si>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</si>
  <si>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</si>
  <si>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</si>
  <si>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</si>
  <si>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</si>
  <si>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</si>
  <si>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</si>
  <si>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</si>
  <si>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</si>
  <si>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</si>
  <si>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</si>
  <si>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</si>
  <si>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</si>
  <si>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</si>
  <si>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</si>
  <si>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</si>
  <si>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</si>
  <si>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</si>
  <si>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</si>
  <si>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</si>
  <si>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</si>
  <si>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</si>
  <si>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</si>
  <si>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</si>
  <si>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</si>
  <si>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</si>
  <si>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</si>
  <si>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</si>
  <si>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</si>
  <si>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</si>
  <si>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</si>
  <si>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</si>
  <si>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</si>
  <si>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</si>
  <si>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</si>
  <si>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</si>
  <si>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</si>
  <si>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</si>
  <si>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</si>
  <si>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</si>
  <si>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</si>
  <si>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</si>
  <si>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</si>
  <si>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</si>
  <si>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</si>
  <si>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</si>
  <si>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</si>
  <si>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</si>
  <si>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</si>
  <si>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</si>
  <si>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</si>
  <si>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</si>
  <si>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</si>
  <si>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</si>
  <si>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</si>
  <si>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</si>
  <si>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</si>
  <si>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</si>
  <si>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</si>
  <si>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</si>
  <si>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</si>
  <si>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</si>
  <si>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</si>
  <si>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</si>
  <si>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</si>
  <si>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</si>
  <si>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</si>
  <si>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</si>
  <si>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</si>
  <si>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</si>
  <si>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</si>
  <si>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</si>
  <si>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</si>
  <si>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</si>
  <si>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</si>
  <si>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</si>
  <si>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</si>
  <si>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</si>
  <si>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</si>
  <si>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</si>
  <si>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</si>
  <si>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</si>
  <si>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</si>
  <si>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</si>
  <si>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</si>
  <si>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</si>
  <si>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</si>
  <si>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</si>
  <si>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</si>
  <si>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</si>
  <si>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</si>
  <si>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</si>
  <si>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</si>
  <si>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</si>
  <si>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</si>
  <si>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</si>
  <si>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</si>
  <si>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</si>
  <si>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</si>
  <si>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</si>
  <si>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</si>
  <si>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</si>
  <si>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</si>
  <si>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</si>
  <si>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</si>
  <si>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</si>
  <si>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</si>
  <si>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</si>
  <si>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</si>
  <si>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</si>
  <si>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</si>
  <si>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</si>
  <si>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</si>
  <si>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</si>
  <si>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</si>
  <si>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</si>
  <si>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</si>
  <si>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</si>
  <si>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</si>
  <si>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</si>
  <si>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</si>
  <si>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</si>
  <si>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</si>
  <si>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</si>
  <si>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</si>
  <si>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</si>
  <si>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</si>
  <si>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</si>
  <si>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</si>
  <si>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</si>
  <si>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</si>
  <si>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</si>
  <si>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</si>
  <si>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</si>
  <si>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</si>
  <si>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</si>
  <si>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</si>
  <si>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</si>
  <si>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</si>
  <si>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</si>
  <si>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</si>
  <si>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</si>
  <si>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</si>
  <si>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</si>
  <si>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</si>
  <si>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</si>
  <si>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</si>
  <si>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</si>
  <si>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</si>
  <si>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</si>
  <si>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</si>
  <si>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</si>
  <si>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</si>
  <si>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</si>
  <si>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</si>
  <si>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</si>
  <si>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</si>
  <si>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</si>
  <si>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</si>
  <si>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</si>
  <si>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</si>
  <si>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</si>
  <si>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</si>
  <si>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</si>
  <si>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</si>
  <si>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</si>
  <si>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</si>
  <si>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</si>
  <si>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</si>
  <si>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</si>
  <si>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</si>
  <si>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</si>
  <si>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</si>
  <si>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</si>
  <si>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</si>
  <si>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</si>
  <si>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</si>
  <si>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</si>
  <si>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</si>
  <si>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</si>
  <si>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</si>
  <si>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</si>
  <si>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</si>
  <si>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</si>
  <si>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</si>
  <si>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</si>
  <si>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</si>
  <si>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</si>
  <si>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</si>
  <si>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</si>
  <si>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</si>
  <si>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</si>
  <si>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</si>
  <si>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</si>
  <si>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</si>
  <si>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</si>
  <si>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</si>
  <si>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</si>
  <si>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</si>
  <si>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</si>
  <si>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</si>
  <si>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</si>
  <si>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</si>
  <si>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</si>
  <si>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</si>
  <si>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</si>
  <si>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</si>
  <si>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</si>
  <si>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</si>
  <si>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</si>
  <si>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</si>
  <si>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</si>
  <si>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</si>
  <si>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</si>
  <si>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</si>
  <si>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</si>
  <si>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</si>
  <si>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</si>
  <si>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</si>
  <si>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</si>
  <si>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</si>
  <si>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</si>
  <si>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</si>
  <si>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</si>
  <si>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</si>
  <si>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</si>
  <si>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</si>
  <si>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</si>
  <si>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</si>
  <si>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</si>
  <si>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</si>
  <si>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</si>
  <si>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</si>
  <si>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</si>
  <si>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</si>
  <si>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</si>
  <si>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</si>
  <si>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</si>
  <si>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</si>
  <si>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</si>
  <si>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</si>
  <si>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</si>
  <si>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</si>
  <si>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</si>
  <si>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</si>
  <si>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</si>
  <si>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</si>
  <si>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</si>
  <si>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</si>
  <si>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</si>
  <si>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</si>
  <si>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</si>
  <si>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</si>
  <si>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</si>
  <si>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</si>
  <si>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</si>
  <si>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</si>
  <si>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</si>
  <si>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</si>
  <si>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</si>
  <si>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</si>
  <si>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</si>
  <si>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</si>
  <si>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</si>
  <si>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</si>
  <si>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</si>
  <si>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</si>
  <si>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</si>
  <si>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</si>
  <si>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</si>
  <si>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</si>
  <si>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</si>
  <si>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</si>
  <si>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</si>
  <si>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</si>
  <si>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</si>
  <si>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</si>
  <si>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</si>
  <si>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</si>
  <si>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</si>
  <si>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</si>
  <si>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</si>
  <si>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</si>
  <si>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</si>
  <si>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</si>
  <si>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</si>
  <si>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</si>
  <si>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</si>
  <si>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</si>
  <si>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</si>
  <si>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</si>
  <si>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</si>
  <si>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</si>
  <si>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</si>
  <si>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</si>
  <si>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</si>
  <si>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</si>
  <si>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</si>
  <si>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</si>
  <si>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</si>
  <si>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</si>
  <si>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</si>
  <si>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</si>
  <si>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</si>
  <si>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</si>
  <si>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</si>
  <si>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</si>
  <si>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</si>
  <si>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</si>
  <si>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</si>
  <si>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</si>
  <si>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</si>
  <si>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</si>
  <si>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</si>
  <si>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</si>
  <si>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</si>
  <si>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</si>
  <si>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</si>
  <si>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</si>
  <si>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</si>
  <si>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</si>
  <si>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</si>
  <si>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</si>
  <si>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</si>
  <si>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</si>
  <si>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</si>
  <si>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</si>
  <si>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</si>
  <si>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</si>
  <si>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</si>
  <si>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</si>
  <si>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</si>
  <si>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</si>
  <si>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</si>
  <si>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</si>
  <si>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</si>
  <si>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</si>
  <si>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</si>
  <si>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</si>
  <si>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</si>
  <si>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</si>
  <si>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</si>
  <si>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</si>
  <si>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</si>
  <si>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</si>
  <si>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</si>
  <si>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</si>
  <si>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</si>
  <si>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</si>
  <si>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</si>
  <si>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</si>
  <si>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</si>
  <si>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</si>
  <si>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</si>
  <si>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</si>
  <si>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</si>
  <si>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</si>
  <si>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</si>
  <si>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</si>
  <si>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</si>
  <si>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</si>
  <si>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</si>
  <si>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</si>
  <si>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</si>
  <si>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</si>
  <si>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</si>
  <si>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</si>
  <si>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</si>
  <si>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</si>
  <si>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</si>
  <si>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</si>
  <si>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</si>
  <si>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</si>
  <si>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</si>
  <si>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</si>
  <si>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</si>
  <si>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</si>
  <si>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</si>
  <si>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</si>
  <si>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</si>
  <si>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</si>
  <si>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</si>
  <si>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</si>
  <si>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</si>
  <si>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</si>
  <si>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</si>
  <si>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</si>
  <si>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</si>
  <si>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</si>
  <si>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</si>
  <si>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</si>
  <si>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</si>
  <si>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</si>
  <si>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</si>
  <si>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</si>
  <si>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</si>
  <si>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</si>
  <si>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</si>
  <si>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</si>
  <si>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</si>
  <si>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</si>
  <si>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</si>
  <si>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</si>
  <si>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</si>
  <si>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</si>
  <si>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</si>
  <si>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</si>
  <si>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</si>
  <si>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</si>
  <si>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</si>
  <si>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</si>
  <si>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</si>
  <si>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</si>
  <si>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</si>
  <si>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</si>
  <si>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</si>
  <si>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</si>
  <si>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</si>
  <si>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</si>
  <si>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</si>
  <si>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</si>
  <si>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</si>
  <si>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</si>
  <si>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</si>
  <si>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</si>
  <si>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</si>
  <si>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</si>
  <si>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</si>
  <si>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</si>
  <si>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</si>
  <si>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</si>
  <si>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</si>
  <si>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</si>
  <si>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</si>
  <si>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</si>
  <si>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</si>
  <si>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</si>
  <si>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</si>
  <si>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</si>
  <si>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</si>
  <si>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</si>
  <si>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</si>
  <si>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</si>
  <si>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</si>
  <si>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</si>
  <si>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</si>
  <si>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</si>
  <si>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</si>
  <si>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</si>
  <si>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</si>
  <si>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</si>
  <si>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</si>
  <si>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</si>
  <si>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</si>
  <si>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</si>
  <si>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</si>
  <si>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</si>
  <si>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</si>
  <si>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</si>
  <si>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</si>
  <si>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</si>
  <si>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</si>
  <si>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</si>
  <si>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</si>
  <si>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</si>
  <si>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</si>
  <si>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</si>
  <si>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</si>
  <si>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</si>
  <si>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</si>
  <si>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</si>
  <si>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</si>
  <si>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</si>
  <si>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</si>
  <si>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</si>
  <si>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</si>
  <si>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</si>
  <si>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</si>
  <si>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</si>
  <si>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</si>
  <si>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</si>
  <si>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</si>
  <si>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</si>
  <si>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</si>
  <si>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</si>
  <si>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</si>
  <si>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</si>
  <si>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</si>
  <si>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</si>
  <si>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</si>
  <si>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</si>
  <si>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</si>
  <si>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</si>
  <si>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</si>
  <si>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</si>
  <si>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</si>
  <si>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</si>
  <si>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</si>
  <si>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</si>
  <si>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</si>
  <si>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</si>
  <si>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</si>
  <si>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</si>
  <si>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</si>
  <si>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</si>
  <si>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</si>
  <si>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</si>
  <si>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</si>
  <si>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</si>
  <si>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</si>
  <si>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</si>
  <si>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</si>
  <si>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</si>
  <si>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</si>
  <si>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</si>
  <si>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</si>
  <si>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</si>
  <si>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</si>
  <si>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</si>
  <si>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</si>
  <si>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</si>
  <si>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</si>
  <si>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</si>
  <si>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</si>
  <si>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</si>
  <si>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</si>
  <si>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</si>
  <si>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</si>
  <si>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</si>
  <si>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</si>
  <si>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</si>
  <si>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</si>
  <si>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</si>
  <si>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</si>
  <si>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</si>
  <si>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</si>
  <si>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</si>
  <si>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</si>
  <si>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</si>
  <si>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</si>
  <si>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</si>
  <si>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</si>
  <si>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</si>
  <si>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</si>
  <si>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</si>
  <si>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</si>
  <si>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</si>
  <si>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</si>
  <si>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</si>
  <si>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</si>
  <si>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</si>
  <si>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</si>
  <si>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</si>
  <si>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</si>
  <si>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</si>
  <si>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</si>
  <si>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</si>
  <si>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</si>
  <si>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</si>
  <si>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</si>
  <si>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</si>
  <si>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</si>
  <si>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</si>
  <si>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</si>
  <si>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</si>
  <si>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</si>
  <si>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</si>
  <si>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</si>
  <si>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</si>
  <si>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</si>
  <si>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</si>
  <si>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</si>
  <si>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</si>
  <si>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</si>
  <si>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</si>
  <si>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</si>
  <si>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</si>
  <si>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</si>
  <si>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</si>
  <si>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</si>
  <si>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</si>
  <si>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</si>
  <si>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</si>
  <si>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</si>
  <si>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</si>
  <si>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</si>
  <si>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</si>
  <si>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</si>
  <si>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</si>
  <si>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</si>
  <si>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</si>
  <si>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</si>
  <si>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</si>
  <si>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</si>
  <si>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</si>
  <si>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</si>
  <si>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</si>
  <si>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</si>
  <si>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</si>
  <si>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</si>
  <si>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</si>
  <si>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</si>
  <si>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</si>
  <si>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</si>
  <si>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</si>
  <si>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</si>
  <si>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</si>
  <si>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</si>
  <si>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</si>
  <si>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</si>
  <si>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</si>
  <si>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</si>
  <si>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</si>
  <si>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</si>
  <si>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</si>
  <si>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</si>
  <si>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</si>
  <si>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</si>
  <si>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</si>
  <si>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</si>
  <si>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</si>
  <si>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</si>
  <si>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</si>
  <si>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</si>
  <si>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</si>
  <si>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</si>
  <si>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</si>
  <si>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</si>
  <si>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</si>
  <si>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</si>
  <si>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</si>
  <si>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</si>
  <si>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</si>
  <si>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</si>
  <si>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</si>
  <si>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</si>
  <si>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</si>
  <si>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</si>
  <si>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</si>
  <si>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</si>
  <si>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</si>
  <si>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</si>
  <si>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</si>
  <si>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</si>
  <si>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</si>
  <si>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</si>
  <si>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</si>
  <si>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</si>
  <si>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</si>
  <si>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</si>
  <si>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</si>
  <si>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</si>
  <si>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</si>
  <si>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</si>
  <si>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</si>
  <si>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</si>
  <si>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</si>
  <si>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</si>
  <si>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</si>
  <si>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</si>
  <si>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</si>
  <si>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</si>
  <si>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</si>
  <si>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</si>
  <si>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</si>
  <si>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</si>
  <si>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</si>
  <si>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</si>
  <si>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</si>
  <si>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</si>
  <si>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</si>
  <si>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</si>
  <si>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</si>
  <si>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</si>
  <si>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</si>
  <si>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</si>
  <si>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</si>
  <si>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</si>
  <si>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</si>
  <si>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</si>
  <si>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</si>
  <si>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</si>
  <si>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</si>
  <si>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</si>
  <si>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</si>
  <si>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</si>
  <si>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</si>
  <si>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</si>
  <si>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</si>
  <si>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</si>
  <si>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</si>
  <si>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</si>
  <si>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</si>
  <si>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</si>
  <si>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</si>
  <si>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</si>
  <si>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</si>
  <si>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</si>
  <si>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</si>
  <si>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</si>
  <si>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</si>
  <si>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</si>
  <si>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</si>
  <si>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</si>
  <si>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</si>
  <si>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</si>
  <si>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</si>
  <si>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</si>
  <si>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</si>
  <si>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</si>
  <si>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</si>
  <si>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</si>
  <si>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</si>
  <si>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</si>
  <si>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</si>
  <si>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</si>
  <si>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</si>
  <si>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</si>
  <si>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</si>
  <si>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</si>
  <si>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</si>
  <si>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</si>
  <si>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</si>
  <si>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</si>
  <si>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</si>
  <si>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</si>
  <si>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</si>
  <si>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</si>
  <si>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</si>
  <si>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</si>
  <si>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</si>
  <si>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</si>
  <si>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</si>
  <si>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</si>
  <si>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</si>
  <si>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</si>
  <si>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</si>
  <si>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</si>
  <si>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</si>
  <si>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</si>
  <si>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</si>
  <si>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</si>
  <si>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</si>
  <si>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</si>
  <si>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</si>
  <si>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</si>
  <si>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</si>
  <si>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</si>
  <si>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</si>
  <si>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</si>
  <si>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</si>
  <si>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</si>
  <si>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</si>
  <si>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</si>
  <si>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</si>
  <si>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</si>
  <si>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</si>
  <si>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</si>
  <si>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</si>
  <si>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</si>
  <si>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</si>
  <si>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</si>
  <si>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</si>
  <si>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</si>
  <si>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</si>
  <si>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</si>
  <si>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</si>
  <si>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</si>
  <si>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</si>
  <si>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</si>
  <si>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</si>
  <si>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</si>
  <si>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</si>
  <si>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</si>
  <si>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</si>
  <si>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</si>
  <si>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</si>
  <si>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</si>
  <si>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</si>
  <si>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</si>
  <si>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</si>
  <si>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</si>
  <si>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</si>
  <si>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</si>
  <si>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</si>
  <si>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</si>
  <si>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</si>
  <si>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</si>
  <si>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</si>
  <si>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</si>
  <si>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</si>
  <si>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</si>
  <si>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</si>
  <si>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</si>
  <si>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</si>
  <si>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</si>
  <si>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</si>
  <si>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</si>
  <si>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</si>
  <si>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</si>
  <si>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</si>
  <si>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</si>
  <si>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</si>
  <si>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</si>
  <si>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</si>
  <si>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</si>
  <si>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</si>
  <si>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</si>
  <si>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</si>
  <si>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</si>
  <si>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</si>
  <si>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</si>
  <si>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</si>
  <si>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</si>
  <si>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</si>
  <si>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</si>
  <si>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</si>
  <si>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</si>
  <si>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</si>
  <si>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</si>
  <si>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</si>
  <si>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</si>
  <si>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</si>
  <si>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</si>
  <si>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</si>
  <si>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</si>
  <si>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</si>
  <si>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</si>
  <si>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</si>
  <si>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</si>
  <si>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</si>
  <si>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</si>
  <si>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</si>
  <si>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</si>
  <si>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</si>
  <si>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</si>
  <si>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</si>
  <si>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</si>
  <si>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</si>
  <si>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</si>
  <si>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</si>
  <si>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</si>
  <si>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</si>
  <si>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</si>
  <si>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</si>
  <si>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</si>
  <si>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</si>
  <si>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</si>
  <si>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</si>
  <si>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</si>
  <si>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</si>
  <si>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</si>
  <si>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</si>
  <si>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</si>
  <si>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</si>
  <si>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</si>
  <si>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</si>
  <si>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</si>
  <si>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</si>
  <si>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</si>
  <si>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</si>
  <si>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</si>
  <si>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</si>
  <si>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</si>
  <si>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</si>
  <si>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</si>
  <si>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</si>
  <si>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</si>
  <si>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</si>
  <si>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</si>
  <si>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</si>
  <si>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</si>
  <si>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</si>
  <si>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</si>
  <si>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</si>
  <si>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</si>
  <si>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</si>
  <si>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</si>
  <si>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</si>
  <si>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</si>
  <si>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</si>
  <si>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</si>
  <si>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</si>
  <si>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</si>
  <si>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</si>
  <si>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</si>
  <si>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</si>
  <si>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</si>
  <si>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</si>
  <si>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</si>
  <si>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</si>
  <si>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</si>
  <si>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</si>
  <si>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</si>
  <si>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</si>
  <si>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</si>
  <si>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</si>
  <si>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</si>
  <si>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</si>
  <si>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</si>
  <si>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</si>
  <si>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</si>
  <si>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</si>
  <si>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</si>
  <si>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</si>
  <si>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</si>
  <si>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</si>
  <si>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</si>
  <si>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</si>
  <si>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</si>
  <si>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</si>
  <si>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</si>
  <si>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</si>
  <si>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</si>
  <si>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</si>
  <si>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</si>
  <si>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</si>
  <si>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</si>
  <si>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</si>
  <si>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</si>
  <si>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</si>
  <si>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</si>
  <si>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</si>
  <si>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</si>
  <si>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</si>
  <si>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</si>
  <si>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</si>
  <si>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</si>
  <si>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</si>
  <si>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</si>
  <si>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</si>
  <si>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</si>
  <si>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</si>
  <si>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</si>
  <si>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</si>
  <si>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</si>
  <si>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</si>
  <si>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</si>
  <si>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</si>
  <si>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</si>
  <si>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</si>
  <si>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</si>
  <si>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</si>
  <si>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</si>
  <si>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</si>
  <si>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</si>
  <si>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</si>
  <si>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</si>
  <si>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</si>
  <si>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</si>
  <si>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</si>
  <si>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</si>
  <si>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</si>
  <si>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</si>
  <si>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</si>
  <si>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</si>
  <si>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</si>
  <si>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</si>
  <si>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</si>
  <si>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</si>
  <si>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</si>
  <si>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</si>
  <si>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</si>
  <si>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</si>
  <si>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</si>
  <si>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</si>
  <si>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</si>
  <si>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</si>
  <si>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</si>
  <si>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</si>
  <si>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</si>
  <si>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</si>
  <si>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</si>
  <si>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</si>
  <si>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</si>
  <si>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</si>
  <si>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</si>
  <si>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</si>
  <si>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</si>
  <si>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</si>
  <si>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</si>
  <si>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</si>
  <si>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</si>
  <si>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</si>
  <si>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</si>
  <si>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</si>
  <si>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</si>
  <si>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</si>
  <si>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</si>
  <si>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</si>
  <si>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</si>
  <si>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</si>
  <si>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</si>
  <si>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</si>
  <si>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</si>
  <si>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</si>
  <si>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</si>
  <si>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</si>
  <si>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</si>
  <si>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</si>
  <si>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</si>
  <si>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</si>
  <si>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</si>
  <si>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</si>
  <si>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</si>
  <si>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</si>
  <si>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</si>
  <si>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</si>
  <si>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</si>
  <si>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</si>
  <si>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</si>
  <si>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</si>
  <si>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</si>
  <si>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</si>
  <si>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</si>
  <si>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</si>
  <si>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</si>
  <si>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</si>
  <si>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</si>
  <si>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</si>
  <si>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</si>
  <si>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</si>
  <si>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</si>
  <si>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</si>
  <si>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</si>
  <si>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</si>
  <si>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</si>
  <si>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</si>
  <si>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</si>
  <si>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</si>
  <si>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</si>
  <si>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</si>
  <si>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</si>
  <si>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</si>
  <si>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</si>
  <si>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</si>
  <si>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</si>
  <si>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</si>
  <si>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</si>
  <si>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</si>
  <si>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</si>
  <si>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</si>
  <si>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</si>
  <si>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</si>
  <si>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</si>
  <si>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</si>
  <si>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</si>
  <si>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</si>
  <si>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</si>
  <si>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</si>
  <si>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</si>
  <si>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</si>
  <si>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</si>
  <si>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</si>
  <si>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</si>
  <si>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</si>
  <si>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</si>
  <si>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</si>
  <si>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</si>
  <si>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</si>
  <si>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</si>
  <si>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</si>
  <si>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</si>
  <si>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</si>
  <si>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</si>
  <si>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</si>
  <si>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</si>
  <si>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</si>
  <si>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</si>
  <si>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</si>
  <si>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</si>
  <si>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</si>
  <si>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</si>
  <si>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</si>
  <si>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</si>
  <si>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</si>
  <si>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</si>
  <si>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</si>
  <si>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</si>
  <si>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</si>
  <si>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</si>
  <si>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</si>
  <si>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</si>
  <si>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</si>
  <si>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</si>
  <si>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</si>
  <si>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</si>
  <si>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</si>
  <si>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</si>
  <si>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</si>
  <si>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</si>
  <si>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</si>
  <si>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</si>
  <si>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</si>
  <si>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</si>
  <si>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</si>
  <si>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</si>
  <si>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</si>
  <si>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</si>
  <si>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</si>
  <si>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</si>
  <si>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</si>
  <si>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</si>
  <si>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</si>
  <si>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</si>
  <si>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</si>
  <si>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</si>
  <si>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</si>
  <si>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</si>
  <si>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</si>
  <si>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</si>
  <si>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</si>
  <si>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</si>
  <si>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</si>
  <si>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</si>
  <si>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</si>
  <si>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</si>
  <si>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</si>
  <si>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</si>
  <si>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</si>
  <si>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</si>
  <si>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</si>
  <si>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</si>
  <si>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</si>
  <si>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</si>
  <si>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</si>
  <si>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</si>
  <si>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</si>
  <si>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</si>
  <si>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</si>
  <si>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</si>
  <si>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</si>
  <si>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</si>
  <si>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</si>
  <si>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</si>
  <si>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</si>
  <si>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</si>
  <si>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</si>
  <si>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</si>
  <si>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</si>
  <si>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</si>
  <si>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</si>
  <si>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</si>
  <si>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</si>
  <si>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</si>
  <si>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</si>
  <si>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</si>
  <si>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</si>
  <si>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</si>
  <si>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</si>
  <si>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</si>
  <si>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</si>
  <si>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</si>
  <si>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</si>
  <si>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</si>
  <si>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</si>
  <si>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</si>
  <si>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</si>
  <si>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</si>
  <si>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</si>
  <si>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</si>
  <si>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</si>
  <si>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</si>
  <si>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</si>
  <si>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</si>
  <si>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</si>
  <si>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</si>
  <si>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</si>
  <si>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</si>
  <si>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</si>
  <si>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</si>
  <si>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</si>
  <si>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</si>
  <si>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</si>
  <si>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</si>
  <si>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</si>
  <si>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</si>
  <si>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</si>
  <si>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</si>
  <si>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</si>
  <si>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</si>
  <si>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</si>
  <si>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</si>
  <si>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</si>
  <si>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</si>
  <si>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</si>
  <si>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</si>
  <si>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</si>
  <si>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</si>
  <si>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</si>
  <si>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</si>
  <si>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</si>
  <si>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</si>
  <si>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</si>
  <si>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</si>
  <si>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</si>
  <si>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</si>
  <si>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</si>
  <si>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</si>
  <si>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</si>
  <si>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</si>
  <si>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</si>
  <si>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</si>
  <si>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</si>
  <si>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</si>
  <si>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</si>
  <si>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</si>
  <si>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</si>
  <si>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</si>
  <si>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</si>
  <si>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</si>
  <si>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</si>
  <si>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</si>
  <si>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</si>
  <si>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</si>
  <si>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</si>
  <si>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</si>
  <si>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</si>
  <si>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</si>
  <si>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</si>
  <si>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</si>
  <si>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</si>
  <si>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</si>
  <si>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</si>
  <si>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</si>
  <si>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</si>
  <si>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</si>
  <si>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</si>
  <si>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</si>
  <si>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</si>
  <si>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</si>
  <si>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</si>
  <si>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</si>
  <si>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</si>
  <si>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</si>
  <si>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</si>
  <si>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</si>
  <si>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</si>
  <si>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</si>
  <si>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</si>
  <si>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</si>
  <si>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</si>
  <si>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</si>
  <si>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</si>
  <si>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</si>
  <si>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</si>
  <si>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</si>
  <si>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</si>
  <si>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</si>
  <si>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</si>
  <si>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</si>
  <si>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</si>
  <si>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</si>
  <si>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</si>
  <si>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</si>
  <si>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</si>
  <si>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</si>
  <si>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</si>
  <si>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</si>
  <si>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</si>
  <si>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</si>
  <si>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</si>
  <si>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</si>
  <si>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</si>
  <si>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</si>
  <si>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</si>
  <si>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</si>
  <si>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</si>
  <si>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</si>
  <si>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</si>
  <si>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</si>
  <si>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</si>
  <si>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</si>
  <si>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</si>
  <si>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</si>
  <si>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</si>
  <si>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</si>
  <si>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</si>
  <si>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</si>
  <si>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</si>
  <si>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</si>
  <si>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</si>
  <si>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</si>
  <si>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</si>
  <si>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</si>
  <si>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</si>
  <si>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</si>
  <si>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</si>
  <si>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</si>
  <si>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</si>
  <si>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</si>
  <si>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</si>
  <si>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</si>
  <si>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</si>
  <si>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</si>
  <si>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</si>
  <si>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</si>
  <si>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</si>
  <si>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</si>
  <si>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</si>
  <si>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</si>
  <si>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</si>
  <si>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</si>
  <si>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</si>
  <si>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</si>
  <si>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</si>
  <si>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</si>
  <si>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</si>
  <si>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</si>
  <si>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</si>
  <si>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</si>
  <si>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</si>
  <si>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</si>
  <si>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</si>
  <si>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</si>
  <si>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</si>
  <si>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</si>
  <si>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</si>
  <si>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</si>
  <si>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</si>
  <si>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</si>
  <si>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</si>
  <si>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</si>
  <si>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</si>
  <si>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</si>
  <si>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</si>
  <si>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</si>
  <si>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</si>
  <si>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</si>
  <si>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</si>
  <si>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</si>
  <si>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</si>
  <si>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</si>
  <si>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</si>
  <si>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</si>
  <si>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</si>
  <si>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</si>
  <si>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</si>
  <si>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</si>
  <si>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</si>
  <si>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</si>
  <si>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</si>
  <si>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</si>
  <si>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</si>
  <si>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</si>
  <si>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</si>
  <si>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</si>
  <si>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</si>
  <si>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</si>
  <si>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</si>
  <si>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</si>
  <si>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</si>
  <si>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</si>
  <si>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</si>
  <si>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</si>
  <si>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</si>
  <si>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</si>
  <si>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</si>
  <si>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</si>
  <si>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</si>
  <si>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</si>
  <si>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</si>
  <si>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</si>
  <si>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</si>
  <si>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</si>
  <si>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</si>
  <si>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</si>
  <si>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</si>
  <si>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</si>
  <si>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</si>
  <si>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</si>
  <si>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</si>
  <si>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</si>
  <si>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</si>
  <si>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</si>
  <si>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</si>
  <si>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</si>
  <si>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</si>
  <si>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</si>
  <si>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</si>
  <si>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</si>
  <si>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</si>
  <si>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</si>
  <si>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</si>
  <si>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</si>
  <si>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</si>
  <si>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</si>
  <si>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</si>
  <si>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</si>
  <si>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</si>
  <si>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</si>
  <si>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</si>
  <si>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</si>
  <si>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</si>
  <si>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</si>
  <si>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</si>
  <si>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</si>
  <si>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</si>
  <si>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</si>
  <si>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</si>
  <si>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</si>
  <si>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</si>
  <si>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</si>
  <si>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</si>
  <si>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</si>
  <si>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</si>
  <si>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</si>
  <si>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</si>
  <si>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</si>
  <si>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</si>
  <si>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</si>
  <si>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</si>
  <si>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</si>
  <si>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</si>
  <si>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</si>
  <si>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</si>
  <si>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</si>
  <si>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</si>
  <si>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</si>
  <si>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</si>
  <si>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</si>
  <si>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</si>
  <si>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</si>
  <si>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</si>
  <si>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</si>
  <si>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</si>
  <si>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</si>
  <si>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</si>
  <si>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</si>
  <si>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</si>
  <si>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</si>
  <si>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</si>
  <si>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</si>
  <si>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</si>
  <si>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</si>
  <si>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</si>
  <si>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</si>
  <si>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</si>
  <si>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</si>
  <si>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</si>
  <si>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</si>
  <si>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</si>
  <si>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</si>
  <si>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</si>
  <si>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</si>
  <si>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</si>
  <si>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</si>
  <si>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</si>
  <si>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</si>
  <si>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</si>
  <si>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</si>
  <si>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</si>
  <si>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</si>
  <si>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</si>
  <si>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</si>
  <si>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</si>
  <si>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</si>
  <si>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</si>
  <si>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</si>
  <si>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</si>
  <si>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</si>
  <si>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</si>
  <si>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</si>
  <si>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</si>
  <si>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</si>
  <si>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</si>
  <si>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</si>
  <si>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</si>
  <si>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</si>
  <si>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</si>
  <si>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</si>
  <si>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</si>
  <si>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</si>
  <si>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</si>
  <si>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</si>
  <si>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</si>
  <si>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</si>
  <si>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</si>
  <si>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</si>
  <si>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</si>
  <si>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</si>
  <si>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</si>
  <si>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</si>
  <si>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</si>
  <si>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</si>
  <si>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</si>
  <si>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</si>
  <si>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</si>
  <si>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</si>
  <si>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</si>
  <si>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</si>
  <si>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</si>
  <si>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</si>
  <si>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</si>
  <si>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</si>
  <si>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</si>
  <si>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</si>
  <si>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</si>
  <si>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</si>
  <si>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</si>
  <si>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</si>
  <si>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</si>
  <si>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</si>
  <si>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</si>
  <si>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</si>
  <si>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</si>
  <si>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</si>
  <si>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</si>
  <si>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</si>
  <si>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</si>
  <si>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</si>
  <si>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</si>
  <si>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</si>
  <si>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</si>
  <si>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</si>
  <si>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</si>
  <si>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</si>
  <si>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</si>
  <si>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</si>
  <si>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</si>
  <si>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</si>
  <si>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</si>
  <si>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</si>
  <si>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</si>
  <si>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</si>
  <si>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</si>
  <si>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</si>
  <si>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</si>
  <si>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</si>
  <si>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</si>
  <si>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</si>
  <si>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</si>
  <si>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</si>
  <si>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</si>
  <si>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</si>
  <si>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</si>
  <si>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</si>
  <si>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</si>
  <si>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</si>
  <si>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</si>
  <si>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</si>
  <si>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</si>
  <si>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</si>
  <si>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</si>
  <si>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</si>
  <si>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</si>
  <si>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</si>
  <si>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</si>
  <si>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</si>
  <si>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</si>
  <si>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</si>
  <si>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</si>
  <si>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</si>
  <si>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</si>
  <si>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</si>
  <si>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</si>
  <si>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</si>
  <si>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</si>
  <si>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</si>
  <si>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</si>
  <si>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</si>
  <si>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</si>
  <si>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</si>
  <si>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</si>
  <si>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</si>
  <si>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</si>
  <si>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</si>
  <si>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</si>
  <si>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</si>
  <si>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</si>
  <si>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</si>
  <si>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</si>
  <si>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</si>
  <si>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</si>
  <si>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</si>
  <si>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</si>
  <si>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</si>
  <si>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</si>
  <si>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</si>
  <si>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</si>
  <si>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</si>
  <si>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</si>
  <si>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</si>
  <si>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</si>
  <si>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</si>
  <si>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</si>
  <si>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</si>
  <si>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</si>
  <si>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</si>
  <si>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</si>
  <si>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</si>
  <si>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</si>
  <si>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</si>
  <si>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</si>
  <si>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</si>
  <si>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</si>
  <si>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</si>
  <si>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</si>
  <si>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</si>
  <si>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</si>
  <si>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</si>
  <si>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</si>
  <si>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</si>
  <si>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</si>
  <si>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</si>
  <si>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</si>
  <si>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</si>
  <si>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</si>
  <si>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</si>
  <si>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</si>
  <si>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</si>
  <si>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</si>
  <si>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</si>
  <si>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</si>
  <si>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</si>
  <si>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</si>
  <si>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</si>
  <si>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</si>
  <si>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</si>
  <si>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</si>
  <si>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</si>
  <si>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</si>
  <si>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</si>
  <si>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</si>
  <si>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</si>
  <si>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</si>
  <si>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</si>
  <si>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</si>
  <si>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</si>
  <si>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</si>
  <si>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</si>
  <si>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</si>
  <si>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</si>
  <si>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</si>
  <si>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</si>
  <si>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</si>
  <si>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</si>
  <si>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</si>
  <si>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</si>
  <si>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</si>
  <si>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</si>
  <si>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</si>
  <si>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</si>
  <si>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</si>
  <si>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</si>
  <si>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</si>
  <si>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</si>
  <si>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</si>
  <si>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</si>
  <si>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</si>
  <si>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</si>
  <si>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</si>
  <si>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</si>
  <si>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</si>
  <si>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</si>
  <si>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</si>
  <si>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</si>
  <si>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</si>
  <si>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</si>
  <si>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</si>
  <si>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</si>
  <si>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</si>
  <si>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</si>
  <si>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</si>
  <si>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</si>
  <si>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</si>
  <si>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</si>
  <si>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</si>
  <si>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</si>
  <si>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</si>
  <si>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</si>
  <si>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</si>
  <si>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</si>
  <si>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</si>
  <si>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</si>
  <si>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</si>
  <si>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</si>
  <si>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</si>
  <si>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</si>
  <si>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</si>
  <si>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</si>
  <si>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</si>
  <si>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</si>
  <si>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</si>
  <si>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</si>
  <si>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</si>
  <si>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</si>
  <si>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</si>
  <si>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</si>
  <si>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</si>
  <si>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</si>
  <si>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</si>
  <si>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</si>
  <si>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</si>
  <si>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</si>
  <si>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</si>
  <si>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</si>
  <si>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</si>
  <si>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</si>
  <si>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</si>
  <si>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</si>
  <si>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</si>
  <si>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</si>
  <si>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</si>
  <si>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</si>
  <si>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</si>
  <si>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</si>
  <si>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</si>
  <si>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</si>
  <si>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</si>
  <si>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</si>
  <si>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</si>
  <si>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</si>
  <si>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</si>
  <si>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</si>
  <si>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</si>
  <si>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</si>
  <si>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</si>
  <si>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</si>
  <si>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</si>
  <si>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</si>
  <si>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</si>
  <si>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</si>
  <si>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</si>
  <si>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</si>
  <si>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</si>
  <si>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</si>
  <si>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</si>
  <si>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</si>
  <si>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</si>
  <si>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</si>
  <si>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</si>
  <si>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</si>
  <si>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</si>
  <si>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</si>
  <si>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</si>
  <si>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</si>
  <si>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</si>
  <si>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</si>
  <si>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</si>
  <si>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</si>
  <si>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</si>
  <si>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</si>
  <si>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</si>
  <si>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</si>
  <si>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</si>
  <si>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</si>
  <si>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</si>
  <si>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</si>
  <si>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</si>
  <si>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</si>
  <si>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</si>
  <si>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</si>
  <si>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</si>
  <si>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</si>
  <si>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</si>
  <si>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</si>
  <si>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</si>
  <si>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</si>
  <si>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</si>
  <si>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</si>
  <si>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</si>
  <si>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</si>
  <si>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</si>
  <si>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</si>
  <si>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</si>
  <si>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</si>
  <si>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</si>
  <si>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</si>
  <si>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</si>
  <si>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</si>
  <si>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</si>
  <si>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</si>
  <si>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</si>
  <si>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</si>
  <si>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</si>
  <si>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</si>
  <si>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</si>
  <si>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</si>
  <si>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</si>
  <si>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</si>
  <si>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</si>
  <si>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</si>
  <si>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</si>
  <si>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</si>
  <si>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</si>
  <si>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</si>
  <si>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</si>
  <si>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</si>
  <si>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</si>
  <si>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</si>
  <si>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</si>
  <si>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</si>
  <si>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</si>
  <si>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</si>
  <si>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</si>
  <si>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</si>
  <si>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</si>
  <si>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</si>
  <si>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</si>
  <si>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</si>
  <si>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</si>
  <si>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</si>
  <si>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</si>
  <si>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</si>
  <si>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</si>
  <si>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</si>
  <si>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</si>
  <si>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</si>
  <si>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</si>
  <si>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</si>
  <si>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</si>
  <si>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</si>
  <si>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</si>
  <si>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</si>
  <si>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</si>
  <si>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</si>
  <si>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</si>
  <si>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</si>
  <si>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</si>
  <si>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</si>
  <si>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</si>
  <si>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</si>
  <si>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</si>
  <si>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</si>
  <si>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</si>
  <si>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</si>
  <si>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</si>
  <si>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</si>
  <si>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</si>
  <si>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</si>
  <si>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</si>
  <si>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</si>
  <si>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</si>
  <si>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</si>
  <si>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</si>
  <si>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</si>
  <si>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</si>
  <si>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</si>
  <si>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</si>
  <si>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</si>
  <si>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</si>
  <si>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</si>
  <si>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</si>
  <si>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</si>
  <si>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</si>
  <si>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</si>
  <si>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</si>
  <si>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</si>
  <si>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</si>
  <si>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</si>
  <si>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</si>
  <si>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</si>
  <si>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</si>
  <si>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</si>
  <si>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</si>
  <si>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</si>
  <si>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</si>
  <si>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</si>
  <si>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</si>
  <si>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</si>
  <si>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</si>
  <si>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</si>
  <si>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</si>
  <si>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</si>
  <si>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</si>
  <si>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</si>
  <si>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</si>
  <si>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</si>
  <si>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</si>
  <si>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</si>
  <si>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</si>
  <si>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</si>
  <si>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</si>
  <si>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</si>
  <si>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</si>
  <si>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</si>
  <si>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</si>
  <si>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</si>
  <si>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</si>
  <si>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</si>
  <si>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</si>
  <si>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</si>
  <si>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</si>
  <si>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</si>
  <si>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</si>
  <si>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</si>
  <si>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</si>
  <si>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</si>
  <si>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</si>
  <si>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</si>
  <si>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</si>
  <si>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</si>
  <si>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</si>
  <si>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</si>
  <si>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</si>
  <si>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</si>
  <si>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</si>
  <si>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</si>
  <si>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</si>
  <si>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</si>
  <si>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</si>
  <si>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</si>
  <si>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</si>
  <si>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</si>
  <si>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</si>
  <si>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</si>
  <si>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</si>
  <si>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</si>
  <si>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</si>
  <si>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</si>
  <si>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</si>
  <si>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</si>
  <si>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</si>
  <si>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</si>
  <si>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</si>
  <si>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</si>
  <si>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</si>
  <si>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</si>
  <si>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</si>
  <si>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</si>
  <si>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</si>
  <si>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</si>
  <si>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</si>
  <si>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</si>
  <si>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</si>
  <si>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</si>
  <si>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</si>
  <si>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</si>
  <si>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</si>
  <si>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</si>
  <si>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</si>
  <si>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</si>
  <si>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</si>
  <si>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</si>
  <si>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</si>
  <si>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</si>
  <si>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</si>
  <si>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</si>
  <si>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</si>
  <si>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</si>
  <si>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</si>
  <si>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</si>
  <si>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</si>
  <si>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</si>
  <si>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</si>
  <si>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</si>
  <si>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</si>
  <si>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</si>
  <si>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</si>
  <si>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</si>
  <si>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</si>
  <si>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</si>
  <si>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</si>
  <si>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</si>
  <si>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</si>
  <si>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</si>
  <si>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</si>
  <si>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</si>
  <si>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</si>
  <si>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</si>
  <si>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</si>
  <si>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</si>
  <si>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</si>
  <si>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</si>
  <si>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</si>
  <si>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</si>
  <si>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</si>
  <si>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</si>
  <si>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</si>
  <si>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</si>
  <si>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</si>
  <si>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</si>
  <si>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</si>
  <si>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</si>
  <si>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</si>
  <si>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</si>
  <si>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</si>
  <si>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</si>
  <si>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</si>
  <si>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</si>
  <si>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</si>
  <si>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</si>
  <si>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</si>
  <si>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</si>
  <si>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</si>
  <si>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</si>
  <si>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</si>
  <si>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</si>
  <si>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</si>
  <si>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</si>
  <si>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</si>
  <si>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</si>
  <si>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</si>
  <si>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</si>
  <si>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</si>
  <si>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</si>
  <si>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</si>
  <si>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</si>
  <si>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</si>
  <si>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</si>
  <si>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</si>
  <si>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</si>
  <si>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</si>
  <si>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</si>
  <si>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</si>
  <si>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</si>
  <si>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</si>
  <si>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</si>
  <si>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</si>
  <si>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</si>
  <si>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</si>
  <si>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</si>
  <si>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</si>
  <si>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</si>
  <si>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</si>
  <si>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</si>
  <si>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</si>
  <si>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</si>
  <si>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</si>
  <si>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</si>
  <si>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</si>
  <si>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</si>
  <si>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</si>
  <si>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</si>
  <si>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</si>
  <si>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</si>
  <si>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</si>
  <si>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</si>
  <si>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</si>
  <si>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</si>
  <si>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</si>
  <si>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</si>
  <si>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</si>
  <si>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</si>
  <si>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</si>
  <si>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</si>
  <si>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</si>
  <si>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</si>
  <si>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</si>
  <si>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</si>
  <si>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</si>
  <si>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</si>
  <si>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</si>
  <si>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</si>
  <si>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</si>
  <si>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</si>
  <si>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</si>
  <si>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</si>
  <si>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</si>
  <si>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</si>
  <si>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</si>
  <si>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</si>
  <si>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</si>
  <si>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</si>
  <si>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</si>
  <si>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</si>
  <si>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</si>
  <si>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</si>
  <si>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</si>
  <si>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</si>
  <si>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</si>
  <si>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</si>
  <si>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</si>
  <si>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</si>
  <si>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</si>
  <si>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</si>
  <si>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</si>
  <si>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</si>
  <si>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</si>
  <si>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</si>
  <si>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</si>
  <si>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</si>
  <si>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</si>
  <si>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</si>
  <si>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</si>
  <si>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</si>
  <si>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</si>
  <si>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</si>
  <si>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</si>
  <si>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</si>
  <si>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</si>
  <si>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</si>
  <si>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</si>
  <si>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</si>
  <si>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</si>
  <si>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</si>
  <si>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</si>
  <si>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</si>
  <si>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</si>
  <si>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</si>
  <si>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</si>
  <si>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</si>
  <si>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</si>
  <si>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</si>
  <si>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</si>
  <si>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</si>
  <si>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</si>
  <si>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</si>
  <si>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</si>
  <si>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</si>
  <si>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</si>
  <si>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</si>
  <si>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</si>
  <si>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</si>
  <si>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</si>
  <si>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</si>
  <si>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</si>
  <si>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</si>
  <si>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</si>
  <si>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</si>
  <si>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</si>
  <si>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</si>
  <si>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</si>
  <si>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</si>
  <si>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</si>
  <si>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</si>
  <si>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</si>
  <si>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</si>
  <si>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</si>
  <si>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</si>
  <si>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</si>
  <si>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</si>
  <si>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</si>
  <si>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</si>
  <si>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</si>
  <si>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</si>
  <si>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</si>
  <si>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</si>
  <si>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</si>
  <si>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</si>
  <si>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</si>
  <si>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</si>
  <si>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</si>
  <si>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</si>
  <si>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</si>
  <si>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</si>
  <si>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</si>
  <si>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</si>
  <si>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</si>
  <si>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</si>
  <si>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</si>
  <si>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</si>
  <si>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</si>
  <si>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</si>
  <si>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</si>
  <si>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</si>
  <si>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</si>
  <si>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</si>
  <si>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</si>
  <si>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</si>
  <si>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</si>
  <si>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</si>
  <si>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</si>
  <si>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</si>
  <si>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</si>
  <si>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</si>
  <si>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</si>
  <si>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</si>
  <si>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</si>
  <si>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</si>
  <si>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</si>
  <si>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</si>
  <si>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</si>
  <si>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</si>
  <si>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</si>
  <si>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</si>
  <si>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</si>
  <si>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</si>
  <si>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</si>
  <si>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</si>
  <si>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</si>
  <si>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</si>
  <si>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</si>
  <si>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</si>
  <si>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</si>
  <si>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</si>
  <si>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</si>
  <si>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</si>
  <si>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</si>
  <si>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</si>
  <si>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</si>
  <si>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</si>
  <si>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</si>
  <si>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</si>
  <si>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</si>
  <si>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</si>
  <si>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</si>
  <si>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</si>
  <si>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</si>
  <si>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</si>
  <si>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</si>
  <si>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</si>
  <si>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</si>
  <si>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</si>
  <si>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</si>
  <si>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</si>
  <si>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</si>
  <si>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</si>
  <si>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</si>
  <si>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</si>
  <si>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</si>
  <si>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</si>
  <si>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</si>
  <si>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</si>
  <si>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</si>
  <si>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</si>
  <si>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</si>
  <si>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</si>
  <si>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</si>
  <si>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</si>
  <si>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</si>
  <si>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</si>
  <si>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</si>
  <si>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</si>
  <si>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</si>
  <si>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</si>
  <si>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</si>
  <si>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</si>
  <si>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</si>
  <si>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</si>
  <si>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</si>
  <si>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</si>
  <si>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</si>
  <si>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</si>
  <si>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</si>
  <si>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</si>
  <si>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</si>
  <si>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</si>
  <si>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</si>
  <si>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</si>
  <si>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</si>
  <si>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</si>
  <si>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</si>
  <si>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</si>
  <si>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</si>
  <si>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</si>
  <si>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</si>
  <si>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</si>
  <si>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</si>
  <si>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</si>
  <si>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</si>
  <si>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</si>
  <si>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</si>
  <si>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</si>
  <si>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</si>
  <si>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</si>
  <si>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</si>
  <si>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</si>
  <si>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</si>
  <si>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</si>
  <si>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</si>
  <si>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</si>
  <si>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</si>
  <si>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</si>
  <si>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</si>
  <si>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</si>
  <si>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</si>
  <si>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</si>
  <si>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</si>
  <si>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</si>
  <si>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</si>
  <si>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</si>
  <si>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</si>
  <si>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</si>
  <si>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</si>
  <si>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</si>
  <si>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</si>
  <si>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</si>
  <si>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</si>
  <si>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</si>
  <si>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</si>
  <si>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</si>
  <si>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</si>
  <si>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</si>
  <si>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</si>
  <si>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</si>
  <si>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</si>
  <si>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</si>
  <si>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</si>
  <si>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</si>
  <si>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</si>
  <si>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</si>
  <si>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</si>
  <si>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</si>
  <si>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</si>
  <si>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</si>
  <si>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</si>
  <si>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</si>
  <si>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</si>
  <si>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</si>
  <si>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</si>
  <si>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</si>
  <si>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</si>
  <si>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</si>
  <si>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</si>
  <si>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</si>
  <si>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</si>
  <si>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</si>
  <si>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</si>
  <si>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</si>
  <si>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</si>
  <si>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</si>
  <si>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</si>
  <si>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</si>
  <si>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</si>
  <si>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</si>
  <si>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</si>
  <si>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</si>
  <si>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</si>
  <si>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</si>
  <si>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</si>
  <si>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</si>
  <si>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</si>
  <si>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</si>
  <si>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</si>
  <si>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</si>
  <si>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</si>
  <si>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</si>
  <si>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</si>
  <si>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</si>
  <si>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</si>
  <si>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</si>
  <si>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</si>
  <si>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</si>
  <si>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</si>
  <si>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</si>
  <si>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</si>
  <si>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</si>
  <si>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</si>
  <si>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</si>
  <si>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</si>
  <si>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</si>
  <si>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</si>
  <si>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</si>
  <si>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</si>
  <si>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</si>
  <si>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</si>
  <si>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</si>
  <si>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</si>
  <si>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</si>
  <si>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</si>
  <si>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</si>
  <si>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</si>
  <si>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</si>
  <si>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</si>
  <si>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</si>
  <si>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</si>
  <si>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</si>
  <si>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</si>
  <si>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</si>
  <si>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</si>
  <si>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</si>
  <si>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</si>
  <si>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</si>
  <si>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</si>
  <si>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</si>
  <si>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</si>
  <si>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</si>
  <si>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</si>
  <si>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</si>
  <si>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</si>
  <si>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</si>
  <si>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</si>
  <si>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</si>
  <si>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</si>
  <si>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</si>
  <si>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</si>
  <si>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</si>
  <si>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</si>
  <si>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</si>
  <si>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</si>
  <si>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</si>
  <si>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</si>
  <si>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</si>
  <si>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</si>
  <si>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</si>
  <si>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</si>
  <si>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</si>
  <si>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</si>
  <si>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</si>
  <si>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</si>
  <si>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</si>
  <si>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</si>
  <si>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</si>
  <si>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</si>
  <si>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</si>
  <si>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</si>
  <si>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</si>
  <si>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</si>
  <si>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</si>
  <si>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</si>
  <si>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</si>
  <si>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</si>
  <si>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</si>
  <si>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</si>
  <si>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</si>
  <si>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</si>
  <si>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</si>
  <si>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</si>
  <si>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</si>
  <si>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</si>
  <si>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</si>
  <si>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</si>
  <si>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</si>
  <si>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</si>
  <si>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</si>
  <si>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</si>
  <si>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</si>
  <si>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</si>
  <si>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</si>
  <si>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</si>
  <si>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</si>
  <si>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</si>
  <si>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</si>
  <si>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</si>
  <si>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</si>
  <si>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</si>
  <si>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</si>
  <si>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</si>
  <si>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</si>
  <si>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</si>
  <si>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</si>
  <si>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</si>
  <si>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</si>
  <si>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</si>
  <si>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</si>
  <si>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</si>
  <si>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</si>
  <si>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</si>
  <si>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</si>
  <si>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</si>
  <si>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</si>
  <si>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</si>
  <si>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</si>
  <si>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</si>
  <si>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</si>
  <si>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</si>
  <si>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</si>
  <si>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</si>
  <si>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</si>
  <si>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</si>
  <si>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</si>
  <si>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</si>
  <si>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</si>
  <si>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</si>
  <si>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</si>
  <si>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</si>
  <si>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</si>
  <si>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</si>
  <si>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</si>
  <si>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</si>
  <si>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</si>
  <si>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</si>
  <si>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</si>
  <si>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</si>
  <si>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</si>
  <si>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</si>
  <si>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</si>
  <si>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</si>
  <si>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</si>
  <si>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</si>
  <si>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</si>
  <si>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</si>
  <si>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</si>
  <si>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</si>
  <si>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</si>
  <si>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</si>
  <si>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</si>
  <si>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</si>
  <si>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</si>
  <si>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</si>
  <si>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</si>
  <si>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</si>
  <si>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</si>
  <si>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</si>
  <si>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</si>
  <si>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</si>
  <si>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</si>
  <si>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</si>
  <si>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</si>
  <si>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</si>
  <si>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</si>
  <si>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</si>
  <si>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</si>
  <si>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</si>
  <si>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</si>
  <si>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</si>
  <si>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</si>
  <si>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</si>
  <si>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</si>
  <si>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</si>
  <si>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</si>
  <si>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</si>
  <si>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</si>
  <si>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</si>
  <si>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</si>
  <si>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</si>
  <si>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</si>
  <si>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</si>
  <si>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</si>
  <si>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</si>
  <si>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</si>
  <si>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</si>
  <si>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</si>
  <si>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</si>
  <si>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</si>
  <si>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</si>
  <si>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</si>
  <si>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</si>
  <si>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</si>
  <si>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</si>
  <si>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</si>
  <si>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</si>
  <si>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</si>
  <si>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</si>
  <si>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</si>
  <si>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</si>
  <si>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</si>
  <si>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</si>
  <si>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</si>
  <si>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</si>
  <si>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</si>
  <si>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</si>
  <si>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</si>
  <si>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</si>
  <si>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</si>
  <si>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</si>
  <si>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</si>
  <si>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</si>
  <si>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</si>
  <si>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</si>
  <si>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</si>
  <si>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</si>
  <si>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</si>
  <si>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</si>
  <si>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</si>
  <si>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</si>
  <si>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</si>
  <si>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</si>
  <si>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</si>
  <si>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</si>
  <si>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</si>
  <si>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</si>
  <si>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</si>
  <si>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</si>
  <si>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</si>
  <si>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</si>
  <si>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</si>
  <si>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</si>
  <si>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</si>
  <si>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</si>
  <si>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</si>
  <si>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</si>
  <si>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</si>
  <si>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</si>
  <si>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</si>
  <si>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</si>
  <si>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</si>
  <si>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</si>
  <si>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</si>
  <si>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</si>
  <si>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</si>
  <si>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</si>
  <si>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</si>
  <si>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</si>
  <si>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</si>
  <si>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</si>
  <si>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</si>
  <si>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</si>
  <si>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</si>
  <si>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</si>
  <si>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</si>
  <si>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</si>
  <si>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</si>
  <si>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</si>
  <si>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</si>
  <si>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</si>
  <si>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</si>
  <si>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</si>
  <si>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</si>
  <si>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</si>
  <si>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</si>
  <si>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</si>
  <si>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</si>
  <si>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</si>
  <si>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</si>
  <si>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</si>
  <si>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</si>
  <si>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</si>
  <si>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</si>
  <si>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</si>
  <si>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</si>
  <si>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</si>
  <si>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</si>
  <si>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</si>
  <si>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</si>
  <si>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</si>
  <si>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</si>
  <si>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</si>
  <si>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</si>
  <si>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</si>
  <si>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</si>
  <si>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</si>
  <si>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</si>
  <si>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</si>
  <si>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</si>
  <si>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</si>
  <si>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</si>
  <si>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</si>
  <si>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</si>
  <si>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</si>
  <si>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</si>
  <si>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</si>
  <si>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</si>
  <si>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</si>
  <si>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</si>
  <si>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</si>
  <si>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</si>
  <si>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</si>
  <si>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</si>
  <si>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</si>
  <si>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</si>
  <si>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</si>
  <si>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</si>
  <si>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</si>
  <si>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</si>
  <si>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</si>
  <si>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</si>
  <si>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</si>
  <si>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</si>
  <si>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</si>
  <si>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</si>
  <si>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</si>
  <si>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</si>
  <si>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</si>
  <si>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</si>
  <si>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</si>
  <si>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</si>
  <si>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</si>
  <si>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</si>
  <si>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</si>
  <si>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</si>
  <si>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</si>
  <si>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</si>
  <si>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</si>
  <si>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</si>
  <si>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</si>
  <si>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</si>
  <si>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</si>
  <si>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</si>
  <si>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</si>
  <si>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</si>
  <si>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</si>
  <si>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</si>
  <si>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</si>
  <si>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</si>
  <si>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</si>
  <si>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</si>
  <si>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</si>
  <si>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</si>
  <si>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</si>
  <si>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</si>
  <si>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</si>
  <si>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</si>
  <si>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</si>
  <si>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</si>
  <si>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</si>
  <si>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</si>
  <si>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</si>
  <si>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</si>
  <si>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</si>
  <si>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</si>
  <si>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</si>
  <si>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</si>
  <si>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</si>
  <si>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</si>
  <si>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</si>
  <si>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</si>
  <si>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</si>
  <si>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</si>
  <si>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</si>
  <si>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</si>
  <si>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</si>
  <si>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</si>
  <si>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</si>
  <si>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</si>
  <si>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</si>
  <si>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</si>
  <si>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</si>
  <si>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</si>
  <si>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</si>
  <si>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</si>
  <si>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</si>
  <si>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</si>
  <si>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</si>
  <si>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</si>
  <si>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</si>
  <si>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</si>
  <si>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</si>
  <si>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</si>
  <si>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</si>
  <si>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</si>
  <si>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</si>
  <si>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</si>
  <si>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</si>
  <si>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</si>
  <si>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</si>
  <si>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</si>
  <si>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</si>
  <si>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</si>
  <si>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</si>
  <si>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</si>
  <si>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</si>
  <si>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</si>
  <si>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</si>
  <si>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</si>
  <si>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</si>
  <si>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</si>
  <si>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</si>
  <si>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</si>
  <si>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</si>
  <si>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</si>
  <si>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</si>
  <si>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</si>
  <si>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</si>
  <si>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</si>
  <si>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</si>
  <si>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</si>
  <si>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</si>
  <si>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</si>
  <si>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</si>
  <si>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</si>
  <si>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</si>
  <si>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</si>
  <si>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</si>
  <si>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</si>
  <si>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</si>
  <si>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</si>
  <si>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</si>
  <si>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</si>
  <si>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</si>
  <si>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</si>
  <si>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</si>
  <si>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</si>
  <si>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</si>
  <si>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</si>
  <si>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</si>
  <si>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</si>
  <si>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</si>
  <si>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</si>
  <si>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</si>
  <si>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</si>
  <si>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</si>
  <si>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</si>
  <si>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</si>
  <si>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</si>
  <si>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</si>
  <si>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</si>
  <si>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</si>
  <si>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</si>
  <si>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</si>
  <si>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</si>
  <si>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</si>
  <si>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</si>
  <si>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</si>
  <si>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</si>
  <si>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</si>
  <si>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</si>
  <si>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</si>
  <si>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</si>
  <si>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</si>
  <si>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</si>
  <si>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</si>
  <si>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</si>
  <si>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</si>
  <si>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</si>
  <si>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</si>
  <si>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</si>
  <si>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</si>
  <si>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</si>
  <si>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</si>
  <si>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</si>
  <si>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</si>
  <si>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</si>
  <si>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</si>
  <si>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</si>
  <si>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</si>
  <si>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</si>
  <si>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</si>
  <si>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</si>
  <si>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</si>
  <si>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</si>
  <si>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</si>
  <si>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</si>
  <si>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</si>
  <si>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</si>
  <si>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</si>
  <si>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</si>
  <si>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</si>
  <si>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</si>
  <si>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</si>
  <si>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</si>
  <si>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</si>
  <si>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</si>
  <si>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</si>
  <si>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</si>
  <si>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</si>
  <si>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</si>
  <si>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</si>
  <si>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</si>
  <si>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</si>
  <si>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</si>
  <si>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</si>
  <si>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</si>
  <si>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</si>
  <si>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</si>
  <si>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</si>
  <si>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</si>
  <si>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</si>
  <si>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</si>
  <si>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</si>
  <si>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</si>
  <si>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</si>
  <si>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</si>
  <si>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</si>
  <si>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</si>
  <si>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</si>
  <si>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</si>
  <si>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</si>
  <si>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</si>
  <si>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</si>
  <si>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</si>
  <si>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</si>
  <si>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</si>
  <si>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</si>
  <si>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</si>
  <si>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</si>
  <si>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</si>
  <si>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</si>
  <si>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</si>
  <si>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</si>
  <si>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</si>
  <si>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</si>
  <si>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</si>
  <si>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</si>
  <si>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</si>
  <si>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</si>
  <si>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</si>
  <si>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</si>
  <si>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</si>
  <si>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</si>
  <si>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</si>
  <si>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</si>
  <si>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</si>
  <si>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</si>
  <si>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</si>
  <si>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</si>
  <si>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</si>
  <si>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</si>
  <si>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</si>
  <si>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</si>
  <si>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</si>
  <si>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</si>
  <si>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</si>
  <si>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</si>
  <si>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</si>
  <si>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</si>
  <si>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</si>
  <si>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</si>
  <si>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</si>
  <si>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</si>
  <si>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</si>
  <si>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</si>
  <si>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</si>
  <si>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</si>
  <si>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</si>
  <si>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</si>
  <si>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</si>
  <si>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</si>
  <si>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</si>
  <si>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</si>
  <si>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</si>
  <si>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</si>
  <si>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</si>
  <si>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</si>
  <si>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</si>
  <si>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</si>
  <si>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</si>
  <si>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</si>
  <si>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</si>
  <si>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</si>
  <si>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</si>
  <si>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</si>
  <si>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</si>
  <si>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</si>
  <si>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</si>
  <si>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</si>
  <si>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</si>
  <si>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</si>
  <si>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</si>
  <si>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</si>
  <si>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</si>
  <si>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</si>
  <si>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</si>
  <si>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</si>
  <si>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</si>
  <si>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</si>
  <si>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</si>
  <si>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</si>
  <si>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</si>
  <si>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</si>
  <si>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</si>
  <si>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</si>
  <si>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</si>
  <si>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</si>
  <si>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</si>
  <si>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</si>
  <si>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</si>
  <si>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</si>
  <si>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</si>
  <si>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</si>
  <si>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</si>
  <si>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</si>
  <si>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</si>
  <si>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</si>
  <si>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</si>
  <si>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</si>
  <si>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</si>
  <si>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</si>
  <si>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</si>
  <si>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</si>
  <si>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</si>
  <si>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</si>
  <si>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</si>
  <si>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</si>
  <si>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</si>
  <si>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</si>
  <si>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</si>
  <si>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</si>
  <si>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</si>
  <si>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</si>
  <si>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</si>
  <si>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</si>
  <si>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</si>
  <si>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</si>
  <si>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</si>
  <si>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</si>
  <si>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</si>
  <si>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</si>
  <si>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</si>
  <si>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</si>
  <si>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</si>
  <si>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</si>
  <si>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</si>
  <si>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</si>
  <si>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</si>
  <si>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</si>
  <si>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</si>
  <si>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</si>
  <si>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</si>
  <si>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</si>
  <si>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</si>
  <si>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</si>
  <si>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</si>
  <si>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</si>
  <si>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</si>
  <si>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</si>
  <si>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</si>
  <si>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</si>
  <si>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</si>
  <si>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</si>
  <si>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</si>
  <si>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</si>
  <si>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</si>
  <si>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</si>
  <si>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</si>
  <si>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</si>
  <si>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</si>
  <si>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</si>
  <si>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</si>
  <si>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</si>
  <si>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</si>
  <si>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</si>
  <si>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</si>
  <si>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</si>
  <si>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</si>
  <si>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</si>
  <si>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</si>
  <si>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</si>
  <si>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</si>
  <si>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</si>
  <si>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</si>
  <si>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</si>
  <si>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</si>
  <si>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</si>
  <si>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</si>
  <si>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</si>
  <si>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</si>
  <si>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</si>
  <si>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</si>
  <si>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</si>
  <si>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</si>
  <si>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</si>
  <si>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</si>
  <si>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</si>
  <si>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</si>
  <si>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</si>
  <si>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</si>
  <si>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</si>
  <si>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</si>
  <si>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</si>
  <si>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</si>
  <si>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</si>
  <si>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</si>
  <si>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</si>
  <si>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</si>
  <si>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</si>
  <si>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</si>
  <si>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</si>
  <si>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</si>
  <si>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</si>
  <si>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</si>
  <si>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</si>
  <si>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</si>
  <si>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</si>
  <si>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</si>
  <si>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</si>
  <si>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</si>
  <si>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</si>
  <si>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</si>
  <si>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</si>
  <si>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</si>
  <si>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</si>
  <si>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</si>
  <si>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</si>
  <si>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</si>
  <si>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</si>
  <si>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</si>
  <si>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</si>
  <si>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</si>
  <si>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</si>
  <si>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</si>
  <si>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</si>
  <si>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</si>
  <si>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</si>
  <si>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</si>
  <si>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</si>
  <si>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</si>
  <si>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</si>
  <si>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</si>
  <si>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</si>
  <si>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</si>
  <si>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</si>
  <si>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</si>
  <si>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</si>
  <si>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</si>
  <si>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</si>
  <si>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</si>
  <si>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</si>
  <si>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</si>
  <si>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</si>
  <si>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</si>
  <si>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</si>
  <si>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</si>
  <si>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</si>
  <si>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</si>
  <si>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</si>
  <si>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</si>
  <si>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</si>
  <si>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</si>
  <si>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</si>
  <si>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</si>
  <si>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</si>
  <si>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</si>
  <si>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</si>
  <si>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</si>
  <si>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</si>
  <si>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</si>
  <si>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</si>
  <si>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</si>
  <si>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</si>
  <si>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</si>
  <si>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</si>
  <si>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</si>
  <si>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</si>
  <si>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</si>
  <si>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</si>
  <si>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</si>
  <si>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</si>
  <si>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</si>
  <si>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</si>
  <si>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</si>
  <si>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</si>
  <si>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</si>
  <si>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</si>
  <si>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</si>
  <si>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</si>
  <si>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</si>
  <si>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</si>
  <si>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</si>
  <si>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</si>
  <si>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</si>
  <si>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</si>
  <si>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</si>
  <si>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</si>
  <si>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</si>
  <si>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</si>
  <si>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</si>
  <si>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</si>
  <si>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</si>
  <si>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</si>
  <si>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</si>
  <si>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</si>
  <si>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</si>
  <si>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</si>
  <si>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</si>
  <si>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</si>
  <si>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</si>
  <si>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</si>
  <si>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</si>
  <si>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</si>
  <si>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</si>
  <si>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</si>
  <si>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</si>
  <si>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</si>
  <si>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</si>
  <si>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</si>
  <si>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</si>
  <si>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</si>
  <si>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</si>
  <si>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</si>
  <si>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</si>
  <si>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</si>
  <si>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</si>
  <si>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</si>
  <si>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</si>
  <si>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</si>
  <si>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</si>
  <si>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</si>
  <si>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</si>
  <si>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</si>
  <si>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</si>
  <si>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</si>
  <si>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</si>
  <si>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</si>
  <si>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</si>
  <si>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</si>
  <si>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</si>
  <si>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</si>
  <si>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</si>
  <si>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</si>
  <si>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</si>
  <si>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</si>
  <si>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</si>
  <si>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</si>
  <si>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</si>
  <si>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</si>
  <si>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</si>
  <si>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</si>
  <si>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</si>
  <si>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</si>
  <si>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</si>
  <si>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</si>
  <si>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</si>
  <si>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</si>
  <si>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</si>
  <si>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</si>
  <si>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</si>
  <si>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</si>
  <si>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</si>
  <si>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</si>
  <si>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</si>
  <si>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</si>
  <si>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</si>
  <si>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</si>
  <si>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</si>
  <si>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</si>
  <si>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</si>
  <si>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</si>
  <si>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</si>
  <si>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</si>
  <si>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</si>
  <si>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</si>
  <si>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</si>
  <si>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</si>
  <si>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</si>
  <si>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</si>
  <si>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</si>
  <si>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</si>
  <si>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</si>
  <si>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</si>
  <si>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</si>
  <si>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</si>
  <si>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</si>
  <si>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</si>
  <si>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</si>
  <si>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</si>
  <si>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</si>
  <si>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</si>
  <si>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</si>
  <si>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</si>
  <si>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</si>
  <si>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</si>
  <si>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</si>
  <si>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</si>
  <si>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</si>
  <si>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</si>
  <si>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</si>
  <si>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</si>
  <si>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</si>
  <si>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</si>
  <si>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</si>
  <si>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</si>
  <si>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</si>
  <si>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</si>
  <si>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</si>
  <si>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</si>
  <si>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</si>
  <si>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</si>
  <si>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</si>
  <si>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</si>
  <si>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</si>
  <si>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</si>
  <si>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</si>
  <si>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</si>
  <si>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</si>
  <si>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</si>
  <si>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</si>
  <si>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</si>
  <si>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</si>
  <si>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</si>
  <si>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</si>
  <si>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</si>
  <si>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</si>
  <si>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</si>
  <si>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</si>
  <si>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</si>
  <si>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</si>
  <si>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</si>
  <si>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</si>
  <si>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</si>
  <si>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</si>
  <si>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</si>
  <si>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</si>
  <si>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</si>
  <si>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</si>
  <si>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</si>
  <si>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</si>
  <si>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</si>
  <si>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</si>
  <si>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</si>
  <si>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</si>
  <si>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</si>
  <si>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</si>
  <si>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</si>
  <si>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</si>
  <si>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</si>
  <si>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</si>
  <si>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</si>
  <si>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</si>
  <si>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</si>
  <si>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</si>
  <si>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</si>
  <si>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</si>
  <si>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</si>
  <si>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</si>
  <si>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</si>
  <si>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</si>
  <si>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</si>
  <si>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</si>
  <si>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</si>
  <si>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</si>
  <si>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</si>
  <si>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</si>
  <si>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</si>
  <si>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</si>
  <si>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</si>
  <si>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</si>
  <si>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</si>
  <si>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</si>
  <si>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</si>
  <si>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</si>
  <si>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</si>
  <si>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</si>
  <si>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</si>
  <si>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</si>
  <si>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</si>
  <si>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</si>
  <si>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</si>
  <si>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</si>
  <si>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</si>
  <si>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</si>
  <si>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</si>
  <si>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</si>
  <si>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</si>
  <si>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</si>
  <si>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</si>
  <si>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</si>
  <si>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</si>
  <si>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</si>
  <si>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</si>
  <si>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</si>
  <si>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</si>
  <si>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</si>
  <si>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</si>
  <si>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</si>
  <si>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</si>
  <si>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</si>
  <si>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</si>
  <si>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</si>
  <si>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</si>
  <si>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</si>
  <si>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</si>
  <si>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</si>
  <si>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</si>
  <si>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</si>
  <si>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</si>
  <si>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</si>
  <si>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</si>
  <si>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</si>
  <si>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</si>
  <si>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</si>
  <si>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</si>
  <si>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</si>
  <si>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</si>
  <si>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</si>
  <si>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</si>
  <si>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</si>
  <si>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</si>
  <si>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</si>
  <si>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</si>
  <si>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</si>
  <si>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</si>
  <si>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</si>
  <si>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</si>
  <si>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</si>
  <si>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</si>
  <si>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</si>
  <si>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</si>
  <si>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</si>
  <si>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</si>
  <si>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</si>
  <si>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</si>
  <si>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</si>
  <si>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</si>
  <si>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</si>
  <si>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</si>
  <si>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</si>
  <si>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</si>
  <si>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</si>
  <si>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</si>
  <si>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</si>
  <si>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</si>
  <si>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</si>
  <si>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</si>
  <si>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</si>
  <si>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</si>
  <si>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</si>
  <si>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</si>
  <si>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</si>
  <si>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</si>
  <si>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</si>
  <si>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</si>
  <si>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</si>
  <si>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</si>
  <si>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</si>
  <si>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</si>
  <si>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</si>
  <si>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</si>
  <si>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</si>
  <si>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</si>
  <si>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</si>
  <si>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</si>
  <si>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</si>
  <si>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</si>
  <si>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</si>
  <si>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</si>
  <si>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</si>
  <si>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</si>
  <si>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</si>
  <si>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</si>
  <si>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</si>
  <si>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</si>
  <si>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</si>
  <si>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</si>
  <si>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</si>
  <si>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</si>
  <si>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</si>
  <si>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</si>
  <si>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</si>
  <si>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</si>
  <si>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</si>
  <si>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</si>
  <si>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</si>
  <si>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</si>
  <si>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</si>
  <si>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</si>
  <si>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</si>
  <si>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</si>
  <si>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</si>
  <si>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</si>
  <si>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</si>
  <si>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</si>
  <si>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</si>
  <si>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</si>
  <si>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</si>
  <si>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</si>
  <si>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</si>
  <si>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</si>
  <si>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</si>
  <si>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</si>
  <si>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</si>
  <si>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</si>
  <si>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</si>
  <si>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</si>
  <si>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</si>
  <si>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</si>
  <si>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</si>
  <si>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</si>
  <si>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</si>
  <si>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</si>
  <si>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</si>
  <si>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</si>
  <si>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</si>
  <si>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</si>
  <si>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</si>
  <si>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</si>
  <si>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</si>
  <si>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</si>
  <si>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</si>
  <si>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</si>
  <si>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</si>
  <si>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</si>
  <si>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</si>
  <si>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</si>
  <si>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</si>
  <si>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</si>
  <si>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</si>
  <si>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</si>
  <si>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</si>
  <si>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</si>
  <si>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</si>
  <si>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</si>
  <si>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</si>
  <si>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</si>
  <si>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</si>
  <si>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</si>
  <si>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</si>
  <si>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</si>
  <si>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</si>
  <si>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</si>
  <si>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</si>
  <si>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</si>
  <si>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</si>
  <si>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</si>
  <si>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</si>
  <si>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</si>
  <si>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</si>
  <si>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</si>
  <si>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</si>
  <si>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</si>
  <si>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</si>
  <si>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</si>
  <si>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</si>
  <si>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</si>
  <si>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</si>
  <si>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</si>
  <si>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</si>
  <si>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</si>
  <si>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</si>
  <si>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</si>
  <si>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</si>
  <si>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</si>
  <si>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</si>
  <si>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</si>
  <si>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</si>
  <si>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</si>
  <si>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</si>
  <si>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</si>
  <si>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</si>
  <si>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</si>
  <si>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</si>
  <si>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</si>
  <si>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</si>
  <si>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</si>
  <si>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</si>
  <si>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</si>
  <si>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</si>
  <si>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</si>
  <si>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</si>
  <si>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</si>
  <si>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</si>
  <si>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</si>
  <si>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</si>
  <si>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</si>
  <si>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</si>
  <si>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</si>
  <si>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</si>
  <si>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</si>
  <si>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</si>
  <si>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</si>
  <si>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</si>
  <si>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</si>
  <si>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</si>
  <si>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</si>
  <si>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</si>
  <si>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</si>
  <si>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</si>
  <si>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</si>
  <si>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</si>
  <si>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</si>
  <si>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</si>
  <si>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</si>
  <si>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</si>
  <si>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</si>
  <si>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</si>
  <si>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</si>
  <si>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</si>
  <si>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</si>
  <si>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</si>
  <si>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</si>
  <si>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</si>
  <si>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</si>
  <si>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</si>
  <si>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</si>
  <si>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</si>
  <si>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</si>
  <si>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</si>
  <si>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</si>
  <si>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</si>
  <si>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</si>
  <si>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</si>
  <si>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</si>
  <si>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</si>
  <si>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</si>
  <si>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</si>
  <si>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</si>
  <si>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</si>
  <si>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</si>
  <si>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</si>
  <si>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</si>
  <si>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</si>
  <si>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</si>
  <si>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</si>
  <si>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</si>
  <si>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</si>
  <si>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</si>
  <si>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</si>
  <si>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</si>
  <si>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</si>
  <si>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</si>
  <si>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</si>
  <si>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</si>
  <si>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</si>
  <si>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</si>
  <si>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</si>
  <si>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</si>
  <si>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</si>
  <si>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</si>
  <si>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</si>
  <si>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</si>
  <si>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</si>
  <si>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</si>
  <si>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</si>
  <si>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</si>
  <si>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</si>
  <si>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</si>
  <si>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</si>
  <si>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</si>
  <si>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</si>
  <si>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</si>
  <si>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</si>
  <si>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</si>
  <si>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</si>
  <si>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</si>
  <si>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</si>
  <si>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</si>
  <si>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</si>
  <si>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</si>
  <si>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</si>
  <si>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</si>
  <si>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</si>
  <si>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</si>
  <si>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</si>
  <si>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</si>
  <si>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</si>
  <si>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</si>
  <si>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</si>
  <si>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</si>
  <si>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</si>
  <si>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</si>
  <si>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</si>
  <si>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</si>
  <si>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</si>
  <si>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</si>
  <si>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</si>
  <si>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</si>
  <si>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</si>
  <si>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</si>
  <si>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</si>
  <si>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</si>
  <si>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</si>
  <si>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</si>
  <si>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</si>
  <si>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</si>
  <si>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</si>
  <si>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</si>
  <si>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</si>
  <si>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</si>
  <si>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</si>
  <si>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</si>
  <si>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</si>
  <si>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</si>
  <si>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</si>
  <si>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</si>
  <si>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</si>
  <si>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</si>
  <si>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</si>
  <si>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</si>
  <si>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</si>
  <si>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</si>
  <si>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</si>
  <si>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</si>
  <si>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</si>
  <si>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</si>
  <si>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</si>
  <si>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</si>
  <si>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</si>
  <si>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</si>
  <si>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</si>
  <si>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</si>
  <si>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</si>
  <si>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</si>
  <si>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</si>
  <si>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</si>
  <si>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</si>
  <si>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</si>
  <si>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</si>
  <si>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</si>
  <si>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</si>
  <si>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</si>
  <si>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</si>
  <si>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</si>
  <si>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</si>
  <si>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</si>
  <si>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</si>
  <si>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</si>
  <si>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</si>
  <si>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</si>
  <si>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</si>
  <si>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</si>
  <si>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</si>
  <si>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</si>
  <si>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</si>
  <si>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</si>
  <si>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</si>
  <si>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</si>
  <si>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</si>
  <si>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</si>
  <si>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</si>
  <si>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</si>
  <si>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</si>
  <si>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</si>
  <si>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</si>
  <si>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</si>
  <si>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</si>
  <si>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</si>
  <si>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</si>
  <si>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</si>
  <si>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</si>
  <si>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</si>
  <si>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</si>
  <si>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</si>
  <si>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</si>
  <si>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</si>
  <si>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</si>
  <si>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</si>
  <si>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</si>
  <si>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</si>
  <si>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</si>
  <si>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</si>
  <si>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</si>
  <si>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</si>
  <si>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</si>
  <si>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</si>
  <si>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</si>
  <si>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</si>
  <si>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</si>
  <si>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</si>
  <si>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</si>
  <si>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</si>
  <si>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</si>
  <si>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</si>
  <si>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</si>
  <si>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</si>
  <si>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</si>
  <si>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</si>
  <si>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</si>
  <si>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</si>
  <si>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</si>
  <si>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</si>
  <si>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</si>
  <si>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</si>
  <si>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</si>
  <si>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</si>
  <si>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</si>
  <si>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</si>
  <si>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</si>
  <si>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</si>
  <si>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</si>
  <si>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</si>
  <si>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</si>
  <si>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</si>
  <si>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</si>
  <si>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</si>
  <si>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</si>
  <si>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</si>
  <si>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</si>
  <si>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</si>
  <si>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</si>
  <si>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</si>
  <si>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</si>
  <si>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</si>
  <si>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</si>
  <si>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</si>
  <si>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</si>
  <si>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</si>
  <si>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</si>
  <si>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</si>
  <si>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</si>
  <si>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</si>
  <si>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</si>
  <si>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</si>
  <si>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</si>
  <si>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</si>
  <si>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</si>
  <si>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</si>
  <si>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</si>
  <si>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</si>
  <si>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</si>
  <si>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</si>
  <si>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</si>
  <si>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</si>
  <si>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</si>
  <si>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</si>
  <si>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</si>
  <si>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</si>
  <si>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</si>
  <si>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</si>
  <si>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</si>
  <si>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</si>
  <si>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</si>
  <si>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</si>
  <si>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</si>
  <si>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</si>
  <si>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</si>
  <si>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</si>
  <si>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</si>
  <si>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</si>
  <si>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</si>
  <si>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</si>
  <si>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</si>
  <si>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</si>
  <si>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</si>
  <si>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</si>
  <si>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</si>
  <si>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</si>
  <si>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</si>
  <si>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</si>
  <si>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</si>
  <si>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</si>
  <si>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</si>
  <si>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</si>
  <si>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</si>
  <si>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</si>
  <si>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</si>
  <si>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</si>
  <si>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</si>
  <si>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</si>
  <si>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</si>
  <si>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</si>
  <si>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</si>
  <si>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</si>
  <si>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</si>
  <si>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</si>
  <si>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</si>
  <si>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</si>
  <si>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</si>
  <si>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</si>
  <si>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</si>
  <si>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</si>
  <si>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</si>
  <si>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</si>
  <si>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</si>
  <si>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</si>
  <si>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</si>
  <si>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</si>
  <si>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</si>
  <si>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</si>
  <si>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</si>
  <si>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</si>
  <si>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</si>
  <si>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</si>
  <si>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</si>
  <si>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</si>
  <si>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</si>
  <si>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</si>
  <si>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</si>
  <si>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</si>
  <si>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</si>
  <si>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</si>
  <si>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</si>
  <si>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</si>
  <si>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</si>
  <si>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</si>
  <si>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</si>
  <si>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</si>
  <si>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</si>
  <si>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</si>
  <si>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</si>
  <si>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</si>
  <si>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</si>
  <si>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</si>
  <si>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</si>
  <si>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</si>
  <si>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</si>
  <si>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</si>
  <si>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</si>
  <si>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</si>
  <si>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</si>
  <si>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</si>
  <si>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</si>
  <si>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</si>
  <si>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</si>
  <si>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</si>
  <si>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</si>
  <si>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</si>
  <si>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</si>
  <si>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</si>
  <si>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</si>
  <si>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</si>
  <si>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</si>
  <si>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</si>
  <si>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</si>
  <si>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</si>
  <si>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</si>
  <si>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</si>
  <si>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</si>
  <si>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</si>
  <si>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</si>
  <si>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</si>
  <si>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</si>
  <si>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</si>
  <si>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</si>
  <si>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</si>
  <si>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</si>
  <si>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</si>
  <si>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</si>
  <si>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</si>
  <si>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</si>
  <si>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</si>
  <si>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</si>
  <si>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</si>
  <si>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</si>
  <si>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</si>
  <si>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</si>
  <si>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</si>
  <si>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</si>
  <si>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</si>
  <si>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</si>
  <si>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</si>
  <si>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</si>
  <si>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</si>
  <si>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</si>
  <si>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</si>
  <si>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</si>
  <si>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</si>
  <si>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</si>
  <si>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</si>
  <si>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</si>
  <si>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</si>
  <si>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</si>
  <si>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</si>
  <si>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</si>
  <si>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</si>
  <si>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</si>
  <si>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</si>
  <si>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</si>
  <si>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</si>
  <si>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</si>
  <si>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</si>
  <si>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</si>
  <si>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</si>
  <si>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</si>
  <si>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</si>
  <si>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</si>
  <si>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</si>
  <si>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</si>
  <si>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</si>
  <si>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</si>
  <si>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</si>
  <si>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</si>
  <si>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</si>
  <si>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</si>
  <si>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</si>
  <si>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</si>
  <si>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</si>
  <si>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</si>
  <si>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</si>
  <si>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</si>
  <si>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</si>
  <si>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</si>
  <si>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</si>
  <si>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</si>
  <si>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</si>
  <si>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</si>
  <si>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</si>
  <si>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</si>
  <si>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</si>
  <si>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</si>
  <si>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</si>
  <si>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</si>
  <si>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</si>
  <si>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</si>
  <si>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</si>
  <si>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</si>
  <si>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</si>
  <si>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</si>
  <si>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</si>
  <si>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</si>
  <si>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</si>
  <si>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</si>
  <si>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</si>
  <si>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</si>
  <si>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</si>
  <si>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</si>
  <si>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</si>
  <si>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</si>
  <si>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</si>
  <si>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</si>
  <si>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</si>
  <si>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</si>
  <si>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</si>
  <si>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</si>
  <si>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</si>
  <si>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</si>
  <si>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</si>
  <si>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</si>
  <si>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</si>
  <si>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</si>
  <si>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</si>
  <si>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</si>
  <si>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</si>
  <si>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</si>
  <si>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</si>
  <si>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</si>
  <si>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</si>
  <si>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</si>
  <si>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</si>
  <si>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</si>
  <si>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</si>
  <si>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</si>
  <si>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</si>
  <si>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</si>
  <si>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</si>
  <si>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</si>
  <si>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</si>
  <si>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</si>
  <si>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</si>
  <si>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</si>
  <si>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</si>
  <si>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</si>
  <si>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</si>
  <si>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</si>
  <si>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</si>
  <si>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</si>
  <si>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</si>
  <si>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</si>
  <si>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</si>
  <si>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</si>
  <si>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</si>
  <si>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</si>
  <si>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</si>
  <si>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</si>
  <si>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</si>
  <si>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</si>
  <si>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</si>
  <si>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</si>
  <si>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</si>
  <si>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</si>
  <si>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</si>
  <si>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</si>
  <si>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</si>
  <si>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</si>
  <si>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</si>
  <si>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</si>
  <si>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</si>
  <si>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</si>
  <si>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</si>
  <si>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</si>
  <si>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</si>
  <si>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</si>
  <si>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</si>
  <si>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</si>
  <si>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</si>
  <si>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</si>
  <si>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</si>
  <si>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</si>
  <si>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</si>
  <si>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</si>
  <si>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</si>
  <si>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</si>
  <si>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</si>
  <si>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</si>
  <si>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</si>
  <si>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</si>
  <si>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</si>
  <si>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</si>
  <si>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</si>
  <si>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</si>
  <si>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</si>
  <si>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</si>
  <si>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</si>
  <si>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</si>
  <si>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</si>
  <si>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</si>
  <si>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</si>
  <si>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</si>
  <si>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</si>
  <si>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</si>
  <si>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</si>
  <si>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</si>
  <si>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</si>
  <si>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</si>
  <si>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</si>
  <si>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</si>
  <si>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</si>
  <si>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</si>
  <si>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</si>
  <si>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</si>
  <si>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</si>
  <si>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</si>
  <si>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</si>
  <si>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</si>
  <si>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</si>
  <si>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</si>
  <si>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</si>
  <si>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</si>
  <si>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Quang Tri General Hospital\FMSV2023080087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</si>
  <si>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</si>
  <si>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</si>
  <si>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</si>
  <si>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</si>
  <si>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</si>
  <si>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</si>
  <si>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</si>
  <si>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</si>
  <si>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</si>
  <si>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</si>
  <si>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</si>
  <si>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</si>
  <si>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</si>
  <si>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</si>
  <si>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</si>
  <si>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</si>
  <si>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</si>
  <si>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</si>
  <si>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</si>
  <si>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fmsv2023080102</t>
  </si>
  <si>
    <t>5</t>
  </si>
  <si>
    <t>6</t>
  </si>
  <si>
    <t>7</t>
  </si>
  <si>
    <t>8</t>
  </si>
  <si>
    <t>4</t>
  </si>
  <si>
    <t>-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</si>
  <si>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</si>
  <si>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</si>
  <si>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</si>
  <si>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</si>
  <si>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</si>
  <si>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</si>
  <si>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</si>
  <si>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</si>
  <si>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</si>
  <si>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</si>
  <si>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</si>
  <si>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</si>
  <si>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</si>
  <si>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</si>
  <si>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</si>
  <si>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</si>
  <si>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</si>
  <si>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</si>
  <si>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</si>
  <si>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</si>
  <si>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</si>
  <si>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</si>
  <si>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</si>
  <si>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</si>
  <si>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</si>
  <si>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</si>
  <si>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</si>
  <si>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</si>
  <si>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</si>
  <si>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</si>
  <si>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</si>
  <si>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</si>
  <si>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</si>
  <si>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</si>
  <si>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</si>
  <si>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</si>
  <si>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</si>
  <si>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</si>
  <si>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</si>
  <si>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</si>
  <si>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</si>
  <si>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</si>
  <si>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</si>
  <si>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</si>
  <si>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</si>
  <si>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</si>
  <si>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</si>
  <si>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</si>
  <si>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</si>
  <si>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</si>
  <si>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</si>
  <si>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</si>
  <si>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</si>
  <si>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</si>
  <si>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</si>
  <si>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</si>
  <si>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</si>
  <si>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</si>
  <si>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</si>
  <si>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</si>
  <si>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</si>
  <si>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</si>
  <si>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</si>
  <si>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</si>
  <si>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</si>
  <si>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</si>
  <si>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</si>
  <si>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</si>
  <si>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</si>
  <si>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</si>
  <si>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</si>
  <si>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</si>
  <si>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</si>
  <si>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</si>
  <si>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</si>
  <si>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</si>
  <si>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</si>
  <si>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</si>
  <si>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</si>
  <si>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</si>
  <si>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</si>
  <si>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</si>
  <si>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</si>
  <si>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</si>
  <si>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</si>
  <si>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</si>
  <si>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</si>
  <si>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</si>
  <si>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</si>
  <si>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</si>
  <si>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</si>
  <si>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</si>
  <si>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</si>
  <si>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</si>
  <si>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</si>
  <si>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</si>
  <si>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</si>
  <si>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</si>
  <si>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</si>
  <si>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</si>
  <si>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</si>
  <si>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</si>
  <si>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</si>
  <si>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</si>
  <si>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</si>
  <si>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</si>
  <si>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</si>
  <si>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</si>
  <si>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</si>
  <si>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</si>
  <si>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</si>
  <si>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</si>
  <si>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</si>
  <si>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</si>
  <si>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</si>
  <si>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</si>
  <si>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FMSV2023090022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</si>
  <si>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</si>
  <si>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</si>
  <si>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</si>
  <si>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</si>
  <si>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</si>
  <si>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</si>
  <si>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</si>
  <si>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</si>
  <si>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</si>
  <si>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</si>
  <si>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</si>
  <si>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</si>
  <si>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</si>
  <si>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</si>
  <si>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</si>
  <si>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</si>
  <si>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</si>
  <si>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</si>
  <si>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</si>
  <si>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</si>
  <si>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</si>
  <si>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</si>
  <si>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</si>
  <si>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</si>
  <si>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</si>
  <si>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</si>
  <si>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</si>
  <si>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>Main PCB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</si>
  <si>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</si>
  <si>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</si>
  <si>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</si>
  <si>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</si>
  <si>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</si>
  <si>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</si>
  <si>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</si>
  <si>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45007</t>
  </si>
  <si>
    <t>45000</t>
  </si>
  <si>
    <t>45165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</si>
  <si>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</si>
  <si>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</si>
  <si>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</si>
  <si>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</si>
  <si>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</si>
  <si>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</si>
  <si>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</si>
  <si>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</si>
  <si>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</si>
  <si>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</si>
  <si>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</si>
  <si>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</si>
  <si>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</si>
  <si>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</si>
  <si>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</si>
  <si>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</si>
  <si>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</si>
  <si>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 xml:space="preserve">EG-530WR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</si>
  <si>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</si>
  <si>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</si>
  <si>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</si>
  <si>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</si>
  <si>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</si>
  <si>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</si>
  <si>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</si>
  <si>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</si>
  <si>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</si>
  <si>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</si>
  <si>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</si>
  <si>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</si>
  <si>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</si>
  <si>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</si>
  <si>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</si>
  <si>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</si>
  <si>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</si>
  <si>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</si>
  <si>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</si>
  <si>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</si>
  <si>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</si>
  <si>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</si>
  <si>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</si>
  <si>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</si>
  <si>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</si>
  <si>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</si>
  <si>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</si>
  <si>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</si>
  <si>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</si>
  <si>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</si>
  <si>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</si>
  <si>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</si>
  <si>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</si>
  <si>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</si>
  <si>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</si>
  <si>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</si>
  <si>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</si>
  <si>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</si>
  <si>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</si>
  <si>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</si>
  <si>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</si>
  <si>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</si>
  <si>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</si>
  <si>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</si>
  <si>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</si>
  <si>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</si>
  <si>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</si>
  <si>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</si>
  <si>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</si>
  <si>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</si>
  <si>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</si>
  <si>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</si>
  <si>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</si>
  <si>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</si>
  <si>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</si>
  <si>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</si>
  <si>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</si>
  <si>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</si>
  <si>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</si>
  <si>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</si>
  <si>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</si>
  <si>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</si>
  <si>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</si>
  <si>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</si>
  <si>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</si>
  <si>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</si>
  <si>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</si>
  <si>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</si>
  <si>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</si>
  <si>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</si>
  <si>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</si>
  <si>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</si>
  <si>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</si>
  <si>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</si>
  <si>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</si>
  <si>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</si>
  <si>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</si>
  <si>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</si>
  <si>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2018-03-01 00:00:00</t>
  </si>
  <si>
    <t>2018-12-19 00:00:00</t>
  </si>
  <si>
    <t>2018-08-30 00:00:00</t>
  </si>
  <si>
    <t>2015-07-29 00:00:00</t>
  </si>
  <si>
    <t>2019-08-27 00:00:00</t>
  </si>
  <si>
    <t>2020-04-20 00:00:00</t>
  </si>
  <si>
    <t>2020-06-01 00:00:00</t>
  </si>
  <si>
    <t>2020-09-11 00:00:00</t>
  </si>
  <si>
    <t>2014-07-04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</si>
  <si>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</si>
  <si>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</si>
  <si>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</si>
  <si>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</si>
  <si>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</si>
  <si>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</si>
  <si>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</si>
  <si>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</si>
  <si>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</si>
  <si>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</si>
  <si>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</si>
  <si>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</si>
  <si>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</si>
  <si>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</si>
  <si>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</si>
  <si>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</si>
  <si>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</si>
  <si>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</si>
  <si>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</si>
  <si>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</si>
  <si>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</si>
  <si>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</si>
  <si>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</si>
  <si>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</si>
  <si>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</si>
  <si>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</si>
  <si>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</si>
  <si>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</si>
  <si>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</si>
  <si>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2022-08-31</t>
  </si>
  <si>
    <t>2022-11-02</t>
  </si>
  <si>
    <t>2022-12-21</t>
  </si>
  <si>
    <t>2023-09-08</t>
  </si>
  <si>
    <t>2022-09-07</t>
  </si>
  <si>
    <t>2023-04-26</t>
  </si>
  <si>
    <t>2022-09-19</t>
  </si>
  <si>
    <t>2021-09-28</t>
  </si>
  <si>
    <t>2019-08-20</t>
  </si>
  <si>
    <t>2022-08-02</t>
  </si>
  <si>
    <t>2023-06-08</t>
  </si>
  <si>
    <t>2021-05-27</t>
  </si>
  <si>
    <t>2022-04-29</t>
  </si>
  <si>
    <t>2023-02-02</t>
  </si>
  <si>
    <t>2022-12-19</t>
  </si>
  <si>
    <t>2023-07-21</t>
  </si>
  <si>
    <t>2023-06-29</t>
  </si>
  <si>
    <t>2023-06-13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</si>
  <si>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</si>
  <si>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</si>
  <si>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</si>
  <si>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</si>
  <si>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</si>
  <si>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</si>
  <si>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</si>
  <si>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</si>
  <si>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</si>
  <si>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</si>
  <si>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</si>
  <si>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</si>
  <si>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</si>
  <si>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</si>
  <si>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</si>
  <si>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</si>
  <si>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</si>
  <si>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</si>
  <si>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</si>
  <si>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</si>
  <si>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</si>
  <si>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2023-05-18</t>
  </si>
  <si>
    <t>2019-08-22</t>
  </si>
  <si>
    <t>2022-05-04</t>
  </si>
  <si>
    <t>2023-06-30</t>
  </si>
  <si>
    <t>2023-07-04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</si>
</sst>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5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64" fontId="0" fillId="0" borderId="42" xfId="0" applyNumberFormat="1" applyBorder="1"/>
    <xf numFmtId="14" fontId="0" fillId="0" borderId="42" xfId="0" applyNumberFormat="1" applyBorder="1"/>
    <xf numFmtId="0" fontId="0" fillId="0" borderId="42" xfId="0" applyBorder="1"/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164" fontId="0" fillId="0" borderId="27" xfId="0" applyNumberFormat="1" applyBorder="1"/>
    <xf numFmtId="1" fontId="0" fillId="0" borderId="42" xfId="0" applyNumberFormat="1" applyBorder="1"/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0" fontId="0" fillId="0" borderId="45" xfId="0" applyBorder="1"/>
    <xf numFmtId="14" fontId="0" fillId="0" borderId="45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0" applyAlignment="1">
      <alignment wrapText="1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48">
    <dxf>
      <numFmt numFmtId="164" formatCode="[$-409]d\-mmm\-yy;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409]d\-mmm\-yy;@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71" formatCode="_(&quot;$&quot;* #,##0_);_(&quot;$&quot;* \(#,##0\);_(&quot;$&quot;* &quot;-&quot;??_);_(@_)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15-Sep'!$A$18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15-Sep'!$B$18:$C$18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15-Sep'!$A$19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15-Sep'!$B$19:$C$19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15-Sep'!$A$20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15-Sep'!$B$20:$C$20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15-Sep'!$B$17:$C$17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8 - 2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293306</xdr:colOff>
      <xdr:row>0</xdr:row>
      <xdr:rowOff>40821</xdr:rowOff>
    </xdr:from>
    <xdr:to>
      <xdr:col>1</xdr:col>
      <xdr:colOff>304531</xdr:colOff>
      <xdr:row>0</xdr:row>
      <xdr:rowOff>254725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34290</xdr:colOff>
      <xdr:row>80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tat_repai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FF%20asset\FFVN%20asset%20repair%20plan_230907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\2023\inspection\FF%20asset\FFVN%20asset%20repair%20plan_230907.xlsx" TargetMode="External"/><Relationship Id="rId1" Type="http://schemas.openxmlformats.org/officeDocument/2006/relationships/externalLinkPath" Target="FFVN%20asset%20repair%20plan_2309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B1" t="str">
            <v>CUSTOMER_NAME</v>
          </cell>
          <cell r="C1" t="str">
            <v>MODEL</v>
          </cell>
          <cell r="D1" t="str">
            <v>SERIAL_NO</v>
          </cell>
          <cell r="E1" t="str">
            <v>Receive Date (IN)</v>
          </cell>
          <cell r="F1" t="str">
            <v>Quoted Date</v>
          </cell>
          <cell r="G1" t="str">
            <v>PO rec. Date</v>
          </cell>
          <cell r="H1" t="str">
            <v>Part Order Date</v>
          </cell>
          <cell r="I1" t="str">
            <v>Part Receive Date</v>
          </cell>
          <cell r="J1" t="str">
            <v>TAT Parts</v>
          </cell>
          <cell r="K1" t="str">
            <v>Repair Start Date</v>
          </cell>
          <cell r="L1" t="str">
            <v>TAT Repair</v>
          </cell>
          <cell r="M1" t="str">
            <v>Ship Date (OUT)</v>
          </cell>
          <cell r="N1" t="str">
            <v>TAT Days Completed</v>
          </cell>
        </row>
        <row r="2">
          <cell r="A2" t="str">
            <v>FMSV2021110094</v>
          </cell>
          <cell r="B2" t="str">
            <v>Hoang Long Clinic</v>
          </cell>
          <cell r="C2" t="str">
            <v>EG-600WR</v>
          </cell>
          <cell r="D2" t="str">
            <v>1G391K563</v>
          </cell>
          <cell r="E2" t="str">
            <v>2021-11-29</v>
          </cell>
          <cell r="F2" t="str">
            <v>2021-11-29 12:17:10</v>
          </cell>
          <cell r="G2"/>
          <cell r="H2"/>
          <cell r="I2" t="str">
            <v>2022-03-03 19:58:25</v>
          </cell>
          <cell r="J2"/>
          <cell r="K2"/>
          <cell r="L2"/>
          <cell r="M2"/>
          <cell r="N2"/>
        </row>
        <row r="3">
          <cell r="A3" t="str">
            <v>FMSV2021110098</v>
          </cell>
          <cell r="B3" t="str">
            <v>Hoang Long Clinic</v>
          </cell>
          <cell r="C3" t="str">
            <v>EG-760R</v>
          </cell>
          <cell r="D3" t="str">
            <v>2G402K285</v>
          </cell>
          <cell r="E3" t="str">
            <v>2021-11-30</v>
          </cell>
          <cell r="F3" t="str">
            <v>2021-11-30 13:38:50</v>
          </cell>
          <cell r="G3"/>
          <cell r="H3"/>
          <cell r="I3" t="str">
            <v>2022-03-03 20:06:09</v>
          </cell>
          <cell r="J3"/>
          <cell r="K3"/>
          <cell r="L3"/>
          <cell r="M3"/>
          <cell r="N3"/>
        </row>
        <row r="4">
          <cell r="A4" t="str">
            <v>FMSV2022030034</v>
          </cell>
          <cell r="B4" t="str">
            <v>Hoang Long Clinic</v>
          </cell>
          <cell r="C4" t="str">
            <v>EG-600WR</v>
          </cell>
          <cell r="D4" t="str">
            <v>1G391K985</v>
          </cell>
          <cell r="E4" t="str">
            <v>2022-03-18</v>
          </cell>
          <cell r="F4" t="str">
            <v>2022-03-29 17:56:53</v>
          </cell>
          <cell r="G4"/>
          <cell r="H4"/>
          <cell r="I4" t="str">
            <v>2022-07-05 16:58:09</v>
          </cell>
          <cell r="J4"/>
          <cell r="K4"/>
          <cell r="L4"/>
          <cell r="M4"/>
          <cell r="N4"/>
        </row>
        <row r="5">
          <cell r="A5" t="str">
            <v>FMSV2023010023</v>
          </cell>
          <cell r="B5" t="str">
            <v>FFAP asset</v>
          </cell>
          <cell r="C5" t="str">
            <v>EC-600WI</v>
          </cell>
          <cell r="D5" t="str">
            <v>1C692K655</v>
          </cell>
          <cell r="E5" t="str">
            <v>2023-01-11</v>
          </cell>
          <cell r="F5" t="str">
            <v>2023-01-16 18:52:39</v>
          </cell>
          <cell r="G5"/>
          <cell r="H5"/>
          <cell r="I5" t="str">
            <v>2023-05-24 11:27:18</v>
          </cell>
          <cell r="J5"/>
          <cell r="K5"/>
          <cell r="L5"/>
          <cell r="M5"/>
          <cell r="N5"/>
        </row>
        <row r="6">
          <cell r="A6" t="str">
            <v>FMSV2023020034</v>
          </cell>
          <cell r="B6" t="str">
            <v>Hoang Long Clinic</v>
          </cell>
          <cell r="C6" t="str">
            <v>EC-760R-V/I</v>
          </cell>
          <cell r="D6" t="str">
            <v>1C728K180</v>
          </cell>
          <cell r="E6" t="str">
            <v>2023-02-16</v>
          </cell>
          <cell r="F6" t="str">
            <v>2023-03-22 00:00:00</v>
          </cell>
          <cell r="G6"/>
          <cell r="H6"/>
          <cell r="I6" t="str">
            <v>2023-09-13 19:07:36</v>
          </cell>
          <cell r="J6"/>
          <cell r="K6" t="str">
            <v>2023-09-13</v>
          </cell>
          <cell r="L6"/>
          <cell r="M6"/>
          <cell r="N6"/>
        </row>
        <row r="7">
          <cell r="A7" t="str">
            <v>FMSV2023020067</v>
          </cell>
          <cell r="B7" t="str">
            <v>Hanoi Medical University Hospital</v>
          </cell>
          <cell r="C7" t="str">
            <v>VP-4450HD</v>
          </cell>
          <cell r="D7" t="str">
            <v>2V567K684</v>
          </cell>
          <cell r="E7" t="str">
            <v>2023-02-28</v>
          </cell>
          <cell r="F7" t="str">
            <v>2023-03-15 00:00:00</v>
          </cell>
          <cell r="G7" t="str">
            <v>2023-03-29 00:00:00</v>
          </cell>
          <cell r="H7"/>
          <cell r="I7" t="str">
            <v>2023-09-12 11:48:40</v>
          </cell>
          <cell r="J7"/>
          <cell r="K7" t="str">
            <v>2023-09-12</v>
          </cell>
          <cell r="L7">
            <v>2</v>
          </cell>
          <cell r="M7" t="str">
            <v>2023-09-14</v>
          </cell>
          <cell r="N7">
            <v>198</v>
          </cell>
        </row>
        <row r="8">
          <cell r="A8" t="str">
            <v>FMSV2023060042</v>
          </cell>
          <cell r="B8" t="str">
            <v>Hoang Long Clinic</v>
          </cell>
          <cell r="C8" t="str">
            <v>EG-760R</v>
          </cell>
          <cell r="D8" t="str">
            <v>2G402K285</v>
          </cell>
          <cell r="E8" t="str">
            <v>2023-06-19</v>
          </cell>
          <cell r="F8" t="str">
            <v>2023-06-20 12:30:59</v>
          </cell>
          <cell r="G8"/>
          <cell r="H8"/>
          <cell r="I8" t="str">
            <v>2023-09-07 10:56:34</v>
          </cell>
          <cell r="J8"/>
          <cell r="K8" t="str">
            <v>2023-09-07</v>
          </cell>
          <cell r="L8">
            <v>6</v>
          </cell>
          <cell r="M8" t="str">
            <v>2023-09-13</v>
          </cell>
          <cell r="N8">
            <v>86</v>
          </cell>
        </row>
        <row r="9">
          <cell r="A9" t="str">
            <v>FMSV2023060043</v>
          </cell>
          <cell r="B9" t="str">
            <v>Hoang Long Clinic</v>
          </cell>
          <cell r="C9" t="str">
            <v>EC-600WI</v>
          </cell>
          <cell r="D9" t="str">
            <v>1C692K643</v>
          </cell>
          <cell r="E9" t="str">
            <v>2023-06-19</v>
          </cell>
          <cell r="F9" t="str">
            <v>2023-06-20 13:27:39</v>
          </cell>
          <cell r="G9"/>
          <cell r="H9"/>
          <cell r="I9" t="str">
            <v>2023-09-13 13:01:19</v>
          </cell>
          <cell r="J9"/>
          <cell r="K9" t="str">
            <v>2023-09-13</v>
          </cell>
          <cell r="L9"/>
          <cell r="M9"/>
          <cell r="N9"/>
        </row>
        <row r="10">
          <cell r="A10" t="str">
            <v>FMSV2023060045</v>
          </cell>
          <cell r="B10" t="str">
            <v>Hoang Long Clinic</v>
          </cell>
          <cell r="C10" t="str">
            <v>EG-600WR</v>
          </cell>
          <cell r="D10" t="str">
            <v>1G391K563</v>
          </cell>
          <cell r="E10" t="str">
            <v>2023-06-19</v>
          </cell>
          <cell r="F10" t="str">
            <v>2023-06-20 12:31:04</v>
          </cell>
          <cell r="G10"/>
          <cell r="H10"/>
          <cell r="I10" t="str">
            <v>2023-09-08 10:27:49</v>
          </cell>
          <cell r="J10"/>
          <cell r="K10" t="str">
            <v>2023-09-08</v>
          </cell>
          <cell r="L10"/>
          <cell r="M10"/>
          <cell r="N10"/>
        </row>
        <row r="11">
          <cell r="A11" t="str">
            <v>FMSV2023060046</v>
          </cell>
          <cell r="B11" t="str">
            <v>Hoang Long Clinic</v>
          </cell>
          <cell r="C11" t="str">
            <v>EG-600WR</v>
          </cell>
          <cell r="D11" t="str">
            <v>1G391K985</v>
          </cell>
          <cell r="E11" t="str">
            <v>2023-06-19</v>
          </cell>
          <cell r="F11" t="str">
            <v>2023-06-20 17:46:07</v>
          </cell>
          <cell r="G11"/>
          <cell r="H11"/>
          <cell r="I11" t="str">
            <v>2023-09-08 10:31:06</v>
          </cell>
          <cell r="J11"/>
          <cell r="K11" t="str">
            <v>2023-09-08</v>
          </cell>
          <cell r="L11"/>
          <cell r="M11"/>
          <cell r="N11"/>
        </row>
        <row r="12">
          <cell r="A12" t="str">
            <v>FMSV2023060066</v>
          </cell>
          <cell r="B12" t="str">
            <v>FUJIFILM Vietnam Co., Ltd.</v>
          </cell>
          <cell r="C12" t="str">
            <v>EG-760R</v>
          </cell>
          <cell r="D12" t="str">
            <v>2G402K099</v>
          </cell>
          <cell r="E12" t="str">
            <v>2023-07-17</v>
          </cell>
          <cell r="F12" t="str">
            <v>2023-07-17 12:49:21</v>
          </cell>
          <cell r="G12"/>
          <cell r="H12"/>
          <cell r="I12" t="str">
            <v>2023-08-10 10:47:33</v>
          </cell>
          <cell r="J12"/>
          <cell r="K12" t="str">
            <v>2023-08-10</v>
          </cell>
          <cell r="L12">
            <v>6</v>
          </cell>
          <cell r="M12" t="str">
            <v>2023-08-16</v>
          </cell>
          <cell r="N12"/>
        </row>
        <row r="13">
          <cell r="A13" t="str">
            <v>FMSV2023070057</v>
          </cell>
          <cell r="B13" t="str">
            <v>MEKONG HIGH TECH JOINT STOCK COMPANY</v>
          </cell>
          <cell r="C13" t="str">
            <v>EG-720R</v>
          </cell>
          <cell r="D13" t="str">
            <v>5G412K189</v>
          </cell>
          <cell r="E13" t="str">
            <v>2023-07-21</v>
          </cell>
          <cell r="F13" t="str">
            <v>2023-07-25 13:00:18</v>
          </cell>
          <cell r="G13"/>
          <cell r="H13"/>
          <cell r="I13" t="str">
            <v>2023-09-08 11:42:54</v>
          </cell>
          <cell r="J13"/>
          <cell r="K13" t="str">
            <v>2023-09-08</v>
          </cell>
          <cell r="L13">
            <v>6</v>
          </cell>
          <cell r="M13" t="str">
            <v>2023-09-14</v>
          </cell>
          <cell r="N13">
            <v>55</v>
          </cell>
        </row>
        <row r="14">
          <cell r="A14" t="str">
            <v>FMSV2023070059</v>
          </cell>
          <cell r="B14" t="str">
            <v>Hanoi Medical University Hospital</v>
          </cell>
          <cell r="C14" t="str">
            <v>EC-600WI</v>
          </cell>
          <cell r="D14" t="str">
            <v>5C692K024</v>
          </cell>
          <cell r="E14" t="str">
            <v>2023-07-24</v>
          </cell>
          <cell r="F14" t="str">
            <v>2023-07-25 12:46:15</v>
          </cell>
          <cell r="G14"/>
          <cell r="H14"/>
          <cell r="I14" t="str">
            <v>2023-09-07 12:24:47</v>
          </cell>
          <cell r="J14"/>
          <cell r="K14" t="str">
            <v>2023-09-07</v>
          </cell>
          <cell r="L14"/>
          <cell r="M14"/>
          <cell r="N14"/>
        </row>
        <row r="15">
          <cell r="A15" t="str">
            <v>FMSV2023070068</v>
          </cell>
          <cell r="B15" t="str">
            <v>FUJIFILM Vietnam Co., Ltd.</v>
          </cell>
          <cell r="C15" t="str">
            <v>EC-201WI</v>
          </cell>
          <cell r="D15" t="str">
            <v>RC328A035</v>
          </cell>
          <cell r="E15" t="str">
            <v>2023-07-26</v>
          </cell>
          <cell r="F15" t="str">
            <v>2023-07-26 18:37:10</v>
          </cell>
          <cell r="G15"/>
          <cell r="H15"/>
          <cell r="I15" t="str">
            <v>2023-08-29 12:15:10</v>
          </cell>
          <cell r="J15"/>
          <cell r="K15" t="str">
            <v>2023-08-29</v>
          </cell>
          <cell r="L15">
            <v>8</v>
          </cell>
          <cell r="M15" t="str">
            <v>2023-09-06</v>
          </cell>
          <cell r="N15">
            <v>42</v>
          </cell>
        </row>
        <row r="16">
          <cell r="A16" t="str">
            <v>FMSV2023070078</v>
          </cell>
          <cell r="B16" t="str">
            <v>Bac Giang Hospital</v>
          </cell>
          <cell r="C16" t="str">
            <v>EG-600WR</v>
          </cell>
          <cell r="D16" t="str">
            <v>9G391K076</v>
          </cell>
          <cell r="E16" t="str">
            <v>2023-07-31</v>
          </cell>
          <cell r="F16" t="str">
            <v>2023-08-09 11:35:18</v>
          </cell>
          <cell r="G16"/>
          <cell r="H16"/>
          <cell r="I16" t="str">
            <v>2023-09-07 15:54:59</v>
          </cell>
          <cell r="J16"/>
          <cell r="K16" t="str">
            <v>2023-09-07</v>
          </cell>
          <cell r="L16">
            <v>13</v>
          </cell>
          <cell r="M16" t="str">
            <v>2023-09-20</v>
          </cell>
          <cell r="N16">
            <v>51</v>
          </cell>
        </row>
        <row r="17">
          <cell r="A17" t="str">
            <v>FMSV2023080005</v>
          </cell>
          <cell r="B17" t="str">
            <v>Phu Tho General Hospital</v>
          </cell>
          <cell r="C17" t="str">
            <v>EC-530WL3</v>
          </cell>
          <cell r="D17" t="str">
            <v>JC643K007</v>
          </cell>
          <cell r="E17" t="str">
            <v>2023-08-01</v>
          </cell>
          <cell r="F17" t="str">
            <v>2023-08-15 11:15:54</v>
          </cell>
          <cell r="G17"/>
          <cell r="H17"/>
          <cell r="I17" t="str">
            <v>2023-08-15 11:16:06</v>
          </cell>
          <cell r="J17"/>
          <cell r="K17" t="str">
            <v>2023-08-15</v>
          </cell>
          <cell r="L17">
            <v>3</v>
          </cell>
          <cell r="M17" t="str">
            <v>2023-08-18</v>
          </cell>
          <cell r="N17"/>
        </row>
        <row r="18">
          <cell r="A18" t="str">
            <v>FMSV2023080009</v>
          </cell>
          <cell r="B18" t="str">
            <v>Thai Binh Hospital</v>
          </cell>
          <cell r="C18" t="str">
            <v>EC-530WL3</v>
          </cell>
          <cell r="D18" t="str">
            <v>KC643K088</v>
          </cell>
          <cell r="E18" t="str">
            <v>2023-08-03</v>
          </cell>
          <cell r="F18" t="str">
            <v>2023-08-08 17:24:08</v>
          </cell>
          <cell r="G18"/>
          <cell r="H18"/>
          <cell r="I18" t="str">
            <v>2023-08-08 17:24:18</v>
          </cell>
          <cell r="J18"/>
          <cell r="K18" t="str">
            <v>2023-08-15</v>
          </cell>
          <cell r="L18">
            <v>3</v>
          </cell>
          <cell r="M18" t="str">
            <v>2023-08-18</v>
          </cell>
          <cell r="N18"/>
        </row>
        <row r="19">
          <cell r="A19" t="str">
            <v>FMSV2023080019</v>
          </cell>
          <cell r="B19" t="str">
            <v>Bach Mai Hospital</v>
          </cell>
          <cell r="C19" t="str">
            <v>EC-590WL4</v>
          </cell>
          <cell r="D19" t="str">
            <v>1C666K567</v>
          </cell>
          <cell r="E19" t="str">
            <v>2023-08-07</v>
          </cell>
          <cell r="F19" t="str">
            <v>2023-08-14 13:31:02</v>
          </cell>
          <cell r="G19"/>
          <cell r="H19"/>
          <cell r="I19" t="str">
            <v>2023-09-05 17:33:11</v>
          </cell>
          <cell r="J19"/>
          <cell r="K19" t="str">
            <v>2023-09-05</v>
          </cell>
          <cell r="L19">
            <v>1</v>
          </cell>
          <cell r="M19" t="str">
            <v>2023-09-06</v>
          </cell>
          <cell r="N19">
            <v>30</v>
          </cell>
        </row>
        <row r="20">
          <cell r="A20" t="str">
            <v>FMSV2023080025</v>
          </cell>
          <cell r="B20" t="str">
            <v>Hanoi Medical University Hospital</v>
          </cell>
          <cell r="C20" t="str">
            <v>EC-600WI</v>
          </cell>
          <cell r="D20" t="str">
            <v>5C692K031</v>
          </cell>
          <cell r="E20" t="str">
            <v>2023-08-07</v>
          </cell>
          <cell r="F20" t="str">
            <v>2023-08-10 12:33:16</v>
          </cell>
          <cell r="G20"/>
          <cell r="H20"/>
          <cell r="I20" t="str">
            <v>2023-09-06 13:08:01</v>
          </cell>
          <cell r="J20"/>
          <cell r="K20" t="str">
            <v>2023-09-06</v>
          </cell>
          <cell r="L20">
            <v>14</v>
          </cell>
          <cell r="M20" t="str">
            <v>2023-09-20</v>
          </cell>
          <cell r="N20">
            <v>44</v>
          </cell>
        </row>
        <row r="21">
          <cell r="A21" t="str">
            <v>FMSV2023080035</v>
          </cell>
          <cell r="B21" t="str">
            <v>Hanoi Medical University Hospital</v>
          </cell>
          <cell r="C21" t="str">
            <v>EC-600WI</v>
          </cell>
          <cell r="D21" t="str">
            <v>7C692K031</v>
          </cell>
          <cell r="E21" t="str">
            <v>2023-08-08</v>
          </cell>
          <cell r="F21" t="str">
            <v>2023-08-16 19:01:59</v>
          </cell>
          <cell r="G21"/>
          <cell r="H21"/>
          <cell r="I21" t="str">
            <v>2023-08-29 16:24:06</v>
          </cell>
          <cell r="J21"/>
          <cell r="K21" t="str">
            <v>2023-08-29</v>
          </cell>
          <cell r="L21">
            <v>8</v>
          </cell>
          <cell r="M21" t="str">
            <v>2023-09-06</v>
          </cell>
          <cell r="N21">
            <v>29</v>
          </cell>
        </row>
        <row r="22">
          <cell r="A22" t="str">
            <v>FMSV2023080037</v>
          </cell>
          <cell r="B22" t="str">
            <v>FTYO - Loaner Asset</v>
          </cell>
          <cell r="C22" t="str">
            <v>ED-530XT8</v>
          </cell>
          <cell r="D22" t="str">
            <v>3D103L052</v>
          </cell>
          <cell r="E22" t="str">
            <v>2023-08-10</v>
          </cell>
          <cell r="F22" t="str">
            <v>2023-08-11 15:37:01</v>
          </cell>
          <cell r="G22"/>
          <cell r="H22"/>
          <cell r="I22" t="str">
            <v>2023-08-16 10:02:54</v>
          </cell>
          <cell r="J22"/>
          <cell r="K22" t="str">
            <v>2023-08-16</v>
          </cell>
          <cell r="L22">
            <v>1</v>
          </cell>
          <cell r="M22" t="str">
            <v>2023-08-17</v>
          </cell>
          <cell r="N22"/>
        </row>
        <row r="23">
          <cell r="A23" t="str">
            <v>FMSV2023080040</v>
          </cell>
          <cell r="B23" t="str">
            <v>Friendship Hospital</v>
          </cell>
          <cell r="C23" t="str">
            <v>EC-600WI</v>
          </cell>
          <cell r="D23" t="str">
            <v>1C692K178</v>
          </cell>
          <cell r="E23" t="str">
            <v>2023-08-11</v>
          </cell>
          <cell r="F23" t="str">
            <v>2023-08-16 19:10:18</v>
          </cell>
          <cell r="G23"/>
          <cell r="H23"/>
          <cell r="I23" t="str">
            <v>2023-08-16 19:10:25</v>
          </cell>
          <cell r="J23"/>
          <cell r="K23" t="str">
            <v>2023-08-16</v>
          </cell>
          <cell r="L23">
            <v>2</v>
          </cell>
          <cell r="M23" t="str">
            <v>2023-08-18</v>
          </cell>
          <cell r="N23"/>
        </row>
        <row r="24">
          <cell r="A24" t="str">
            <v>FMSV2023080046</v>
          </cell>
          <cell r="B24" t="str">
            <v>FUJIFILM Vietnam Co., Ltd.</v>
          </cell>
          <cell r="C24" t="str">
            <v>EC-760ZP-V/M</v>
          </cell>
          <cell r="D24" t="str">
            <v>2C730K026</v>
          </cell>
          <cell r="E24" t="str">
            <v>2023-08-14</v>
          </cell>
          <cell r="F24" t="str">
            <v>2023-08-15 16:25:18</v>
          </cell>
          <cell r="G24"/>
          <cell r="H24"/>
          <cell r="I24" t="str">
            <v>2023-08-15 16:25:24</v>
          </cell>
          <cell r="J24"/>
          <cell r="K24" t="str">
            <v>2023-08-15</v>
          </cell>
          <cell r="L24">
            <v>3</v>
          </cell>
          <cell r="M24" t="str">
            <v>2023-08-18</v>
          </cell>
          <cell r="N24"/>
        </row>
        <row r="25">
          <cell r="A25" t="str">
            <v>FMSV2023080047</v>
          </cell>
          <cell r="B25" t="str">
            <v>FUJIFILM Vietnam Co., Ltd.</v>
          </cell>
          <cell r="C25" t="str">
            <v>EG-760R</v>
          </cell>
          <cell r="D25" t="str">
            <v>KG402K089</v>
          </cell>
          <cell r="E25" t="str">
            <v>2023-08-14</v>
          </cell>
          <cell r="F25" t="str">
            <v>2023-08-15 16:23:14</v>
          </cell>
          <cell r="G25"/>
          <cell r="H25"/>
          <cell r="I25" t="str">
            <v>2023-08-15 16:23:25</v>
          </cell>
          <cell r="J25"/>
          <cell r="K25" t="str">
            <v>2023-08-15</v>
          </cell>
          <cell r="L25">
            <v>3</v>
          </cell>
          <cell r="M25" t="str">
            <v>2023-08-18</v>
          </cell>
          <cell r="N25"/>
        </row>
        <row r="26">
          <cell r="A26" t="str">
            <v>FMSV2023080067</v>
          </cell>
          <cell r="B26" t="str">
            <v>Hanoi Medical University Hospital</v>
          </cell>
          <cell r="C26" t="str">
            <v>EG-600WR</v>
          </cell>
          <cell r="D26" t="str">
            <v>7G391K087</v>
          </cell>
          <cell r="E26" t="str">
            <v>2023-08-21</v>
          </cell>
          <cell r="F26" t="str">
            <v>2023-08-24 13:13:40</v>
          </cell>
          <cell r="G26"/>
          <cell r="H26"/>
          <cell r="I26" t="str">
            <v>2023-08-28 10:34:41</v>
          </cell>
          <cell r="J26"/>
          <cell r="K26" t="str">
            <v>2023-08-28</v>
          </cell>
          <cell r="L26">
            <v>9</v>
          </cell>
          <cell r="M26" t="str">
            <v>2023-09-06</v>
          </cell>
          <cell r="N26">
            <v>17</v>
          </cell>
        </row>
        <row r="27">
          <cell r="A27" t="str">
            <v>FMSV2023080073</v>
          </cell>
          <cell r="B27" t="str">
            <v>Bach Mai Hospital</v>
          </cell>
          <cell r="C27" t="str">
            <v>EG-600WR</v>
          </cell>
          <cell r="D27" t="str">
            <v>8G391K370</v>
          </cell>
          <cell r="E27" t="str">
            <v>2023-08-22</v>
          </cell>
          <cell r="F27" t="str">
            <v>2023-08-25 13:32:41</v>
          </cell>
          <cell r="G27"/>
          <cell r="H27"/>
          <cell r="I27" t="str">
            <v>2023-08-25 13:32:56</v>
          </cell>
          <cell r="J27"/>
          <cell r="K27" t="str">
            <v>2023-08-25</v>
          </cell>
          <cell r="L27">
            <v>20</v>
          </cell>
          <cell r="M27" t="str">
            <v>2023-09-14</v>
          </cell>
          <cell r="N27">
            <v>23</v>
          </cell>
        </row>
        <row r="28">
          <cell r="A28" t="str">
            <v>FMSV2023080077</v>
          </cell>
          <cell r="B28" t="str">
            <v>Bach Mai Hospital</v>
          </cell>
          <cell r="C28" t="str">
            <v>EC-600WI</v>
          </cell>
          <cell r="D28" t="str">
            <v>6C692K197</v>
          </cell>
          <cell r="E28" t="str">
            <v>2023-08-21</v>
          </cell>
          <cell r="F28" t="str">
            <v>2023-08-30 11:50:56</v>
          </cell>
          <cell r="G28"/>
          <cell r="H28"/>
          <cell r="I28" t="str">
            <v>2023-08-30 11:51:37</v>
          </cell>
          <cell r="J28"/>
          <cell r="K28" t="str">
            <v>2023-08-30</v>
          </cell>
          <cell r="L28">
            <v>7</v>
          </cell>
          <cell r="M28" t="str">
            <v>2023-09-06</v>
          </cell>
          <cell r="N28">
            <v>17</v>
          </cell>
        </row>
        <row r="29">
          <cell r="A29" t="str">
            <v>FMSV2023080089</v>
          </cell>
          <cell r="B29" t="str">
            <v>Bac Giang Hospital</v>
          </cell>
          <cell r="C29" t="str">
            <v>EC-760R-V/I</v>
          </cell>
          <cell r="D29" t="str">
            <v>7C728K102</v>
          </cell>
          <cell r="E29" t="str">
            <v>2023-08-23</v>
          </cell>
          <cell r="F29" t="str">
            <v>2023-08-31 16:13:50</v>
          </cell>
          <cell r="G29"/>
          <cell r="H29"/>
          <cell r="I29" t="str">
            <v>2023-08-31 16:14:01</v>
          </cell>
          <cell r="J29"/>
          <cell r="K29" t="str">
            <v>2023-08-31</v>
          </cell>
          <cell r="L29">
            <v>6</v>
          </cell>
          <cell r="M29" t="str">
            <v>2023-09-06</v>
          </cell>
          <cell r="N29">
            <v>15</v>
          </cell>
        </row>
        <row r="30">
          <cell r="A30" t="str">
            <v>FMSV2023080090</v>
          </cell>
          <cell r="B30" t="str">
            <v>Tay Nguyen University</v>
          </cell>
          <cell r="C30" t="str">
            <v>EC-530WL3</v>
          </cell>
          <cell r="D30" t="str">
            <v>1C643K392</v>
          </cell>
          <cell r="E30" t="str">
            <v>2023-08-30</v>
          </cell>
          <cell r="F30" t="str">
            <v>2023-08-30 19:10:41</v>
          </cell>
          <cell r="G30"/>
          <cell r="H30"/>
          <cell r="I30" t="str">
            <v>2023-08-30 19:10:47</v>
          </cell>
          <cell r="J30"/>
          <cell r="K30" t="str">
            <v>2023-08-30</v>
          </cell>
          <cell r="L30">
            <v>7</v>
          </cell>
          <cell r="M30" t="str">
            <v>2023-09-06</v>
          </cell>
          <cell r="N30"/>
        </row>
        <row r="31">
          <cell r="A31" t="str">
            <v>FMSV2023080092</v>
          </cell>
          <cell r="B31" t="str">
            <v>Hoang Long Clinic</v>
          </cell>
          <cell r="C31" t="str">
            <v>EG-760Z</v>
          </cell>
          <cell r="D31" t="str">
            <v>1G403K144</v>
          </cell>
          <cell r="E31" t="str">
            <v>2023-08-24</v>
          </cell>
          <cell r="F31" t="str">
            <v>2023-08-29 15:57:28</v>
          </cell>
          <cell r="G31"/>
          <cell r="H31"/>
          <cell r="I31" t="str">
            <v>2023-08-29 15:57:46</v>
          </cell>
          <cell r="J31"/>
          <cell r="K31" t="str">
            <v>2023-08-29</v>
          </cell>
          <cell r="L31">
            <v>8</v>
          </cell>
          <cell r="M31" t="str">
            <v>2023-09-06</v>
          </cell>
          <cell r="N31"/>
        </row>
        <row r="32">
          <cell r="A32" t="str">
            <v>FMSV2023080093</v>
          </cell>
          <cell r="B32" t="str">
            <v>Hoang Long Clinic</v>
          </cell>
          <cell r="C32" t="str">
            <v>EG-760R</v>
          </cell>
          <cell r="D32" t="str">
            <v>1G402K295</v>
          </cell>
          <cell r="E32" t="str">
            <v>2023-08-24</v>
          </cell>
          <cell r="F32" t="str">
            <v>2023-08-29 11:03:35</v>
          </cell>
          <cell r="G32"/>
          <cell r="H32"/>
          <cell r="I32" t="str">
            <v>2023-08-29 11:03:53</v>
          </cell>
          <cell r="J32"/>
          <cell r="K32" t="str">
            <v>2023-08-29</v>
          </cell>
          <cell r="L32">
            <v>8</v>
          </cell>
          <cell r="M32" t="str">
            <v>2023-09-06</v>
          </cell>
          <cell r="N32"/>
        </row>
        <row r="33">
          <cell r="A33" t="str">
            <v>FMSV2023080098</v>
          </cell>
          <cell r="B33" t="str">
            <v>HCAP asset</v>
          </cell>
          <cell r="C33" t="str">
            <v>EC-600WI</v>
          </cell>
          <cell r="D33" t="str">
            <v>1C692K655</v>
          </cell>
          <cell r="E33" t="str">
            <v>2023-08-30</v>
          </cell>
          <cell r="F33" t="str">
            <v>2023-08-30 18:52:39</v>
          </cell>
          <cell r="G33"/>
          <cell r="H33"/>
          <cell r="I33" t="str">
            <v>2023-08-30 18:53:57</v>
          </cell>
          <cell r="J33"/>
          <cell r="K33" t="str">
            <v>2023-08-30</v>
          </cell>
          <cell r="L33">
            <v>7</v>
          </cell>
          <cell r="M33" t="str">
            <v>2023-09-06</v>
          </cell>
          <cell r="N33"/>
        </row>
        <row r="34">
          <cell r="A34" t="str">
            <v>FMSV2023080099</v>
          </cell>
          <cell r="B34" t="str">
            <v>FUJIFILM Vietnam Co., Ltd.</v>
          </cell>
          <cell r="C34" t="str">
            <v>EC-600WI</v>
          </cell>
          <cell r="D34" t="str">
            <v>7C692K181</v>
          </cell>
          <cell r="E34" t="str">
            <v>2023-08-30</v>
          </cell>
          <cell r="F34" t="str">
            <v>2023-09-05 17:22:39</v>
          </cell>
          <cell r="G34"/>
          <cell r="H34"/>
          <cell r="I34" t="str">
            <v>2023-09-05 17:22:45</v>
          </cell>
          <cell r="J34"/>
          <cell r="K34"/>
          <cell r="L34"/>
          <cell r="M34"/>
          <cell r="N34"/>
        </row>
        <row r="35">
          <cell r="A35" t="str">
            <v>FMSV2023090006</v>
          </cell>
          <cell r="B35" t="str">
            <v>Hoang Long Clinic</v>
          </cell>
          <cell r="C35" t="str">
            <v>EG-760R</v>
          </cell>
          <cell r="D35" t="str">
            <v>1G402K527</v>
          </cell>
          <cell r="E35" t="str">
            <v>2023-09-05</v>
          </cell>
          <cell r="F35" t="str">
            <v>2023-09-07 18:35:02</v>
          </cell>
          <cell r="G35"/>
          <cell r="H35"/>
          <cell r="I35" t="str">
            <v>2023-09-07 18:35:10</v>
          </cell>
          <cell r="J35"/>
          <cell r="K35" t="str">
            <v>2023-09-07</v>
          </cell>
          <cell r="L35">
            <v>13</v>
          </cell>
          <cell r="M35" t="str">
            <v>2023-09-20</v>
          </cell>
          <cell r="N35"/>
        </row>
        <row r="36">
          <cell r="A36" t="str">
            <v>FMSV2023090008</v>
          </cell>
          <cell r="B36" t="str">
            <v>Hanoi Medical University Hospital</v>
          </cell>
          <cell r="C36" t="str">
            <v>VP-4450HD</v>
          </cell>
          <cell r="D36" t="str">
            <v>3V567K003</v>
          </cell>
          <cell r="E36" t="str">
            <v>2023-09-07</v>
          </cell>
          <cell r="F36" t="str">
            <v>2023-09-07 17:28:01</v>
          </cell>
          <cell r="G36"/>
          <cell r="H36"/>
          <cell r="I36" t="str">
            <v>2023-09-07 17:28:22</v>
          </cell>
          <cell r="J36"/>
          <cell r="K36" t="str">
            <v>2023-09-07</v>
          </cell>
          <cell r="L36">
            <v>7</v>
          </cell>
          <cell r="M36" t="str">
            <v>2023-09-14</v>
          </cell>
          <cell r="N36"/>
        </row>
        <row r="37">
          <cell r="A37" t="str">
            <v>FMSV2023090009</v>
          </cell>
          <cell r="B37" t="str">
            <v>No. 91 Endoscopy-Gastrointestinal-GI Scaning Test Clinic</v>
          </cell>
          <cell r="C37" t="str">
            <v>EC-760ZP-V/M</v>
          </cell>
          <cell r="D37" t="str">
            <v>2C730K036</v>
          </cell>
          <cell r="E37"/>
          <cell r="F37"/>
          <cell r="G37"/>
          <cell r="H37"/>
          <cell r="I37"/>
          <cell r="J37"/>
          <cell r="K37"/>
          <cell r="L37"/>
          <cell r="M37"/>
          <cell r="N37"/>
        </row>
        <row r="38">
          <cell r="A38" t="str">
            <v>FMSV2023090010</v>
          </cell>
          <cell r="B38" t="str">
            <v>FTYO - Loaner Asset</v>
          </cell>
          <cell r="C38" t="str">
            <v>ED-530XT8</v>
          </cell>
          <cell r="D38" t="str">
            <v>3D103L053</v>
          </cell>
          <cell r="E38" t="str">
            <v>2023-09-08</v>
          </cell>
          <cell r="F38" t="str">
            <v>2023-09-13 17:09:17</v>
          </cell>
          <cell r="G38"/>
          <cell r="H38"/>
          <cell r="I38" t="str">
            <v>2023-09-13 17:13:42</v>
          </cell>
          <cell r="J38"/>
          <cell r="K38" t="str">
            <v>2023-09-13</v>
          </cell>
          <cell r="L38">
            <v>1</v>
          </cell>
          <cell r="M38" t="str">
            <v>2023-09-14</v>
          </cell>
          <cell r="N38"/>
        </row>
        <row r="39">
          <cell r="A39" t="str">
            <v>FMSV2023090019</v>
          </cell>
          <cell r="B39" t="str">
            <v>FUJIFILM Vietnam Co., Ltd.</v>
          </cell>
          <cell r="C39" t="str">
            <v>EC-600WL</v>
          </cell>
          <cell r="D39" t="str">
            <v>1C692K147</v>
          </cell>
          <cell r="E39" t="str">
            <v>2023-09-12</v>
          </cell>
          <cell r="F39" t="str">
            <v>2023-09-13 12:46:10</v>
          </cell>
          <cell r="G39"/>
          <cell r="H39"/>
          <cell r="I39" t="str">
            <v>2023-09-13 12:46:38</v>
          </cell>
          <cell r="J39"/>
          <cell r="K39" t="str">
            <v>2023-09-13</v>
          </cell>
          <cell r="L39">
            <v>1</v>
          </cell>
          <cell r="M39" t="str">
            <v>2023-09-14</v>
          </cell>
          <cell r="N39"/>
        </row>
        <row r="40">
          <cell r="A40" t="str">
            <v>FMSV2023090023</v>
          </cell>
          <cell r="B40" t="str">
            <v>Hoa Binh General Hospital</v>
          </cell>
          <cell r="C40" t="str">
            <v>EC-720R/I</v>
          </cell>
          <cell r="D40" t="str">
            <v>5C741K266</v>
          </cell>
          <cell r="E40" t="str">
            <v>2023-09-13</v>
          </cell>
          <cell r="F40" t="str">
            <v>2023-09-13 16:59:29</v>
          </cell>
          <cell r="G40"/>
          <cell r="H40"/>
          <cell r="I40" t="str">
            <v>2023-09-13 16:59:43</v>
          </cell>
          <cell r="J40"/>
          <cell r="K40" t="str">
            <v>2023-09-13</v>
          </cell>
          <cell r="L40">
            <v>1</v>
          </cell>
          <cell r="M40" t="str">
            <v>2023-09-14</v>
          </cell>
          <cell r="N40"/>
        </row>
        <row r="41">
          <cell r="A41" t="str">
            <v>FMSV2023090024</v>
          </cell>
          <cell r="B41" t="str">
            <v>FUJIFILM Vietnam Co., Ltd.</v>
          </cell>
          <cell r="C41" t="str">
            <v>EC-600WI</v>
          </cell>
          <cell r="D41" t="str">
            <v>1C692K249</v>
          </cell>
          <cell r="E41" t="str">
            <v>2023-09-14</v>
          </cell>
          <cell r="F41" t="str">
            <v>2023-09-14 12:17:43</v>
          </cell>
          <cell r="G41"/>
          <cell r="H41"/>
          <cell r="I41" t="str">
            <v>2023-09-14 12:17:49</v>
          </cell>
          <cell r="J41"/>
          <cell r="K41"/>
          <cell r="L41"/>
          <cell r="M41"/>
          <cell r="N41"/>
        </row>
        <row r="42">
          <cell r="A42" t="str">
            <v>FMSV2023090039</v>
          </cell>
          <cell r="B42" t="str">
            <v>FUJIFILM Vietnam Co., Ltd.</v>
          </cell>
          <cell r="C42" t="str">
            <v>EG-720R</v>
          </cell>
          <cell r="D42" t="str">
            <v>1G412K182</v>
          </cell>
          <cell r="E42" t="str">
            <v>2023-09-18</v>
          </cell>
          <cell r="F42"/>
          <cell r="G42"/>
          <cell r="H42"/>
          <cell r="I42"/>
          <cell r="J42"/>
          <cell r="K42"/>
          <cell r="L42"/>
          <cell r="M42"/>
          <cell r="N42"/>
        </row>
        <row r="43">
          <cell r="A43" t="str">
            <v>FMSV2023090040</v>
          </cell>
          <cell r="B43" t="str">
            <v>No. 91 Endoscopy-Gastrointestinal-Gi Scaning Test Clinic</v>
          </cell>
          <cell r="C43" t="str">
            <v>EC-760ZP-V/M</v>
          </cell>
          <cell r="D43" t="str">
            <v>5C730K017</v>
          </cell>
          <cell r="E43" t="str">
            <v>2023-09-19</v>
          </cell>
          <cell r="F43"/>
          <cell r="G43"/>
          <cell r="H43"/>
          <cell r="I43"/>
          <cell r="J43"/>
          <cell r="K43"/>
          <cell r="L43"/>
          <cell r="M43"/>
          <cell r="N43"/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B1" t="str">
            <v>Name</v>
          </cell>
          <cell r="J1" t="str">
            <v>Note</v>
          </cell>
          <cell r="N1" t="str">
            <v>RMA No.</v>
          </cell>
        </row>
        <row r="2">
          <cell r="B2" t="str">
            <v>FUJIFILM Vietnam Co., Ltd.</v>
          </cell>
          <cell r="J2" t="str">
            <v>Waiting for FFVN disposal</v>
          </cell>
          <cell r="N2" t="str">
            <v>FMSV2021090030</v>
          </cell>
        </row>
        <row r="3">
          <cell r="B3" t="str">
            <v>FUJIFILM Vietnam Co., Ltd.</v>
          </cell>
          <cell r="J3" t="str">
            <v>Waiting for FFVN disposal</v>
          </cell>
          <cell r="N3" t="str">
            <v>FMSV2021040052</v>
          </cell>
        </row>
        <row r="4">
          <cell r="B4" t="str">
            <v>FUJIFILM Vietnam Co., Ltd.</v>
          </cell>
          <cell r="J4" t="str">
            <v>Waiting for FFVN approval</v>
          </cell>
          <cell r="N4" t="str">
            <v>FMSV2023060064</v>
          </cell>
        </row>
        <row r="5">
          <cell r="B5" t="str">
            <v>FUJIFILM Vietnam Co., Ltd.</v>
          </cell>
          <cell r="J5" t="str">
            <v>Waiting for FFVN disposal</v>
          </cell>
          <cell r="N5" t="str">
            <v>FMSV2020060041</v>
          </cell>
        </row>
        <row r="6">
          <cell r="B6" t="str">
            <v>FUJIFILM Vietnam Co., Ltd.</v>
          </cell>
          <cell r="J6" t="str">
            <v>Waiting for FFVN disposal</v>
          </cell>
          <cell r="N6" t="str">
            <v>FMSV2021120063</v>
          </cell>
        </row>
        <row r="7">
          <cell r="B7" t="str">
            <v>FUJIFILM Vietnam Co., Ltd.</v>
          </cell>
          <cell r="J7" t="str">
            <v>Waiting for FFVN approval</v>
          </cell>
          <cell r="N7" t="str">
            <v>FMSV2023080022</v>
          </cell>
        </row>
        <row r="8">
          <cell r="B8" t="str">
            <v>FUJIFILM Vietnam Co., Ltd.</v>
          </cell>
          <cell r="J8" t="str">
            <v>Waiting for FFVNdisposal</v>
          </cell>
          <cell r="N8" t="str">
            <v>FMSV2022090060</v>
          </cell>
        </row>
        <row r="9">
          <cell r="B9" t="str">
            <v>FTYO - Loaner Asset</v>
          </cell>
          <cell r="J9" t="str">
            <v>Waiting for FFVN approval</v>
          </cell>
          <cell r="N9" t="str">
            <v>FMSV2020110016</v>
          </cell>
        </row>
        <row r="10">
          <cell r="B10" t="str">
            <v>FUJIFILM Vietnam Co., Ltd.</v>
          </cell>
          <cell r="J10" t="str">
            <v>Waiting for FFVN disposal</v>
          </cell>
          <cell r="N10" t="str">
            <v>FMSV2020070044</v>
          </cell>
        </row>
        <row r="11">
          <cell r="B11" t="str">
            <v>FUJIFILM Vietnam Co., Ltd.</v>
          </cell>
          <cell r="J11" t="str">
            <v>Waiting for FFVN approval</v>
          </cell>
          <cell r="N11" t="str">
            <v>FMSV2023010026</v>
          </cell>
        </row>
        <row r="12">
          <cell r="B12" t="str">
            <v>FUJIFILM Vietnam Co., Ltd.</v>
          </cell>
          <cell r="J12" t="str">
            <v>Waiting for FFVN approval</v>
          </cell>
          <cell r="N12" t="str">
            <v>FMSV2022120085</v>
          </cell>
        </row>
        <row r="13">
          <cell r="B13" t="str">
            <v>FUJIFILM Vietnam Co., Ltd.</v>
          </cell>
          <cell r="J13" t="str">
            <v>Waiting for FFVN approval</v>
          </cell>
          <cell r="N13" t="str">
            <v>FMSV2021030038</v>
          </cell>
        </row>
        <row r="14">
          <cell r="B14" t="str">
            <v>FUJIFILM Vietnam Co., Ltd.</v>
          </cell>
          <cell r="J14" t="str">
            <v>Waiting for FFVN disposal</v>
          </cell>
          <cell r="N14" t="str">
            <v>FMSV2021060014</v>
          </cell>
        </row>
        <row r="15">
          <cell r="B15" t="str">
            <v>FUJIFILM Vietnam Co., Ltd.</v>
          </cell>
          <cell r="J15" t="str">
            <v>Waiting for FFVN approval</v>
          </cell>
          <cell r="N15" t="str">
            <v>FMSV2019110011</v>
          </cell>
        </row>
        <row r="16">
          <cell r="B16" t="str">
            <v>FTYO - Loaner Asset</v>
          </cell>
          <cell r="J16" t="str">
            <v>Waiting for FFVN approval</v>
          </cell>
          <cell r="N16" t="str">
            <v>FMSV2023070076</v>
          </cell>
        </row>
        <row r="17">
          <cell r="B17" t="str">
            <v>FUJIFILM Vietnam Co., Ltd.</v>
          </cell>
          <cell r="J17" t="str">
            <v>Waiting for FFVN approval</v>
          </cell>
          <cell r="N17" t="str">
            <v>FMSV2021110063</v>
          </cell>
        </row>
        <row r="18">
          <cell r="B18" t="str">
            <v>FUJIFILM Vietnam Co., Ltd.</v>
          </cell>
          <cell r="J18" t="str">
            <v>FFVN Approved</v>
          </cell>
          <cell r="N18" t="str">
            <v>FMSV2023030075</v>
          </cell>
        </row>
        <row r="19">
          <cell r="B19" t="str">
            <v>FUJIFILM Vietnam Co., Ltd.</v>
          </cell>
          <cell r="J19" t="str">
            <v>Waiting for FFVN approval</v>
          </cell>
          <cell r="N19" t="str">
            <v>FMSV2021110027</v>
          </cell>
        </row>
        <row r="20">
          <cell r="B20" t="str">
            <v>FTYO - Loaner Asset</v>
          </cell>
          <cell r="J20" t="str">
            <v>FFVN Approved</v>
          </cell>
          <cell r="N20" t="str">
            <v>FMSV2023040004</v>
          </cell>
        </row>
        <row r="21">
          <cell r="B21" t="str">
            <v>FUJIFILM Vietnam Co., Ltd.</v>
          </cell>
          <cell r="J21" t="str">
            <v>Waiting for FFVN approval</v>
          </cell>
          <cell r="N21" t="str">
            <v>FMSV2022110008</v>
          </cell>
        </row>
        <row r="22">
          <cell r="B22" t="str">
            <v>FTYO - Loaner Asset</v>
          </cell>
          <cell r="J22" t="str">
            <v>Waiting for FTYO disposal</v>
          </cell>
          <cell r="N22" t="str">
            <v>FMSV2022100023</v>
          </cell>
        </row>
        <row r="23">
          <cell r="B23" t="str">
            <v>FUJIFILM Vietnam Co., Ltd.</v>
          </cell>
          <cell r="J23" t="str">
            <v>Waiting for FFVN approval</v>
          </cell>
          <cell r="N23" t="str">
            <v>FMSV2022030057</v>
          </cell>
        </row>
        <row r="24">
          <cell r="B24" t="str">
            <v>FUJIFILM Vietnam Co., Ltd.</v>
          </cell>
          <cell r="J24" t="str">
            <v>Waiting for FFVN approval</v>
          </cell>
          <cell r="N24" t="str">
            <v>FMSV2023050081</v>
          </cell>
        </row>
        <row r="25">
          <cell r="B25" t="str">
            <v>FUJIFILM Vietnam Co., Ltd.</v>
          </cell>
          <cell r="J25" t="str">
            <v>Waiting for FFVN disposal</v>
          </cell>
          <cell r="N25" t="str">
            <v>FMSV2023020003</v>
          </cell>
        </row>
        <row r="26">
          <cell r="B26" t="str">
            <v>FUJIFILM Vietnam Co., Ltd.</v>
          </cell>
          <cell r="J26" t="str">
            <v>Waiting for FFVN disposal</v>
          </cell>
          <cell r="N26" t="str">
            <v>FMSV2023010018</v>
          </cell>
        </row>
        <row r="27">
          <cell r="B27" t="str">
            <v>FUJIFILM Vietnam Co., Ltd.</v>
          </cell>
          <cell r="J27" t="str">
            <v>FFVN Approved</v>
          </cell>
          <cell r="N27" t="str">
            <v>FMSV2023020019</v>
          </cell>
        </row>
        <row r="28">
          <cell r="B28" t="str">
            <v>FUJIFILM Vietnam Co., Ltd.</v>
          </cell>
          <cell r="J28" t="str">
            <v>Waiting for FFVN approval</v>
          </cell>
          <cell r="N28" t="str">
            <v>FMSV2023080056</v>
          </cell>
        </row>
        <row r="29">
          <cell r="B29" t="str">
            <v>FTYO - Loaner Asset</v>
          </cell>
          <cell r="J29" t="str">
            <v>Waiting for FTYO suport</v>
          </cell>
          <cell r="N29" t="str">
            <v>FMSV2023080081</v>
          </cell>
        </row>
        <row r="30">
          <cell r="B30" t="str">
            <v>FTYO - Loaner Asset</v>
          </cell>
          <cell r="J30" t="str">
            <v>Waiting for FTYO suport</v>
          </cell>
          <cell r="N30" t="str">
            <v>FMSV2022020014</v>
          </cell>
        </row>
        <row r="31">
          <cell r="B31" t="str">
            <v>FTYO - Loaner Asset</v>
          </cell>
          <cell r="J31" t="str">
            <v>Waiting for FTYO suport</v>
          </cell>
          <cell r="N31" t="str">
            <v>FMSV2023010004</v>
          </cell>
        </row>
        <row r="32">
          <cell r="B32" t="str">
            <v>FTYO - Loaner Asset</v>
          </cell>
          <cell r="J32" t="str">
            <v>FFVN Approved</v>
          </cell>
          <cell r="N32" t="str">
            <v>FMSV2023020022</v>
          </cell>
        </row>
        <row r="33">
          <cell r="B33" t="str">
            <v>FUJIFILM Vietnam Co., Ltd.</v>
          </cell>
          <cell r="J33" t="str">
            <v>Waiting for FFVN approval</v>
          </cell>
          <cell r="N33" t="str">
            <v>FMSV2023050072</v>
          </cell>
        </row>
        <row r="34">
          <cell r="B34" t="str">
            <v>FUJIFILM Vietnam Co., Ltd.</v>
          </cell>
          <cell r="J34" t="str">
            <v>Waiting for FFVN approval</v>
          </cell>
          <cell r="N34" t="str">
            <v>FMSV2023080094</v>
          </cell>
        </row>
        <row r="35">
          <cell r="B35" t="str">
            <v>FUJIFILM Vietnam Co., Ltd.</v>
          </cell>
          <cell r="J35" t="str">
            <v>Waiting for FFVN approval</v>
          </cell>
          <cell r="N35" t="str">
            <v>FMSV2023070077</v>
          </cell>
        </row>
        <row r="36">
          <cell r="B36" t="str">
            <v>FUJIFILM Vietnam Co., Ltd.</v>
          </cell>
          <cell r="J36" t="str">
            <v>Waiting for FFVN approval</v>
          </cell>
          <cell r="N36" t="str">
            <v>FMSV2023080085</v>
          </cell>
        </row>
        <row r="37">
          <cell r="B37" t="str">
            <v>FUJIFILM Vietnam Co., Ltd.</v>
          </cell>
          <cell r="J37" t="str">
            <v>FFVN Approved</v>
          </cell>
          <cell r="N37" t="str">
            <v>FMSV2022110039</v>
          </cell>
        </row>
        <row r="38">
          <cell r="B38" t="str">
            <v>FUJIFILM Vietnam Co., Ltd.</v>
          </cell>
          <cell r="J38" t="str">
            <v>Waiting for FFVN disposal</v>
          </cell>
          <cell r="N38" t="str">
            <v>FMSV2019100050</v>
          </cell>
        </row>
        <row r="39">
          <cell r="B39" t="str">
            <v>FUJIFILM Vietnam Co., Ltd.</v>
          </cell>
          <cell r="J39" t="str">
            <v>Waiting for FFVN approval</v>
          </cell>
          <cell r="N39" t="str">
            <v>FMSV2022110024</v>
          </cell>
        </row>
        <row r="40">
          <cell r="B40" t="str">
            <v>FUJIFILM Vietnam Co., Ltd.</v>
          </cell>
          <cell r="J40" t="str">
            <v>Waiting for FFVN approval</v>
          </cell>
          <cell r="N40" t="str">
            <v>FMSV2020110009</v>
          </cell>
        </row>
        <row r="41">
          <cell r="B41" t="str">
            <v>FUJIFILM Vietnam Co., Ltd.</v>
          </cell>
          <cell r="J41"/>
          <cell r="N41" t="str">
            <v>FMSV2016090022</v>
          </cell>
        </row>
        <row r="42">
          <cell r="B42" t="str">
            <v>FUJIFILM Vietnam Co., Ltd.</v>
          </cell>
          <cell r="J42"/>
          <cell r="N42" t="str">
            <v>FMSV2022060015</v>
          </cell>
        </row>
        <row r="43">
          <cell r="B43" t="str">
            <v>FUJIFILM Vietnam Co., Ltd.</v>
          </cell>
          <cell r="J43"/>
          <cell r="N43" t="str">
            <v>FMSV2022120083</v>
          </cell>
        </row>
        <row r="44">
          <cell r="B44" t="str">
            <v>FUJIFILM Vietnam Co., Ltd.</v>
          </cell>
          <cell r="J44"/>
          <cell r="N44" t="str">
            <v>FMSV2023020038</v>
          </cell>
        </row>
        <row r="45">
          <cell r="B45" t="str">
            <v>FUJIFILM Vietnam Co., Ltd.</v>
          </cell>
          <cell r="J45"/>
          <cell r="N45" t="str">
            <v>FMSV2023040006</v>
          </cell>
        </row>
        <row r="46">
          <cell r="B46" t="str">
            <v>FUJIFILM Vietnam Co., Ltd.</v>
          </cell>
          <cell r="J46"/>
          <cell r="N46" t="str">
            <v>FMSV2023040037</v>
          </cell>
        </row>
        <row r="47">
          <cell r="B47" t="str">
            <v>FUJIFILM Vietnam Co., Ltd.</v>
          </cell>
          <cell r="J47"/>
          <cell r="N47" t="str">
            <v>FMSV2023040043</v>
          </cell>
        </row>
        <row r="48">
          <cell r="B48" t="str">
            <v>FUJIFILM Vietnam Co., Ltd.</v>
          </cell>
          <cell r="J48"/>
          <cell r="N48" t="str">
            <v>FMSV2023080029</v>
          </cell>
        </row>
        <row r="49">
          <cell r="B49" t="str">
            <v>FUJIFILM Vietnam Co., Ltd.</v>
          </cell>
          <cell r="J49"/>
          <cell r="N49" t="str">
            <v>FMSV2023080030</v>
          </cell>
        </row>
        <row r="50">
          <cell r="B50" t="str">
            <v>FUJIFILM Vietnam Co., Ltd.</v>
          </cell>
          <cell r="J50"/>
          <cell r="N50" t="str">
            <v>FMSV2023080031</v>
          </cell>
        </row>
        <row r="51">
          <cell r="B51" t="str">
            <v>FUJIFILM Vietnam Co., Ltd.</v>
          </cell>
          <cell r="J51"/>
          <cell r="N51" t="str">
            <v>FMSV2023080072</v>
          </cell>
        </row>
        <row r="52">
          <cell r="B52" t="str">
            <v>FUJIFILM Vietnam Co., Ltd.</v>
          </cell>
          <cell r="J52"/>
          <cell r="N52"/>
        </row>
        <row r="53">
          <cell r="B53" t="str">
            <v>FUJIFILM Vietnam Co., Ltd.</v>
          </cell>
          <cell r="J53" t="str">
            <v>FFVN Approved</v>
          </cell>
          <cell r="N53" t="str">
            <v>FMSV2023070046</v>
          </cell>
        </row>
        <row r="54">
          <cell r="B54" t="str">
            <v>FUJIFILM Vietnam Co., Ltd.</v>
          </cell>
          <cell r="J54" t="str">
            <v>Waiting for FFVN approval</v>
          </cell>
          <cell r="N54" t="str">
            <v>FMSV2023080095</v>
          </cell>
        </row>
        <row r="55">
          <cell r="B55" t="str">
            <v>Bach Mai Hospital</v>
          </cell>
          <cell r="J55" t="str">
            <v>Bach Mai</v>
          </cell>
          <cell r="N55" t="str">
            <v>FMSV2019080027</v>
          </cell>
        </row>
        <row r="56">
          <cell r="B56" t="str">
            <v>FUJIFILM Vietnam Co., Ltd.</v>
          </cell>
          <cell r="J56" t="str">
            <v>Used part for HMU</v>
          </cell>
          <cell r="N56" t="str">
            <v>FMSV2021060017</v>
          </cell>
        </row>
        <row r="59">
          <cell r="N59" t="str">
            <v>FMSV2023040070</v>
          </cell>
        </row>
        <row r="60">
          <cell r="N60" t="str">
            <v>FMSV2023050045L</v>
          </cell>
        </row>
        <row r="61">
          <cell r="N61" t="str">
            <v>FMSV2023050072</v>
          </cell>
        </row>
        <row r="62">
          <cell r="N62" t="str">
            <v>FMSV2023050081</v>
          </cell>
        </row>
        <row r="63">
          <cell r="N63" t="str">
            <v>FMSV2023060027</v>
          </cell>
        </row>
        <row r="64">
          <cell r="N64" t="str">
            <v>FMSV2023060068</v>
          </cell>
        </row>
        <row r="65">
          <cell r="N65" t="str">
            <v>FMSV2023070046</v>
          </cell>
        </row>
        <row r="66">
          <cell r="N66" t="str">
            <v>FMSV2023070056</v>
          </cell>
        </row>
        <row r="67">
          <cell r="N67" t="str">
            <v>FMSV2023070076</v>
          </cell>
        </row>
        <row r="68">
          <cell r="N68" t="str">
            <v>FMSV2023070077</v>
          </cell>
        </row>
        <row r="69">
          <cell r="N69" t="str">
            <v>FMSV2023060064</v>
          </cell>
        </row>
        <row r="70">
          <cell r="N70" t="str">
            <v>FMSV2023020002</v>
          </cell>
        </row>
        <row r="71">
          <cell r="N71" t="str">
            <v>FMSV2023010004</v>
          </cell>
        </row>
        <row r="72">
          <cell r="N72" t="str">
            <v>FMSV2023010026</v>
          </cell>
        </row>
        <row r="73">
          <cell r="N73" t="str">
            <v>FMSV2023010018</v>
          </cell>
        </row>
        <row r="74">
          <cell r="N74" t="str">
            <v>FMSV2022110058</v>
          </cell>
        </row>
        <row r="75">
          <cell r="N75" t="str">
            <v>FMSV2022120043</v>
          </cell>
        </row>
        <row r="76">
          <cell r="N76" t="str">
            <v>FMSV2022120038</v>
          </cell>
        </row>
        <row r="77">
          <cell r="N77" t="str">
            <v>FMSV2022120085</v>
          </cell>
        </row>
        <row r="78">
          <cell r="N78" t="str">
            <v>FMSV2023020020</v>
          </cell>
        </row>
        <row r="79">
          <cell r="N79" t="str">
            <v>FMSV2022110039</v>
          </cell>
        </row>
        <row r="80">
          <cell r="N80" t="str">
            <v>FMSV2022110024</v>
          </cell>
        </row>
        <row r="81">
          <cell r="N81" t="str">
            <v>FMSV2023020003</v>
          </cell>
        </row>
        <row r="82">
          <cell r="N82" t="str">
            <v>FMSV2022090065</v>
          </cell>
        </row>
        <row r="83">
          <cell r="N83" t="str">
            <v>FMSV2022090060</v>
          </cell>
        </row>
        <row r="84">
          <cell r="N84" t="str">
            <v>FMSV2022110008</v>
          </cell>
        </row>
        <row r="85">
          <cell r="N85" t="str">
            <v>FMSV2022100023</v>
          </cell>
        </row>
        <row r="86">
          <cell r="N86" t="str">
            <v>FMSV2022090010</v>
          </cell>
        </row>
        <row r="87">
          <cell r="N87" t="str">
            <v>FMSV2022080072</v>
          </cell>
        </row>
        <row r="88">
          <cell r="N88" t="str">
            <v>FMSV2022050043</v>
          </cell>
        </row>
        <row r="89">
          <cell r="N89" t="str">
            <v>FMSV2021110027</v>
          </cell>
        </row>
        <row r="90">
          <cell r="N90" t="str">
            <v>FMSV2021100018</v>
          </cell>
        </row>
        <row r="91">
          <cell r="N91" t="str">
            <v>FMSV2019100018</v>
          </cell>
        </row>
        <row r="92">
          <cell r="N92" t="str">
            <v>FMSV2019080079</v>
          </cell>
        </row>
        <row r="93">
          <cell r="N93" t="str">
            <v>FMSV2019100025</v>
          </cell>
        </row>
        <row r="94">
          <cell r="N94" t="str">
            <v>FMSV2023010023</v>
          </cell>
        </row>
      </sheetData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>
        <row r="1">
          <cell r="C1" t="str">
            <v>Model</v>
          </cell>
          <cell r="N1" t="str">
            <v>RMA No.</v>
          </cell>
        </row>
        <row r="2">
          <cell r="C2" t="str">
            <v>EB-530S</v>
          </cell>
          <cell r="N2" t="str">
            <v>FMSV2021090030</v>
          </cell>
        </row>
        <row r="3">
          <cell r="C3" t="str">
            <v>EG 590WR</v>
          </cell>
          <cell r="N3" t="str">
            <v>FMSV2021040052</v>
          </cell>
        </row>
        <row r="4">
          <cell r="C4" t="str">
            <v>EC-600ZW/M</v>
          </cell>
          <cell r="N4" t="str">
            <v>FMSV2023060064</v>
          </cell>
        </row>
        <row r="5">
          <cell r="C5" t="str">
            <v>EG-530NW</v>
          </cell>
          <cell r="N5" t="str">
            <v>FMSV2020060041</v>
          </cell>
        </row>
        <row r="6">
          <cell r="C6" t="str">
            <v>EG-530NW</v>
          </cell>
          <cell r="N6" t="str">
            <v>FMSV2021120063</v>
          </cell>
        </row>
        <row r="7">
          <cell r="C7" t="str">
            <v>XL-4450</v>
          </cell>
          <cell r="N7" t="str">
            <v>FMSV2023080022</v>
          </cell>
        </row>
        <row r="8">
          <cell r="C8" t="str">
            <v>EC-720R-I</v>
          </cell>
          <cell r="N8" t="str">
            <v>FMSV2022090060</v>
          </cell>
        </row>
        <row r="9">
          <cell r="C9" t="str">
            <v>EC-600WI</v>
          </cell>
          <cell r="N9" t="str">
            <v>FMSV2020110016</v>
          </cell>
        </row>
        <row r="10">
          <cell r="C10" t="str">
            <v>ED-580XT</v>
          </cell>
          <cell r="N10" t="str">
            <v>FMSV2020070044</v>
          </cell>
        </row>
        <row r="11">
          <cell r="C11" t="str">
            <v>EG-600WR</v>
          </cell>
          <cell r="N11" t="str">
            <v>FMSV2023010026</v>
          </cell>
        </row>
        <row r="12">
          <cell r="C12" t="str">
            <v>ED-580XT</v>
          </cell>
          <cell r="N12" t="str">
            <v>FMSV2022120085</v>
          </cell>
        </row>
        <row r="13">
          <cell r="C13" t="str">
            <v>EC-720R/I</v>
          </cell>
          <cell r="N13" t="str">
            <v>FMSV2021030038</v>
          </cell>
        </row>
        <row r="14">
          <cell r="C14" t="str">
            <v>EG-580NW2</v>
          </cell>
          <cell r="N14" t="str">
            <v>FMSV2021060014</v>
          </cell>
        </row>
        <row r="15">
          <cell r="C15" t="str">
            <v>EG 590WR</v>
          </cell>
          <cell r="N15" t="str">
            <v>FMSV2019110011</v>
          </cell>
        </row>
        <row r="16">
          <cell r="C16" t="str">
            <v>EC 600WL</v>
          </cell>
          <cell r="N16" t="str">
            <v>FMSV2023070076</v>
          </cell>
        </row>
        <row r="17">
          <cell r="C17" t="str">
            <v>EC-760R-V/I</v>
          </cell>
          <cell r="N17" t="str">
            <v>FMSV2021110063</v>
          </cell>
        </row>
        <row r="18">
          <cell r="C18" t="str">
            <v>EC-530WI</v>
          </cell>
          <cell r="N18" t="str">
            <v>FMSV2023030075</v>
          </cell>
        </row>
        <row r="19">
          <cell r="C19" t="str">
            <v>EG 530FP</v>
          </cell>
          <cell r="N19" t="str">
            <v>FMSV2021110027</v>
          </cell>
        </row>
        <row r="20">
          <cell r="C20" t="str">
            <v>EN-580T</v>
          </cell>
          <cell r="N20" t="str">
            <v>FMSV2023040004</v>
          </cell>
        </row>
        <row r="21">
          <cell r="C21" t="str">
            <v>EC-530FI</v>
          </cell>
          <cell r="N21" t="str">
            <v>FMSV2022110008</v>
          </cell>
        </row>
        <row r="22">
          <cell r="C22" t="str">
            <v>EG-740N</v>
          </cell>
          <cell r="N22" t="str">
            <v>FMSV2022100023</v>
          </cell>
        </row>
        <row r="23">
          <cell r="C23" t="str">
            <v>EG-590WR</v>
          </cell>
          <cell r="N23" t="str">
            <v>FMSV2022030057</v>
          </cell>
        </row>
        <row r="24">
          <cell r="C24" t="str">
            <v>XL-4450</v>
          </cell>
          <cell r="N24" t="str">
            <v>FMSV2023050081</v>
          </cell>
        </row>
        <row r="25">
          <cell r="C25" t="str">
            <v>EN-450T</v>
          </cell>
          <cell r="N25" t="str">
            <v>FMSV2023020003</v>
          </cell>
        </row>
        <row r="26">
          <cell r="C26" t="str">
            <v>EG 530WR</v>
          </cell>
          <cell r="N26" t="str">
            <v>FMSV2023010018</v>
          </cell>
        </row>
        <row r="27">
          <cell r="C27" t="str">
            <v>EC-760ZP-V/M</v>
          </cell>
          <cell r="N27" t="str">
            <v>FMSV2023020019</v>
          </cell>
        </row>
        <row r="28">
          <cell r="C28" t="str">
            <v>EG-760R</v>
          </cell>
          <cell r="N28" t="str">
            <v>FMSV2023080056</v>
          </cell>
        </row>
        <row r="29">
          <cell r="C29" t="str">
            <v>XL-4450</v>
          </cell>
          <cell r="N29" t="str">
            <v>FMSV2023080081</v>
          </cell>
        </row>
        <row r="30">
          <cell r="C30" t="str">
            <v>VP-4450HD</v>
          </cell>
          <cell r="N30" t="str">
            <v>FMSV2022020014</v>
          </cell>
        </row>
        <row r="31">
          <cell r="C31" t="str">
            <v>VP-4450HD</v>
          </cell>
          <cell r="N31" t="str">
            <v>FMSV2023010004</v>
          </cell>
        </row>
        <row r="32">
          <cell r="C32" t="str">
            <v>EC-760ZP-V/M</v>
          </cell>
          <cell r="N32" t="str">
            <v>FMSV2023020022</v>
          </cell>
        </row>
        <row r="33">
          <cell r="C33" t="str">
            <v>EG-600WR</v>
          </cell>
          <cell r="N33" t="str">
            <v>FMSV2023050072</v>
          </cell>
        </row>
        <row r="34">
          <cell r="C34" t="str">
            <v>EG-600WR</v>
          </cell>
          <cell r="N34" t="str">
            <v>FMSV2023080094</v>
          </cell>
        </row>
        <row r="35">
          <cell r="C35" t="str">
            <v>EG-600WR</v>
          </cell>
          <cell r="N35" t="str">
            <v>FMSV2023070077</v>
          </cell>
        </row>
        <row r="36">
          <cell r="C36" t="str">
            <v>EC-600WI</v>
          </cell>
          <cell r="N36" t="str">
            <v>FMSV2023080085</v>
          </cell>
        </row>
        <row r="37">
          <cell r="C37" t="str">
            <v>EC-600WI</v>
          </cell>
          <cell r="N37" t="str">
            <v>FMSV2022110039</v>
          </cell>
        </row>
        <row r="38">
          <cell r="C38" t="str">
            <v>EC-590WI</v>
          </cell>
          <cell r="N38" t="str">
            <v>FMSV2019100050</v>
          </cell>
        </row>
        <row r="39">
          <cell r="C39" t="str">
            <v>EG-600WR</v>
          </cell>
          <cell r="N39" t="str">
            <v>FMSV2022110024</v>
          </cell>
        </row>
        <row r="40">
          <cell r="C40" t="str">
            <v>EC-600WL</v>
          </cell>
          <cell r="N40" t="str">
            <v>FMSV2020110009</v>
          </cell>
        </row>
        <row r="41">
          <cell r="C41" t="str">
            <v>EG-L590ZW</v>
          </cell>
          <cell r="N41" t="str">
            <v>FMSV2016090022</v>
          </cell>
        </row>
        <row r="42">
          <cell r="C42" t="str">
            <v>EG-580UT</v>
          </cell>
          <cell r="N42" t="str">
            <v>FMSV2022060015</v>
          </cell>
        </row>
        <row r="43">
          <cell r="C43" t="str">
            <v>EC-600WL</v>
          </cell>
          <cell r="N43" t="str">
            <v>FMSV2022120083</v>
          </cell>
        </row>
        <row r="44">
          <cell r="C44" t="str">
            <v>ER-530S2</v>
          </cell>
          <cell r="N44" t="str">
            <v>FMSV2023020038</v>
          </cell>
        </row>
        <row r="45">
          <cell r="C45" t="str">
            <v>EG-740N</v>
          </cell>
          <cell r="N45" t="str">
            <v>FMSV2023040006</v>
          </cell>
        </row>
        <row r="46">
          <cell r="C46" t="str">
            <v>EG-530WR</v>
          </cell>
          <cell r="N46" t="str">
            <v>FMSV2023040037</v>
          </cell>
        </row>
        <row r="47">
          <cell r="C47" t="str">
            <v>ED-580XT</v>
          </cell>
          <cell r="N47" t="str">
            <v>FMSV2023040043</v>
          </cell>
        </row>
        <row r="48">
          <cell r="C48" t="str">
            <v>EG-740N</v>
          </cell>
          <cell r="N48" t="str">
            <v>FMSV2023080029</v>
          </cell>
        </row>
        <row r="49">
          <cell r="C49" t="str">
            <v>EG-760R</v>
          </cell>
          <cell r="N49" t="str">
            <v>FMSV2023080030</v>
          </cell>
        </row>
        <row r="50">
          <cell r="C50" t="str">
            <v>ED-580XT</v>
          </cell>
          <cell r="N50" t="str">
            <v>FMSV2023080031</v>
          </cell>
        </row>
        <row r="51">
          <cell r="C51" t="str">
            <v>EC-760R-V/I</v>
          </cell>
          <cell r="N51" t="str">
            <v>FMSV2023080072</v>
          </cell>
        </row>
        <row r="52">
          <cell r="C52" t="str">
            <v>ER-530T</v>
          </cell>
        </row>
        <row r="53">
          <cell r="C53" t="str">
            <v>EC-530WI3</v>
          </cell>
          <cell r="N53" t="str">
            <v>FMSV2023070046</v>
          </cell>
        </row>
        <row r="54">
          <cell r="C54" t="str">
            <v>EC-530FI</v>
          </cell>
          <cell r="N54" t="str">
            <v>FMSV2023080095</v>
          </cell>
        </row>
        <row r="55">
          <cell r="C55" t="str">
            <v>EG-600WR</v>
          </cell>
          <cell r="N55" t="str">
            <v>FMSV2019080027</v>
          </cell>
        </row>
        <row r="56">
          <cell r="C56" t="str">
            <v>EC-600WI</v>
          </cell>
          <cell r="N56" t="str">
            <v>FMSV2021060017</v>
          </cell>
        </row>
        <row r="59">
          <cell r="N59" t="str">
            <v>FMSV2023040070</v>
          </cell>
        </row>
        <row r="60">
          <cell r="N60" t="str">
            <v>FMSV2023050045L</v>
          </cell>
        </row>
        <row r="61">
          <cell r="N61" t="str">
            <v>FMSV2023050072</v>
          </cell>
        </row>
        <row r="62">
          <cell r="N62" t="str">
            <v>FMSV2023050081</v>
          </cell>
        </row>
        <row r="63">
          <cell r="N63" t="str">
            <v>FMSV2023060027</v>
          </cell>
        </row>
        <row r="64">
          <cell r="N64" t="str">
            <v>FMSV2023060068</v>
          </cell>
        </row>
        <row r="65">
          <cell r="N65" t="str">
            <v>FMSV2023070046</v>
          </cell>
        </row>
        <row r="66">
          <cell r="N66" t="str">
            <v>FMSV2023070056</v>
          </cell>
        </row>
        <row r="67">
          <cell r="N67" t="str">
            <v>FMSV2023070076</v>
          </cell>
        </row>
        <row r="68">
          <cell r="N68" t="str">
            <v>FMSV2023070077</v>
          </cell>
        </row>
        <row r="69">
          <cell r="N69" t="str">
            <v>FMSV2023060064</v>
          </cell>
        </row>
        <row r="70">
          <cell r="N70" t="str">
            <v>FMSV2023020002</v>
          </cell>
        </row>
        <row r="71">
          <cell r="N71" t="str">
            <v>FMSV2023010004</v>
          </cell>
        </row>
        <row r="72">
          <cell r="N72" t="str">
            <v>FMSV2023010026</v>
          </cell>
        </row>
        <row r="73">
          <cell r="N73" t="str">
            <v>FMSV2023010018</v>
          </cell>
        </row>
        <row r="74">
          <cell r="N74" t="str">
            <v>FMSV2022110058</v>
          </cell>
        </row>
        <row r="75">
          <cell r="N75" t="str">
            <v>FMSV2022120043</v>
          </cell>
        </row>
        <row r="76">
          <cell r="N76" t="str">
            <v>FMSV2022120038</v>
          </cell>
        </row>
        <row r="77">
          <cell r="N77" t="str">
            <v>FMSV2022120085</v>
          </cell>
        </row>
        <row r="78">
          <cell r="N78" t="str">
            <v>FMSV2023020020</v>
          </cell>
        </row>
        <row r="79">
          <cell r="N79" t="str">
            <v>FMSV2022110039</v>
          </cell>
        </row>
        <row r="80">
          <cell r="N80" t="str">
            <v>FMSV2022110024</v>
          </cell>
        </row>
        <row r="81">
          <cell r="N81" t="str">
            <v>FMSV2023020003</v>
          </cell>
        </row>
        <row r="82">
          <cell r="N82" t="str">
            <v>FMSV2022090065</v>
          </cell>
        </row>
        <row r="83">
          <cell r="N83" t="str">
            <v>FMSV2022090060</v>
          </cell>
        </row>
        <row r="84">
          <cell r="N84" t="str">
            <v>FMSV2022110008</v>
          </cell>
        </row>
        <row r="85">
          <cell r="N85" t="str">
            <v>FMSV2022100023</v>
          </cell>
        </row>
        <row r="86">
          <cell r="N86" t="str">
            <v>FMSV2022090010</v>
          </cell>
        </row>
        <row r="87">
          <cell r="N87" t="str">
            <v>FMSV2022080072</v>
          </cell>
        </row>
        <row r="88">
          <cell r="N88" t="str">
            <v>FMSV2022050043</v>
          </cell>
        </row>
        <row r="89">
          <cell r="N89" t="str">
            <v>FMSV2021110027</v>
          </cell>
        </row>
        <row r="90">
          <cell r="N90" t="str">
            <v>FMSV2021100018</v>
          </cell>
        </row>
        <row r="91">
          <cell r="N91" t="str">
            <v>FMSV2019100018</v>
          </cell>
        </row>
        <row r="92">
          <cell r="N92" t="str">
            <v>FMSV2019080079</v>
          </cell>
        </row>
        <row r="93">
          <cell r="N93" t="str">
            <v>FMSV2019100025</v>
          </cell>
        </row>
        <row r="94">
          <cell r="N94" t="str">
            <v>FMSV2023010023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147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146" dataCellStyle="Normal 4"/>
    <tableColumn id="7" xr3:uid="{00000000-0010-0000-0000-000007000000}" name="inspection" dataDxfId="145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144" dataCellStyle="Currency"/>
    <tableColumn id="11" xr3:uid="{00000000-0010-0000-0000-00000B000000}" name="quotation" dataDxfId="143" dataCellStyle="Normal 4"/>
    <tableColumn id="23" xr3:uid="{00000000-0010-0000-0000-000017000000}" name="Confirmation\" dataDxfId="142"/>
    <tableColumn id="20" xr3:uid="{00000000-0010-0000-0000-000014000000}" name="Return_Date" dataDxfId="141"/>
    <tableColumn id="21" xr3:uid="{00000000-0010-0000-0000-000015000000}" name="Updated Value" dataDxfId="140"/>
    <tableColumn id="12" xr3:uid="{00000000-0010-0000-0000-00000C000000}" name="index" dataDxfId="139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138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A95" totalsRowShown="0">
  <autoFilter ref="A2:AA95" xr:uid="{00000000-0009-0000-0100-000002000000}"/>
  <tableColumns count="27">
    <tableColumn id="28" xr3:uid="{00000000-0010-0000-0100-00001C000000}" name="No." dataDxfId="137">
      <calculatedColumnFormula>SUBTOTAL(3,$B$3:B3)</calculatedColumnFormula>
    </tableColumn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125"/>
    <tableColumn id="6" xr3:uid="{00000000-0010-0000-0100-000006000000}" name="wty_end_date" dataDxfId="0"/>
    <tableColumn id="7" xr3:uid="{00000000-0010-0000-0100-000007000000}" name="Receive" dataDxfId="136"/>
    <tableColumn id="8" xr3:uid="{00000000-0010-0000-0100-000008000000}" name="inspection" dataDxfId="135"/>
    <tableColumn id="9" xr3:uid="{00000000-0010-0000-0100-000009000000}" name="report_id"/>
    <tableColumn id="11" xr3:uid="{00000000-0010-0000-0100-00000B000000}" name="repair_size"/>
    <tableColumn id="12" xr3:uid="{00000000-0010-0000-0100-00000C000000}" name="issue"/>
    <tableColumn id="13" xr3:uid="{00000000-0010-0000-0100-00000D000000}" name="price" dataDxfId="134" dataCellStyle="Currency"/>
    <tableColumn id="14" xr3:uid="{00000000-0010-0000-0100-00000E000000}" name="confirmation" dataDxfId="133"/>
    <tableColumn id="15" xr3:uid="{00000000-0010-0000-0100-00000F000000}" name="Stock"/>
    <tableColumn id="16" xr3:uid="{00000000-0010-0000-0100-000010000000}" name="part_order_date" dataDxfId="132"/>
    <tableColumn id="17" xr3:uid="{00000000-0010-0000-0100-000011000000}" name="part_received_date" dataDxfId="131"/>
    <tableColumn id="18" xr3:uid="{00000000-0010-0000-0100-000012000000}" name="apas_no"/>
    <tableColumn id="19" xr3:uid="{00000000-0010-0000-0100-000013000000}" name="apas_approved_date" dataDxfId="130"/>
    <tableColumn id="20" xr3:uid="{00000000-0010-0000-0100-000014000000}" name="start_repair" dataDxfId="129"/>
    <tableColumn id="21" xr3:uid="{00000000-0010-0000-0100-000015000000}" name="qc_date" dataDxfId="128"/>
    <tableColumn id="22" xr3:uid="{00000000-0010-0000-0100-000016000000}" name="return_date" dataDxfId="127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26">
      <calculatedColumnFormula>INDEX([11]Sheet1!$J:$J,MATCH(B3,[11]Sheet1!$N:$N,0))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4" t="s">
        <v>6018</v>
      </c>
    </row>
    <row r="2" spans="1:10">
      <c r="J2" s="275" t="s">
        <v>5778</v>
      </c>
    </row>
    <row r="3" spans="1:10">
      <c r="J3" s="342">
        <f>COUNTIF('Summary 15-Sep'!E:E,"H*")</f>
        <v>10</v>
      </c>
    </row>
    <row r="4" spans="1:10">
      <c r="J4" s="342"/>
    </row>
    <row r="5" spans="1:10">
      <c r="J5" s="342"/>
    </row>
    <row r="7" spans="1:10">
      <c r="J7" s="275" t="s">
        <v>5779</v>
      </c>
    </row>
    <row r="8" spans="1:10">
      <c r="J8" s="343">
        <f>SUM(FFAP!H7:J8)</f>
        <v>13</v>
      </c>
    </row>
    <row r="9" spans="1:10">
      <c r="J9" s="343"/>
    </row>
    <row r="10" spans="1:10">
      <c r="J10" s="343"/>
    </row>
    <row r="12" spans="1:10">
      <c r="J12" s="275" t="s">
        <v>5776</v>
      </c>
    </row>
    <row r="13" spans="1:10">
      <c r="J13" s="344">
        <f>SUM('Summary 15-Sep'!C:D)</f>
        <v>271094.50981481484</v>
      </c>
    </row>
    <row r="14" spans="1:10">
      <c r="J14" s="344"/>
    </row>
    <row r="15" spans="1:10">
      <c r="J15" s="344"/>
    </row>
    <row r="17" spans="1:10">
      <c r="J17" s="275" t="s">
        <v>5777</v>
      </c>
    </row>
    <row r="18" spans="1:10">
      <c r="J18" s="345">
        <f>COUNTIF('1.MasterPendingList'!AE:AE,"*Plan*")</f>
        <v>0</v>
      </c>
    </row>
    <row r="19" spans="1:10">
      <c r="J19" s="345"/>
    </row>
    <row r="20" spans="1:10">
      <c r="J20" s="345"/>
    </row>
    <row r="28" spans="1:10" ht="14.25" customHeight="1"/>
    <row r="29" spans="1:10" ht="18">
      <c r="A29" s="272" t="str">
        <f>"*"&amp;'Summary 15-Sep'!A1</f>
        <v>*Received: Hanoi 8 - 2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24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59"/>
  <sheetViews>
    <sheetView topLeftCell="A22" zoomScaleNormal="100" workbookViewId="0">
      <selection activeCell="B37" sqref="A37:XFD37"/>
    </sheetView>
  </sheetViews>
  <sheetFormatPr defaultColWidth="9.33203125" defaultRowHeight="14.4"/>
  <cols>
    <col min="1" max="1" width="43" customWidth="1"/>
    <col min="2" max="2" width="13.332031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14" ht="19.8">
      <c r="A1" s="76" t="str">
        <f>"Received: Hanoi "&amp;COUNTIF(E:E,"Hanoi")&amp;" - "&amp;COUNTIF(E:E,"HCM")&amp;" HCM"</f>
        <v>Received: Hanoi 8 - 2 HCM</v>
      </c>
      <c r="B1" s="76"/>
      <c r="D1" s="137" t="s">
        <v>1243</v>
      </c>
      <c r="E1" s="9"/>
      <c r="G1" s="104"/>
    </row>
    <row r="2" spans="1:14">
      <c r="A2" s="316" t="s">
        <v>6</v>
      </c>
      <c r="B2" s="316" t="s">
        <v>7</v>
      </c>
      <c r="C2" s="316" t="s">
        <v>73</v>
      </c>
      <c r="D2" s="316" t="s">
        <v>69</v>
      </c>
      <c r="E2" s="316" t="s">
        <v>13</v>
      </c>
      <c r="F2" s="318" t="s">
        <v>11</v>
      </c>
      <c r="G2" s="316" t="s">
        <v>9</v>
      </c>
      <c r="H2" s="104"/>
    </row>
    <row r="3" spans="1:14">
      <c r="A3" s="316" t="s">
        <v>41</v>
      </c>
      <c r="B3" s="316" t="s">
        <v>38</v>
      </c>
      <c r="C3" s="316" t="s">
        <v>2808</v>
      </c>
      <c r="D3" s="317"/>
      <c r="E3" s="317" t="s">
        <v>22</v>
      </c>
      <c r="F3" s="317" t="s">
        <v>1053</v>
      </c>
      <c r="G3" s="316"/>
      <c r="H3" s="104"/>
    </row>
    <row r="4" spans="1:14">
      <c r="A4" s="316" t="s">
        <v>41</v>
      </c>
      <c r="B4" s="316" t="s">
        <v>1193</v>
      </c>
      <c r="C4" s="316" t="s">
        <v>5071</v>
      </c>
      <c r="D4" s="317"/>
      <c r="E4" s="317" t="s">
        <v>129</v>
      </c>
      <c r="F4" s="317" t="s">
        <v>1053</v>
      </c>
      <c r="G4" s="331"/>
      <c r="H4" s="316"/>
      <c r="I4" s="316"/>
      <c r="J4" s="316"/>
      <c r="K4" s="318"/>
      <c r="L4" s="318"/>
      <c r="M4" s="318"/>
      <c r="N4" s="318"/>
    </row>
    <row r="5" spans="1:14" ht="19.5" customHeight="1">
      <c r="A5" s="316" t="s">
        <v>41</v>
      </c>
      <c r="B5" s="316" t="s">
        <v>34</v>
      </c>
      <c r="C5" s="316" t="s">
        <v>1923</v>
      </c>
      <c r="D5" s="317">
        <v>45183.511574074073</v>
      </c>
      <c r="E5" s="317" t="s">
        <v>129</v>
      </c>
      <c r="F5" s="318" t="s">
        <v>2611</v>
      </c>
      <c r="G5" s="331" t="s">
        <v>2269</v>
      </c>
      <c r="H5" s="316"/>
      <c r="I5" s="316"/>
      <c r="J5" s="317"/>
      <c r="K5" s="317"/>
      <c r="L5" s="317"/>
      <c r="M5" s="317"/>
      <c r="N5" s="317"/>
    </row>
    <row r="6" spans="1:14" ht="15" customHeight="1">
      <c r="A6" s="316" t="s">
        <v>41</v>
      </c>
      <c r="B6" s="316" t="s">
        <v>1124</v>
      </c>
      <c r="C6" s="316" t="s">
        <v>1184</v>
      </c>
      <c r="D6" s="317">
        <v>45181.491770833331</v>
      </c>
      <c r="E6" s="317" t="s">
        <v>129</v>
      </c>
      <c r="F6" s="318" t="s">
        <v>67</v>
      </c>
      <c r="G6" s="316" t="s">
        <v>2411</v>
      </c>
      <c r="H6" s="104"/>
    </row>
    <row r="7" spans="1:14" ht="15" customHeight="1">
      <c r="A7" s="316" t="s">
        <v>41</v>
      </c>
      <c r="B7" s="316" t="s">
        <v>51</v>
      </c>
      <c r="C7" s="316" t="s">
        <v>3024</v>
      </c>
      <c r="D7" s="317">
        <v>45181.487743055557</v>
      </c>
      <c r="E7" s="317" t="s">
        <v>129</v>
      </c>
      <c r="F7" s="318" t="s">
        <v>2671</v>
      </c>
      <c r="G7" s="316"/>
      <c r="H7" s="104"/>
    </row>
    <row r="8" spans="1:14" ht="15" customHeight="1">
      <c r="A8" s="316" t="s">
        <v>41</v>
      </c>
      <c r="B8" s="316" t="s">
        <v>1123</v>
      </c>
      <c r="C8" s="316" t="s">
        <v>5285</v>
      </c>
      <c r="D8" s="317"/>
      <c r="E8" s="317" t="s">
        <v>129</v>
      </c>
      <c r="F8" s="318" t="s">
        <v>1053</v>
      </c>
      <c r="G8" s="316"/>
      <c r="H8" s="208"/>
    </row>
    <row r="9" spans="1:14">
      <c r="A9" s="316" t="s">
        <v>41</v>
      </c>
      <c r="B9" s="316" t="s">
        <v>1201</v>
      </c>
      <c r="C9" s="316" t="s">
        <v>3629</v>
      </c>
      <c r="D9" s="317">
        <v>45181.484872685185</v>
      </c>
      <c r="E9" s="317" t="s">
        <v>129</v>
      </c>
      <c r="F9" s="318" t="s">
        <v>67</v>
      </c>
      <c r="G9" s="316" t="s">
        <v>2411</v>
      </c>
      <c r="H9" s="104"/>
    </row>
    <row r="10" spans="1:14">
      <c r="A10" s="316" t="s">
        <v>37</v>
      </c>
      <c r="B10" s="316" t="s">
        <v>45</v>
      </c>
      <c r="C10" s="316" t="s">
        <v>6278</v>
      </c>
      <c r="D10" s="317">
        <v>45183.826921296299</v>
      </c>
      <c r="E10" s="317" t="s">
        <v>129</v>
      </c>
      <c r="F10" s="318" t="s">
        <v>2673</v>
      </c>
      <c r="G10" s="316"/>
      <c r="H10" s="104"/>
    </row>
    <row r="11" spans="1:14">
      <c r="A11" s="316" t="s">
        <v>6274</v>
      </c>
      <c r="B11" s="316" t="s">
        <v>1139</v>
      </c>
      <c r="C11" s="316" t="s">
        <v>6275</v>
      </c>
      <c r="D11" s="317">
        <v>45182.706932870373</v>
      </c>
      <c r="E11" s="317" t="s">
        <v>129</v>
      </c>
      <c r="F11" s="318" t="s">
        <v>67</v>
      </c>
      <c r="G11" s="316" t="s">
        <v>2411</v>
      </c>
      <c r="H11" s="104"/>
    </row>
    <row r="12" spans="1:14">
      <c r="A12" s="316" t="s">
        <v>2330</v>
      </c>
      <c r="B12" s="316" t="s">
        <v>1080</v>
      </c>
      <c r="C12" s="316" t="s">
        <v>2331</v>
      </c>
      <c r="D12" s="317"/>
      <c r="E12" s="317" t="s">
        <v>22</v>
      </c>
      <c r="F12" s="318" t="s">
        <v>1053</v>
      </c>
      <c r="G12" s="316"/>
      <c r="H12" s="104"/>
    </row>
    <row r="13" spans="1:14">
      <c r="A13" s="75"/>
      <c r="B13" s="75"/>
      <c r="C13" s="75"/>
      <c r="D13" s="75"/>
      <c r="E13" s="8"/>
      <c r="G13" s="75"/>
      <c r="H13" s="104"/>
    </row>
    <row r="14" spans="1:14" ht="19.8">
      <c r="A14" s="105" t="s">
        <v>2595</v>
      </c>
      <c r="B14" s="105"/>
      <c r="C14" s="106"/>
      <c r="H14" s="104"/>
    </row>
    <row r="15" spans="1:14" ht="15" customHeight="1">
      <c r="A15" s="138"/>
      <c r="B15" s="138"/>
      <c r="D15" s="75"/>
      <c r="E15" s="75"/>
      <c r="H15" s="104"/>
    </row>
    <row r="16" spans="1:14" ht="15" customHeight="1">
      <c r="A16" s="105" t="str">
        <f>"Scope Waiting confirm BreakDown: (Total " &amp; SUM(B18:C20) &amp;")"</f>
        <v>Scope Waiting confirm BreakDown: (Total 0)</v>
      </c>
      <c r="B16" s="105"/>
      <c r="E16" s="75"/>
      <c r="H16" s="104"/>
    </row>
    <row r="17" spans="1:17" ht="15" customHeight="1">
      <c r="A17" s="282" t="s">
        <v>11</v>
      </c>
      <c r="B17" s="276" t="s">
        <v>3198</v>
      </c>
      <c r="C17" s="276" t="s">
        <v>3199</v>
      </c>
      <c r="E17" s="75"/>
      <c r="H17" s="208"/>
    </row>
    <row r="18" spans="1:17" ht="15.6">
      <c r="A18" s="283" t="s">
        <v>5910</v>
      </c>
      <c r="B18" s="284">
        <f>COUNTIFS('1.MasterPendingList'!$AE:$AE,"waiting confirm",'1.MasterPendingList'!$AG:$AG,$A18,'1.MasterPendingList'!$C:$C,B$17)</f>
        <v>0</v>
      </c>
      <c r="C18" s="284">
        <f>COUNTIFS('1.MasterPendingList'!$AE:$AE,"waiting confirm",'1.MasterPendingList'!$AG:$AG,$A18,'1.MasterPendingList'!$C:$C,C$17)</f>
        <v>0</v>
      </c>
      <c r="E18" s="75"/>
      <c r="G18" s="286"/>
      <c r="H18" s="104"/>
    </row>
    <row r="19" spans="1:17" ht="15.6">
      <c r="A19" s="283" t="s">
        <v>5911</v>
      </c>
      <c r="B19" s="284">
        <f>COUNTIFS('1.MasterPendingList'!$AE:$AE,"waiting confirm",'1.MasterPendingList'!$AG:$AG,$A19,'1.MasterPendingList'!$C:$C,B$17)</f>
        <v>0</v>
      </c>
      <c r="C19" s="284">
        <f>COUNTIFS('1.MasterPendingList'!$AE:$AE,"waiting confirm",'1.MasterPendingList'!$AG:$AG,$A19,'1.MasterPendingList'!$C:$C,C$17)</f>
        <v>0</v>
      </c>
      <c r="E19" s="75"/>
      <c r="G19" s="286"/>
      <c r="H19" s="104"/>
    </row>
    <row r="20" spans="1:17" ht="15.6">
      <c r="A20" s="283" t="s">
        <v>6017</v>
      </c>
      <c r="B20" s="284">
        <f>COUNTIFS('1.MasterPendingList'!$AE:$AE,"waiting confirm",'1.MasterPendingList'!$AG:$AG,$A20,'1.MasterPendingList'!$C:$C,B$17)</f>
        <v>0</v>
      </c>
      <c r="C20" s="284">
        <f>COUNTIFS('1.MasterPendingList'!$AE:$AE,"waiting confirm",'1.MasterPendingList'!$AG:$AG,$A20,'1.MasterPendingList'!$C:$C,C$17)</f>
        <v>0</v>
      </c>
      <c r="E20" s="75"/>
      <c r="H20" s="104"/>
    </row>
    <row r="21" spans="1:17" ht="15.6">
      <c r="A21" s="138"/>
      <c r="B21" s="138"/>
      <c r="C21" s="139"/>
      <c r="D21" s="75"/>
      <c r="E21" s="75"/>
      <c r="H21" s="104"/>
    </row>
    <row r="22" spans="1:17" ht="19.8">
      <c r="A22" s="106" t="str">
        <f>"Inspection this week ("&amp;SUM(COUNTIFS(G:G,{"Minor","Major","Other","Maintain"}))&amp;" items)"</f>
        <v>Inspection this week (0 items)</v>
      </c>
      <c r="B22" s="106"/>
      <c r="C22" s="75"/>
      <c r="D22" s="75"/>
      <c r="E22" s="75"/>
      <c r="H22" s="104"/>
    </row>
    <row r="23" spans="1:17" ht="15.6">
      <c r="A23" s="138"/>
      <c r="B23" s="138"/>
      <c r="H23" s="104"/>
    </row>
    <row r="24" spans="1:17" ht="19.8">
      <c r="A24" s="105" t="str">
        <f>"Completed repair: " &amp;COUNTIF(E:E,"Major")&amp; " Major, "&amp;COUNTIF(E:E,"Minor")&amp; " Minor, "&amp;COUNTIF(E:E,"Other")&amp; " Other"</f>
        <v>Completed repair: 6 Major, 6 Minor, 1 Other</v>
      </c>
      <c r="B24" s="105"/>
      <c r="F24" s="8"/>
    </row>
    <row r="25" spans="1:17">
      <c r="A25" s="316" t="s">
        <v>74</v>
      </c>
      <c r="B25" s="316" t="s">
        <v>75</v>
      </c>
      <c r="C25" s="316" t="s">
        <v>76</v>
      </c>
      <c r="D25" s="316" t="s">
        <v>3057</v>
      </c>
      <c r="E25" s="316" t="s">
        <v>5647</v>
      </c>
      <c r="F25" s="318" t="s">
        <v>92</v>
      </c>
      <c r="G25" s="316" t="s">
        <v>5727</v>
      </c>
      <c r="H25" s="316" t="s">
        <v>77</v>
      </c>
      <c r="J25" s="316" t="s">
        <v>98</v>
      </c>
      <c r="K25" s="318" t="s">
        <v>5570</v>
      </c>
      <c r="L25" s="318" t="s">
        <v>2408</v>
      </c>
      <c r="M25" s="318" t="s">
        <v>5648</v>
      </c>
      <c r="N25" s="318" t="s">
        <v>5721</v>
      </c>
      <c r="O25" s="318" t="s">
        <v>5724</v>
      </c>
      <c r="P25" s="332" t="s">
        <v>5725</v>
      </c>
      <c r="Q25" s="318" t="s">
        <v>5726</v>
      </c>
    </row>
    <row r="26" spans="1:17">
      <c r="A26" s="316" t="s">
        <v>40</v>
      </c>
      <c r="B26" s="316" t="s">
        <v>51</v>
      </c>
      <c r="C26" s="317" t="s">
        <v>4759</v>
      </c>
      <c r="D26" s="316" t="s">
        <v>129</v>
      </c>
      <c r="E26" s="317" t="s">
        <v>2</v>
      </c>
      <c r="F26" s="317" t="s">
        <v>1249</v>
      </c>
      <c r="G26" s="316" t="s">
        <v>1102</v>
      </c>
      <c r="H26" s="316" t="s">
        <v>6038</v>
      </c>
      <c r="J26" s="317">
        <v>44973</v>
      </c>
      <c r="K26" s="317" t="s">
        <v>6308</v>
      </c>
      <c r="L26" s="317"/>
      <c r="M26" s="317"/>
      <c r="N26" s="317"/>
      <c r="O26" s="317"/>
      <c r="P26" s="317"/>
      <c r="Q26" s="317"/>
    </row>
    <row r="27" spans="1:17">
      <c r="A27" s="316" t="s">
        <v>37</v>
      </c>
      <c r="B27" s="316" t="s">
        <v>27</v>
      </c>
      <c r="C27" s="317" t="s">
        <v>4825</v>
      </c>
      <c r="D27" s="316" t="s">
        <v>129</v>
      </c>
      <c r="E27" s="317" t="s">
        <v>4</v>
      </c>
      <c r="F27" s="317" t="s">
        <v>1093</v>
      </c>
      <c r="G27" s="316" t="s">
        <v>1295</v>
      </c>
      <c r="H27" s="316"/>
      <c r="J27" s="317">
        <v>44985.713379629633</v>
      </c>
      <c r="K27" s="317" t="s">
        <v>6309</v>
      </c>
      <c r="L27" s="317">
        <v>45014</v>
      </c>
      <c r="M27" s="317"/>
      <c r="N27" s="317"/>
      <c r="O27" s="317"/>
      <c r="P27" s="317"/>
      <c r="Q27" s="317"/>
    </row>
    <row r="28" spans="1:17">
      <c r="A28" s="316" t="s">
        <v>40</v>
      </c>
      <c r="B28" s="316" t="s">
        <v>34</v>
      </c>
      <c r="C28" s="317" t="s">
        <v>2249</v>
      </c>
      <c r="D28" s="316" t="s">
        <v>129</v>
      </c>
      <c r="E28" s="317" t="s">
        <v>2</v>
      </c>
      <c r="F28" s="318" t="s">
        <v>5478</v>
      </c>
      <c r="G28" s="316" t="s">
        <v>1296</v>
      </c>
      <c r="H28" s="316" t="s">
        <v>6038</v>
      </c>
      <c r="J28" s="317">
        <v>45096.681759259256</v>
      </c>
      <c r="K28" s="317"/>
      <c r="L28" s="317"/>
      <c r="M28" s="317"/>
      <c r="N28" s="317"/>
      <c r="O28" s="317"/>
      <c r="P28" s="317"/>
      <c r="Q28" s="317"/>
    </row>
    <row r="29" spans="1:17">
      <c r="A29" s="316" t="s">
        <v>40</v>
      </c>
      <c r="B29" s="316" t="s">
        <v>30</v>
      </c>
      <c r="C29" s="317" t="s">
        <v>2243</v>
      </c>
      <c r="D29" s="316" t="s">
        <v>22</v>
      </c>
      <c r="E29" s="317" t="s">
        <v>2</v>
      </c>
      <c r="F29" s="318" t="s">
        <v>357</v>
      </c>
      <c r="G29" s="316" t="s">
        <v>287</v>
      </c>
      <c r="H29" s="316" t="s">
        <v>6282</v>
      </c>
      <c r="J29" s="317">
        <v>45096.683263888888</v>
      </c>
      <c r="K29" s="317" t="s">
        <v>6310</v>
      </c>
      <c r="L29" s="317">
        <v>45165</v>
      </c>
      <c r="M29" s="317"/>
      <c r="N29" s="317"/>
      <c r="O29" s="317"/>
      <c r="P29" s="317"/>
      <c r="Q29" s="317"/>
    </row>
    <row r="30" spans="1:17">
      <c r="A30" s="316" t="s">
        <v>40</v>
      </c>
      <c r="B30" s="316" t="s">
        <v>30</v>
      </c>
      <c r="C30" s="317" t="s">
        <v>2679</v>
      </c>
      <c r="D30" s="316" t="s">
        <v>22</v>
      </c>
      <c r="E30" s="317" t="s">
        <v>2</v>
      </c>
      <c r="F30" s="318" t="s">
        <v>357</v>
      </c>
      <c r="G30" s="316" t="s">
        <v>287</v>
      </c>
      <c r="H30" s="316" t="s">
        <v>6282</v>
      </c>
      <c r="J30" s="317">
        <v>45096.683900462966</v>
      </c>
      <c r="K30" s="317"/>
      <c r="L30" s="317"/>
      <c r="M30" s="317"/>
      <c r="N30" s="317"/>
      <c r="O30" s="317"/>
      <c r="P30" s="317"/>
      <c r="Q30" s="317"/>
    </row>
    <row r="31" spans="1:17">
      <c r="A31" s="316" t="s">
        <v>5685</v>
      </c>
      <c r="B31" s="316" t="s">
        <v>1124</v>
      </c>
      <c r="C31" s="317" t="s">
        <v>5686</v>
      </c>
      <c r="D31" s="316" t="s">
        <v>129</v>
      </c>
      <c r="E31" s="317" t="s">
        <v>2</v>
      </c>
      <c r="F31" s="318" t="s">
        <v>5687</v>
      </c>
      <c r="G31" s="316" t="s">
        <v>1296</v>
      </c>
      <c r="H31" s="316" t="s">
        <v>6283</v>
      </c>
      <c r="J31" s="317">
        <v>45128.74591435185</v>
      </c>
      <c r="K31" s="317" t="s">
        <v>55</v>
      </c>
      <c r="L31" s="317"/>
      <c r="M31" s="317"/>
      <c r="N31" s="317"/>
      <c r="O31" s="317"/>
      <c r="P31" s="317"/>
      <c r="Q31" s="317"/>
    </row>
    <row r="32" spans="1:17">
      <c r="A32" s="316" t="s">
        <v>2767</v>
      </c>
      <c r="B32" s="316" t="s">
        <v>30</v>
      </c>
      <c r="C32" s="317" t="s">
        <v>5734</v>
      </c>
      <c r="D32" s="316" t="s">
        <v>129</v>
      </c>
      <c r="E32" s="317" t="s">
        <v>2</v>
      </c>
      <c r="F32" s="318" t="s">
        <v>5364</v>
      </c>
      <c r="G32" s="316"/>
      <c r="H32" s="316" t="s">
        <v>2411</v>
      </c>
      <c r="J32" s="317">
        <v>45138.524282407408</v>
      </c>
      <c r="K32" s="317" t="s">
        <v>66</v>
      </c>
      <c r="L32" s="317"/>
      <c r="M32" s="317"/>
      <c r="N32" s="317"/>
      <c r="O32" s="317"/>
      <c r="P32" s="317"/>
      <c r="Q32" s="317"/>
    </row>
    <row r="33" spans="1:17">
      <c r="A33" s="316" t="s">
        <v>40</v>
      </c>
      <c r="B33" s="316" t="s">
        <v>49</v>
      </c>
      <c r="C33" s="317" t="s">
        <v>5327</v>
      </c>
      <c r="D33" s="316" t="s">
        <v>129</v>
      </c>
      <c r="E33" s="317" t="s">
        <v>3</v>
      </c>
      <c r="F33" s="318" t="s">
        <v>1485</v>
      </c>
      <c r="G33" s="316"/>
      <c r="H33" s="316" t="s">
        <v>2411</v>
      </c>
      <c r="J33" s="317">
        <v>45174.751423611109</v>
      </c>
      <c r="K33" s="317"/>
      <c r="L33" s="317"/>
      <c r="M33" s="317"/>
      <c r="N33" s="317"/>
      <c r="O33" s="317"/>
      <c r="P33" s="317"/>
      <c r="Q33" s="317"/>
    </row>
    <row r="34" spans="1:17">
      <c r="A34" s="316" t="s">
        <v>2370</v>
      </c>
      <c r="B34" s="316" t="s">
        <v>56</v>
      </c>
      <c r="C34" s="317" t="s">
        <v>2697</v>
      </c>
      <c r="D34" s="316" t="s">
        <v>22</v>
      </c>
      <c r="E34" s="317" t="s">
        <v>3</v>
      </c>
      <c r="F34" s="318"/>
      <c r="G34" s="316" t="s">
        <v>6110</v>
      </c>
      <c r="H34" s="316" t="s">
        <v>3860</v>
      </c>
      <c r="J34" s="317"/>
      <c r="K34" s="317"/>
      <c r="L34" s="317"/>
      <c r="M34" s="317"/>
      <c r="N34" s="317"/>
      <c r="O34" s="317"/>
      <c r="P34" s="317"/>
      <c r="Q34" s="317"/>
    </row>
    <row r="35" spans="1:17">
      <c r="A35" s="316" t="s">
        <v>44</v>
      </c>
      <c r="B35" s="316" t="s">
        <v>1129</v>
      </c>
      <c r="C35" s="317" t="s">
        <v>1812</v>
      </c>
      <c r="D35" s="316" t="s">
        <v>129</v>
      </c>
      <c r="E35" s="317" t="s">
        <v>3</v>
      </c>
      <c r="F35" s="318" t="s">
        <v>6265</v>
      </c>
      <c r="G35" s="316"/>
      <c r="H35" s="316" t="s">
        <v>2411</v>
      </c>
      <c r="J35" s="317">
        <v>45177.576354166667</v>
      </c>
      <c r="K35" s="317"/>
      <c r="L35" s="317"/>
      <c r="M35" s="317"/>
      <c r="N35" s="317"/>
      <c r="O35" s="317"/>
      <c r="P35" s="317"/>
      <c r="Q35" s="317"/>
    </row>
    <row r="36" spans="1:17">
      <c r="A36" s="316" t="s">
        <v>41</v>
      </c>
      <c r="B36" s="316" t="s">
        <v>1201</v>
      </c>
      <c r="C36" s="317" t="s">
        <v>3629</v>
      </c>
      <c r="D36" s="316" t="s">
        <v>129</v>
      </c>
      <c r="E36" s="317" t="s">
        <v>3</v>
      </c>
      <c r="F36" s="318" t="s">
        <v>1649</v>
      </c>
      <c r="G36" s="316"/>
      <c r="H36" s="316" t="s">
        <v>2411</v>
      </c>
      <c r="J36" s="317">
        <v>45181.484872685185</v>
      </c>
      <c r="K36" s="317"/>
      <c r="L36" s="317"/>
      <c r="M36" s="317"/>
      <c r="N36" s="317"/>
      <c r="O36" s="317"/>
      <c r="P36" s="317"/>
      <c r="Q36" s="318"/>
    </row>
    <row r="37" spans="1:17">
      <c r="A37" s="316" t="s">
        <v>6274</v>
      </c>
      <c r="B37" s="316" t="s">
        <v>1139</v>
      </c>
      <c r="C37" s="317" t="s">
        <v>6275</v>
      </c>
      <c r="D37" s="316" t="s">
        <v>129</v>
      </c>
      <c r="E37" s="317" t="s">
        <v>3</v>
      </c>
      <c r="F37" s="318" t="s">
        <v>1485</v>
      </c>
      <c r="G37" s="316"/>
      <c r="H37" s="316" t="s">
        <v>2411</v>
      </c>
      <c r="J37" s="317">
        <v>45182.706932870373</v>
      </c>
      <c r="K37" s="317"/>
      <c r="L37" s="317"/>
      <c r="M37" s="317"/>
      <c r="N37" s="317"/>
      <c r="O37" s="317"/>
      <c r="P37" s="317"/>
      <c r="Q37" s="318"/>
    </row>
    <row r="38" spans="1:17">
      <c r="A38" s="316" t="s">
        <v>41</v>
      </c>
      <c r="B38" s="316" t="s">
        <v>34</v>
      </c>
      <c r="C38" s="317" t="s">
        <v>1923</v>
      </c>
      <c r="D38" s="316" t="s">
        <v>129</v>
      </c>
      <c r="E38" s="317" t="s">
        <v>3</v>
      </c>
      <c r="F38" s="318" t="s">
        <v>4768</v>
      </c>
      <c r="G38" s="316" t="s">
        <v>33</v>
      </c>
      <c r="H38" s="316" t="s">
        <v>2269</v>
      </c>
      <c r="J38" s="317">
        <v>45183</v>
      </c>
      <c r="K38" s="317"/>
      <c r="L38" s="317"/>
      <c r="M38" s="317"/>
      <c r="N38" s="317"/>
      <c r="O38" s="317"/>
      <c r="P38" s="317"/>
      <c r="Q38" s="318"/>
    </row>
    <row r="39" spans="1:17">
      <c r="A39" s="75"/>
      <c r="B39" s="75"/>
      <c r="F39" s="8"/>
    </row>
    <row r="40" spans="1:17" ht="19.8">
      <c r="A40" s="105" t="s">
        <v>3010</v>
      </c>
      <c r="B40" s="105"/>
      <c r="C40" s="104"/>
      <c r="D40" s="104"/>
      <c r="E40" s="104"/>
      <c r="F40" s="104"/>
      <c r="G40" s="104"/>
    </row>
    <row r="41" spans="1:17" ht="19.8">
      <c r="A41" s="73"/>
      <c r="B41" s="73"/>
      <c r="D41" s="188"/>
      <c r="G41" s="207"/>
    </row>
    <row r="42" spans="1:17">
      <c r="A42" s="75"/>
      <c r="B42" s="75"/>
      <c r="D42" s="104"/>
    </row>
    <row r="43" spans="1:17" ht="28.8">
      <c r="A43" s="305" t="s">
        <v>6081</v>
      </c>
      <c r="B43" s="305" t="s">
        <v>6092</v>
      </c>
      <c r="C43" s="306" t="s">
        <v>6082</v>
      </c>
      <c r="D43" s="307" t="s">
        <v>10</v>
      </c>
      <c r="E43" s="306" t="s">
        <v>6083</v>
      </c>
      <c r="F43" s="306" t="s">
        <v>3576</v>
      </c>
      <c r="G43" s="104"/>
    </row>
    <row r="44" spans="1:17">
      <c r="A44" s="333" t="s">
        <v>6285</v>
      </c>
      <c r="B44" s="299">
        <f>COUNTIF('1.MasterPendingList'!$AF:$AF,'Summary 15-Sep'!A44)</f>
        <v>5</v>
      </c>
      <c r="C44" s="296" t="s">
        <v>6063</v>
      </c>
      <c r="D44" s="296" t="s">
        <v>6064</v>
      </c>
      <c r="E44" s="296" t="s">
        <v>6084</v>
      </c>
      <c r="F44" s="346" t="s">
        <v>6085</v>
      </c>
      <c r="G44" s="348"/>
    </row>
    <row r="45" spans="1:17">
      <c r="A45" s="333" t="s">
        <v>6311</v>
      </c>
      <c r="B45" s="299">
        <f>COUNTIF('1.MasterPendingList'!$AF:$AF,'Summary 15-Sep'!A45)</f>
        <v>0</v>
      </c>
      <c r="C45" s="296" t="s">
        <v>6065</v>
      </c>
      <c r="D45" s="296" t="s">
        <v>1058</v>
      </c>
      <c r="E45" s="296" t="s">
        <v>6086</v>
      </c>
      <c r="F45" s="346"/>
      <c r="G45" s="348"/>
    </row>
    <row r="46" spans="1:17">
      <c r="A46" s="333" t="s">
        <v>6290</v>
      </c>
      <c r="B46" s="299">
        <f>COUNTIF('1.MasterPendingList'!$AF:$AF,'Summary 15-Sep'!A46)</f>
        <v>1</v>
      </c>
      <c r="C46" s="296" t="s">
        <v>6066</v>
      </c>
      <c r="D46" s="302" t="s">
        <v>6067</v>
      </c>
      <c r="E46" s="296" t="s">
        <v>5912</v>
      </c>
      <c r="F46" s="346"/>
      <c r="G46" s="104"/>
    </row>
    <row r="47" spans="1:17">
      <c r="A47" s="333" t="s">
        <v>6289</v>
      </c>
      <c r="B47" s="299">
        <f>COUNTIF('1.MasterPendingList'!$AF:$AF,'Summary 15-Sep'!A47)</f>
        <v>34</v>
      </c>
      <c r="C47" s="296" t="s">
        <v>6068</v>
      </c>
      <c r="D47" s="302" t="s">
        <v>6069</v>
      </c>
      <c r="E47" s="296" t="s">
        <v>5912</v>
      </c>
      <c r="F47" s="346"/>
    </row>
    <row r="48" spans="1:17" ht="19.8">
      <c r="A48" s="334" t="s">
        <v>6312</v>
      </c>
      <c r="B48" s="300">
        <f>COUNTIF('1.MasterPendingList'!$AF:$AF,'Summary 15-Sep'!A48)</f>
        <v>0</v>
      </c>
      <c r="C48" s="297" t="s">
        <v>6070</v>
      </c>
      <c r="D48" s="297" t="s">
        <v>6071</v>
      </c>
      <c r="E48" s="303" t="s">
        <v>6087</v>
      </c>
      <c r="F48" s="347" t="s">
        <v>6088</v>
      </c>
      <c r="G48" s="207"/>
    </row>
    <row r="49" spans="1:7">
      <c r="A49" s="335" t="s">
        <v>6288</v>
      </c>
      <c r="B49" s="300">
        <f>COUNTIF('1.MasterPendingList'!$AF:$AF,'Summary 15-Sep'!A49)</f>
        <v>5</v>
      </c>
      <c r="C49" s="297" t="s">
        <v>6070</v>
      </c>
      <c r="D49" s="297" t="s">
        <v>6071</v>
      </c>
      <c r="E49" s="303" t="s">
        <v>6087</v>
      </c>
      <c r="F49" s="347"/>
      <c r="G49" s="208"/>
    </row>
    <row r="50" spans="1:7">
      <c r="A50" s="335" t="s">
        <v>6313</v>
      </c>
      <c r="B50" s="300">
        <f>COUNTIF('1.MasterPendingList'!$AF:$AF,'Summary 15-Sep'!A50)</f>
        <v>0</v>
      </c>
      <c r="C50" s="298" t="s">
        <v>6089</v>
      </c>
      <c r="D50" s="297" t="s">
        <v>6071</v>
      </c>
      <c r="E50" s="303" t="s">
        <v>6087</v>
      </c>
      <c r="F50" s="347"/>
      <c r="G50" s="208"/>
    </row>
    <row r="51" spans="1:7">
      <c r="A51" s="335" t="s">
        <v>6314</v>
      </c>
      <c r="B51" s="300">
        <f>COUNTIF('1.MasterPendingList'!$AF:$AF,'Summary 15-Sep'!A51)</f>
        <v>0</v>
      </c>
      <c r="C51" s="297" t="s">
        <v>6070</v>
      </c>
      <c r="D51" s="297" t="s">
        <v>6071</v>
      </c>
      <c r="E51" s="303" t="s">
        <v>6087</v>
      </c>
      <c r="F51" s="347"/>
      <c r="G51" s="208"/>
    </row>
    <row r="52" spans="1:7">
      <c r="A52" s="333" t="s">
        <v>6295</v>
      </c>
      <c r="B52" s="299">
        <f>COUNTIF('1.MasterPendingList'!$AF:$AF,'Summary 15-Sep'!A52)</f>
        <v>31</v>
      </c>
      <c r="C52" s="296" t="s">
        <v>6072</v>
      </c>
      <c r="D52" s="296" t="s">
        <v>6073</v>
      </c>
      <c r="E52" s="303" t="s">
        <v>6090</v>
      </c>
      <c r="F52" s="304"/>
      <c r="G52" s="208"/>
    </row>
    <row r="53" spans="1:7">
      <c r="A53" s="333" t="s">
        <v>6074</v>
      </c>
      <c r="B53" s="299">
        <f>COUNTIF('1.MasterPendingList'!$AF:$AF,'Summary 15-Sep'!A53)</f>
        <v>5</v>
      </c>
      <c r="C53" s="296" t="s">
        <v>6065</v>
      </c>
      <c r="D53" s="296" t="s">
        <v>1058</v>
      </c>
      <c r="E53" s="296" t="s">
        <v>6086</v>
      </c>
      <c r="F53" s="304"/>
      <c r="G53" s="208"/>
    </row>
    <row r="54" spans="1:7">
      <c r="A54" s="336" t="s">
        <v>6075</v>
      </c>
      <c r="B54" s="301">
        <f>COUNTIF('1.MasterPendingList'!$AF:$AF,'Summary 15-Sep'!A54)</f>
        <v>0</v>
      </c>
      <c r="C54" s="296" t="s">
        <v>6065</v>
      </c>
      <c r="D54" s="296" t="s">
        <v>1058</v>
      </c>
      <c r="E54" s="296" t="s">
        <v>6091</v>
      </c>
      <c r="F54" s="304"/>
      <c r="G54" s="208"/>
    </row>
    <row r="55" spans="1:7">
      <c r="A55" s="337" t="s">
        <v>6302</v>
      </c>
      <c r="B55" s="301">
        <f>COUNTIF('1.MasterPendingList'!$AF:$AF,'Summary 15-Sep'!A55)</f>
        <v>6</v>
      </c>
      <c r="C55" s="294"/>
      <c r="D55" s="294"/>
      <c r="E55" s="294"/>
      <c r="F55" s="293"/>
      <c r="G55" s="104"/>
    </row>
    <row r="56" spans="1:7">
      <c r="A56" s="337" t="s">
        <v>1</v>
      </c>
      <c r="B56" s="309">
        <f>SUM(B44:B55)</f>
        <v>87</v>
      </c>
      <c r="C56" s="295"/>
      <c r="D56" s="295"/>
      <c r="E56" s="295"/>
      <c r="G56" s="104"/>
    </row>
    <row r="57" spans="1:7">
      <c r="B57" s="309"/>
      <c r="C57" s="308"/>
      <c r="D57" s="308"/>
      <c r="E57" s="295"/>
    </row>
    <row r="59" spans="1:7">
      <c r="F59" s="104"/>
    </row>
  </sheetData>
  <dataConsolidate/>
  <mergeCells count="3">
    <mergeCell ref="F44:F47"/>
    <mergeCell ref="F48:F51"/>
    <mergeCell ref="G44:G45"/>
  </mergeCells>
  <phoneticPr fontId="36" type="noConversion"/>
  <conditionalFormatting sqref="G48:G54 G41 A15:B15 A1:B1 A14:C14 A17:B24">
    <cfRule type="containsText" dxfId="123" priority="2889" operator="containsText" text="plan">
      <formula>NOT(ISERROR(SEARCH("plan",A1)))</formula>
    </cfRule>
    <cfRule type="containsText" dxfId="122" priority="2890" operator="containsText" text="BreakDown">
      <formula>NOT(ISERROR(SEARCH("BreakDown",A1)))</formula>
    </cfRule>
    <cfRule type="containsText" dxfId="121" priority="2891" operator="containsText" text="Completed">
      <formula>NOT(ISERROR(SEARCH("Completed",A1)))</formula>
    </cfRule>
    <cfRule type="containsText" dxfId="120" priority="2892" operator="containsText" text="transfer">
      <formula>NOT(ISERROR(SEARCH("transfer",A1)))</formula>
    </cfRule>
    <cfRule type="containsText" dxfId="119" priority="2893" operator="containsText" text="Received:">
      <formula>NOT(ISERROR(SEARCH("Received:",A1)))</formula>
    </cfRule>
  </conditionalFormatting>
  <conditionalFormatting sqref="A40:B40">
    <cfRule type="containsText" dxfId="118" priority="2884" operator="containsText" text="plan">
      <formula>NOT(ISERROR(SEARCH("plan",A40)))</formula>
    </cfRule>
    <cfRule type="containsText" dxfId="117" priority="2885" operator="containsText" text="Inspect">
      <formula>NOT(ISERROR(SEARCH("Inspect",A40)))</formula>
    </cfRule>
    <cfRule type="containsText" dxfId="116" priority="2886" operator="containsText" text="Completed">
      <formula>NOT(ISERROR(SEARCH("Completed",A40)))</formula>
    </cfRule>
    <cfRule type="containsText" dxfId="115" priority="2887" operator="containsText" text="transfer">
      <formula>NOT(ISERROR(SEARCH("transfer",A40)))</formula>
    </cfRule>
    <cfRule type="containsText" dxfId="114" priority="2888" operator="containsText" text="Received:">
      <formula>NOT(ISERROR(SEARCH("Received:",A40)))</formula>
    </cfRule>
  </conditionalFormatting>
  <conditionalFormatting sqref="A16:B16">
    <cfRule type="containsText" dxfId="113" priority="1222" operator="containsText" text="plan">
      <formula>NOT(ISERROR(SEARCH("plan",A16)))</formula>
    </cfRule>
    <cfRule type="containsText" dxfId="112" priority="1223" operator="containsText" text="BreakDown">
      <formula>NOT(ISERROR(SEARCH("BreakDown",A16)))</formula>
    </cfRule>
    <cfRule type="containsText" dxfId="111" priority="1224" operator="containsText" text="Completed">
      <formula>NOT(ISERROR(SEARCH("Completed",A16)))</formula>
    </cfRule>
    <cfRule type="containsText" dxfId="110" priority="1225" operator="containsText" text="transfer">
      <formula>NOT(ISERROR(SEARCH("transfer",A16)))</formula>
    </cfRule>
    <cfRule type="containsText" dxfId="109" priority="1226" operator="containsText" text="Received:">
      <formula>NOT(ISERROR(SEARCH("Received:",A16)))</formula>
    </cfRule>
  </conditionalFormatting>
  <conditionalFormatting sqref="G43:G44 G46">
    <cfRule type="expression" dxfId="108" priority="17090">
      <formula>IF(SEARCH("Received",#REF!),1,0)</formula>
    </cfRule>
    <cfRule type="expression" dxfId="107" priority="17091">
      <formula>IF(SEARCH("under inspection",#REF!),1,0)</formula>
    </cfRule>
    <cfRule type="expression" dxfId="106" priority="17092">
      <formula>IF(SEARCH("prepairing quotation",#REF!),1,0)</formula>
    </cfRule>
    <cfRule type="expression" dxfId="105" priority="17093">
      <formula>IF(SEARCH("waiting confirm",#REF!),1,0)</formula>
    </cfRule>
    <cfRule type="expression" dxfId="104" priority="17094">
      <formula>IF(SEARCH("waiting approved",#REF!),1,0)</formula>
    </cfRule>
    <cfRule type="expression" dxfId="103" priority="17095">
      <formula>IF(SEARCH("waiting for part",#REF!),1,0)</formula>
    </cfRule>
    <cfRule type="expression" dxfId="102" priority="17096">
      <formula>IF(SEARCH("under repair",#REF!),1,0)</formula>
    </cfRule>
    <cfRule type="expression" dxfId="101" priority="17097">
      <formula>IF(SEARCH("waiting for repair",#REF!),1,0)</formula>
    </cfRule>
    <cfRule type="expression" dxfId="100" priority="17098">
      <formula>IF(SEARCH("Completed repair",#REF!),1,0)</formula>
    </cfRule>
    <cfRule type="expression" dxfId="99" priority="17099">
      <formula>IF(SEARCH("Transfer to sale team",#REF!),1,0)</formula>
    </cfRule>
    <cfRule type="expression" dxfId="98" priority="17100">
      <formula>MOD(#REF!,2)</formula>
    </cfRule>
  </conditionalFormatting>
  <conditionalFormatting sqref="A2">
    <cfRule type="containsText" dxfId="97" priority="4" operator="containsText" text="plan">
      <formula>NOT(ISERROR(SEARCH("plan",A2)))</formula>
    </cfRule>
    <cfRule type="containsText" dxfId="96" priority="5" operator="containsText" text="Inspect">
      <formula>NOT(ISERROR(SEARCH("Inspect",A2)))</formula>
    </cfRule>
    <cfRule type="containsText" dxfId="95" priority="6" operator="containsText" text="Completed">
      <formula>NOT(ISERROR(SEARCH("Completed",A2)))</formula>
    </cfRule>
    <cfRule type="containsText" dxfId="94" priority="7" operator="containsText" text="transfer">
      <formula>NOT(ISERROR(SEARCH("transfer",A2)))</formula>
    </cfRule>
    <cfRule type="containsText" dxfId="93" priority="8" operator="containsText" text="Received:">
      <formula>NOT(ISERROR(SEARCH("Received:",A2)))</formula>
    </cfRule>
  </conditionalFormatting>
  <conditionalFormatting sqref="C2:C12">
    <cfRule type="duplicateValues" dxfId="92" priority="3"/>
  </conditionalFormatting>
  <conditionalFormatting sqref="C3:C12">
    <cfRule type="duplicateValues" dxfId="91" priority="9"/>
  </conditionalFormatting>
  <conditionalFormatting sqref="C2">
    <cfRule type="duplicateValues" dxfId="90" priority="10"/>
  </conditionalFormatting>
  <conditionalFormatting sqref="D2:D12">
    <cfRule type="duplicateValues" dxfId="89" priority="2"/>
  </conditionalFormatting>
  <conditionalFormatting sqref="C25:C38">
    <cfRule type="duplicateValues" dxfId="88" priority="1895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S11" sqref="S11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62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">
      <c r="A5" s="349" t="s">
        <v>1818</v>
      </c>
      <c r="B5" s="115" t="s">
        <v>1819</v>
      </c>
      <c r="C5" s="116">
        <f>COUNTIF('Summary 15-Sep'!E:E,FFAP!$A$4)</f>
        <v>8</v>
      </c>
      <c r="H5" s="189">
        <f>COUNTIF('Summary 15-Sep'!E:E,"H*")</f>
        <v>10</v>
      </c>
      <c r="I5">
        <f>COUNTIF('Summary 15-Sep'!E:E,"Hanoi")</f>
        <v>8</v>
      </c>
      <c r="J5">
        <f>COUNTIF('Summary 15-Sep'!E:E,"HCM")</f>
        <v>2</v>
      </c>
      <c r="K5" s="191" t="str">
        <f>"1. In-coming: "&amp;H5&amp;" items (Hanoi "&amp;I5&amp;" - "&amp;J5&amp;" HCM)"</f>
        <v>1. In-coming: 10 items (Hanoi 8 - 2 HCM)</v>
      </c>
      <c r="O5" s="1"/>
    </row>
    <row r="6" spans="1:22">
      <c r="A6" s="350"/>
      <c r="B6" s="117" t="s">
        <v>1820</v>
      </c>
      <c r="C6" s="118" cm="1">
        <f t="array" ref="C6">SUM(COUNTIFS('1.MasterPendingList'!F:F,FFAP!$A$4,'1.MasterPendingList'!AE:AE,{"*Completed*"}))</f>
        <v>0</v>
      </c>
      <c r="J6" s="189">
        <f>SUM(H7:J8)</f>
        <v>13</v>
      </c>
      <c r="K6" s="191" t="str">
        <f>"2. Outgoing: "&amp;J6&amp;" items"</f>
        <v>2. Outgoing: 13 items</v>
      </c>
    </row>
    <row r="7" spans="1:22">
      <c r="A7" s="350"/>
      <c r="B7" s="119" t="s">
        <v>1821</v>
      </c>
      <c r="C7" s="120"/>
      <c r="G7">
        <f>SUM(COUNTIF('Summary 15-Sep'!E:E,"Major"),COUNTIF('Summary 15-Sep'!E:E,"Minor"),COUNTIF('Summary 15-Sep'!E:E,"Other"))</f>
        <v>13</v>
      </c>
      <c r="H7">
        <f>COUNTIF('Summary 15-Sep'!E:E,"Major")</f>
        <v>6</v>
      </c>
      <c r="I7">
        <f>COUNTIF('Summary 15-Sep'!E:E,"Minor")</f>
        <v>6</v>
      </c>
      <c r="J7">
        <f>COUNTIF('Summary 15-Sep'!E:E,"Other")</f>
        <v>1</v>
      </c>
      <c r="K7" s="191" t="str">
        <f>"         A. Completed repair: "&amp;G7&amp;" items ("&amp;H7&amp;" Major - "&amp;I7&amp;" Minor - "&amp;J7&amp;" Other)"</f>
        <v>         A. Completed repair: 13 items (6 Major - 6 Minor - 1 Other)</v>
      </c>
      <c r="V7" s="277"/>
    </row>
    <row r="8" spans="1:22">
      <c r="A8" s="350"/>
      <c r="B8" s="121" t="s">
        <v>1822</v>
      </c>
      <c r="C8" s="121" cm="1">
        <f t="array" ref="C8">SUM(COUNTIFS('1.MasterPendingList'!F:F,FFAP!$A$4,'1.MasterPendingList'!AE:AE,{"*Received","*Under inspection","*quotation"}))</f>
        <v>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6">
      <c r="A9" s="350"/>
      <c r="B9" s="121" t="s">
        <v>1823</v>
      </c>
      <c r="C9" s="121" cm="1">
        <f t="array" ref="C9">SUM(COUNTIFS('1.MasterPendingList'!F:F,FFAP!$A$4,'1.MasterPendingList'!AE:AE,{"*confirm","*approved"}))</f>
        <v>30</v>
      </c>
      <c r="D9" t="str">
        <f>IF(E10=0,"","(included "&amp;E10&amp;" items ""waiting approved"")")</f>
        <v>(included 4 items "waiting approved")</v>
      </c>
      <c r="H9" s="192">
        <v>90</v>
      </c>
      <c r="I9" s="189">
        <f>MAX('1.MasterPendingList'!A:A)</f>
        <v>20</v>
      </c>
      <c r="J9">
        <f>I9-COUNTIF('1.MasterPendingList'!AE:AE,"LP/*")</f>
        <v>11</v>
      </c>
      <c r="K9" s="191" t="str">
        <f>"Pending: "&amp;H9&amp;" (last week)  + "&amp;H5&amp;" - "&amp;J6&amp;" = "&amp;I9&amp;" items ("&amp;J9&amp;" scopes)"</f>
        <v>Pending: 90 (last week)  + 10 - 13 = 20 items (11 scopes)</v>
      </c>
    </row>
    <row r="10" spans="1:22">
      <c r="A10" s="350"/>
      <c r="B10" s="121" t="s">
        <v>1824</v>
      </c>
      <c r="C10" s="121" cm="1">
        <f t="array" ref="C10">SUM(COUNTIFS('1.MasterPendingList'!F:F,FFAP!$A$4,'1.MasterPendingList'!AE:AE,{"*waiting for part"}))</f>
        <v>24</v>
      </c>
      <c r="E10" cm="1">
        <f t="array" ref="E10">SUM(COUNTIFS('1.MasterPendingList'!F:F,FFAP!$A$4,'1.MasterPendingList'!AE:AE,{"*approved"}))</f>
        <v>4</v>
      </c>
    </row>
    <row r="11" spans="1:22">
      <c r="A11" s="350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50"/>
      <c r="B12" s="121" t="s">
        <v>1826</v>
      </c>
      <c r="C12" s="121" cm="1">
        <f t="array" ref="C12">SUM(COUNTIFS('1.MasterPendingList'!F:F,FFAP!$A$4,'1.MasterPendingList'!AE:AE,{"*completed repair"}))</f>
        <v>0</v>
      </c>
    </row>
    <row r="13" spans="1:22">
      <c r="A13" s="350"/>
      <c r="B13" s="121" t="s">
        <v>1827</v>
      </c>
      <c r="C13" s="121" cm="1">
        <f t="array" ref="C13">SUM(COUNTIFS('1.MasterPendingList'!F:F,FFAP!$A$4,'1.MasterPendingList'!AE:AE,{"*transfer to sale team"}))</f>
        <v>0</v>
      </c>
    </row>
    <row r="14" spans="1:22" ht="15.6">
      <c r="A14" s="351"/>
      <c r="B14" s="114" t="s">
        <v>1828</v>
      </c>
      <c r="C14" s="114">
        <f>C4</f>
        <v>62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15-Sep'!$E:$E,FFAP!$L16,'Summary 15-Sep'!$D:$D,FFAP!M$15)</f>
        <v>2</v>
      </c>
      <c r="N16">
        <f>COUNTIFS('Summary 15-Sep'!$E:$E,FFAP!$L16,'Summary 15-Sep'!$D:$D,FFAP!N$15)</f>
        <v>4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15-Sep'!$E:$E,FFAP!$L17,'Summary 15-Sep'!$D:$D,FFAP!M$15)</f>
        <v>1</v>
      </c>
      <c r="N17">
        <f>COUNTIFS('Summary 15-Sep'!$E:$E,FFAP!$L17,'Summary 15-Sep'!$D:$D,FFAP!N$15)</f>
        <v>5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15-Sep'!$E:$E,FFAP!$L18,'Summary 15-Sep'!$D:$D,FFAP!M$15)</f>
        <v>0</v>
      </c>
      <c r="N18">
        <f>COUNTIFS('Summary 15-Sep'!$E:$E,FFAP!$L18,'Summary 15-Sep'!$D:$D,FFAP!N$15)</f>
        <v>1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5907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6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25</v>
      </c>
      <c r="I23" t="s">
        <v>5907</v>
      </c>
      <c r="J23">
        <v>14</v>
      </c>
    </row>
    <row r="24" spans="1:14">
      <c r="A24" s="349" t="s">
        <v>1818</v>
      </c>
      <c r="B24" s="115" t="s">
        <v>1819</v>
      </c>
      <c r="C24" s="116">
        <f>COUNTIF('Summary 15-Sep'!E:E,FFAP!$A$23)</f>
        <v>2</v>
      </c>
    </row>
    <row r="25" spans="1:14">
      <c r="A25" s="350"/>
      <c r="B25" s="117" t="s">
        <v>1820</v>
      </c>
      <c r="C25" s="118" cm="1">
        <f t="array" ref="C25">SUM(COUNTIFS('1.MasterPendingList'!F:F,FFAP!$A$23,'1.MasterPendingList'!AE:AE,{"*Completed*"}))</f>
        <v>0</v>
      </c>
    </row>
    <row r="26" spans="1:14">
      <c r="A26" s="350"/>
      <c r="B26" s="119" t="s">
        <v>1821</v>
      </c>
      <c r="C26" s="120"/>
    </row>
    <row r="27" spans="1:14">
      <c r="A27" s="350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4">
      <c r="A28" s="350"/>
      <c r="B28" s="121" t="s">
        <v>1823</v>
      </c>
      <c r="C28" s="121" cm="1">
        <f t="array" ref="C28">SUM(COUNTIFS('1.MasterPendingList'!F:F,FFAP!$A$23,'1.MasterPendingList'!AE:AE,{"*confirm","*approved"}))</f>
        <v>14</v>
      </c>
      <c r="D28" t="str">
        <f>IF(E29=0,"","(included " &amp; E29&amp; " items ""waiting approved"")")</f>
        <v>(included 1 items "waiting approved")</v>
      </c>
    </row>
    <row r="29" spans="1:14">
      <c r="A29" s="350"/>
      <c r="B29" s="121" t="s">
        <v>1824</v>
      </c>
      <c r="C29" s="121" cm="1">
        <f t="array" ref="C29">SUM(COUNTIFS('1.MasterPendingList'!F:F,FFAP!$A$23,'1.MasterPendingList'!AE:AE,{"*waiting for part"}))</f>
        <v>7</v>
      </c>
      <c r="E29" cm="1">
        <f t="array" ref="E29">SUM(COUNTIFS('1.MasterPendingList'!F:F,FFAP!$A$23,'1.MasterPendingList'!AE:AE,{"*approved"}))</f>
        <v>1</v>
      </c>
    </row>
    <row r="30" spans="1:14">
      <c r="A30" s="350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50"/>
      <c r="B31" s="121" t="s">
        <v>1826</v>
      </c>
      <c r="C31" s="121" cm="1">
        <f t="array" ref="C31">SUM(COUNTIFS('1.MasterPendingList'!F:F,FFAP!$A$23,'1.MasterPendingList'!AE:AE,{"*completed repair"}))</f>
        <v>0</v>
      </c>
    </row>
    <row r="32" spans="1:14">
      <c r="A32" s="350"/>
      <c r="B32" s="121" t="s">
        <v>1827</v>
      </c>
      <c r="C32" s="121" cm="1">
        <f t="array" ref="C32">SUM(COUNTIFS('1.MasterPendingList'!F:F,FFAP!$A$23,'1.MasterPendingList'!AE:AE,{"*transfer to sale team"}))</f>
        <v>0</v>
      </c>
    </row>
    <row r="33" spans="1:3">
      <c r="A33" s="351"/>
      <c r="B33" s="114" t="s">
        <v>1828</v>
      </c>
      <c r="C33" s="114">
        <f>C23</f>
        <v>25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87" priority="2">
      <formula>I15&lt;&gt;""</formula>
    </cfRule>
  </conditionalFormatting>
  <conditionalFormatting sqref="L15:N18">
    <cfRule type="expression" dxfId="86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35"/>
  <sheetViews>
    <sheetView zoomScale="110" zoomScaleNormal="110" zoomScaleSheetLayoutView="50" workbookViewId="0">
      <selection activeCell="C8" sqref="C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</cols>
  <sheetData>
    <row r="1" spans="1:22" s="9" customFormat="1" ht="48.75" customHeight="1">
      <c r="A1" s="100" t="s">
        <v>67</v>
      </c>
      <c r="B1" s="74">
        <f>COUNTA($B$3:$B$72)</f>
        <v>14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6149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4758</v>
      </c>
      <c r="B3" s="75" t="s">
        <v>40</v>
      </c>
      <c r="C3" s="75" t="s">
        <v>51</v>
      </c>
      <c r="D3" s="8" t="s">
        <v>4759</v>
      </c>
      <c r="E3" s="8" t="s">
        <v>2</v>
      </c>
      <c r="F3" s="8" t="s">
        <v>1249</v>
      </c>
      <c r="G3" s="75" t="s">
        <v>1102</v>
      </c>
      <c r="H3" s="75" t="s">
        <v>6038</v>
      </c>
      <c r="I3" s="75" t="s">
        <v>129</v>
      </c>
      <c r="J3" s="8">
        <v>44973</v>
      </c>
      <c r="K3" s="8" t="s">
        <v>6308</v>
      </c>
      <c r="L3" s="8"/>
      <c r="M3" s="8"/>
      <c r="N3" s="8"/>
      <c r="O3" s="8"/>
      <c r="P3" s="8"/>
      <c r="Q3" s="8"/>
      <c r="V3" s="8"/>
    </row>
    <row r="4" spans="1:22">
      <c r="A4" s="75" t="s">
        <v>4824</v>
      </c>
      <c r="B4" s="75" t="s">
        <v>37</v>
      </c>
      <c r="C4" s="75" t="s">
        <v>27</v>
      </c>
      <c r="D4" s="8" t="s">
        <v>4825</v>
      </c>
      <c r="E4" s="8" t="s">
        <v>4</v>
      </c>
      <c r="F4" s="8" t="s">
        <v>1093</v>
      </c>
      <c r="G4" s="75" t="s">
        <v>1295</v>
      </c>
      <c r="I4" s="75" t="s">
        <v>129</v>
      </c>
      <c r="J4" s="8">
        <v>44985.713379629633</v>
      </c>
      <c r="K4" s="8" t="s">
        <v>6309</v>
      </c>
      <c r="L4" s="8">
        <v>45014</v>
      </c>
      <c r="M4" s="8"/>
      <c r="N4" s="8"/>
      <c r="O4" s="8"/>
      <c r="P4" s="8"/>
      <c r="Q4" s="8"/>
      <c r="V4" s="8"/>
    </row>
    <row r="5" spans="1:22">
      <c r="A5" s="75" t="s">
        <v>5477</v>
      </c>
      <c r="B5" s="75" t="s">
        <v>40</v>
      </c>
      <c r="C5" s="75" t="s">
        <v>34</v>
      </c>
      <c r="D5" s="8" t="s">
        <v>2249</v>
      </c>
      <c r="E5" s="8" t="s">
        <v>2</v>
      </c>
      <c r="F5" t="s">
        <v>5478</v>
      </c>
      <c r="G5" s="75" t="s">
        <v>1296</v>
      </c>
      <c r="H5" s="75" t="s">
        <v>6038</v>
      </c>
      <c r="I5" s="75" t="s">
        <v>129</v>
      </c>
      <c r="J5" s="8">
        <v>45096.681759259256</v>
      </c>
      <c r="K5" s="8"/>
      <c r="L5" s="8"/>
      <c r="M5" s="8"/>
      <c r="N5" s="8"/>
      <c r="O5" s="8"/>
      <c r="P5" s="8"/>
      <c r="Q5" s="8"/>
      <c r="V5" s="8"/>
    </row>
    <row r="6" spans="1:22">
      <c r="A6" s="75" t="s">
        <v>5480</v>
      </c>
      <c r="B6" s="75" t="s">
        <v>40</v>
      </c>
      <c r="C6" s="75" t="s">
        <v>30</v>
      </c>
      <c r="D6" s="8" t="s">
        <v>2243</v>
      </c>
      <c r="E6" s="8" t="s">
        <v>2</v>
      </c>
      <c r="F6" t="s">
        <v>357</v>
      </c>
      <c r="G6" s="75" t="s">
        <v>287</v>
      </c>
      <c r="H6" s="75" t="s">
        <v>6282</v>
      </c>
      <c r="I6" s="75" t="s">
        <v>22</v>
      </c>
      <c r="J6" s="8">
        <v>45096.683263888888</v>
      </c>
      <c r="K6" s="8" t="s">
        <v>6310</v>
      </c>
      <c r="L6" s="8">
        <v>45165</v>
      </c>
      <c r="M6" s="8"/>
      <c r="N6" s="8"/>
      <c r="O6" s="8"/>
      <c r="P6" s="8"/>
      <c r="Q6" s="8"/>
      <c r="V6" s="8"/>
    </row>
    <row r="7" spans="1:22">
      <c r="A7" s="75" t="s">
        <v>5481</v>
      </c>
      <c r="B7" s="75" t="s">
        <v>40</v>
      </c>
      <c r="C7" s="75" t="s">
        <v>30</v>
      </c>
      <c r="D7" s="8" t="s">
        <v>2679</v>
      </c>
      <c r="E7" s="8" t="s">
        <v>2</v>
      </c>
      <c r="F7" t="s">
        <v>357</v>
      </c>
      <c r="G7" s="75" t="s">
        <v>287</v>
      </c>
      <c r="H7" s="75" t="s">
        <v>6282</v>
      </c>
      <c r="I7" s="75" t="s">
        <v>22</v>
      </c>
      <c r="J7" s="8">
        <v>45096.683900462966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5684</v>
      </c>
      <c r="B8" s="75" t="s">
        <v>5685</v>
      </c>
      <c r="C8" s="75" t="s">
        <v>1124</v>
      </c>
      <c r="D8" s="8" t="s">
        <v>5686</v>
      </c>
      <c r="E8" s="8" t="s">
        <v>2</v>
      </c>
      <c r="F8" t="s">
        <v>5687</v>
      </c>
      <c r="G8" s="75" t="s">
        <v>1296</v>
      </c>
      <c r="H8" s="75" t="s">
        <v>6283</v>
      </c>
      <c r="I8" s="75" t="s">
        <v>129</v>
      </c>
      <c r="J8" s="8">
        <v>45128.74591435185</v>
      </c>
      <c r="K8" s="8" t="s">
        <v>55</v>
      </c>
      <c r="L8" s="8"/>
      <c r="M8" s="8"/>
      <c r="N8" s="8"/>
      <c r="O8" s="8"/>
      <c r="P8" s="8"/>
      <c r="Q8" s="8"/>
      <c r="V8" s="8"/>
    </row>
    <row r="9" spans="1:22">
      <c r="A9" s="75" t="s">
        <v>5733</v>
      </c>
      <c r="B9" s="75" t="s">
        <v>2767</v>
      </c>
      <c r="C9" s="75" t="s">
        <v>30</v>
      </c>
      <c r="D9" s="8" t="s">
        <v>5734</v>
      </c>
      <c r="E9" s="8" t="s">
        <v>2</v>
      </c>
      <c r="F9" t="s">
        <v>5364</v>
      </c>
      <c r="H9" s="75" t="s">
        <v>2411</v>
      </c>
      <c r="I9" s="75" t="s">
        <v>129</v>
      </c>
      <c r="J9" s="8">
        <v>45138.524282407408</v>
      </c>
      <c r="K9" s="8" t="s">
        <v>66</v>
      </c>
      <c r="L9" s="8"/>
      <c r="M9" s="8"/>
      <c r="N9" s="8"/>
      <c r="O9" s="8"/>
      <c r="P9" s="8"/>
      <c r="Q9" s="8"/>
      <c r="V9" s="8"/>
    </row>
    <row r="10" spans="1:22">
      <c r="A10" s="75" t="s">
        <v>6105</v>
      </c>
      <c r="B10" s="75" t="s">
        <v>40</v>
      </c>
      <c r="C10" s="75" t="s">
        <v>49</v>
      </c>
      <c r="D10" s="8" t="s">
        <v>5327</v>
      </c>
      <c r="E10" s="8" t="s">
        <v>3</v>
      </c>
      <c r="F10" t="s">
        <v>1485</v>
      </c>
      <c r="H10" s="75" t="s">
        <v>2411</v>
      </c>
      <c r="I10" s="75" t="s">
        <v>129</v>
      </c>
      <c r="J10" s="8">
        <v>45174.751423611109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6109</v>
      </c>
      <c r="B11" s="75" t="s">
        <v>2370</v>
      </c>
      <c r="C11" s="75" t="s">
        <v>56</v>
      </c>
      <c r="D11" s="8" t="s">
        <v>2697</v>
      </c>
      <c r="E11" s="8"/>
      <c r="G11" s="75" t="s">
        <v>6110</v>
      </c>
      <c r="H11" s="75" t="s">
        <v>3860</v>
      </c>
      <c r="I11" s="75" t="s">
        <v>22</v>
      </c>
      <c r="J11" s="8"/>
      <c r="K11" s="8"/>
      <c r="L11" s="8"/>
      <c r="M11" s="8"/>
      <c r="N11" s="8"/>
      <c r="O11" s="8"/>
      <c r="P11" s="8"/>
      <c r="Q11" s="8"/>
      <c r="V11" s="8"/>
    </row>
    <row r="12" spans="1:22">
      <c r="A12" s="75" t="s">
        <v>6111</v>
      </c>
      <c r="B12" s="75" t="s">
        <v>44</v>
      </c>
      <c r="C12" s="75" t="s">
        <v>1129</v>
      </c>
      <c r="D12" s="8" t="s">
        <v>1812</v>
      </c>
      <c r="E12" s="8" t="s">
        <v>3</v>
      </c>
      <c r="F12" t="s">
        <v>6265</v>
      </c>
      <c r="H12" s="75" t="s">
        <v>2411</v>
      </c>
      <c r="I12" s="75" t="s">
        <v>129</v>
      </c>
      <c r="J12" s="8">
        <v>45177.576354166667</v>
      </c>
      <c r="K12" s="8"/>
      <c r="L12" s="8"/>
      <c r="M12" s="8"/>
      <c r="N12" s="8"/>
      <c r="O12" s="8"/>
      <c r="P12" s="8"/>
      <c r="Q12" s="8"/>
      <c r="V12" s="8"/>
    </row>
    <row r="13" spans="1:22">
      <c r="A13" s="75" t="s">
        <v>6268</v>
      </c>
      <c r="B13" s="75" t="s">
        <v>41</v>
      </c>
      <c r="C13" s="75" t="s">
        <v>1201</v>
      </c>
      <c r="D13" s="8" t="s">
        <v>3629</v>
      </c>
      <c r="E13" s="8" t="s">
        <v>3</v>
      </c>
      <c r="F13" t="s">
        <v>1649</v>
      </c>
      <c r="H13" s="75" t="s">
        <v>2411</v>
      </c>
      <c r="I13" s="75" t="s">
        <v>129</v>
      </c>
      <c r="J13" s="8">
        <v>45181.484872685185</v>
      </c>
      <c r="K13" s="8"/>
      <c r="L13" s="8"/>
      <c r="M13" s="8"/>
      <c r="N13" s="8"/>
      <c r="O13" s="8"/>
      <c r="P13" s="8"/>
    </row>
    <row r="14" spans="1:22">
      <c r="A14" s="75" t="s">
        <v>6272</v>
      </c>
      <c r="B14" s="75" t="s">
        <v>41</v>
      </c>
      <c r="C14" s="75" t="s">
        <v>1124</v>
      </c>
      <c r="D14" s="8" t="s">
        <v>1184</v>
      </c>
      <c r="E14" s="8" t="s">
        <v>3</v>
      </c>
      <c r="F14" t="s">
        <v>1485</v>
      </c>
      <c r="H14" s="75" t="s">
        <v>2411</v>
      </c>
      <c r="I14" s="75" t="s">
        <v>129</v>
      </c>
      <c r="J14" s="8">
        <v>45181.491770833331</v>
      </c>
      <c r="K14" s="8"/>
      <c r="L14" s="8"/>
      <c r="M14" s="8"/>
      <c r="N14" s="8"/>
      <c r="O14" s="8"/>
      <c r="P14" s="8"/>
    </row>
    <row r="15" spans="1:22">
      <c r="A15" s="75" t="s">
        <v>6273</v>
      </c>
      <c r="B15" s="75" t="s">
        <v>6274</v>
      </c>
      <c r="C15" s="75" t="s">
        <v>1139</v>
      </c>
      <c r="D15" s="8" t="s">
        <v>6275</v>
      </c>
      <c r="E15" s="8" t="s">
        <v>3</v>
      </c>
      <c r="F15" t="s">
        <v>1485</v>
      </c>
      <c r="H15" s="75" t="s">
        <v>2411</v>
      </c>
      <c r="I15" s="75" t="s">
        <v>129</v>
      </c>
      <c r="J15" s="8">
        <v>45182.706932870373</v>
      </c>
      <c r="K15" s="8"/>
      <c r="L15" s="8"/>
      <c r="M15" s="8"/>
      <c r="N15" s="8"/>
      <c r="O15" s="8"/>
      <c r="P15" s="8"/>
    </row>
    <row r="16" spans="1:22">
      <c r="A16" s="75" t="s">
        <v>6276</v>
      </c>
      <c r="B16" s="75" t="s">
        <v>41</v>
      </c>
      <c r="C16" s="75" t="s">
        <v>34</v>
      </c>
      <c r="D16" s="8" t="s">
        <v>1923</v>
      </c>
      <c r="E16" s="8" t="s">
        <v>3</v>
      </c>
      <c r="F16" t="s">
        <v>4768</v>
      </c>
      <c r="G16" s="75" t="s">
        <v>33</v>
      </c>
      <c r="H16" s="75" t="s">
        <v>2269</v>
      </c>
      <c r="I16" s="75" t="s">
        <v>129</v>
      </c>
      <c r="J16" s="8">
        <v>45183</v>
      </c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85" priority="9" operator="containsText" text="plan">
      <formula>NOT(ISERROR(SEARCH("plan",A2)))</formula>
    </cfRule>
    <cfRule type="containsText" dxfId="84" priority="10" operator="containsText" text="Inspect">
      <formula>NOT(ISERROR(SEARCH("Inspect",A2)))</formula>
    </cfRule>
    <cfRule type="containsText" dxfId="83" priority="11" operator="containsText" text="Completed">
      <formula>NOT(ISERROR(SEARCH("Completed",A2)))</formula>
    </cfRule>
    <cfRule type="containsText" dxfId="82" priority="12" operator="containsText" text="transfer">
      <formula>NOT(ISERROR(SEARCH("transfer",A2)))</formula>
    </cfRule>
    <cfRule type="containsText" dxfId="81" priority="13" operator="containsText" text="Received:">
      <formula>NOT(ISERROR(SEARCH("Received:",A2)))</formula>
    </cfRule>
  </conditionalFormatting>
  <conditionalFormatting sqref="C1:C1048576">
    <cfRule type="duplicateValues" dxfId="80" priority="4"/>
  </conditionalFormatting>
  <conditionalFormatting sqref="C3:C1048576 C1">
    <cfRule type="duplicateValues" dxfId="79" priority="6188"/>
  </conditionalFormatting>
  <conditionalFormatting sqref="C2">
    <cfRule type="duplicateValues" dxfId="78" priority="6827"/>
  </conditionalFormatting>
  <conditionalFormatting sqref="D1:D1048576">
    <cfRule type="duplicateValues" dxfId="77" priority="3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2" t="s">
        <v>3385</v>
      </c>
      <c r="F6" s="352"/>
      <c r="G6" s="352"/>
      <c r="H6" s="352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7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 filterMode="1">
    <pageSetUpPr fitToPage="1"/>
  </sheetPr>
  <dimension ref="A1:AX91"/>
  <sheetViews>
    <sheetView zoomScale="80" zoomScaleNormal="80" zoomScaleSheetLayoutView="50" workbookViewId="0">
      <pane xSplit="9" ySplit="4" topLeftCell="AB8" activePane="bottomRight" state="frozen"/>
      <selection pane="topRight" activeCell="J1" sqref="J1"/>
      <selection pane="bottomLeft" activeCell="A5" sqref="A5"/>
      <selection pane="bottomRight" activeCell="AF12" sqref="AF12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80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hidden="1" customWidth="1"/>
    <col min="32" max="32" width="34.33203125" style="1" customWidth="1"/>
    <col min="33" max="33" width="32.6640625" style="1" customWidth="1"/>
    <col min="34" max="34" width="14.5546875" style="101" hidden="1" customWidth="1"/>
    <col min="35" max="35" width="32.6640625" style="1" hidden="1" customWidth="1"/>
    <col min="36" max="36" width="12.6640625" style="72" hidden="1" customWidth="1"/>
    <col min="37" max="37" width="19.33203125" style="87" hidden="1" customWidth="1"/>
    <col min="38" max="39" width="16.33203125" style="86" hidden="1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2.4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6124</v>
      </c>
      <c r="AF4" s="259" t="s">
        <v>6062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>
      <c r="A5" s="210">
        <f>SUBTOTAL(103,$I$5:I5)</f>
        <v>1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6074</v>
      </c>
      <c r="AG5" s="1" t="s">
        <v>5842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v>158</v>
      </c>
      <c r="AO5" s="82" t="s">
        <v>6155</v>
      </c>
      <c r="AP5" s="82">
        <v>47</v>
      </c>
      <c r="AQ5"/>
      <c r="AR5"/>
      <c r="AS5"/>
    </row>
    <row r="6" spans="1:45">
      <c r="A6" s="210">
        <f>SUBTOTAL(103,$I$5:I6)</f>
        <v>2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6074</v>
      </c>
      <c r="AG6" s="1" t="s">
        <v>5842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v>158</v>
      </c>
      <c r="AO6" s="82" t="s">
        <v>6155</v>
      </c>
      <c r="AP6" s="82">
        <v>47</v>
      </c>
      <c r="AQ6"/>
      <c r="AR6"/>
      <c r="AS6"/>
    </row>
    <row r="7" spans="1:45" hidden="1">
      <c r="A7" s="210">
        <f>SUBTOTAL(103,$I$5:I7)</f>
        <v>2</v>
      </c>
      <c r="B7" s="1" t="s">
        <v>4976</v>
      </c>
      <c r="C7" s="1" t="s">
        <v>3198</v>
      </c>
      <c r="D7" s="4" t="s">
        <v>40</v>
      </c>
      <c r="E7" s="212" t="s">
        <v>6147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6295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v>127</v>
      </c>
      <c r="AO7" s="82">
        <v>111</v>
      </c>
      <c r="AP7" s="82" t="s">
        <v>6155</v>
      </c>
    </row>
    <row r="8" spans="1:45">
      <c r="A8" s="210">
        <f>SUBTOTAL(103,$I$5:I8)</f>
        <v>3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6074</v>
      </c>
      <c r="AG8" s="103" t="s">
        <v>5842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v>122</v>
      </c>
      <c r="AO8" s="82" t="s">
        <v>6155</v>
      </c>
      <c r="AP8" s="82">
        <v>47</v>
      </c>
    </row>
    <row r="9" spans="1:45">
      <c r="A9" s="210">
        <f>SUBTOTAL(103,$I$5:I9)</f>
        <v>4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6074</v>
      </c>
      <c r="AG9" s="1" t="s">
        <v>5842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v>120</v>
      </c>
      <c r="AO9" s="82" t="s">
        <v>6155</v>
      </c>
      <c r="AP9" s="82">
        <v>47</v>
      </c>
    </row>
    <row r="10" spans="1:45" hidden="1">
      <c r="A10" s="210">
        <f>SUBTOTAL(103,$I$5:I10)</f>
        <v>4</v>
      </c>
      <c r="B10" s="1" t="s">
        <v>5205</v>
      </c>
      <c r="C10" s="1" t="s">
        <v>3198</v>
      </c>
      <c r="D10" s="4" t="s">
        <v>40</v>
      </c>
      <c r="E10" s="212" t="s">
        <v>6147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6295</v>
      </c>
      <c r="AG10" s="1" t="s">
        <v>6038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v>93</v>
      </c>
      <c r="AO10" s="82">
        <v>75</v>
      </c>
      <c r="AP10" s="82" t="s">
        <v>6155</v>
      </c>
    </row>
    <row r="11" spans="1:45" hidden="1">
      <c r="A11" s="210">
        <f>SUBTOTAL(103,$I$5:I11)</f>
        <v>4</v>
      </c>
      <c r="B11" s="1" t="s">
        <v>5348</v>
      </c>
      <c r="C11" s="1" t="s">
        <v>3199</v>
      </c>
      <c r="D11" s="4" t="s">
        <v>109</v>
      </c>
      <c r="E11" s="212" t="s">
        <v>6147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6295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v>79</v>
      </c>
      <c r="AO11" s="82" t="s">
        <v>6155</v>
      </c>
      <c r="AP11" s="82" t="s">
        <v>6155</v>
      </c>
    </row>
    <row r="12" spans="1:45">
      <c r="A12" s="210">
        <f>SUBTOTAL(103,$I$5:I12)</f>
        <v>5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6074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v>72</v>
      </c>
      <c r="AO12" s="82" t="s">
        <v>6155</v>
      </c>
      <c r="AP12" s="82" t="s">
        <v>6155</v>
      </c>
    </row>
    <row r="13" spans="1:45" hidden="1">
      <c r="A13" s="210">
        <f>SUBTOTAL(103,$I$5:I13)</f>
        <v>5</v>
      </c>
      <c r="B13" s="1" t="s">
        <v>5479</v>
      </c>
      <c r="C13" s="1" t="s">
        <v>3198</v>
      </c>
      <c r="D13" s="4" t="s">
        <v>40</v>
      </c>
      <c r="E13" s="212" t="s">
        <v>6147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6295</v>
      </c>
      <c r="AG13" s="103" t="s">
        <v>6038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v>65</v>
      </c>
      <c r="AO13" s="82" t="s">
        <v>6155</v>
      </c>
      <c r="AP13" s="82" t="s">
        <v>6155</v>
      </c>
    </row>
    <row r="14" spans="1:45" hidden="1">
      <c r="A14" s="210">
        <f>SUBTOTAL(103,$I$5:I14)</f>
        <v>5</v>
      </c>
      <c r="B14" s="1" t="s">
        <v>5482</v>
      </c>
      <c r="C14" s="1" t="s">
        <v>3198</v>
      </c>
      <c r="D14" s="4" t="s">
        <v>40</v>
      </c>
      <c r="E14" s="212" t="s">
        <v>6147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6295</v>
      </c>
      <c r="AG14" s="1" t="s">
        <v>6038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v>65</v>
      </c>
      <c r="AO14" s="82" t="s">
        <v>6155</v>
      </c>
      <c r="AP14" s="82" t="s">
        <v>6155</v>
      </c>
    </row>
    <row r="15" spans="1:45" hidden="1">
      <c r="A15" s="210">
        <f>SUBTOTAL(103,$I$5:I15)</f>
        <v>5</v>
      </c>
      <c r="B15" s="1" t="s">
        <v>5483</v>
      </c>
      <c r="C15" s="1" t="s">
        <v>3198</v>
      </c>
      <c r="D15" s="4" t="s">
        <v>40</v>
      </c>
      <c r="E15" s="212" t="s">
        <v>6147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6295</v>
      </c>
      <c r="AG15" s="1" t="s">
        <v>6038</v>
      </c>
      <c r="AH15" s="101" t="s">
        <v>68</v>
      </c>
      <c r="AI15" s="1" t="s">
        <v>5881</v>
      </c>
      <c r="AL15" s="257">
        <v>45156.459983194443</v>
      </c>
      <c r="AM15" s="86" t="s">
        <v>20</v>
      </c>
      <c r="AN15" s="266">
        <v>65</v>
      </c>
      <c r="AO15" s="82" t="s">
        <v>6155</v>
      </c>
      <c r="AP15" s="82" t="s">
        <v>6155</v>
      </c>
    </row>
    <row r="16" spans="1:45" hidden="1">
      <c r="A16" s="210">
        <f>SUBTOTAL(103,$I$5:I16)</f>
        <v>5</v>
      </c>
      <c r="B16" s="1" t="s">
        <v>5502</v>
      </c>
      <c r="C16" s="1" t="s">
        <v>3198</v>
      </c>
      <c r="D16" s="4" t="s">
        <v>40</v>
      </c>
      <c r="E16" s="212" t="s">
        <v>6147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6295</v>
      </c>
      <c r="AG16" s="103" t="s">
        <v>6038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v>62</v>
      </c>
      <c r="AO16" s="82" t="s">
        <v>6155</v>
      </c>
      <c r="AP16" s="82" t="s">
        <v>6155</v>
      </c>
    </row>
    <row r="17" spans="1:42" hidden="1">
      <c r="A17" s="210">
        <f>SUBTOTAL(103,$I$5:I17)</f>
        <v>5</v>
      </c>
      <c r="B17" s="1" t="s">
        <v>5559</v>
      </c>
      <c r="C17" s="1" t="s">
        <v>3198</v>
      </c>
      <c r="D17" s="4" t="s">
        <v>4165</v>
      </c>
      <c r="E17" s="212" t="s">
        <v>6148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6295</v>
      </c>
      <c r="AG17" s="103" t="s">
        <v>5913</v>
      </c>
      <c r="AH17" s="101" t="s">
        <v>68</v>
      </c>
      <c r="AI17" s="1" t="s">
        <v>5456</v>
      </c>
      <c r="AL17" s="257">
        <v>45133.725564097222</v>
      </c>
      <c r="AM17" s="86" t="s">
        <v>5497</v>
      </c>
      <c r="AN17" s="266">
        <v>54</v>
      </c>
      <c r="AO17" s="82">
        <v>53</v>
      </c>
      <c r="AP17" s="82" t="s">
        <v>6155</v>
      </c>
    </row>
    <row r="18" spans="1:42" hidden="1">
      <c r="A18" s="210">
        <f>SUBTOTAL(103,$I$5:I18)</f>
        <v>5</v>
      </c>
      <c r="B18" s="1" t="s">
        <v>5618</v>
      </c>
      <c r="C18" s="1" t="s">
        <v>3199</v>
      </c>
      <c r="D18" s="4" t="s">
        <v>37</v>
      </c>
      <c r="E18" s="212" t="s">
        <v>6147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6295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v>46</v>
      </c>
      <c r="AO18" s="82" t="s">
        <v>6155</v>
      </c>
      <c r="AP18" s="82" t="s">
        <v>6155</v>
      </c>
    </row>
    <row r="19" spans="1:42" hidden="1">
      <c r="A19" s="210">
        <f>SUBTOTAL(103,$I$5:I19)</f>
        <v>5</v>
      </c>
      <c r="B19" s="1" t="s">
        <v>5631</v>
      </c>
      <c r="C19" s="1" t="s">
        <v>3199</v>
      </c>
      <c r="D19" s="4" t="s">
        <v>71</v>
      </c>
      <c r="E19" s="212" t="s">
        <v>6147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45124.717615740738</v>
      </c>
      <c r="N19" s="7">
        <v>45128.860405092593</v>
      </c>
      <c r="O19" s="72" t="s">
        <v>5677</v>
      </c>
      <c r="P19" s="280" t="s">
        <v>2</v>
      </c>
      <c r="Q19" s="3" t="s">
        <v>5498</v>
      </c>
      <c r="S19" s="6" t="s">
        <v>55</v>
      </c>
      <c r="AC19" s="4" t="s">
        <v>5678</v>
      </c>
      <c r="AD19" s="4" t="s">
        <v>33</v>
      </c>
      <c r="AE19" s="1" t="s">
        <v>28</v>
      </c>
      <c r="AF19" s="103" t="s">
        <v>6295</v>
      </c>
      <c r="AG19" s="103" t="s">
        <v>5676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v>45</v>
      </c>
      <c r="AO19" s="82" t="s">
        <v>6155</v>
      </c>
      <c r="AP19" s="82" t="s">
        <v>6155</v>
      </c>
    </row>
    <row r="20" spans="1:42" hidden="1">
      <c r="A20" s="210">
        <f>SUBTOTAL(103,$I$5:I20)</f>
        <v>5</v>
      </c>
      <c r="B20" s="1" t="s">
        <v>5735</v>
      </c>
      <c r="C20" s="1" t="s">
        <v>3199</v>
      </c>
      <c r="D20" s="4" t="s">
        <v>1149</v>
      </c>
      <c r="E20" s="212" t="s">
        <v>6148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6295</v>
      </c>
      <c r="AG20" s="103" t="s">
        <v>6296</v>
      </c>
      <c r="AH20" s="101" t="s">
        <v>68</v>
      </c>
      <c r="AI20" s="1" t="s">
        <v>5456</v>
      </c>
      <c r="AL20" s="257">
        <v>45138.718312858793</v>
      </c>
      <c r="AM20" s="86" t="s">
        <v>5497</v>
      </c>
      <c r="AN20" s="266">
        <v>35</v>
      </c>
      <c r="AO20" s="82">
        <v>35</v>
      </c>
      <c r="AP20" s="82" t="s">
        <v>6155</v>
      </c>
    </row>
    <row r="21" spans="1:42" hidden="1">
      <c r="A21" s="210">
        <f>SUBTOTAL(103,$I$5:I21)</f>
        <v>5</v>
      </c>
      <c r="B21" s="1" t="s">
        <v>5737</v>
      </c>
      <c r="C21" s="1" t="s">
        <v>3199</v>
      </c>
      <c r="D21" s="4" t="s">
        <v>1149</v>
      </c>
      <c r="E21" s="212" t="s">
        <v>6148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6295</v>
      </c>
      <c r="AG21" s="1" t="s">
        <v>6296</v>
      </c>
      <c r="AH21" s="101" t="s">
        <v>68</v>
      </c>
      <c r="AI21" s="1" t="s">
        <v>5456</v>
      </c>
      <c r="AL21" s="257">
        <v>45138.718620902779</v>
      </c>
      <c r="AM21" s="86" t="s">
        <v>5497</v>
      </c>
      <c r="AN21" s="266">
        <v>35</v>
      </c>
      <c r="AO21" s="82">
        <v>35</v>
      </c>
      <c r="AP21" s="82" t="s">
        <v>6155</v>
      </c>
    </row>
    <row r="22" spans="1:42" hidden="1">
      <c r="A22" s="210">
        <f>SUBTOTAL(103,$I$5:I22)</f>
        <v>5</v>
      </c>
      <c r="B22" s="1" t="s">
        <v>5744</v>
      </c>
      <c r="C22" s="1" t="s">
        <v>3198</v>
      </c>
      <c r="D22" s="4" t="s">
        <v>105</v>
      </c>
      <c r="E22" s="212" t="s">
        <v>6148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</v>
      </c>
      <c r="N22" s="7">
        <v>45140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6295</v>
      </c>
      <c r="AG22" s="1" t="s">
        <v>6297</v>
      </c>
      <c r="AH22" s="101" t="s">
        <v>68</v>
      </c>
      <c r="AI22" s="1" t="s">
        <v>5456</v>
      </c>
      <c r="AL22" s="257">
        <v>45145.565778634256</v>
      </c>
      <c r="AM22" s="86" t="s">
        <v>5497</v>
      </c>
      <c r="AN22" s="266">
        <v>35</v>
      </c>
      <c r="AO22" s="82">
        <v>30</v>
      </c>
      <c r="AP22" s="82" t="s">
        <v>6155</v>
      </c>
    </row>
    <row r="23" spans="1:42" hidden="1">
      <c r="A23" s="210">
        <f>SUBTOTAL(103,$I$5:I23)</f>
        <v>5</v>
      </c>
      <c r="B23" s="1" t="s">
        <v>5747</v>
      </c>
      <c r="C23" s="1" t="s">
        <v>3199</v>
      </c>
      <c r="D23" s="4" t="s">
        <v>37</v>
      </c>
      <c r="E23" s="212" t="s">
        <v>6147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6295</v>
      </c>
      <c r="AG23" s="1" t="s">
        <v>6037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v>34</v>
      </c>
      <c r="AO23" s="82" t="s">
        <v>6155</v>
      </c>
      <c r="AP23" s="82" t="s">
        <v>6155</v>
      </c>
    </row>
    <row r="24" spans="1:42" hidden="1">
      <c r="A24" s="210">
        <f>SUBTOTAL(103,$I$5:I24)</f>
        <v>5</v>
      </c>
      <c r="B24" s="1" t="s">
        <v>5752</v>
      </c>
      <c r="C24" s="1" t="s">
        <v>3199</v>
      </c>
      <c r="D24" s="4" t="s">
        <v>3299</v>
      </c>
      <c r="E24" s="212" t="s">
        <v>6147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6295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v>34</v>
      </c>
      <c r="AO24" s="82" t="s">
        <v>6155</v>
      </c>
      <c r="AP24" s="82" t="s">
        <v>6155</v>
      </c>
    </row>
    <row r="25" spans="1:42" hidden="1">
      <c r="A25" s="210">
        <f>SUBTOTAL(103,$I$5:I25)</f>
        <v>5</v>
      </c>
      <c r="B25" s="1" t="s">
        <v>5754</v>
      </c>
      <c r="C25" s="1" t="s">
        <v>3199</v>
      </c>
      <c r="D25" s="4" t="s">
        <v>3299</v>
      </c>
      <c r="E25" s="212" t="s">
        <v>6147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6295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v>34</v>
      </c>
      <c r="AO25" s="82" t="s">
        <v>6155</v>
      </c>
      <c r="AP25" s="82" t="s">
        <v>6155</v>
      </c>
    </row>
    <row r="26" spans="1:42" hidden="1">
      <c r="A26" s="210">
        <f>SUBTOTAL(103,$I$5:I26)</f>
        <v>5</v>
      </c>
      <c r="B26" s="1" t="s">
        <v>5756</v>
      </c>
      <c r="C26" s="1" t="s">
        <v>3199</v>
      </c>
      <c r="D26" s="4" t="s">
        <v>2431</v>
      </c>
      <c r="E26" s="212" t="s">
        <v>6147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6295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v>33</v>
      </c>
      <c r="AO26" s="82" t="s">
        <v>6155</v>
      </c>
      <c r="AP26" s="82" t="s">
        <v>6155</v>
      </c>
    </row>
    <row r="27" spans="1:42" hidden="1">
      <c r="A27" s="210">
        <f>SUBTOTAL(103,$I$5:I27)</f>
        <v>5</v>
      </c>
      <c r="B27" s="1" t="s">
        <v>5769</v>
      </c>
      <c r="C27" s="1" t="s">
        <v>3199</v>
      </c>
      <c r="D27" s="4" t="s">
        <v>1990</v>
      </c>
      <c r="E27" s="212" t="s">
        <v>6147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6295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v>32</v>
      </c>
      <c r="AO27" s="82" t="s">
        <v>6155</v>
      </c>
      <c r="AP27" s="82" t="s">
        <v>6155</v>
      </c>
    </row>
    <row r="28" spans="1:42" hidden="1">
      <c r="A28" s="210">
        <f>SUBTOTAL(103,$I$5:I28)</f>
        <v>5</v>
      </c>
      <c r="B28" s="210" t="s">
        <v>5785</v>
      </c>
      <c r="C28" s="211" t="s">
        <v>3199</v>
      </c>
      <c r="D28" s="222" t="s">
        <v>21</v>
      </c>
      <c r="E28" s="212" t="s">
        <v>6147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6289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v>30</v>
      </c>
      <c r="AO28" s="82" t="s">
        <v>6155</v>
      </c>
      <c r="AP28" s="82" t="s">
        <v>6155</v>
      </c>
    </row>
    <row r="29" spans="1:42" hidden="1">
      <c r="A29" s="210">
        <f>SUBTOTAL(103,$I$5:I29)</f>
        <v>5</v>
      </c>
      <c r="B29" s="210" t="s">
        <v>5787</v>
      </c>
      <c r="C29" s="211" t="s">
        <v>3199</v>
      </c>
      <c r="D29" s="222" t="s">
        <v>21</v>
      </c>
      <c r="E29" s="212" t="s">
        <v>6147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6289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v>30</v>
      </c>
      <c r="AO29" s="82">
        <v>24</v>
      </c>
      <c r="AP29" s="82" t="s">
        <v>6155</v>
      </c>
    </row>
    <row r="30" spans="1:42" hidden="1">
      <c r="A30" s="210">
        <f>SUBTOTAL(103,$I$5:I30)</f>
        <v>5</v>
      </c>
      <c r="B30" s="210" t="s">
        <v>5790</v>
      </c>
      <c r="C30" s="211" t="s">
        <v>3199</v>
      </c>
      <c r="D30" s="222" t="s">
        <v>21</v>
      </c>
      <c r="E30" s="212" t="s">
        <v>6147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6289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v>30</v>
      </c>
      <c r="AO30" s="82">
        <v>24</v>
      </c>
      <c r="AP30" s="82" t="s">
        <v>6155</v>
      </c>
    </row>
    <row r="31" spans="1:42" hidden="1">
      <c r="A31" s="210">
        <f>SUBTOTAL(103,$I$5:I31)</f>
        <v>5</v>
      </c>
      <c r="B31" s="210" t="s">
        <v>5792</v>
      </c>
      <c r="C31" s="211" t="s">
        <v>3199</v>
      </c>
      <c r="D31" s="222" t="s">
        <v>21</v>
      </c>
      <c r="E31" s="212" t="s">
        <v>6147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6289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v>30</v>
      </c>
      <c r="AO31" s="82">
        <v>24</v>
      </c>
      <c r="AP31" s="82" t="s">
        <v>6155</v>
      </c>
    </row>
    <row r="32" spans="1:42" hidden="1">
      <c r="A32" s="210">
        <f>SUBTOTAL(103,$I$5:I32)</f>
        <v>5</v>
      </c>
      <c r="B32" s="210" t="s">
        <v>5794</v>
      </c>
      <c r="C32" s="211" t="s">
        <v>3199</v>
      </c>
      <c r="D32" s="222" t="s">
        <v>21</v>
      </c>
      <c r="E32" s="212" t="s">
        <v>6147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6289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v>30</v>
      </c>
      <c r="AO32" s="82">
        <v>24</v>
      </c>
      <c r="AP32" s="82" t="s">
        <v>6155</v>
      </c>
    </row>
    <row r="33" spans="1:42">
      <c r="A33" s="210">
        <f>SUBTOTAL(103,$I$5:I33)</f>
        <v>6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</v>
      </c>
      <c r="N33" s="7">
        <v>45154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6295</v>
      </c>
      <c r="AG33" s="1" t="s">
        <v>6298</v>
      </c>
      <c r="AH33" s="101" t="s">
        <v>68</v>
      </c>
      <c r="AI33" s="1" t="s">
        <v>5548</v>
      </c>
      <c r="AL33" s="257">
        <v>45177.753147013886</v>
      </c>
      <c r="AM33" s="86" t="s">
        <v>54</v>
      </c>
      <c r="AN33" s="266">
        <v>30</v>
      </c>
      <c r="AO33" s="82" t="s">
        <v>6155</v>
      </c>
      <c r="AP33" s="82" t="s">
        <v>6155</v>
      </c>
    </row>
    <row r="34" spans="1:42" hidden="1">
      <c r="A34" s="210">
        <f>SUBTOTAL(103,$I$5:I34)</f>
        <v>6</v>
      </c>
      <c r="B34" s="210" t="s">
        <v>5797</v>
      </c>
      <c r="C34" s="211" t="s">
        <v>3199</v>
      </c>
      <c r="D34" s="222" t="s">
        <v>21</v>
      </c>
      <c r="E34" s="212" t="s">
        <v>6147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6289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v>30</v>
      </c>
      <c r="AO34" s="82">
        <v>18</v>
      </c>
      <c r="AP34" s="82" t="s">
        <v>6155</v>
      </c>
    </row>
    <row r="35" spans="1:42" hidden="1">
      <c r="A35" s="210">
        <f>SUBTOTAL(103,$I$5:I35)</f>
        <v>6</v>
      </c>
      <c r="B35" s="1" t="s">
        <v>5802</v>
      </c>
      <c r="C35" s="1" t="s">
        <v>3198</v>
      </c>
      <c r="D35" s="4" t="s">
        <v>3466</v>
      </c>
      <c r="E35" s="212" t="s">
        <v>6148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</v>
      </c>
      <c r="N35" s="7">
        <v>45146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6295</v>
      </c>
      <c r="AG35" s="1" t="s">
        <v>6307</v>
      </c>
      <c r="AH35" s="101" t="s">
        <v>68</v>
      </c>
      <c r="AI35" s="1" t="s">
        <v>5459</v>
      </c>
      <c r="AL35" s="257">
        <v>45149.470275092594</v>
      </c>
      <c r="AM35" s="86" t="s">
        <v>20</v>
      </c>
      <c r="AN35" s="266">
        <v>29</v>
      </c>
      <c r="AO35" s="82">
        <v>20</v>
      </c>
      <c r="AP35" s="82" t="s">
        <v>6155</v>
      </c>
    </row>
    <row r="36" spans="1:42">
      <c r="A36" s="210">
        <f>SUBTOTAL(103,$I$5:I36)</f>
        <v>7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6302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v>27</v>
      </c>
      <c r="AO36" s="82" t="s">
        <v>6155</v>
      </c>
      <c r="AP36" s="82" t="s">
        <v>6155</v>
      </c>
    </row>
    <row r="37" spans="1:42" hidden="1">
      <c r="A37" s="210">
        <f>SUBTOTAL(103,$I$5:I37)</f>
        <v>7</v>
      </c>
      <c r="B37" s="210" t="s">
        <v>5829</v>
      </c>
      <c r="C37" s="211" t="s">
        <v>3198</v>
      </c>
      <c r="D37" s="222" t="s">
        <v>4165</v>
      </c>
      <c r="E37" s="212" t="s">
        <v>6148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6289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v>26</v>
      </c>
      <c r="AO37" s="82">
        <v>23</v>
      </c>
      <c r="AP37" s="82" t="s">
        <v>6155</v>
      </c>
    </row>
    <row r="38" spans="1:42" hidden="1">
      <c r="A38" s="210">
        <f>SUBTOTAL(103,$I$5:I38)</f>
        <v>7</v>
      </c>
      <c r="B38" s="210" t="s">
        <v>5858</v>
      </c>
      <c r="C38" s="211" t="s">
        <v>3198</v>
      </c>
      <c r="D38" s="222" t="s">
        <v>2484</v>
      </c>
      <c r="E38" s="212" t="s">
        <v>6147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6289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v>19</v>
      </c>
      <c r="AO38" s="82">
        <v>17</v>
      </c>
      <c r="AP38" s="82" t="s">
        <v>6155</v>
      </c>
    </row>
    <row r="39" spans="1:42" hidden="1">
      <c r="A39" s="210">
        <f>SUBTOTAL(103,$I$5:I39)</f>
        <v>7</v>
      </c>
      <c r="B39" s="210" t="s">
        <v>5859</v>
      </c>
      <c r="C39" s="211" t="s">
        <v>3198</v>
      </c>
      <c r="D39" s="222" t="s">
        <v>105</v>
      </c>
      <c r="E39" s="212" t="s">
        <v>6148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6289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v>22</v>
      </c>
      <c r="AO39" s="82">
        <v>18</v>
      </c>
      <c r="AP39" s="82" t="s">
        <v>6155</v>
      </c>
    </row>
    <row r="40" spans="1:42">
      <c r="A40" s="210">
        <f>SUBTOTAL(103,$I$5:I40)</f>
        <v>8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</v>
      </c>
      <c r="N40" s="7">
        <v>45159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6295</v>
      </c>
      <c r="AG40" s="1" t="s">
        <v>6298</v>
      </c>
      <c r="AH40" s="101" t="s">
        <v>68</v>
      </c>
      <c r="AI40" s="1" t="s">
        <v>5548</v>
      </c>
      <c r="AL40" s="257">
        <v>45177.755933946763</v>
      </c>
      <c r="AM40" s="86" t="s">
        <v>54</v>
      </c>
      <c r="AN40" s="266">
        <v>23</v>
      </c>
      <c r="AO40" s="82" t="s">
        <v>6155</v>
      </c>
      <c r="AP40" s="82" t="s">
        <v>6155</v>
      </c>
    </row>
    <row r="41" spans="1:42" hidden="1">
      <c r="A41" s="210">
        <f>SUBTOTAL(103,$I$5:I41)</f>
        <v>8</v>
      </c>
      <c r="B41" s="210" t="s">
        <v>5865</v>
      </c>
      <c r="C41" s="211" t="s">
        <v>3198</v>
      </c>
      <c r="D41" s="222" t="s">
        <v>3766</v>
      </c>
      <c r="E41" s="212" t="s">
        <v>6148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6289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19</v>
      </c>
      <c r="AO41" s="82">
        <v>17</v>
      </c>
      <c r="AP41" s="82" t="s">
        <v>6155</v>
      </c>
    </row>
    <row r="42" spans="1:42" hidden="1">
      <c r="A42" s="210">
        <f>SUBTOTAL(103,$I$5:I42)</f>
        <v>8</v>
      </c>
      <c r="B42" s="210" t="s">
        <v>5866</v>
      </c>
      <c r="C42" s="211" t="s">
        <v>3198</v>
      </c>
      <c r="D42" s="222" t="s">
        <v>3766</v>
      </c>
      <c r="E42" s="212" t="s">
        <v>6148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6289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v>22</v>
      </c>
      <c r="AO42" s="82">
        <v>18</v>
      </c>
      <c r="AP42" s="82" t="s">
        <v>6155</v>
      </c>
    </row>
    <row r="43" spans="1:42" hidden="1">
      <c r="A43" s="210">
        <f>SUBTOTAL(103,$I$5:I43)</f>
        <v>8</v>
      </c>
      <c r="B43" s="1" t="s">
        <v>5884</v>
      </c>
      <c r="C43" s="1" t="s">
        <v>3199</v>
      </c>
      <c r="D43" s="4" t="s">
        <v>5885</v>
      </c>
      <c r="E43" s="212" t="s">
        <v>6147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6295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v>21</v>
      </c>
      <c r="AO43" s="82" t="s">
        <v>6155</v>
      </c>
      <c r="AP43" s="82">
        <v>18</v>
      </c>
    </row>
    <row r="44" spans="1:42" hidden="1">
      <c r="A44" s="210">
        <f>SUBTOTAL(103,$I$5:I44)</f>
        <v>8</v>
      </c>
      <c r="B44" s="210" t="s">
        <v>5887</v>
      </c>
      <c r="C44" s="211" t="s">
        <v>3198</v>
      </c>
      <c r="D44" s="222" t="s">
        <v>1106</v>
      </c>
      <c r="E44" s="212" t="s">
        <v>6147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6039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6040</v>
      </c>
      <c r="AD44" s="219" t="s">
        <v>1102</v>
      </c>
      <c r="AE44" s="103" t="s">
        <v>1029</v>
      </c>
      <c r="AF44" s="103" t="s">
        <v>6290</v>
      </c>
      <c r="AG44" s="103"/>
      <c r="AH44" s="217" t="s">
        <v>68</v>
      </c>
      <c r="AI44" s="217" t="s">
        <v>5460</v>
      </c>
      <c r="AJ44" s="217"/>
      <c r="AK44" s="217"/>
      <c r="AL44" s="256">
        <v>45184.551404085651</v>
      </c>
      <c r="AM44" s="218" t="s">
        <v>54</v>
      </c>
      <c r="AN44" s="266">
        <v>20</v>
      </c>
      <c r="AO44" s="82" t="s">
        <v>6155</v>
      </c>
      <c r="AP44" s="82" t="s">
        <v>6155</v>
      </c>
    </row>
    <row r="45" spans="1:42" hidden="1">
      <c r="A45" s="210">
        <f>SUBTOTAL(103,$I$5:I45)</f>
        <v>8</v>
      </c>
      <c r="B45" s="1" t="s">
        <v>5888</v>
      </c>
      <c r="C45" s="1" t="s">
        <v>3199</v>
      </c>
      <c r="D45" s="4" t="s">
        <v>2854</v>
      </c>
      <c r="E45" s="212" t="s">
        <v>6147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6032</v>
      </c>
      <c r="R45" s="221">
        <v>9058</v>
      </c>
      <c r="S45" s="6">
        <v>45176</v>
      </c>
      <c r="U45" s="6" t="s">
        <v>12</v>
      </c>
      <c r="AC45" s="4" t="s">
        <v>6130</v>
      </c>
      <c r="AD45" s="4" t="s">
        <v>33</v>
      </c>
      <c r="AE45" s="1" t="s">
        <v>35</v>
      </c>
      <c r="AF45" s="103" t="s">
        <v>6288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v>20</v>
      </c>
      <c r="AO45" s="82">
        <v>7</v>
      </c>
      <c r="AP45" s="82" t="s">
        <v>6155</v>
      </c>
    </row>
    <row r="46" spans="1:42" hidden="1">
      <c r="A46" s="210">
        <f>SUBTOTAL(103,$I$5:I46)</f>
        <v>8</v>
      </c>
      <c r="B46" s="1" t="s">
        <v>5889</v>
      </c>
      <c r="C46" s="1" t="s">
        <v>3199</v>
      </c>
      <c r="D46" s="4" t="s">
        <v>37</v>
      </c>
      <c r="E46" s="212" t="s">
        <v>6147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6131</v>
      </c>
      <c r="AD46" s="4" t="s">
        <v>1102</v>
      </c>
      <c r="AE46" s="1" t="s">
        <v>28</v>
      </c>
      <c r="AF46" s="103" t="s">
        <v>6295</v>
      </c>
      <c r="AG46" s="1" t="s">
        <v>6132</v>
      </c>
      <c r="AH46" s="101" t="s">
        <v>68</v>
      </c>
      <c r="AI46" s="1" t="s">
        <v>5338</v>
      </c>
      <c r="AL46" s="257">
        <v>45183.64430133102</v>
      </c>
      <c r="AM46" s="86" t="s">
        <v>54</v>
      </c>
      <c r="AN46" s="266">
        <v>20</v>
      </c>
      <c r="AO46" s="82" t="s">
        <v>6155</v>
      </c>
      <c r="AP46" s="82" t="s">
        <v>6155</v>
      </c>
    </row>
    <row r="47" spans="1:42" hidden="1">
      <c r="A47" s="210">
        <f>SUBTOTAL(103,$I$5:I47)</f>
        <v>8</v>
      </c>
      <c r="B47" s="1" t="s">
        <v>5890</v>
      </c>
      <c r="C47" s="1" t="s">
        <v>3199</v>
      </c>
      <c r="D47" s="4" t="s">
        <v>37</v>
      </c>
      <c r="E47" s="212" t="s">
        <v>6147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6134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6288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v>20</v>
      </c>
      <c r="AO47" s="82">
        <v>4</v>
      </c>
      <c r="AP47" s="82" t="s">
        <v>6155</v>
      </c>
    </row>
    <row r="48" spans="1:42" hidden="1">
      <c r="A48" s="210">
        <f>SUBTOTAL(103,$I$5:I48)</f>
        <v>8</v>
      </c>
      <c r="B48" s="210" t="s">
        <v>5894</v>
      </c>
      <c r="C48" s="211" t="s">
        <v>3199</v>
      </c>
      <c r="D48" s="222" t="s">
        <v>37</v>
      </c>
      <c r="E48" s="212" t="s">
        <v>6147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</v>
      </c>
      <c r="N48" s="212">
        <v>45160</v>
      </c>
      <c r="O48" s="214" t="s">
        <v>6041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6288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v>20</v>
      </c>
      <c r="AO48" s="82" t="s">
        <v>6155</v>
      </c>
      <c r="AP48" s="82" t="s">
        <v>6155</v>
      </c>
    </row>
    <row r="49" spans="1:42" hidden="1">
      <c r="A49" s="210">
        <f>SUBTOTAL(103,$I$5:I49)</f>
        <v>8</v>
      </c>
      <c r="B49" s="210" t="s">
        <v>5895</v>
      </c>
      <c r="C49" s="211" t="s">
        <v>3199</v>
      </c>
      <c r="D49" s="222" t="s">
        <v>37</v>
      </c>
      <c r="E49" s="212" t="s">
        <v>6147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</v>
      </c>
      <c r="N49" s="212">
        <v>45166</v>
      </c>
      <c r="O49" s="219" t="s">
        <v>6286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6287</v>
      </c>
      <c r="AD49" s="219" t="s">
        <v>33</v>
      </c>
      <c r="AE49" s="103" t="s">
        <v>3611</v>
      </c>
      <c r="AF49" s="103" t="s">
        <v>6288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v>20</v>
      </c>
      <c r="AO49" s="82" t="s">
        <v>6155</v>
      </c>
      <c r="AP49" s="82" t="s">
        <v>6155</v>
      </c>
    </row>
    <row r="50" spans="1:42">
      <c r="A50" s="210">
        <f>SUBTOTAL(103,$I$5:I50)</f>
        <v>9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</v>
      </c>
      <c r="N50" s="7">
        <v>45159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6295</v>
      </c>
      <c r="AG50" s="1" t="s">
        <v>6298</v>
      </c>
      <c r="AH50" s="101" t="s">
        <v>68</v>
      </c>
      <c r="AI50" s="1" t="s">
        <v>5338</v>
      </c>
      <c r="AL50" s="257">
        <v>45183.645194571756</v>
      </c>
      <c r="AM50" s="86" t="s">
        <v>54</v>
      </c>
      <c r="AN50" s="266">
        <v>20</v>
      </c>
      <c r="AO50" s="82" t="s">
        <v>6155</v>
      </c>
      <c r="AP50" s="82" t="s">
        <v>6155</v>
      </c>
    </row>
    <row r="51" spans="1:42" hidden="1">
      <c r="A51" s="210">
        <f>SUBTOTAL(103,$I$5:I51)</f>
        <v>9</v>
      </c>
      <c r="B51" s="1" t="s">
        <v>5930</v>
      </c>
      <c r="C51" s="1" t="s">
        <v>3199</v>
      </c>
      <c r="D51" s="4" t="s">
        <v>21</v>
      </c>
      <c r="E51" s="212" t="s">
        <v>6147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6295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v>20</v>
      </c>
      <c r="AO51" s="82" t="s">
        <v>6155</v>
      </c>
      <c r="AP51" s="82" t="s">
        <v>6155</v>
      </c>
    </row>
    <row r="52" spans="1:42" hidden="1">
      <c r="A52" s="210">
        <f>SUBTOTAL(103,$I$5:I52)</f>
        <v>9</v>
      </c>
      <c r="B52" s="210" t="s">
        <v>5936</v>
      </c>
      <c r="C52" s="211" t="s">
        <v>3199</v>
      </c>
      <c r="D52" s="222" t="s">
        <v>21</v>
      </c>
      <c r="E52" s="212" t="s">
        <v>6147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</v>
      </c>
      <c r="N52" s="212">
        <v>45161</v>
      </c>
      <c r="O52" s="214" t="s">
        <v>6042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6289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v>20</v>
      </c>
      <c r="AO52" s="82" t="s">
        <v>6155</v>
      </c>
      <c r="AP52" s="82" t="s">
        <v>6155</v>
      </c>
    </row>
    <row r="53" spans="1:42" hidden="1">
      <c r="A53" s="210">
        <f>SUBTOTAL(103,$I$5:I53)</f>
        <v>9</v>
      </c>
      <c r="B53" s="210" t="s">
        <v>5939</v>
      </c>
      <c r="C53" s="211" t="s">
        <v>3199</v>
      </c>
      <c r="D53" s="222" t="s">
        <v>21</v>
      </c>
      <c r="E53" s="212" t="s">
        <v>6147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</v>
      </c>
      <c r="N53" s="212">
        <v>45161</v>
      </c>
      <c r="O53" s="214" t="s">
        <v>6043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6289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v>20</v>
      </c>
      <c r="AO53" s="82" t="s">
        <v>6155</v>
      </c>
      <c r="AP53" s="82" t="s">
        <v>6155</v>
      </c>
    </row>
    <row r="54" spans="1:42" hidden="1">
      <c r="A54" s="210">
        <f>SUBTOTAL(103,$I$5:I54)</f>
        <v>9</v>
      </c>
      <c r="B54" s="210" t="s">
        <v>5940</v>
      </c>
      <c r="C54" s="211" t="s">
        <v>3199</v>
      </c>
      <c r="D54" s="222" t="s">
        <v>21</v>
      </c>
      <c r="E54" s="212" t="s">
        <v>6147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</v>
      </c>
      <c r="N54" s="212">
        <v>45161</v>
      </c>
      <c r="O54" s="214" t="s">
        <v>6044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6289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v>20</v>
      </c>
      <c r="AO54" s="82" t="s">
        <v>6155</v>
      </c>
      <c r="AP54" s="82" t="s">
        <v>6155</v>
      </c>
    </row>
    <row r="55" spans="1:42" hidden="1">
      <c r="A55" s="210">
        <f>SUBTOTAL(103,$I$5:I55)</f>
        <v>9</v>
      </c>
      <c r="B55" s="210" t="s">
        <v>5943</v>
      </c>
      <c r="C55" s="211" t="s">
        <v>3199</v>
      </c>
      <c r="D55" s="222" t="s">
        <v>21</v>
      </c>
      <c r="E55" s="212" t="s">
        <v>6147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6135</v>
      </c>
      <c r="AD55" s="219" t="s">
        <v>33</v>
      </c>
      <c r="AE55" s="103" t="s">
        <v>35</v>
      </c>
      <c r="AF55" s="103" t="s">
        <v>6289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v>20</v>
      </c>
      <c r="AO55" s="82" t="s">
        <v>6155</v>
      </c>
      <c r="AP55" s="82" t="s">
        <v>6155</v>
      </c>
    </row>
    <row r="56" spans="1:42" hidden="1">
      <c r="A56" s="210">
        <f>SUBTOTAL(103,$I$5:I56)</f>
        <v>9</v>
      </c>
      <c r="B56" s="210" t="s">
        <v>5944</v>
      </c>
      <c r="C56" s="211" t="s">
        <v>3199</v>
      </c>
      <c r="D56" s="222" t="s">
        <v>21</v>
      </c>
      <c r="E56" s="212" t="s">
        <v>6147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</v>
      </c>
      <c r="N56" s="212">
        <v>45162</v>
      </c>
      <c r="O56" s="214" t="s">
        <v>6045</v>
      </c>
      <c r="P56" s="214" t="s">
        <v>2</v>
      </c>
      <c r="Q56" s="214" t="s">
        <v>5998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6291</v>
      </c>
      <c r="AD56" s="219" t="s">
        <v>1120</v>
      </c>
      <c r="AE56" s="103" t="s">
        <v>35</v>
      </c>
      <c r="AF56" s="103" t="s">
        <v>6289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v>20</v>
      </c>
      <c r="AO56" s="82" t="s">
        <v>6155</v>
      </c>
      <c r="AP56" s="82" t="s">
        <v>6155</v>
      </c>
    </row>
    <row r="57" spans="1:42" hidden="1">
      <c r="A57" s="210">
        <f>SUBTOTAL(103,$I$5:I57)</f>
        <v>9</v>
      </c>
      <c r="B57" s="1" t="s">
        <v>5946</v>
      </c>
      <c r="C57" s="1" t="s">
        <v>3199</v>
      </c>
      <c r="D57" s="4" t="s">
        <v>21</v>
      </c>
      <c r="E57" s="212" t="s">
        <v>6147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6133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6295</v>
      </c>
      <c r="AH57" s="101" t="s">
        <v>68</v>
      </c>
      <c r="AI57" s="1" t="s">
        <v>5338</v>
      </c>
      <c r="AL57" s="257">
        <v>45183.645872407411</v>
      </c>
      <c r="AM57" s="86" t="s">
        <v>54</v>
      </c>
      <c r="AN57" s="266">
        <v>20</v>
      </c>
      <c r="AO57" s="82" t="s">
        <v>6155</v>
      </c>
      <c r="AP57" s="82" t="s">
        <v>6155</v>
      </c>
    </row>
    <row r="58" spans="1:42">
      <c r="A58" s="210">
        <f>SUBTOTAL(103,$I$5:I58)</f>
        <v>10</v>
      </c>
      <c r="B58" s="1" t="s">
        <v>5948</v>
      </c>
      <c r="C58" s="1" t="s">
        <v>1714</v>
      </c>
      <c r="D58" s="4" t="s">
        <v>44</v>
      </c>
      <c r="E58" s="212" t="s">
        <v>272</v>
      </c>
      <c r="F58" s="5" t="s">
        <v>129</v>
      </c>
      <c r="G58" s="7">
        <v>41849</v>
      </c>
      <c r="H58" s="7" t="s">
        <v>45</v>
      </c>
      <c r="I58" s="5" t="s">
        <v>152</v>
      </c>
      <c r="J58" s="1" t="s">
        <v>1042</v>
      </c>
      <c r="K58" s="265" t="s">
        <v>5917</v>
      </c>
      <c r="M58" s="212">
        <v>45159.726736111108</v>
      </c>
      <c r="N58" s="7">
        <v>45163.719525462962</v>
      </c>
      <c r="P58" s="280" t="s">
        <v>4</v>
      </c>
      <c r="Q58" s="3" t="s">
        <v>4867</v>
      </c>
      <c r="U58" s="6" t="s">
        <v>12</v>
      </c>
      <c r="AD58" s="4" t="s">
        <v>1102</v>
      </c>
      <c r="AE58" s="1" t="s">
        <v>1054</v>
      </c>
      <c r="AF58" s="103" t="s">
        <v>6302</v>
      </c>
      <c r="AH58" s="101" t="s">
        <v>68</v>
      </c>
      <c r="AI58" s="1" t="s">
        <v>5548</v>
      </c>
      <c r="AL58" s="257">
        <v>45177.761891759263</v>
      </c>
      <c r="AM58" s="86" t="s">
        <v>54</v>
      </c>
      <c r="AN58" s="266">
        <v>20</v>
      </c>
      <c r="AO58" s="82" t="s">
        <v>6155</v>
      </c>
      <c r="AP58" s="82" t="s">
        <v>6155</v>
      </c>
    </row>
    <row r="59" spans="1:42" hidden="1">
      <c r="A59" s="210">
        <f>SUBTOTAL(103,$I$5:I59)</f>
        <v>10</v>
      </c>
      <c r="B59" s="210" t="s">
        <v>5949</v>
      </c>
      <c r="C59" s="211" t="s">
        <v>3199</v>
      </c>
      <c r="D59" s="222" t="s">
        <v>299</v>
      </c>
      <c r="E59" s="212" t="s">
        <v>6148</v>
      </c>
      <c r="F59" s="212" t="s">
        <v>22</v>
      </c>
      <c r="G59" s="212">
        <v>43979</v>
      </c>
      <c r="H59" s="212" t="s">
        <v>104</v>
      </c>
      <c r="I59" s="210" t="s">
        <v>5950</v>
      </c>
      <c r="J59" s="212" t="s">
        <v>1244</v>
      </c>
      <c r="K59" s="213" t="s">
        <v>5919</v>
      </c>
      <c r="L59" s="212">
        <v>44344</v>
      </c>
      <c r="M59" s="212">
        <v>45160.415567129632</v>
      </c>
      <c r="N59" s="212">
        <v>45160.427974537037</v>
      </c>
      <c r="O59" s="214"/>
      <c r="P59" s="214" t="s">
        <v>2</v>
      </c>
      <c r="Q59" s="214" t="s">
        <v>5951</v>
      </c>
      <c r="R59" s="220">
        <v>6872</v>
      </c>
      <c r="S59" s="214">
        <v>45162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5991</v>
      </c>
      <c r="AD59" s="219" t="s">
        <v>18</v>
      </c>
      <c r="AE59" s="103" t="s">
        <v>35</v>
      </c>
      <c r="AF59" s="103" t="s">
        <v>6289</v>
      </c>
      <c r="AG59" s="103"/>
      <c r="AH59" s="217" t="s">
        <v>68</v>
      </c>
      <c r="AI59" s="217" t="s">
        <v>5460</v>
      </c>
      <c r="AJ59" s="217"/>
      <c r="AK59" s="217"/>
      <c r="AL59" s="256">
        <v>45162.49722690972</v>
      </c>
      <c r="AM59" s="218" t="s">
        <v>18</v>
      </c>
      <c r="AN59" s="266">
        <v>19</v>
      </c>
      <c r="AO59" s="82">
        <v>17</v>
      </c>
      <c r="AP59" s="82" t="s">
        <v>6155</v>
      </c>
    </row>
    <row r="60" spans="1:42" hidden="1">
      <c r="A60" s="210">
        <f>SUBTOTAL(103,$I$5:I60)</f>
        <v>10</v>
      </c>
      <c r="B60" s="210" t="s">
        <v>5952</v>
      </c>
      <c r="C60" s="211" t="s">
        <v>3199</v>
      </c>
      <c r="D60" s="222" t="s">
        <v>5953</v>
      </c>
      <c r="E60" s="212" t="s">
        <v>6148</v>
      </c>
      <c r="F60" s="212" t="s">
        <v>22</v>
      </c>
      <c r="G60" s="212">
        <v>43076</v>
      </c>
      <c r="H60" s="212" t="s">
        <v>38</v>
      </c>
      <c r="I60" s="210" t="s">
        <v>5954</v>
      </c>
      <c r="J60" s="212" t="s">
        <v>39</v>
      </c>
      <c r="K60" s="213" t="s">
        <v>5922</v>
      </c>
      <c r="L60" s="212">
        <v>43441</v>
      </c>
      <c r="M60" s="212">
        <v>45161.555277777778</v>
      </c>
      <c r="N60" s="212">
        <v>45161.557529305559</v>
      </c>
      <c r="O60" s="214"/>
      <c r="P60" s="214" t="s">
        <v>2</v>
      </c>
      <c r="Q60" s="214" t="s">
        <v>5498</v>
      </c>
      <c r="R60" s="220">
        <v>5865</v>
      </c>
      <c r="S60" s="214">
        <v>45161</v>
      </c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5992</v>
      </c>
      <c r="AD60" s="219" t="s">
        <v>20</v>
      </c>
      <c r="AE60" s="103" t="s">
        <v>35</v>
      </c>
      <c r="AF60" s="103" t="s">
        <v>6289</v>
      </c>
      <c r="AG60" s="103"/>
      <c r="AH60" s="217" t="s">
        <v>68</v>
      </c>
      <c r="AI60" s="217"/>
      <c r="AJ60" s="217"/>
      <c r="AK60" s="217"/>
      <c r="AL60" s="256">
        <v>45168.788549699071</v>
      </c>
      <c r="AM60" s="218" t="s">
        <v>20</v>
      </c>
      <c r="AN60" s="266">
        <v>18</v>
      </c>
      <c r="AO60" s="82">
        <v>18</v>
      </c>
      <c r="AP60" s="82" t="s">
        <v>6155</v>
      </c>
    </row>
    <row r="61" spans="1:42" hidden="1">
      <c r="A61" s="210">
        <f>SUBTOTAL(103,$I$5:I61)</f>
        <v>10</v>
      </c>
      <c r="B61" s="210" t="s">
        <v>5955</v>
      </c>
      <c r="C61" s="211" t="s">
        <v>3199</v>
      </c>
      <c r="D61" s="222" t="s">
        <v>4541</v>
      </c>
      <c r="E61" s="212" t="s">
        <v>6148</v>
      </c>
      <c r="F61" s="212" t="s">
        <v>22</v>
      </c>
      <c r="G61" s="212">
        <v>43126</v>
      </c>
      <c r="H61" s="212" t="s">
        <v>16</v>
      </c>
      <c r="I61" s="210" t="s">
        <v>5956</v>
      </c>
      <c r="J61" s="212" t="s">
        <v>39</v>
      </c>
      <c r="K61" s="213" t="s">
        <v>5919</v>
      </c>
      <c r="L61" s="212">
        <v>43491</v>
      </c>
      <c r="M61" s="212">
        <v>45162.71130787037</v>
      </c>
      <c r="N61" s="212">
        <v>45162.719189814816</v>
      </c>
      <c r="O61" s="214" t="s">
        <v>5993</v>
      </c>
      <c r="P61" s="214" t="s">
        <v>3</v>
      </c>
      <c r="Q61" s="214" t="s">
        <v>5999</v>
      </c>
      <c r="R61" s="220">
        <v>1306</v>
      </c>
      <c r="S61" s="214">
        <v>45166</v>
      </c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5994</v>
      </c>
      <c r="AD61" s="219" t="s">
        <v>18</v>
      </c>
      <c r="AE61" s="103" t="s">
        <v>35</v>
      </c>
      <c r="AF61" s="103" t="s">
        <v>6289</v>
      </c>
      <c r="AG61" s="103"/>
      <c r="AH61" s="217" t="s">
        <v>68</v>
      </c>
      <c r="AI61" s="217" t="s">
        <v>5460</v>
      </c>
      <c r="AJ61" s="217"/>
      <c r="AK61" s="217"/>
      <c r="AL61" s="256">
        <v>45162.824868900461</v>
      </c>
      <c r="AM61" s="218" t="s">
        <v>18</v>
      </c>
      <c r="AN61" s="266">
        <v>17</v>
      </c>
      <c r="AO61" s="82">
        <v>15</v>
      </c>
      <c r="AP61" s="82" t="s">
        <v>6155</v>
      </c>
    </row>
    <row r="62" spans="1:42">
      <c r="A62" s="210">
        <f>SUBTOTAL(103,$I$5:I62)</f>
        <v>11</v>
      </c>
      <c r="B62" s="1" t="s">
        <v>5957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42061</v>
      </c>
      <c r="H62" s="7" t="s">
        <v>34</v>
      </c>
      <c r="I62" s="5" t="s">
        <v>2461</v>
      </c>
      <c r="J62" s="1" t="s">
        <v>1043</v>
      </c>
      <c r="K62" s="265" t="s">
        <v>5916</v>
      </c>
      <c r="L62" s="212">
        <v>42426</v>
      </c>
      <c r="M62" s="212">
        <v>45160</v>
      </c>
      <c r="N62" s="7">
        <v>45162</v>
      </c>
      <c r="P62" s="280" t="s">
        <v>2</v>
      </c>
      <c r="Q62" s="3" t="s">
        <v>6000</v>
      </c>
      <c r="U62" s="6" t="s">
        <v>12</v>
      </c>
      <c r="AD62" s="4" t="s">
        <v>1102</v>
      </c>
      <c r="AE62" s="103" t="s">
        <v>28</v>
      </c>
      <c r="AF62" s="103" t="s">
        <v>6295</v>
      </c>
      <c r="AG62" s="1" t="s">
        <v>6298</v>
      </c>
      <c r="AH62" s="101" t="s">
        <v>68</v>
      </c>
      <c r="AI62" s="1" t="s">
        <v>5548</v>
      </c>
      <c r="AL62" s="257">
        <v>45177.765730983796</v>
      </c>
      <c r="AM62" s="86" t="s">
        <v>54</v>
      </c>
      <c r="AN62" s="266">
        <v>19</v>
      </c>
      <c r="AO62" s="82" t="s">
        <v>6155</v>
      </c>
      <c r="AP62" s="82" t="s">
        <v>6155</v>
      </c>
    </row>
    <row r="63" spans="1:42" hidden="1">
      <c r="A63" s="210">
        <f>SUBTOTAL(103,$I$5:I63)</f>
        <v>11</v>
      </c>
      <c r="B63" s="210" t="s">
        <v>5960</v>
      </c>
      <c r="C63" s="211" t="s">
        <v>3199</v>
      </c>
      <c r="D63" s="222" t="s">
        <v>3049</v>
      </c>
      <c r="E63" s="212" t="s">
        <v>6147</v>
      </c>
      <c r="F63" s="212" t="s">
        <v>22</v>
      </c>
      <c r="G63" s="212">
        <v>44592</v>
      </c>
      <c r="H63" s="212" t="s">
        <v>16</v>
      </c>
      <c r="I63" s="210" t="s">
        <v>5961</v>
      </c>
      <c r="J63" s="212" t="s">
        <v>39</v>
      </c>
      <c r="K63" s="213" t="s">
        <v>5919</v>
      </c>
      <c r="L63" s="212">
        <v>44957</v>
      </c>
      <c r="M63" s="212">
        <v>45169.691296296296</v>
      </c>
      <c r="N63" s="212">
        <v>45169.70186134259</v>
      </c>
      <c r="O63" s="214"/>
      <c r="P63" s="214" t="s">
        <v>2</v>
      </c>
      <c r="Q63" s="214" t="s">
        <v>6048</v>
      </c>
      <c r="R63" s="220">
        <v>4447</v>
      </c>
      <c r="S63" s="214">
        <v>45176</v>
      </c>
      <c r="T63" s="214"/>
      <c r="U63" s="214" t="s">
        <v>12</v>
      </c>
      <c r="V63" s="214"/>
      <c r="W63" s="215"/>
      <c r="Y63" s="214"/>
      <c r="Z63" s="214"/>
      <c r="AA63" s="214"/>
      <c r="AB63" s="214"/>
      <c r="AC63" s="219" t="s">
        <v>6129</v>
      </c>
      <c r="AD63" s="219" t="s">
        <v>20</v>
      </c>
      <c r="AE63" s="103" t="s">
        <v>35</v>
      </c>
      <c r="AF63" s="103" t="s">
        <v>6289</v>
      </c>
      <c r="AG63" s="103"/>
      <c r="AH63" s="217" t="s">
        <v>68</v>
      </c>
      <c r="AI63" s="217"/>
      <c r="AJ63" s="217"/>
      <c r="AK63" s="217"/>
      <c r="AL63" s="256">
        <v>45175.546987002315</v>
      </c>
      <c r="AM63" s="218" t="s">
        <v>20</v>
      </c>
      <c r="AN63" s="266">
        <v>12</v>
      </c>
      <c r="AO63" s="82">
        <v>7</v>
      </c>
      <c r="AP63" s="82" t="s">
        <v>6155</v>
      </c>
    </row>
    <row r="64" spans="1:42" hidden="1">
      <c r="A64" s="210">
        <f>SUBTOTAL(103,$I$5:I64)</f>
        <v>11</v>
      </c>
      <c r="B64" s="210" t="s">
        <v>6003</v>
      </c>
      <c r="C64" s="211" t="s">
        <v>3198</v>
      </c>
      <c r="D64" s="222" t="s">
        <v>40</v>
      </c>
      <c r="E64" s="212" t="s">
        <v>6147</v>
      </c>
      <c r="F64" s="212" t="s">
        <v>129</v>
      </c>
      <c r="G64" s="212">
        <v>42879</v>
      </c>
      <c r="H64" s="212" t="s">
        <v>56</v>
      </c>
      <c r="I64" s="210" t="s">
        <v>6004</v>
      </c>
      <c r="J64" s="212" t="s">
        <v>1043</v>
      </c>
      <c r="K64" s="213" t="s">
        <v>5915</v>
      </c>
      <c r="L64" s="212">
        <v>43244</v>
      </c>
      <c r="M64" s="212">
        <v>45162.805277777778</v>
      </c>
      <c r="N64" s="212">
        <v>45166.801979166667</v>
      </c>
      <c r="O64" s="214"/>
      <c r="P64" s="214" t="s">
        <v>2</v>
      </c>
      <c r="Q64" s="214" t="s">
        <v>4786</v>
      </c>
      <c r="R64" s="220">
        <v>3068</v>
      </c>
      <c r="S64" s="214"/>
      <c r="T64" s="214"/>
      <c r="U64" s="214" t="s">
        <v>12</v>
      </c>
      <c r="V64" s="214"/>
      <c r="W64" s="215"/>
      <c r="Y64" s="214"/>
      <c r="Z64" s="214"/>
      <c r="AA64" s="214"/>
      <c r="AB64" s="214"/>
      <c r="AC64" s="219" t="s">
        <v>6136</v>
      </c>
      <c r="AD64" s="219">
        <v>45166</v>
      </c>
      <c r="AE64" s="103" t="s">
        <v>35</v>
      </c>
      <c r="AF64" s="103" t="s">
        <v>6289</v>
      </c>
      <c r="AG64" s="103"/>
      <c r="AH64" s="217" t="s">
        <v>68</v>
      </c>
      <c r="AI64" s="217" t="s">
        <v>5459</v>
      </c>
      <c r="AJ64" s="217"/>
      <c r="AK64" s="217"/>
      <c r="AL64" s="256">
        <v>45174.653590069443</v>
      </c>
      <c r="AM64" s="218" t="s">
        <v>54</v>
      </c>
      <c r="AN64" s="266">
        <v>17</v>
      </c>
      <c r="AO64" s="82" t="s">
        <v>6155</v>
      </c>
      <c r="AP64" s="82" t="s">
        <v>6155</v>
      </c>
    </row>
    <row r="65" spans="1:42">
      <c r="A65" s="210">
        <f>SUBTOTAL(103,$I$5:I65)</f>
        <v>12</v>
      </c>
      <c r="B65" s="1" t="s">
        <v>6008</v>
      </c>
      <c r="C65" s="1" t="s">
        <v>1714</v>
      </c>
      <c r="D65" s="4" t="s">
        <v>41</v>
      </c>
      <c r="E65" s="212" t="s">
        <v>272</v>
      </c>
      <c r="F65" s="5" t="s">
        <v>129</v>
      </c>
      <c r="G65" s="7">
        <v>42364</v>
      </c>
      <c r="H65" s="7" t="s">
        <v>30</v>
      </c>
      <c r="I65" s="5" t="s">
        <v>1722</v>
      </c>
      <c r="J65" s="1" t="s">
        <v>39</v>
      </c>
      <c r="K65" s="265" t="s">
        <v>5916</v>
      </c>
      <c r="L65" s="212">
        <v>42730</v>
      </c>
      <c r="M65" s="212">
        <v>45162</v>
      </c>
      <c r="N65" s="7">
        <v>45167</v>
      </c>
      <c r="P65" s="280" t="s">
        <v>2</v>
      </c>
      <c r="Q65" s="3" t="s">
        <v>5240</v>
      </c>
      <c r="T65" s="6">
        <v>45189</v>
      </c>
      <c r="U65" s="6" t="s">
        <v>12</v>
      </c>
      <c r="AD65" s="4" t="s">
        <v>1102</v>
      </c>
      <c r="AE65" s="1" t="s">
        <v>28</v>
      </c>
      <c r="AF65" s="103" t="s">
        <v>6295</v>
      </c>
      <c r="AG65" s="103" t="s">
        <v>6298</v>
      </c>
      <c r="AH65" s="101" t="s">
        <v>68</v>
      </c>
      <c r="AI65" s="1" t="s">
        <v>5548</v>
      </c>
      <c r="AL65" s="257">
        <v>45177.812471006946</v>
      </c>
      <c r="AM65" s="86" t="s">
        <v>54</v>
      </c>
      <c r="AN65" s="266">
        <v>17</v>
      </c>
      <c r="AO65" s="82" t="s">
        <v>6155</v>
      </c>
      <c r="AP65" s="82" t="s">
        <v>6155</v>
      </c>
    </row>
    <row r="66" spans="1:42">
      <c r="A66" s="210">
        <f>SUBTOTAL(103,$I$5:I66)</f>
        <v>13</v>
      </c>
      <c r="B66" s="1" t="s">
        <v>6009</v>
      </c>
      <c r="C66" s="1" t="s">
        <v>1714</v>
      </c>
      <c r="D66" s="4" t="s">
        <v>41</v>
      </c>
      <c r="E66" s="212" t="s">
        <v>272</v>
      </c>
      <c r="F66" s="5" t="s">
        <v>129</v>
      </c>
      <c r="G66" s="7">
        <v>43805</v>
      </c>
      <c r="H66" s="7" t="s">
        <v>1115</v>
      </c>
      <c r="I66" s="5" t="s">
        <v>1228</v>
      </c>
      <c r="J66" s="1" t="s">
        <v>1043</v>
      </c>
      <c r="K66" s="265" t="s">
        <v>5919</v>
      </c>
      <c r="L66" s="212">
        <v>44171</v>
      </c>
      <c r="M66" s="212">
        <v>45163</v>
      </c>
      <c r="N66" s="7">
        <v>45168</v>
      </c>
      <c r="P66" s="280" t="s">
        <v>3</v>
      </c>
      <c r="Q66" s="3" t="s">
        <v>1666</v>
      </c>
      <c r="T66" s="6">
        <v>45180</v>
      </c>
      <c r="U66" s="6" t="s">
        <v>12</v>
      </c>
      <c r="AD66" s="4" t="s">
        <v>1102</v>
      </c>
      <c r="AE66" s="1" t="s">
        <v>28</v>
      </c>
      <c r="AF66" s="103" t="s">
        <v>6295</v>
      </c>
      <c r="AG66" s="103" t="s">
        <v>6298</v>
      </c>
      <c r="AH66" s="101" t="s">
        <v>68</v>
      </c>
      <c r="AI66" s="1" t="s">
        <v>5338</v>
      </c>
      <c r="AL66" s="257">
        <v>45183.652388819442</v>
      </c>
      <c r="AM66" s="86" t="s">
        <v>54</v>
      </c>
      <c r="AN66" s="266">
        <v>16</v>
      </c>
      <c r="AO66" s="82" t="s">
        <v>6155</v>
      </c>
      <c r="AP66" s="82" t="s">
        <v>6155</v>
      </c>
    </row>
    <row r="67" spans="1:42" hidden="1">
      <c r="A67" s="210">
        <f>SUBTOTAL(103,$I$5:I67)</f>
        <v>13</v>
      </c>
      <c r="B67" s="1" t="s">
        <v>6049</v>
      </c>
      <c r="C67" s="1" t="s">
        <v>3199</v>
      </c>
      <c r="D67" s="4" t="s">
        <v>21</v>
      </c>
      <c r="E67" s="212" t="s">
        <v>6147</v>
      </c>
      <c r="F67" s="5" t="s">
        <v>129</v>
      </c>
      <c r="G67" s="7">
        <v>41620</v>
      </c>
      <c r="H67" s="7" t="s">
        <v>47</v>
      </c>
      <c r="I67" s="5" t="s">
        <v>6050</v>
      </c>
      <c r="J67" s="1" t="s">
        <v>5072</v>
      </c>
      <c r="K67" s="213" t="s">
        <v>5919</v>
      </c>
      <c r="L67" s="212">
        <v>41985</v>
      </c>
      <c r="M67" s="212">
        <v>45168.523356481484</v>
      </c>
      <c r="N67" s="7">
        <v>45168.727997685186</v>
      </c>
      <c r="P67" s="280" t="s">
        <v>2</v>
      </c>
      <c r="Q67" s="3" t="s">
        <v>6051</v>
      </c>
      <c r="R67" s="221">
        <v>2207</v>
      </c>
      <c r="U67" s="6" t="s">
        <v>12</v>
      </c>
      <c r="AC67" s="4" t="s">
        <v>6137</v>
      </c>
      <c r="AD67" s="4" t="s">
        <v>1102</v>
      </c>
      <c r="AE67" s="1" t="s">
        <v>35</v>
      </c>
      <c r="AF67" s="103" t="s">
        <v>6289</v>
      </c>
      <c r="AH67" s="217" t="s">
        <v>68</v>
      </c>
      <c r="AI67" s="217" t="s">
        <v>5459</v>
      </c>
      <c r="AJ67" s="217"/>
      <c r="AK67" s="217"/>
      <c r="AL67" s="257">
        <v>45177.568177870373</v>
      </c>
      <c r="AM67" s="86" t="s">
        <v>54</v>
      </c>
      <c r="AN67" s="266">
        <v>13</v>
      </c>
      <c r="AO67" s="82" t="s">
        <v>6155</v>
      </c>
      <c r="AP67" s="82" t="s">
        <v>6155</v>
      </c>
    </row>
    <row r="68" spans="1:42" hidden="1">
      <c r="A68" s="210">
        <f>SUBTOTAL(103,$I$5:I68)</f>
        <v>13</v>
      </c>
      <c r="B68" s="1" t="s">
        <v>6055</v>
      </c>
      <c r="C68" s="1" t="s">
        <v>3199</v>
      </c>
      <c r="D68" s="4" t="s">
        <v>1100</v>
      </c>
      <c r="E68" s="212" t="s">
        <v>6147</v>
      </c>
      <c r="F68" s="5" t="s">
        <v>129</v>
      </c>
      <c r="G68" s="7">
        <v>42562</v>
      </c>
      <c r="H68" s="7" t="s">
        <v>30</v>
      </c>
      <c r="I68" s="5" t="s">
        <v>1648</v>
      </c>
      <c r="J68" s="1" t="s">
        <v>39</v>
      </c>
      <c r="K68" s="213" t="s">
        <v>5916</v>
      </c>
      <c r="L68" s="212">
        <v>43113</v>
      </c>
      <c r="M68" s="212">
        <v>45168.809571759259</v>
      </c>
      <c r="N68" s="7">
        <v>45169.796886574077</v>
      </c>
      <c r="P68" s="280" t="s">
        <v>2</v>
      </c>
      <c r="Q68" s="3" t="s">
        <v>6056</v>
      </c>
      <c r="R68" s="221">
        <v>8320</v>
      </c>
      <c r="U68" s="6" t="s">
        <v>12</v>
      </c>
      <c r="AC68" s="4" t="s">
        <v>6138</v>
      </c>
      <c r="AD68" s="4" t="s">
        <v>1102</v>
      </c>
      <c r="AE68" s="1" t="s">
        <v>35</v>
      </c>
      <c r="AF68" s="103" t="s">
        <v>6289</v>
      </c>
      <c r="AG68" s="103"/>
      <c r="AH68" s="217" t="s">
        <v>68</v>
      </c>
      <c r="AI68" s="217" t="s">
        <v>5459</v>
      </c>
      <c r="AJ68" s="217"/>
      <c r="AK68" s="217"/>
      <c r="AL68" s="257">
        <v>45177.465183321758</v>
      </c>
      <c r="AM68" s="86" t="s">
        <v>54</v>
      </c>
      <c r="AN68" s="266">
        <v>13</v>
      </c>
      <c r="AO68" s="82" t="s">
        <v>6155</v>
      </c>
      <c r="AP68" s="82" t="s">
        <v>6155</v>
      </c>
    </row>
    <row r="69" spans="1:42" hidden="1">
      <c r="A69" s="210">
        <f>SUBTOTAL(103,$I$5:I69)</f>
        <v>13</v>
      </c>
      <c r="B69" s="1" t="s">
        <v>6057</v>
      </c>
      <c r="C69" s="1" t="s">
        <v>3198</v>
      </c>
      <c r="D69" s="4" t="s">
        <v>1119</v>
      </c>
      <c r="E69" s="212" t="s">
        <v>6147</v>
      </c>
      <c r="F69" s="5" t="s">
        <v>129</v>
      </c>
      <c r="G69" s="7">
        <v>42875</v>
      </c>
      <c r="H69" s="7" t="s">
        <v>38</v>
      </c>
      <c r="I69" s="5" t="s">
        <v>6058</v>
      </c>
      <c r="J69" s="1" t="s">
        <v>39</v>
      </c>
      <c r="K69" s="213" t="s">
        <v>5922</v>
      </c>
      <c r="L69" s="212">
        <v>43240</v>
      </c>
      <c r="M69" s="212">
        <v>45168.810069444444</v>
      </c>
      <c r="N69" s="7">
        <v>45175.558668981481</v>
      </c>
      <c r="P69" s="280" t="s">
        <v>2</v>
      </c>
      <c r="Q69" s="3" t="s">
        <v>6093</v>
      </c>
      <c r="R69" s="221">
        <v>5916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6289</v>
      </c>
      <c r="AG69" s="103"/>
      <c r="AH69" s="217" t="s">
        <v>68</v>
      </c>
      <c r="AI69" s="217" t="s">
        <v>5459</v>
      </c>
      <c r="AJ69" s="217"/>
      <c r="AK69" s="217"/>
      <c r="AL69" s="257">
        <v>45177.569079594905</v>
      </c>
      <c r="AM69" s="86" t="s">
        <v>54</v>
      </c>
      <c r="AN69" s="266">
        <v>13</v>
      </c>
      <c r="AO69" s="82" t="s">
        <v>6155</v>
      </c>
      <c r="AP69" s="82" t="s">
        <v>6155</v>
      </c>
    </row>
    <row r="70" spans="1:42" hidden="1">
      <c r="A70" s="210">
        <f>SUBTOTAL(103,$I$5:I70)</f>
        <v>13</v>
      </c>
      <c r="B70" s="1" t="s">
        <v>6059</v>
      </c>
      <c r="C70" s="1" t="s">
        <v>3198</v>
      </c>
      <c r="D70" s="4" t="s">
        <v>1119</v>
      </c>
      <c r="E70" s="212" t="s">
        <v>6147</v>
      </c>
      <c r="F70" s="5" t="s">
        <v>129</v>
      </c>
      <c r="G70" s="7">
        <v>43169</v>
      </c>
      <c r="H70" s="7" t="s">
        <v>38</v>
      </c>
      <c r="I70" s="5" t="s">
        <v>1940</v>
      </c>
      <c r="J70" s="1" t="s">
        <v>39</v>
      </c>
      <c r="K70" s="213" t="s">
        <v>5922</v>
      </c>
      <c r="L70" s="212">
        <v>43534</v>
      </c>
      <c r="M70" s="212">
        <v>45168.819432870368</v>
      </c>
      <c r="N70" s="7">
        <v>45175.686759259261</v>
      </c>
      <c r="P70" s="280" t="s">
        <v>2</v>
      </c>
      <c r="Q70" s="3" t="s">
        <v>6094</v>
      </c>
      <c r="R70" s="221">
        <v>8562</v>
      </c>
      <c r="U70" s="6" t="s">
        <v>12</v>
      </c>
      <c r="AC70" s="4" t="s">
        <v>6140</v>
      </c>
      <c r="AD70" s="4" t="s">
        <v>33</v>
      </c>
      <c r="AE70" s="1" t="s">
        <v>35</v>
      </c>
      <c r="AF70" s="103" t="s">
        <v>6289</v>
      </c>
      <c r="AG70" s="103"/>
      <c r="AH70" s="217" t="s">
        <v>68</v>
      </c>
      <c r="AI70" s="217" t="s">
        <v>5459</v>
      </c>
      <c r="AJ70" s="217"/>
      <c r="AK70" s="217"/>
      <c r="AL70" s="257">
        <v>45177.65144927083</v>
      </c>
      <c r="AM70" s="86" t="s">
        <v>54</v>
      </c>
      <c r="AN70" s="266">
        <v>13</v>
      </c>
      <c r="AO70" s="82" t="s">
        <v>6155</v>
      </c>
      <c r="AP70" s="82" t="s">
        <v>6155</v>
      </c>
    </row>
    <row r="71" spans="1:42" hidden="1">
      <c r="A71" s="210">
        <f>SUBTOTAL(103,$I$5:I71)</f>
        <v>13</v>
      </c>
      <c r="B71" s="1" t="s">
        <v>6095</v>
      </c>
      <c r="C71" s="1" t="s">
        <v>3198</v>
      </c>
      <c r="D71" s="4" t="s">
        <v>4871</v>
      </c>
      <c r="E71" s="212" t="s">
        <v>6148</v>
      </c>
      <c r="F71" s="5" t="s">
        <v>22</v>
      </c>
      <c r="G71" s="7">
        <v>44762</v>
      </c>
      <c r="H71" s="7" t="s">
        <v>58</v>
      </c>
      <c r="I71" s="5" t="s">
        <v>6096</v>
      </c>
      <c r="J71" s="1" t="s">
        <v>1043</v>
      </c>
      <c r="K71" s="213" t="s">
        <v>5919</v>
      </c>
      <c r="L71" s="212">
        <v>45127</v>
      </c>
      <c r="M71" s="212">
        <v>45174.597719907404</v>
      </c>
      <c r="N71" s="7">
        <v>45174.618819444448</v>
      </c>
      <c r="P71" s="280" t="s">
        <v>2</v>
      </c>
      <c r="Q71" s="3" t="s">
        <v>17</v>
      </c>
      <c r="R71" s="221">
        <v>3433</v>
      </c>
      <c r="U71" s="6" t="s">
        <v>12</v>
      </c>
      <c r="AC71" s="4" t="s">
        <v>6141</v>
      </c>
      <c r="AD71" s="4" t="s">
        <v>33</v>
      </c>
      <c r="AE71" s="1" t="s">
        <v>35</v>
      </c>
      <c r="AF71" s="103" t="s">
        <v>6289</v>
      </c>
      <c r="AG71" s="103"/>
      <c r="AH71" s="217" t="s">
        <v>68</v>
      </c>
      <c r="AI71" s="217" t="s">
        <v>5460</v>
      </c>
      <c r="AJ71" s="217"/>
      <c r="AK71" s="217"/>
      <c r="AL71" s="257">
        <v>45175.695205254633</v>
      </c>
      <c r="AM71" s="86" t="s">
        <v>20</v>
      </c>
      <c r="AN71" s="266">
        <v>9</v>
      </c>
      <c r="AO71" s="82" t="s">
        <v>6155</v>
      </c>
      <c r="AP71" s="82"/>
    </row>
    <row r="72" spans="1:42" hidden="1">
      <c r="A72" s="210">
        <f>SUBTOTAL(103,$I$5:I72)</f>
        <v>13</v>
      </c>
      <c r="B72" s="1" t="s">
        <v>6097</v>
      </c>
      <c r="C72" s="1" t="s">
        <v>3198</v>
      </c>
      <c r="D72" s="4" t="s">
        <v>1113</v>
      </c>
      <c r="E72" s="212" t="s">
        <v>6148</v>
      </c>
      <c r="F72" s="5" t="s">
        <v>22</v>
      </c>
      <c r="G72" s="7">
        <v>45153</v>
      </c>
      <c r="H72" s="7" t="s">
        <v>58</v>
      </c>
      <c r="I72" s="5" t="s">
        <v>6098</v>
      </c>
      <c r="J72" s="1" t="s">
        <v>1043</v>
      </c>
      <c r="K72" s="213" t="s">
        <v>5919</v>
      </c>
      <c r="L72" s="212">
        <v>45519</v>
      </c>
      <c r="M72" s="212">
        <v>45174.620983796296</v>
      </c>
      <c r="N72" s="7">
        <v>45174.623437499999</v>
      </c>
      <c r="P72" s="280" t="s">
        <v>2</v>
      </c>
      <c r="Q72" s="3" t="s">
        <v>3253</v>
      </c>
      <c r="R72" s="221">
        <v>3433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6289</v>
      </c>
      <c r="AG72" s="103"/>
      <c r="AH72" s="217" t="s">
        <v>68</v>
      </c>
      <c r="AI72" s="217" t="s">
        <v>5460</v>
      </c>
      <c r="AJ72" s="217"/>
      <c r="AK72" s="217"/>
      <c r="AL72" s="257">
        <v>45175.694927407407</v>
      </c>
      <c r="AM72" s="86" t="s">
        <v>20</v>
      </c>
      <c r="AN72" s="266">
        <v>9</v>
      </c>
      <c r="AO72" s="82" t="s">
        <v>6155</v>
      </c>
      <c r="AP72" s="82"/>
    </row>
    <row r="73" spans="1:42" hidden="1">
      <c r="A73" s="210">
        <f>SUBTOTAL(103,$I$5:I73)</f>
        <v>13</v>
      </c>
      <c r="B73" s="1" t="s">
        <v>6099</v>
      </c>
      <c r="C73" s="1" t="s">
        <v>3198</v>
      </c>
      <c r="D73" s="4" t="s">
        <v>1246</v>
      </c>
      <c r="E73" s="212" t="s">
        <v>6148</v>
      </c>
      <c r="F73" s="5" t="s">
        <v>22</v>
      </c>
      <c r="G73" s="7">
        <v>44963</v>
      </c>
      <c r="H73" s="7" t="s">
        <v>1181</v>
      </c>
      <c r="I73" s="5" t="s">
        <v>6100</v>
      </c>
      <c r="J73" s="1" t="s">
        <v>1042</v>
      </c>
      <c r="K73" s="265" t="s">
        <v>6101</v>
      </c>
      <c r="L73" s="212">
        <v>45328</v>
      </c>
      <c r="M73" s="212">
        <v>45174</v>
      </c>
      <c r="N73" s="7">
        <v>45175</v>
      </c>
      <c r="O73" s="72" t="s">
        <v>6299</v>
      </c>
      <c r="P73" s="280" t="s">
        <v>4</v>
      </c>
      <c r="Q73" s="3" t="s">
        <v>6300</v>
      </c>
      <c r="S73" s="6" t="s">
        <v>55</v>
      </c>
      <c r="T73" s="6">
        <v>45188</v>
      </c>
      <c r="U73" s="6" t="s">
        <v>12</v>
      </c>
      <c r="AD73" s="4" t="s">
        <v>24</v>
      </c>
      <c r="AE73" s="1" t="s">
        <v>1055</v>
      </c>
      <c r="AF73" s="103" t="s">
        <v>6295</v>
      </c>
      <c r="AG73" s="1" t="s">
        <v>6301</v>
      </c>
      <c r="AH73" s="101" t="s">
        <v>68</v>
      </c>
      <c r="AL73" s="257">
        <v>45176.656938217595</v>
      </c>
      <c r="AM73" s="86" t="s">
        <v>4840</v>
      </c>
      <c r="AN73" s="266">
        <v>9</v>
      </c>
      <c r="AO73" s="82" t="s">
        <v>6155</v>
      </c>
      <c r="AP73" s="82"/>
    </row>
    <row r="74" spans="1:42" hidden="1">
      <c r="A74" s="210">
        <f>SUBTOTAL(103,$I$5:I74)</f>
        <v>13</v>
      </c>
      <c r="B74" s="1" t="s">
        <v>6102</v>
      </c>
      <c r="C74" s="1" t="s">
        <v>3199</v>
      </c>
      <c r="D74" s="4" t="s">
        <v>1218</v>
      </c>
      <c r="E74" s="212" t="s">
        <v>6147</v>
      </c>
      <c r="F74" s="5" t="s">
        <v>129</v>
      </c>
      <c r="G74" s="7">
        <v>43517</v>
      </c>
      <c r="H74" s="7" t="s">
        <v>34</v>
      </c>
      <c r="I74" s="5" t="s">
        <v>5621</v>
      </c>
      <c r="J74" s="1" t="s">
        <v>1043</v>
      </c>
      <c r="K74" s="265" t="s">
        <v>5916</v>
      </c>
      <c r="L74" s="212">
        <v>43882</v>
      </c>
      <c r="M74" s="212">
        <v>45174</v>
      </c>
      <c r="N74" s="7">
        <v>45176</v>
      </c>
      <c r="O74" s="72" t="s">
        <v>6292</v>
      </c>
      <c r="P74" s="280" t="s">
        <v>2</v>
      </c>
      <c r="Q74" s="3" t="s">
        <v>4786</v>
      </c>
      <c r="R74" s="221">
        <v>2723</v>
      </c>
      <c r="S74" s="6">
        <v>45181</v>
      </c>
      <c r="U74" s="6" t="s">
        <v>12</v>
      </c>
      <c r="AC74" s="4" t="s">
        <v>6142</v>
      </c>
      <c r="AD74" s="4" t="s">
        <v>33</v>
      </c>
      <c r="AE74" s="1" t="s">
        <v>35</v>
      </c>
      <c r="AF74" s="103" t="s">
        <v>6289</v>
      </c>
      <c r="AH74" s="101" t="s">
        <v>68</v>
      </c>
      <c r="AI74" s="1" t="s">
        <v>5459</v>
      </c>
      <c r="AL74" s="273">
        <v>45181.730727210648</v>
      </c>
      <c r="AM74" s="86" t="s">
        <v>54</v>
      </c>
      <c r="AN74" s="266">
        <v>9</v>
      </c>
      <c r="AO74" s="82" t="s">
        <v>6155</v>
      </c>
      <c r="AP74" s="82"/>
    </row>
    <row r="75" spans="1:42" hidden="1">
      <c r="A75" s="210">
        <f>SUBTOTAL(103,$I$5:I75)</f>
        <v>13</v>
      </c>
      <c r="B75" s="1" t="s">
        <v>6103</v>
      </c>
      <c r="C75" s="1" t="s">
        <v>3199</v>
      </c>
      <c r="D75" s="4" t="s">
        <v>1218</v>
      </c>
      <c r="E75" s="212" t="s">
        <v>6147</v>
      </c>
      <c r="F75" s="5" t="s">
        <v>129</v>
      </c>
      <c r="G75" s="7">
        <v>43517</v>
      </c>
      <c r="H75" s="7" t="s">
        <v>30</v>
      </c>
      <c r="I75" s="5" t="s">
        <v>1276</v>
      </c>
      <c r="J75" s="1" t="s">
        <v>39</v>
      </c>
      <c r="K75" s="265" t="s">
        <v>5916</v>
      </c>
      <c r="L75" s="212">
        <v>43882</v>
      </c>
      <c r="M75" s="212">
        <v>45174</v>
      </c>
      <c r="N75" s="7">
        <v>45176</v>
      </c>
      <c r="P75" s="280" t="s">
        <v>2</v>
      </c>
      <c r="Q75" s="3" t="s">
        <v>6104</v>
      </c>
      <c r="R75" s="221">
        <v>1997</v>
      </c>
      <c r="S75" s="6">
        <v>45177</v>
      </c>
      <c r="U75" s="6" t="s">
        <v>12</v>
      </c>
      <c r="AC75" s="4" t="s">
        <v>6143</v>
      </c>
      <c r="AD75" s="4" t="s">
        <v>33</v>
      </c>
      <c r="AE75" s="1" t="s">
        <v>35</v>
      </c>
      <c r="AF75" s="103" t="s">
        <v>6289</v>
      </c>
      <c r="AH75" s="101" t="s">
        <v>68</v>
      </c>
      <c r="AI75" s="1" t="s">
        <v>5459</v>
      </c>
      <c r="AL75" s="273">
        <v>45181.662829444445</v>
      </c>
      <c r="AM75" s="86" t="s">
        <v>54</v>
      </c>
      <c r="AN75" s="266">
        <v>9</v>
      </c>
      <c r="AO75" s="82" t="s">
        <v>6155</v>
      </c>
      <c r="AP75" s="82"/>
    </row>
    <row r="76" spans="1:42" hidden="1">
      <c r="A76" s="210">
        <f>SUBTOTAL(103,$I$5:I76)</f>
        <v>13</v>
      </c>
      <c r="B76" s="1" t="s">
        <v>6106</v>
      </c>
      <c r="C76" s="1" t="s">
        <v>3198</v>
      </c>
      <c r="D76" s="4" t="s">
        <v>40</v>
      </c>
      <c r="E76" s="212" t="s">
        <v>6147</v>
      </c>
      <c r="F76" s="5" t="s">
        <v>129</v>
      </c>
      <c r="G76" s="7">
        <v>42744</v>
      </c>
      <c r="H76" s="7" t="s">
        <v>49</v>
      </c>
      <c r="I76" s="5" t="s">
        <v>1136</v>
      </c>
      <c r="J76" s="1" t="s">
        <v>39</v>
      </c>
      <c r="K76" s="265" t="s">
        <v>5915</v>
      </c>
      <c r="L76" s="212">
        <v>43109</v>
      </c>
      <c r="M76" s="212">
        <v>45174</v>
      </c>
      <c r="N76" s="7">
        <v>45180</v>
      </c>
      <c r="P76" s="280" t="s">
        <v>2</v>
      </c>
      <c r="Q76" s="3" t="s">
        <v>6107</v>
      </c>
      <c r="R76" s="221">
        <v>8697</v>
      </c>
      <c r="S76" s="6">
        <v>45181</v>
      </c>
      <c r="U76" s="6" t="s">
        <v>12</v>
      </c>
      <c r="AC76" s="4" t="s">
        <v>6144</v>
      </c>
      <c r="AD76" s="4" t="s">
        <v>33</v>
      </c>
      <c r="AE76" s="1" t="s">
        <v>35</v>
      </c>
      <c r="AF76" s="103" t="s">
        <v>6289</v>
      </c>
      <c r="AH76" s="101" t="s">
        <v>68</v>
      </c>
      <c r="AI76" s="1" t="s">
        <v>5459</v>
      </c>
      <c r="AL76" s="273">
        <v>45181.739812210646</v>
      </c>
      <c r="AM76" s="86" t="s">
        <v>54</v>
      </c>
      <c r="AN76" s="266">
        <v>9</v>
      </c>
      <c r="AO76" s="82" t="s">
        <v>6155</v>
      </c>
      <c r="AP76" s="82"/>
    </row>
    <row r="77" spans="1:42" hidden="1">
      <c r="A77" s="210">
        <f>SUBTOTAL(103,$I$5:I77)</f>
        <v>13</v>
      </c>
      <c r="B77" s="1" t="s">
        <v>6112</v>
      </c>
      <c r="C77" s="1" t="s">
        <v>3199</v>
      </c>
      <c r="D77" s="4" t="s">
        <v>21</v>
      </c>
      <c r="E77" s="212" t="s">
        <v>6147</v>
      </c>
      <c r="F77" s="5" t="s">
        <v>129</v>
      </c>
      <c r="G77" s="7">
        <v>45140</v>
      </c>
      <c r="H77" s="7" t="s">
        <v>30</v>
      </c>
      <c r="I77" s="5" t="s">
        <v>6113</v>
      </c>
      <c r="J77" s="1" t="s">
        <v>39</v>
      </c>
      <c r="K77" s="265" t="s">
        <v>5916</v>
      </c>
      <c r="L77" s="212">
        <v>45506</v>
      </c>
      <c r="M77" s="212">
        <v>45177.581180555557</v>
      </c>
      <c r="N77" s="7">
        <v>45180.565844907411</v>
      </c>
      <c r="O77" s="72" t="s">
        <v>6145</v>
      </c>
      <c r="P77" s="280" t="s">
        <v>2</v>
      </c>
      <c r="Q77" s="3" t="s">
        <v>1485</v>
      </c>
      <c r="S77" s="6" t="s">
        <v>55</v>
      </c>
      <c r="U77" s="6" t="s">
        <v>12</v>
      </c>
      <c r="AC77" s="4" t="s">
        <v>6146</v>
      </c>
      <c r="AD77" s="4" t="s">
        <v>33</v>
      </c>
      <c r="AE77" s="1" t="s">
        <v>60</v>
      </c>
      <c r="AF77" s="103" t="s">
        <v>6302</v>
      </c>
      <c r="AG77" s="1" t="s">
        <v>5899</v>
      </c>
      <c r="AH77" s="101" t="s">
        <v>68</v>
      </c>
      <c r="AI77" s="1" t="s">
        <v>5338</v>
      </c>
      <c r="AL77" s="257">
        <v>45184.695197083332</v>
      </c>
      <c r="AM77" s="86" t="s">
        <v>54</v>
      </c>
      <c r="AN77" s="266">
        <v>6</v>
      </c>
      <c r="AO77" s="82" t="s">
        <v>6155</v>
      </c>
      <c r="AP77" s="82"/>
    </row>
    <row r="78" spans="1:42" hidden="1">
      <c r="A78" s="210">
        <f>SUBTOTAL(103,$I$5:I78)</f>
        <v>13</v>
      </c>
      <c r="B78" s="210" t="s">
        <v>6114</v>
      </c>
      <c r="C78" s="211" t="s">
        <v>3199</v>
      </c>
      <c r="D78" s="222" t="s">
        <v>21</v>
      </c>
      <c r="E78" s="212" t="s">
        <v>6147</v>
      </c>
      <c r="F78" s="212" t="s">
        <v>129</v>
      </c>
      <c r="G78" s="212">
        <v>44414</v>
      </c>
      <c r="H78" s="212" t="s">
        <v>30</v>
      </c>
      <c r="I78" s="210" t="s">
        <v>3317</v>
      </c>
      <c r="J78" s="212" t="s">
        <v>39</v>
      </c>
      <c r="K78" s="213" t="s">
        <v>5916</v>
      </c>
      <c r="L78" s="212">
        <v>44785</v>
      </c>
      <c r="M78" s="212">
        <v>45177.581736111111</v>
      </c>
      <c r="N78" s="212"/>
      <c r="O78" s="219"/>
      <c r="P78" s="214" t="s">
        <v>2</v>
      </c>
      <c r="Q78" s="214" t="s">
        <v>6266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54</v>
      </c>
      <c r="AE78" s="103" t="s">
        <v>35</v>
      </c>
      <c r="AF78" s="103" t="s">
        <v>6289</v>
      </c>
      <c r="AG78" s="103"/>
      <c r="AH78" s="217" t="s">
        <v>68</v>
      </c>
      <c r="AI78" s="217" t="s">
        <v>5459</v>
      </c>
      <c r="AJ78" s="217"/>
      <c r="AK78" s="217"/>
      <c r="AL78" s="256">
        <v>45181.771030428237</v>
      </c>
      <c r="AM78" s="218" t="s">
        <v>54</v>
      </c>
      <c r="AN78" s="266">
        <v>6</v>
      </c>
      <c r="AO78" s="82" t="s">
        <v>6155</v>
      </c>
      <c r="AP78" s="82"/>
    </row>
    <row r="79" spans="1:42" hidden="1">
      <c r="A79" s="210">
        <f>SUBTOTAL(103,$I$5:I79)</f>
        <v>13</v>
      </c>
      <c r="B79" s="1" t="s">
        <v>6115</v>
      </c>
      <c r="C79" s="1" t="s">
        <v>3199</v>
      </c>
      <c r="D79" s="4" t="s">
        <v>21</v>
      </c>
      <c r="E79" s="212" t="s">
        <v>6147</v>
      </c>
      <c r="F79" s="5" t="s">
        <v>129</v>
      </c>
      <c r="G79" s="7">
        <v>44520</v>
      </c>
      <c r="H79" s="7" t="s">
        <v>34</v>
      </c>
      <c r="I79" s="5" t="s">
        <v>4935</v>
      </c>
      <c r="J79" s="1" t="s">
        <v>1043</v>
      </c>
      <c r="K79" s="265" t="s">
        <v>5916</v>
      </c>
      <c r="L79" s="212">
        <v>44885</v>
      </c>
      <c r="M79" s="212">
        <v>45177</v>
      </c>
      <c r="P79" s="280" t="s">
        <v>2</v>
      </c>
      <c r="Q79" s="3" t="s">
        <v>6267</v>
      </c>
      <c r="R79" s="221">
        <v>14550</v>
      </c>
      <c r="S79" s="6">
        <v>45181</v>
      </c>
      <c r="U79" s="6" t="s">
        <v>12</v>
      </c>
      <c r="AC79" s="4" t="s">
        <v>6293</v>
      </c>
      <c r="AD79" s="4" t="s">
        <v>33</v>
      </c>
      <c r="AE79" s="1" t="s">
        <v>35</v>
      </c>
      <c r="AF79" s="103" t="s">
        <v>6289</v>
      </c>
      <c r="AH79" s="101" t="s">
        <v>68</v>
      </c>
      <c r="AI79" s="1" t="s">
        <v>5459</v>
      </c>
      <c r="AL79" s="257">
        <v>45181.789499386578</v>
      </c>
      <c r="AM79" s="86" t="s">
        <v>54</v>
      </c>
      <c r="AN79" s="266">
        <v>6</v>
      </c>
      <c r="AO79" s="82" t="s">
        <v>6155</v>
      </c>
      <c r="AP79" s="82"/>
    </row>
    <row r="80" spans="1:42" hidden="1">
      <c r="A80" s="210">
        <f>SUBTOTAL(103,$I$5:I80)</f>
        <v>13</v>
      </c>
      <c r="B80" s="1" t="s">
        <v>6116</v>
      </c>
      <c r="C80" s="1" t="s">
        <v>3199</v>
      </c>
      <c r="D80" s="4" t="s">
        <v>21</v>
      </c>
      <c r="E80" s="212" t="s">
        <v>6147</v>
      </c>
      <c r="F80" s="5" t="s">
        <v>129</v>
      </c>
      <c r="G80" s="7">
        <v>44250</v>
      </c>
      <c r="H80" s="7" t="s">
        <v>34</v>
      </c>
      <c r="I80" s="5" t="s">
        <v>1784</v>
      </c>
      <c r="J80" s="1" t="s">
        <v>1043</v>
      </c>
      <c r="K80" s="265" t="s">
        <v>5916</v>
      </c>
      <c r="L80" s="212">
        <v>44621</v>
      </c>
      <c r="M80" s="212">
        <v>45177</v>
      </c>
      <c r="O80" s="72" t="s">
        <v>6145</v>
      </c>
      <c r="P80" s="280" t="s">
        <v>3</v>
      </c>
      <c r="Q80" s="3" t="s">
        <v>1666</v>
      </c>
      <c r="R80" s="221">
        <v>17</v>
      </c>
      <c r="S80" s="6" t="s">
        <v>66</v>
      </c>
      <c r="U80" s="6" t="s">
        <v>12</v>
      </c>
      <c r="AC80" s="4" t="s">
        <v>6303</v>
      </c>
      <c r="AD80" s="4" t="s">
        <v>1102</v>
      </c>
      <c r="AE80" s="1" t="s">
        <v>60</v>
      </c>
      <c r="AF80" s="103" t="s">
        <v>6302</v>
      </c>
      <c r="AG80" s="1" t="s">
        <v>5899</v>
      </c>
      <c r="AH80" s="101" t="s">
        <v>68</v>
      </c>
      <c r="AI80" s="1" t="s">
        <v>5460</v>
      </c>
      <c r="AL80" s="257">
        <v>45182.527487118059</v>
      </c>
      <c r="AM80" s="86" t="s">
        <v>1102</v>
      </c>
      <c r="AN80" s="266">
        <v>6</v>
      </c>
      <c r="AO80" s="82" t="s">
        <v>6155</v>
      </c>
      <c r="AP80" s="82"/>
    </row>
    <row r="81" spans="1:42">
      <c r="A81" s="210">
        <f>SUBTOTAL(103,$I$5:I81)</f>
        <v>14</v>
      </c>
      <c r="B81" s="210" t="s">
        <v>6117</v>
      </c>
      <c r="C81" s="211" t="s">
        <v>1714</v>
      </c>
      <c r="D81" s="222" t="s">
        <v>44</v>
      </c>
      <c r="E81" s="212" t="s">
        <v>272</v>
      </c>
      <c r="F81" s="212" t="s">
        <v>22</v>
      </c>
      <c r="G81" s="212"/>
      <c r="H81" s="212" t="s">
        <v>30</v>
      </c>
      <c r="I81" s="210" t="s">
        <v>2465</v>
      </c>
      <c r="J81" s="212" t="s">
        <v>39</v>
      </c>
      <c r="K81" s="213" t="s">
        <v>5916</v>
      </c>
      <c r="M81" s="212">
        <v>45177.625791516206</v>
      </c>
      <c r="N81" s="212"/>
      <c r="O81" s="219"/>
      <c r="P81" s="214"/>
      <c r="Q81" s="214"/>
      <c r="R81" s="220"/>
      <c r="S81" s="214"/>
      <c r="T81" s="214"/>
      <c r="U81" s="214"/>
      <c r="V81" s="214"/>
      <c r="W81" s="214"/>
      <c r="Y81" s="214"/>
      <c r="Z81" s="214"/>
      <c r="AA81" s="214"/>
      <c r="AB81" s="214"/>
      <c r="AC81" s="219"/>
      <c r="AD81" s="219" t="s">
        <v>18</v>
      </c>
      <c r="AE81" s="103" t="s">
        <v>1053</v>
      </c>
      <c r="AF81" s="103" t="s">
        <v>6285</v>
      </c>
      <c r="AG81" s="103"/>
      <c r="AH81" s="216" t="s">
        <v>69</v>
      </c>
      <c r="AI81" s="103"/>
      <c r="AJ81" s="176"/>
      <c r="AK81" s="217"/>
      <c r="AL81" s="256">
        <v>45177.625791516206</v>
      </c>
      <c r="AM81" s="218" t="s">
        <v>18</v>
      </c>
      <c r="AN81" s="266">
        <v>6</v>
      </c>
      <c r="AO81" s="82" t="s">
        <v>6155</v>
      </c>
      <c r="AP81" s="82"/>
    </row>
    <row r="82" spans="1:42">
      <c r="A82" s="210">
        <f>SUBTOTAL(103,$I$5:I82)</f>
        <v>15</v>
      </c>
      <c r="B82" s="210" t="s">
        <v>6118</v>
      </c>
      <c r="C82" s="211" t="s">
        <v>1714</v>
      </c>
      <c r="D82" s="222" t="s">
        <v>41</v>
      </c>
      <c r="E82" s="212" t="s">
        <v>272</v>
      </c>
      <c r="F82" s="212" t="s">
        <v>22</v>
      </c>
      <c r="G82" s="212">
        <v>43259</v>
      </c>
      <c r="H82" s="212" t="s">
        <v>1103</v>
      </c>
      <c r="I82" s="210" t="s">
        <v>1206</v>
      </c>
      <c r="J82" s="212" t="s">
        <v>1043</v>
      </c>
      <c r="K82" s="213" t="s">
        <v>5919</v>
      </c>
      <c r="M82" s="212">
        <v>45177.625875787038</v>
      </c>
      <c r="N82" s="212"/>
      <c r="O82" s="219"/>
      <c r="P82" s="214"/>
      <c r="Q82" s="214"/>
      <c r="R82" s="220"/>
      <c r="S82" s="214"/>
      <c r="T82" s="214"/>
      <c r="U82" s="214"/>
      <c r="V82" s="214"/>
      <c r="W82" s="214"/>
      <c r="Y82" s="214"/>
      <c r="Z82" s="214"/>
      <c r="AA82" s="214"/>
      <c r="AB82" s="214"/>
      <c r="AC82" s="219"/>
      <c r="AD82" s="219" t="s">
        <v>18</v>
      </c>
      <c r="AE82" s="103" t="s">
        <v>1053</v>
      </c>
      <c r="AF82" s="103" t="s">
        <v>6285</v>
      </c>
      <c r="AG82" s="103"/>
      <c r="AH82" s="216" t="s">
        <v>69</v>
      </c>
      <c r="AI82" s="103"/>
      <c r="AJ82" s="176"/>
      <c r="AK82" s="217"/>
      <c r="AL82" s="256">
        <v>45177.625875787038</v>
      </c>
      <c r="AM82" s="218" t="s">
        <v>18</v>
      </c>
      <c r="AN82" s="266">
        <v>6</v>
      </c>
      <c r="AO82" s="82" t="s">
        <v>6155</v>
      </c>
      <c r="AP82" s="82"/>
    </row>
    <row r="83" spans="1:42" hidden="1">
      <c r="A83" s="210">
        <f>SUBTOTAL(103,$I$5:I83)</f>
        <v>15</v>
      </c>
      <c r="B83" s="1" t="s">
        <v>6119</v>
      </c>
      <c r="C83" s="1" t="s">
        <v>3198</v>
      </c>
      <c r="D83" s="4" t="s">
        <v>3766</v>
      </c>
      <c r="E83" s="212" t="s">
        <v>6148</v>
      </c>
      <c r="F83" s="5" t="s">
        <v>22</v>
      </c>
      <c r="G83" s="7">
        <v>42515</v>
      </c>
      <c r="H83" s="7" t="s">
        <v>64</v>
      </c>
      <c r="I83" s="5" t="s">
        <v>2283</v>
      </c>
      <c r="J83" s="1" t="s">
        <v>1043</v>
      </c>
      <c r="K83" s="265" t="s">
        <v>5922</v>
      </c>
      <c r="L83" s="212">
        <v>42880</v>
      </c>
      <c r="M83" s="212">
        <v>45177.631076388891</v>
      </c>
      <c r="N83" s="7">
        <v>45177.635810185187</v>
      </c>
      <c r="O83" s="72" t="s">
        <v>6126</v>
      </c>
      <c r="P83" s="280" t="s">
        <v>2</v>
      </c>
      <c r="Q83" s="3" t="s">
        <v>6120</v>
      </c>
      <c r="R83" s="221">
        <v>1644</v>
      </c>
      <c r="S83" s="6">
        <v>45180</v>
      </c>
      <c r="U83" s="6" t="s">
        <v>12</v>
      </c>
      <c r="AC83" s="4" t="s">
        <v>6125</v>
      </c>
      <c r="AD83" s="4" t="s">
        <v>33</v>
      </c>
      <c r="AE83" s="1" t="s">
        <v>35</v>
      </c>
      <c r="AF83" s="103" t="s">
        <v>6289</v>
      </c>
      <c r="AH83" s="101" t="s">
        <v>68</v>
      </c>
      <c r="AI83" s="1" t="s">
        <v>5460</v>
      </c>
      <c r="AL83" s="257">
        <v>45177.699184965277</v>
      </c>
      <c r="AM83" s="86" t="s">
        <v>18</v>
      </c>
      <c r="AN83" s="266">
        <v>6</v>
      </c>
      <c r="AO83" s="82">
        <v>5</v>
      </c>
      <c r="AP83" s="82"/>
    </row>
    <row r="84" spans="1:42" hidden="1">
      <c r="A84" s="210">
        <f>SUBTOTAL(103,$I$5:I84)</f>
        <v>15</v>
      </c>
      <c r="B84" s="1" t="s">
        <v>6121</v>
      </c>
      <c r="C84" s="1" t="s">
        <v>3198</v>
      </c>
      <c r="D84" s="4" t="s">
        <v>4165</v>
      </c>
      <c r="E84" s="212" t="s">
        <v>6148</v>
      </c>
      <c r="F84" s="5" t="s">
        <v>22</v>
      </c>
      <c r="G84" s="7">
        <v>43743</v>
      </c>
      <c r="H84" s="7" t="s">
        <v>58</v>
      </c>
      <c r="I84" s="5" t="s">
        <v>6122</v>
      </c>
      <c r="J84" s="1" t="s">
        <v>1043</v>
      </c>
      <c r="K84" s="265" t="s">
        <v>5919</v>
      </c>
      <c r="L84" s="212">
        <v>44109</v>
      </c>
      <c r="M84" s="212">
        <v>45177.637164351851</v>
      </c>
      <c r="N84" s="7">
        <v>45177.690509259257</v>
      </c>
      <c r="O84" s="72" t="s">
        <v>6128</v>
      </c>
      <c r="P84" s="280" t="s">
        <v>2</v>
      </c>
      <c r="Q84" s="3" t="s">
        <v>6123</v>
      </c>
      <c r="R84" s="221">
        <v>3674</v>
      </c>
      <c r="S84" s="6">
        <v>45180</v>
      </c>
      <c r="U84" s="6" t="s">
        <v>12</v>
      </c>
      <c r="AC84" s="4" t="s">
        <v>6127</v>
      </c>
      <c r="AD84" s="4" t="s">
        <v>33</v>
      </c>
      <c r="AE84" s="103" t="s">
        <v>35</v>
      </c>
      <c r="AF84" s="103" t="s">
        <v>6289</v>
      </c>
      <c r="AH84" s="101" t="s">
        <v>68</v>
      </c>
      <c r="AI84" s="1" t="s">
        <v>5460</v>
      </c>
      <c r="AL84" s="257">
        <v>45177.698994467595</v>
      </c>
      <c r="AM84" s="86" t="s">
        <v>18</v>
      </c>
      <c r="AN84" s="266">
        <v>6</v>
      </c>
      <c r="AO84" s="82">
        <v>5</v>
      </c>
      <c r="AP84" s="82"/>
    </row>
    <row r="85" spans="1:42">
      <c r="A85" s="210">
        <f>SUBTOTAL(103,$I$5:I85)</f>
        <v>16</v>
      </c>
      <c r="B85" s="210" t="s">
        <v>6269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44868</v>
      </c>
      <c r="H85" s="212" t="s">
        <v>1123</v>
      </c>
      <c r="I85" s="210" t="s">
        <v>5285</v>
      </c>
      <c r="J85" s="212" t="s">
        <v>39</v>
      </c>
      <c r="K85" s="213" t="s">
        <v>5915</v>
      </c>
      <c r="L85" s="212">
        <v>45233</v>
      </c>
      <c r="M85" s="212"/>
      <c r="N85" s="212"/>
      <c r="O85" s="219"/>
      <c r="P85" s="214"/>
      <c r="Q85" s="214"/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1053</v>
      </c>
      <c r="AF85" s="103" t="s">
        <v>6285</v>
      </c>
      <c r="AG85" s="103"/>
      <c r="AH85" s="216" t="s">
        <v>69</v>
      </c>
      <c r="AI85" s="103"/>
      <c r="AJ85" s="176"/>
      <c r="AK85" s="217"/>
      <c r="AL85" s="256">
        <v>45182.719712719911</v>
      </c>
      <c r="AM85" s="218" t="s">
        <v>18</v>
      </c>
      <c r="AN85" s="266">
        <v>6</v>
      </c>
      <c r="AO85" s="82">
        <v>5</v>
      </c>
      <c r="AP85" s="82"/>
    </row>
    <row r="86" spans="1:42">
      <c r="A86" s="210">
        <f>SUBTOTAL(103,$I$5:I86)</f>
        <v>17</v>
      </c>
      <c r="B86" s="1" t="s">
        <v>6270</v>
      </c>
      <c r="C86" s="1" t="s">
        <v>1714</v>
      </c>
      <c r="D86" s="4" t="s">
        <v>41</v>
      </c>
      <c r="E86" s="212" t="s">
        <v>272</v>
      </c>
      <c r="F86" s="5" t="s">
        <v>129</v>
      </c>
      <c r="G86" s="7">
        <v>42724</v>
      </c>
      <c r="H86" s="7" t="s">
        <v>51</v>
      </c>
      <c r="I86" s="5" t="s">
        <v>3024</v>
      </c>
      <c r="J86" s="1" t="s">
        <v>1043</v>
      </c>
      <c r="K86" s="265" t="s">
        <v>5915</v>
      </c>
      <c r="L86" s="212">
        <v>43089</v>
      </c>
      <c r="M86" s="212">
        <v>45181</v>
      </c>
      <c r="P86" s="280" t="s">
        <v>2</v>
      </c>
      <c r="Q86" s="3" t="s">
        <v>6271</v>
      </c>
      <c r="R86" s="221">
        <v>1641</v>
      </c>
      <c r="S86" s="6" t="s">
        <v>66</v>
      </c>
      <c r="U86" s="6" t="s">
        <v>12</v>
      </c>
      <c r="AC86" s="4" t="s">
        <v>6304</v>
      </c>
      <c r="AD86" s="4" t="s">
        <v>18</v>
      </c>
      <c r="AE86" s="1" t="s">
        <v>60</v>
      </c>
      <c r="AF86" s="103" t="s">
        <v>6302</v>
      </c>
      <c r="AH86" s="101" t="s">
        <v>68</v>
      </c>
      <c r="AI86" s="1" t="s">
        <v>5460</v>
      </c>
      <c r="AL86" s="257">
        <v>45183.722180625002</v>
      </c>
      <c r="AM86" s="86" t="s">
        <v>18</v>
      </c>
      <c r="AN86" s="266">
        <v>6</v>
      </c>
      <c r="AO86" s="82">
        <v>5</v>
      </c>
      <c r="AP86" s="82"/>
    </row>
    <row r="87" spans="1:42">
      <c r="A87" s="210">
        <f>SUBTOTAL(103,$I$5:I87)</f>
        <v>18</v>
      </c>
      <c r="B87" s="1" t="s">
        <v>6272</v>
      </c>
      <c r="C87" s="1" t="s">
        <v>1714</v>
      </c>
      <c r="D87" s="4" t="s">
        <v>41</v>
      </c>
      <c r="E87" s="212" t="s">
        <v>272</v>
      </c>
      <c r="F87" s="5" t="s">
        <v>129</v>
      </c>
      <c r="G87" s="7">
        <v>42725</v>
      </c>
      <c r="H87" s="7" t="s">
        <v>1124</v>
      </c>
      <c r="I87" s="5" t="s">
        <v>1184</v>
      </c>
      <c r="J87" s="1" t="s">
        <v>39</v>
      </c>
      <c r="K87" s="265">
        <v>760</v>
      </c>
      <c r="M87" s="212">
        <v>45181</v>
      </c>
      <c r="N87" s="7">
        <v>45187</v>
      </c>
      <c r="P87" s="280" t="s">
        <v>2</v>
      </c>
      <c r="Q87" s="3" t="s">
        <v>2597</v>
      </c>
      <c r="AF87" s="103" t="s">
        <v>6302</v>
      </c>
      <c r="AL87" s="257"/>
      <c r="AN87" s="266">
        <v>6</v>
      </c>
      <c r="AO87" s="82">
        <v>5</v>
      </c>
      <c r="AP87" s="82"/>
    </row>
    <row r="88" spans="1:42" hidden="1">
      <c r="A88" s="210">
        <f>SUBTOTAL(103,$I$5:I88)</f>
        <v>18</v>
      </c>
      <c r="B88" s="1" t="s">
        <v>6277</v>
      </c>
      <c r="C88" s="1" t="s">
        <v>3199</v>
      </c>
      <c r="D88" s="4" t="s">
        <v>37</v>
      </c>
      <c r="E88" s="212" t="s">
        <v>6147</v>
      </c>
      <c r="F88" s="5" t="s">
        <v>129</v>
      </c>
      <c r="G88" s="7">
        <v>43466</v>
      </c>
      <c r="H88" s="7" t="s">
        <v>45</v>
      </c>
      <c r="I88" s="5" t="s">
        <v>6278</v>
      </c>
      <c r="J88" s="1" t="s">
        <v>1042</v>
      </c>
      <c r="K88" s="265" t="s">
        <v>5917</v>
      </c>
      <c r="L88" s="212">
        <v>43831</v>
      </c>
      <c r="M88" s="212">
        <v>45183</v>
      </c>
      <c r="P88" s="280" t="s">
        <v>4</v>
      </c>
      <c r="Q88" s="3" t="s">
        <v>4867</v>
      </c>
      <c r="R88" s="221">
        <v>1598</v>
      </c>
      <c r="S88" s="6">
        <v>45184</v>
      </c>
      <c r="U88" s="6" t="s">
        <v>12</v>
      </c>
      <c r="AC88" s="4" t="s">
        <v>6294</v>
      </c>
      <c r="AD88" s="4" t="s">
        <v>18</v>
      </c>
      <c r="AE88" s="1" t="s">
        <v>3611</v>
      </c>
      <c r="AF88" s="103" t="s">
        <v>6288</v>
      </c>
      <c r="AG88" s="103"/>
      <c r="AH88" s="101" t="s">
        <v>68</v>
      </c>
      <c r="AI88" s="1" t="s">
        <v>5460</v>
      </c>
      <c r="AL88" s="257">
        <v>45184.777648958334</v>
      </c>
      <c r="AM88" s="86" t="s">
        <v>18</v>
      </c>
      <c r="AN88" s="266">
        <v>6</v>
      </c>
      <c r="AO88" s="82">
        <v>5</v>
      </c>
      <c r="AP88" s="82"/>
    </row>
    <row r="89" spans="1:42">
      <c r="A89" s="210">
        <f>SUBTOTAL(103,$I$5:I89)</f>
        <v>19</v>
      </c>
      <c r="B89" s="210" t="s">
        <v>6279</v>
      </c>
      <c r="C89" s="211" t="s">
        <v>1714</v>
      </c>
      <c r="D89" s="222" t="s">
        <v>41</v>
      </c>
      <c r="E89" s="212" t="s">
        <v>272</v>
      </c>
      <c r="F89" s="212" t="s">
        <v>129</v>
      </c>
      <c r="G89" s="212">
        <v>43552</v>
      </c>
      <c r="H89" s="212" t="s">
        <v>1193</v>
      </c>
      <c r="I89" s="210" t="s">
        <v>5071</v>
      </c>
      <c r="J89" s="212" t="s">
        <v>5072</v>
      </c>
      <c r="K89" s="213" t="s">
        <v>5920</v>
      </c>
      <c r="L89" s="212">
        <v>43918</v>
      </c>
      <c r="M89" s="212"/>
      <c r="N89" s="212"/>
      <c r="O89" s="219"/>
      <c r="P89" s="214"/>
      <c r="Q89" s="214"/>
      <c r="R89" s="220"/>
      <c r="S89" s="214"/>
      <c r="T89" s="214"/>
      <c r="U89" s="214"/>
      <c r="V89" s="214"/>
      <c r="W89" s="214"/>
      <c r="Y89" s="214"/>
      <c r="Z89" s="214"/>
      <c r="AA89" s="214"/>
      <c r="AB89" s="214"/>
      <c r="AC89" s="219"/>
      <c r="AD89" s="219" t="s">
        <v>54</v>
      </c>
      <c r="AE89" s="103" t="s">
        <v>1053</v>
      </c>
      <c r="AF89" s="103" t="s">
        <v>6285</v>
      </c>
      <c r="AG89" s="103"/>
      <c r="AH89" s="216" t="s">
        <v>69</v>
      </c>
      <c r="AI89" s="103"/>
      <c r="AJ89" s="176"/>
      <c r="AK89" s="217"/>
      <c r="AL89" s="256">
        <v>45183.832653750003</v>
      </c>
      <c r="AM89" s="218" t="s">
        <v>18</v>
      </c>
      <c r="AN89" s="266">
        <v>6</v>
      </c>
      <c r="AO89" s="82">
        <v>5</v>
      </c>
      <c r="AP89" s="82"/>
    </row>
    <row r="90" spans="1:42" hidden="1">
      <c r="A90" s="210">
        <f>SUBTOTAL(103,$I$5:I90)</f>
        <v>19</v>
      </c>
      <c r="B90" s="210" t="s">
        <v>6280</v>
      </c>
      <c r="C90" s="211" t="s">
        <v>3199</v>
      </c>
      <c r="D90" s="222" t="s">
        <v>2330</v>
      </c>
      <c r="E90" s="212"/>
      <c r="F90" s="212" t="s">
        <v>22</v>
      </c>
      <c r="G90" s="212">
        <v>44211</v>
      </c>
      <c r="H90" s="212" t="s">
        <v>1080</v>
      </c>
      <c r="I90" s="210" t="s">
        <v>2331</v>
      </c>
      <c r="J90" s="212" t="s">
        <v>39</v>
      </c>
      <c r="K90" s="213" t="s">
        <v>5920</v>
      </c>
      <c r="L90" s="212">
        <v>44576</v>
      </c>
      <c r="M90" s="212"/>
      <c r="N90" s="212"/>
      <c r="O90" s="219"/>
      <c r="P90" s="214"/>
      <c r="Q90" s="214"/>
      <c r="R90" s="220"/>
      <c r="S90" s="214"/>
      <c r="T90" s="214"/>
      <c r="U90" s="214"/>
      <c r="V90" s="214"/>
      <c r="W90" s="214"/>
      <c r="Y90" s="214"/>
      <c r="Z90" s="214"/>
      <c r="AA90" s="214"/>
      <c r="AB90" s="214"/>
      <c r="AC90" s="219"/>
      <c r="AD90" s="219" t="s">
        <v>18</v>
      </c>
      <c r="AE90" s="103" t="s">
        <v>1053</v>
      </c>
      <c r="AF90" s="103" t="s">
        <v>6285</v>
      </c>
      <c r="AG90" s="103"/>
      <c r="AH90" s="217" t="s">
        <v>69</v>
      </c>
      <c r="AI90" s="217"/>
      <c r="AJ90" s="217"/>
      <c r="AK90" s="217"/>
      <c r="AL90" s="256">
        <v>45184.472306493059</v>
      </c>
      <c r="AM90" s="218" t="s">
        <v>18</v>
      </c>
      <c r="AN90" s="266">
        <v>6</v>
      </c>
      <c r="AO90" s="82">
        <v>5</v>
      </c>
      <c r="AP90" s="82"/>
    </row>
    <row r="91" spans="1:42">
      <c r="A91" s="210">
        <f>SUBTOTAL(103,$I$5:I91)</f>
        <v>20</v>
      </c>
      <c r="B91" s="1" t="s">
        <v>6281</v>
      </c>
      <c r="C91" s="1" t="s">
        <v>1714</v>
      </c>
      <c r="D91" s="4" t="s">
        <v>41</v>
      </c>
      <c r="E91" s="212" t="s">
        <v>272</v>
      </c>
      <c r="F91" s="5" t="s">
        <v>22</v>
      </c>
      <c r="G91" s="7">
        <v>42977</v>
      </c>
      <c r="H91" s="7" t="s">
        <v>38</v>
      </c>
      <c r="I91" s="5" t="s">
        <v>2808</v>
      </c>
      <c r="J91" s="1" t="s">
        <v>39</v>
      </c>
      <c r="K91" s="265" t="s">
        <v>5922</v>
      </c>
      <c r="L91" s="212">
        <v>43342</v>
      </c>
      <c r="M91" s="212"/>
      <c r="N91" s="7">
        <v>45189</v>
      </c>
      <c r="O91" s="72" t="s">
        <v>6305</v>
      </c>
      <c r="P91" s="280" t="s">
        <v>2</v>
      </c>
      <c r="Q91" s="3" t="s">
        <v>17</v>
      </c>
      <c r="S91" s="6" t="s">
        <v>55</v>
      </c>
      <c r="T91" s="6">
        <v>45188</v>
      </c>
      <c r="U91" s="6" t="s">
        <v>12</v>
      </c>
      <c r="AD91" s="4" t="s">
        <v>20</v>
      </c>
      <c r="AE91" s="1" t="s">
        <v>28</v>
      </c>
      <c r="AF91" s="103" t="s">
        <v>6295</v>
      </c>
      <c r="AG91" s="1" t="s">
        <v>6306</v>
      </c>
      <c r="AH91" s="101" t="s">
        <v>69</v>
      </c>
      <c r="AL91" s="257">
        <v>45184.598944444442</v>
      </c>
      <c r="AM91" s="86" t="s">
        <v>18</v>
      </c>
      <c r="AN91" s="266">
        <v>6</v>
      </c>
      <c r="AO91" s="82">
        <v>5</v>
      </c>
      <c r="AP91" s="82"/>
    </row>
  </sheetData>
  <autoFilter ref="A4:AP90" xr:uid="{00000000-0009-0000-0000-000005000000}">
    <filterColumn colId="2">
      <filters>
        <filter val="FF asset"/>
      </filters>
    </filterColumn>
  </autoFilter>
  <dataConsolidate/>
  <phoneticPr fontId="23"/>
  <conditionalFormatting sqref="J2">
    <cfRule type="duplicateValues" dxfId="75" priority="7390"/>
  </conditionalFormatting>
  <conditionalFormatting sqref="I1:I1048576">
    <cfRule type="duplicateValues" dxfId="74" priority="15"/>
    <cfRule type="duplicateValues" dxfId="73" priority="435"/>
  </conditionalFormatting>
  <conditionalFormatting sqref="B1:B1048576">
    <cfRule type="duplicateValues" dxfId="72" priority="87"/>
  </conditionalFormatting>
  <conditionalFormatting sqref="X1:X2 X88:X1048576 AN5:AP91 A5:AG91">
    <cfRule type="expression" dxfId="71" priority="14">
      <formula>$A1&lt;&gt;""</formula>
    </cfRule>
  </conditionalFormatting>
  <conditionalFormatting sqref="X1:X2 X88:X1048576 A5:AG91">
    <cfRule type="expression" dxfId="70" priority="88">
      <formula>IF(SEARCH("Received",$AE1),1,0)</formula>
    </cfRule>
    <cfRule type="expression" dxfId="69" priority="89">
      <formula>IF(SEARCH("under inspection",$AE1),1,0)</formula>
    </cfRule>
    <cfRule type="expression" dxfId="68" priority="90">
      <formula>IF(SEARCH("prepairing quotation",$AE1),1,0)</formula>
    </cfRule>
    <cfRule type="expression" dxfId="67" priority="91">
      <formula>IF(SEARCH("waiting confirm",$AE1),1,0)</formula>
    </cfRule>
    <cfRule type="expression" dxfId="66" priority="92">
      <formula>IF(SEARCH("waiting approved",$AE1),1,0)</formula>
    </cfRule>
    <cfRule type="expression" dxfId="65" priority="93">
      <formula>IF(SEARCH("waiting for part",$AE1),1,0)</formula>
    </cfRule>
    <cfRule type="expression" dxfId="64" priority="94">
      <formula>IF(SEARCH("under repair",$AE1),1,0)</formula>
    </cfRule>
    <cfRule type="expression" dxfId="63" priority="95">
      <formula>IF(SEARCH("waiting for repair",$AE1),1,0)</formula>
    </cfRule>
    <cfRule type="expression" dxfId="62" priority="96">
      <formula>IF(SEARCH("Completed repair",$AE1),1,0)</formula>
    </cfRule>
    <cfRule type="expression" dxfId="61" priority="97">
      <formula>IF(SEARCH("Transfer to sale team",$AE1),1,0)</formula>
    </cfRule>
    <cfRule type="expression" dxfId="60" priority="109">
      <formula>MOD($A1,2)</formula>
    </cfRule>
  </conditionalFormatting>
  <conditionalFormatting sqref="A3:A4">
    <cfRule type="duplicateValues" dxfId="59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AF5:AF91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58" priority="25">
      <formula>IF(N3&gt;$Q3,1,0)</formula>
    </cfRule>
  </conditionalFormatting>
  <conditionalFormatting sqref="J3:T500">
    <cfRule type="expression" dxfId="57" priority="27">
      <formula>IF($S3&lt;&gt;"",1,0)</formula>
    </cfRule>
  </conditionalFormatting>
  <conditionalFormatting sqref="A3">
    <cfRule type="expression" dxfId="56" priority="1">
      <formula>IF(SEARCH("Received",$AE3),1,0)</formula>
    </cfRule>
    <cfRule type="expression" dxfId="55" priority="2">
      <formula>IF(SEARCH("under inspection",$AE3),1,0)</formula>
    </cfRule>
    <cfRule type="expression" dxfId="54" priority="3">
      <formula>IF(SEARCH("prepairing quotation",$AE3),1,0)</formula>
    </cfRule>
    <cfRule type="expression" dxfId="53" priority="4">
      <formula>IF(SEARCH("waiting confirm",$AE3),1,0)</formula>
    </cfRule>
    <cfRule type="expression" dxfId="52" priority="5">
      <formula>IF(SEARCH("waiting approved",$AE3),1,0)</formula>
    </cfRule>
    <cfRule type="expression" dxfId="51" priority="6">
      <formula>IF(SEARCH("waiting for part",$AE3),1,0)</formula>
    </cfRule>
    <cfRule type="expression" dxfId="50" priority="7">
      <formula>IF(SEARCH("under repair",$AE3),1,0)</formula>
    </cfRule>
    <cfRule type="expression" dxfId="49" priority="8">
      <formula>IF(SEARCH("waiting for repair",$AE3),1,0)</formula>
    </cfRule>
    <cfRule type="expression" dxfId="48" priority="9">
      <formula>IF(SEARCH("Completed repair",$AE3),1,0)</formula>
    </cfRule>
    <cfRule type="expression" dxfId="47" priority="10">
      <formula>IF(SEARCH("Transfer to sale team",$AE3),1,0)</formula>
    </cfRule>
    <cfRule type="expression" dxfId="46" priority="11">
      <formula>MOD($A3,2)</formula>
    </cfRule>
  </conditionalFormatting>
  <conditionalFormatting sqref="A3">
    <cfRule type="duplicateValues" dxfId="45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4" priority="3"/>
  </conditionalFormatting>
  <conditionalFormatting sqref="A1:A1048576">
    <cfRule type="duplicateValues" dxfId="43" priority="1"/>
    <cfRule type="duplicateValues" dxfId="42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53" t="s">
        <v>265</v>
      </c>
      <c r="B2" s="353"/>
      <c r="C2" s="353"/>
      <c r="D2" s="353"/>
      <c r="E2" s="353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1" priority="1"/>
  </conditionalFormatting>
  <conditionalFormatting sqref="C6">
    <cfRule type="duplicateValues" dxfId="40" priority="2"/>
  </conditionalFormatting>
  <conditionalFormatting sqref="C5">
    <cfRule type="duplicateValues" dxfId="39" priority="3"/>
  </conditionalFormatting>
  <conditionalFormatting sqref="C4">
    <cfRule type="duplicateValues" dxfId="38" priority="4"/>
  </conditionalFormatting>
  <conditionalFormatting sqref="C7">
    <cfRule type="duplicateValues" dxfId="37" priority="5"/>
  </conditionalFormatting>
  <conditionalFormatting sqref="C14">
    <cfRule type="duplicateValues" dxfId="36" priority="6"/>
  </conditionalFormatting>
  <conditionalFormatting sqref="C15">
    <cfRule type="duplicateValues" dxfId="35" priority="7"/>
  </conditionalFormatting>
  <conditionalFormatting sqref="C16">
    <cfRule type="duplicateValues" dxfId="34" priority="8"/>
  </conditionalFormatting>
  <conditionalFormatting sqref="C17">
    <cfRule type="duplicateValues" dxfId="33" priority="9"/>
  </conditionalFormatting>
  <conditionalFormatting sqref="C19">
    <cfRule type="duplicateValues" dxfId="32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1038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7" sqref="Y7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0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6014</v>
      </c>
      <c r="W1" s="9" t="s">
        <v>5465</v>
      </c>
      <c r="X1" s="9" t="s">
        <v>5848</v>
      </c>
      <c r="Y1" s="9" t="s">
        <v>6011</v>
      </c>
      <c r="Z1" s="9" t="s">
        <v>6015</v>
      </c>
      <c r="AA1" s="9" t="s">
        <v>6012</v>
      </c>
      <c r="AB1" s="9" t="s">
        <v>6016</v>
      </c>
      <c r="AC1" s="9" t="s">
        <v>6013</v>
      </c>
      <c r="AD1" s="9" t="s">
        <v>5850</v>
      </c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>
      <c r="A3" s="339">
        <f>COUNTA($E$3:E3)</f>
        <v>1</v>
      </c>
      <c r="B3" s="339" t="s">
        <v>4758</v>
      </c>
      <c r="C3" s="339" t="s">
        <v>40</v>
      </c>
      <c r="D3" s="339" t="s">
        <v>51</v>
      </c>
      <c r="E3" s="339" t="s">
        <v>4759</v>
      </c>
      <c r="F3" s="338">
        <v>44973</v>
      </c>
      <c r="G3" s="338"/>
      <c r="H3" s="338">
        <v>45007</v>
      </c>
      <c r="I3" s="338" t="s">
        <v>2</v>
      </c>
      <c r="J3" s="339" t="s">
        <v>1249</v>
      </c>
      <c r="K3" s="339" t="s">
        <v>1102</v>
      </c>
      <c r="L3" s="170">
        <v>45189</v>
      </c>
      <c r="M3" s="177" t="s">
        <v>6038</v>
      </c>
      <c r="N3" s="179"/>
      <c r="O3" s="178"/>
      <c r="Q3" t="s">
        <v>129</v>
      </c>
      <c r="S3" s="186">
        <v>45007</v>
      </c>
      <c r="T3" s="194">
        <v>45007</v>
      </c>
      <c r="U3" s="194">
        <v>45007</v>
      </c>
      <c r="V3" s="290">
        <f>IFERROR(NETWORKDAYS.INTL(T3,U3),1)</f>
        <v>1</v>
      </c>
      <c r="W3" s="198">
        <v>0</v>
      </c>
      <c r="X3" s="198">
        <v>45182.796944444446</v>
      </c>
      <c r="Y3" s="199">
        <f>IFERROR(NETWORKDAYS.INTL(W3,X3),1)</f>
        <v>32273</v>
      </c>
      <c r="Z3" s="204">
        <v>45182</v>
      </c>
      <c r="AA3" s="205">
        <f>IFERROR(NETWORKDAYS.INTL(Z3,AB3),1)</f>
        <v>1</v>
      </c>
      <c r="AB3" s="204">
        <v>45182</v>
      </c>
      <c r="AC3" s="187">
        <f>IFERROR(NETWORKDAYS.INTL(S3,AB3),1)</f>
        <v>126</v>
      </c>
      <c r="AD3" s="186" t="str">
        <f>IF(N3&lt;&gt;"",N3,"")</f>
        <v/>
      </c>
    </row>
    <row r="4" spans="1:30">
      <c r="A4" s="340">
        <f>COUNTA($E$3:E4)</f>
        <v>2</v>
      </c>
      <c r="B4" s="340" t="s">
        <v>4824</v>
      </c>
      <c r="C4" s="340" t="s">
        <v>37</v>
      </c>
      <c r="D4" s="340" t="s">
        <v>27</v>
      </c>
      <c r="E4" s="340" t="s">
        <v>4825</v>
      </c>
      <c r="F4" s="341">
        <v>44985.713379629633</v>
      </c>
      <c r="G4" s="341">
        <v>45014</v>
      </c>
      <c r="H4" s="341">
        <v>45000</v>
      </c>
      <c r="I4" s="341" t="s">
        <v>4</v>
      </c>
      <c r="J4" s="340" t="s">
        <v>1093</v>
      </c>
      <c r="K4" s="340" t="s">
        <v>1295</v>
      </c>
      <c r="L4" s="170">
        <v>45189</v>
      </c>
      <c r="M4" s="177"/>
      <c r="N4" s="179"/>
      <c r="O4" s="178"/>
      <c r="Q4" t="s">
        <v>129</v>
      </c>
      <c r="S4" s="186">
        <v>45000</v>
      </c>
      <c r="T4" s="194">
        <v>45000</v>
      </c>
      <c r="U4" s="194">
        <v>45000</v>
      </c>
      <c r="V4" s="290"/>
      <c r="W4" s="198"/>
      <c r="X4" s="198">
        <v>45181.492129629631</v>
      </c>
      <c r="Y4" s="199">
        <v>32272</v>
      </c>
      <c r="Z4" s="204">
        <v>45181</v>
      </c>
      <c r="AA4" s="205">
        <v>3</v>
      </c>
      <c r="AB4" s="204">
        <v>45183</v>
      </c>
      <c r="AC4" s="187">
        <v>132</v>
      </c>
      <c r="AD4" s="186"/>
    </row>
    <row r="5" spans="1:30">
      <c r="A5" s="340">
        <f>COUNTA($E$3:E5)</f>
        <v>3</v>
      </c>
      <c r="B5" s="340" t="s">
        <v>5477</v>
      </c>
      <c r="C5" s="340" t="s">
        <v>40</v>
      </c>
      <c r="D5" s="340" t="s">
        <v>34</v>
      </c>
      <c r="E5" s="340" t="s">
        <v>2249</v>
      </c>
      <c r="F5" s="341">
        <v>45096.681759259256</v>
      </c>
      <c r="G5" s="341"/>
      <c r="H5" s="341"/>
      <c r="I5" s="341" t="s">
        <v>2</v>
      </c>
      <c r="J5" s="340" t="s">
        <v>5478</v>
      </c>
      <c r="K5" s="340" t="s">
        <v>1296</v>
      </c>
      <c r="L5" s="170">
        <v>45189</v>
      </c>
      <c r="M5" s="177" t="s">
        <v>6038</v>
      </c>
      <c r="N5" s="179"/>
      <c r="O5" s="178"/>
      <c r="Q5" t="s">
        <v>129</v>
      </c>
      <c r="S5" s="186">
        <v>45097.560868055552</v>
      </c>
      <c r="T5" s="194">
        <v>45097.560868055552</v>
      </c>
      <c r="U5" s="194" t="str">
        <f t="shared" ref="U5:U32" si="0">IF(H5&lt;&gt;"",H5,"")</f>
        <v/>
      </c>
      <c r="V5" s="290"/>
      <c r="W5" s="198"/>
      <c r="X5" s="198">
        <v>45182.542581018519</v>
      </c>
      <c r="Y5" s="199">
        <v>32273</v>
      </c>
      <c r="Z5" s="204">
        <v>45182</v>
      </c>
      <c r="AA5" s="205">
        <v>1</v>
      </c>
      <c r="AB5" s="204">
        <v>45182</v>
      </c>
      <c r="AC5" s="187">
        <v>62</v>
      </c>
      <c r="AD5" s="186"/>
    </row>
    <row r="6" spans="1:30">
      <c r="A6" s="340">
        <f>COUNTA($E$3:E6)</f>
        <v>4</v>
      </c>
      <c r="B6" s="340" t="s">
        <v>5480</v>
      </c>
      <c r="C6" s="340" t="s">
        <v>40</v>
      </c>
      <c r="D6" s="340" t="s">
        <v>30</v>
      </c>
      <c r="E6" s="340" t="s">
        <v>2243</v>
      </c>
      <c r="F6" s="341">
        <v>45096.683263888888</v>
      </c>
      <c r="G6" s="341">
        <v>45165</v>
      </c>
      <c r="H6" s="341">
        <v>45165</v>
      </c>
      <c r="I6" s="341" t="s">
        <v>2</v>
      </c>
      <c r="J6" s="340" t="s">
        <v>357</v>
      </c>
      <c r="K6" s="340" t="s">
        <v>287</v>
      </c>
      <c r="L6" s="170">
        <v>45189</v>
      </c>
      <c r="M6" s="177" t="s">
        <v>6282</v>
      </c>
      <c r="N6" s="179"/>
      <c r="O6" s="178"/>
      <c r="Q6" t="s">
        <v>22</v>
      </c>
      <c r="S6" s="186">
        <v>44529.511921296296</v>
      </c>
      <c r="T6" s="194">
        <v>44529.511921296296</v>
      </c>
      <c r="U6" s="194">
        <v>45165</v>
      </c>
      <c r="V6" s="290"/>
      <c r="W6" s="198"/>
      <c r="X6" s="198">
        <v>44623.832233796296</v>
      </c>
      <c r="Y6" s="199">
        <v>31874</v>
      </c>
      <c r="Z6" s="204">
        <v>44623.832233796296</v>
      </c>
      <c r="AA6" s="205">
        <v>1</v>
      </c>
      <c r="AB6" s="204">
        <v>44623.832233796296</v>
      </c>
      <c r="AC6" s="187">
        <v>69</v>
      </c>
      <c r="AD6" s="186"/>
    </row>
    <row r="7" spans="1:30">
      <c r="A7" s="340">
        <f>COUNTA($E$3:E7)</f>
        <v>5</v>
      </c>
      <c r="B7" s="340" t="s">
        <v>5481</v>
      </c>
      <c r="C7" s="340" t="s">
        <v>40</v>
      </c>
      <c r="D7" s="340" t="s">
        <v>30</v>
      </c>
      <c r="E7" s="340" t="s">
        <v>2679</v>
      </c>
      <c r="F7" s="341">
        <v>45096.683900462966</v>
      </c>
      <c r="G7" s="341"/>
      <c r="H7" s="341"/>
      <c r="I7" s="341" t="s">
        <v>2</v>
      </c>
      <c r="J7" s="340" t="s">
        <v>357</v>
      </c>
      <c r="K7" s="340" t="s">
        <v>287</v>
      </c>
      <c r="L7" s="170">
        <v>45189</v>
      </c>
      <c r="M7" s="177" t="s">
        <v>6282</v>
      </c>
      <c r="N7" s="179"/>
      <c r="O7" s="178"/>
      <c r="Q7" t="s">
        <v>22</v>
      </c>
      <c r="S7" s="186">
        <v>44649.747835648152</v>
      </c>
      <c r="T7" s="194">
        <v>44649.747835648152</v>
      </c>
      <c r="U7" s="194" t="str">
        <f t="shared" si="0"/>
        <v/>
      </c>
      <c r="V7" s="290"/>
      <c r="W7" s="198"/>
      <c r="X7" s="198">
        <v>44747.707048611112</v>
      </c>
      <c r="Y7" s="199">
        <v>31962</v>
      </c>
      <c r="Z7" s="204">
        <v>44747.707048611112</v>
      </c>
      <c r="AA7" s="205">
        <v>1</v>
      </c>
      <c r="AB7" s="204">
        <v>44747.707048611112</v>
      </c>
      <c r="AC7" s="187">
        <v>71</v>
      </c>
      <c r="AD7" s="186"/>
    </row>
    <row r="8" spans="1:30">
      <c r="A8" s="340">
        <f>COUNTA($E$3:E8)</f>
        <v>6</v>
      </c>
      <c r="B8" s="340" t="s">
        <v>5684</v>
      </c>
      <c r="C8" s="340" t="s">
        <v>5685</v>
      </c>
      <c r="D8" s="340" t="s">
        <v>1124</v>
      </c>
      <c r="E8" s="340" t="s">
        <v>5686</v>
      </c>
      <c r="F8" s="341">
        <v>45128.74591435185</v>
      </c>
      <c r="G8" s="341"/>
      <c r="H8" s="341" t="s">
        <v>55</v>
      </c>
      <c r="I8" s="341" t="s">
        <v>2</v>
      </c>
      <c r="J8" s="340" t="s">
        <v>5687</v>
      </c>
      <c r="K8" s="340" t="s">
        <v>1296</v>
      </c>
      <c r="L8" s="170">
        <v>45189</v>
      </c>
      <c r="M8" s="177" t="s">
        <v>6283</v>
      </c>
      <c r="N8" s="179"/>
      <c r="O8" s="178"/>
      <c r="Q8" t="s">
        <v>129</v>
      </c>
      <c r="S8" s="186">
        <v>45132.541875000003</v>
      </c>
      <c r="T8" s="194">
        <v>45132.541875000003</v>
      </c>
      <c r="U8" s="194" t="s">
        <v>55</v>
      </c>
      <c r="V8" s="290"/>
      <c r="W8" s="198"/>
      <c r="X8" s="198">
        <v>45177.488125000003</v>
      </c>
      <c r="Y8" s="199">
        <v>32270</v>
      </c>
      <c r="Z8" s="204">
        <v>45177</v>
      </c>
      <c r="AA8" s="205">
        <v>5</v>
      </c>
      <c r="AB8" s="204">
        <v>45183</v>
      </c>
      <c r="AC8" s="187">
        <v>38</v>
      </c>
      <c r="AD8" s="186"/>
    </row>
    <row r="9" spans="1:30">
      <c r="A9" s="340">
        <f>COUNTA($E$3:E9)</f>
        <v>7</v>
      </c>
      <c r="B9" s="340" t="s">
        <v>5733</v>
      </c>
      <c r="C9" s="340" t="s">
        <v>2767</v>
      </c>
      <c r="D9" s="340" t="s">
        <v>30</v>
      </c>
      <c r="E9" s="340" t="s">
        <v>5734</v>
      </c>
      <c r="F9" s="341">
        <v>45138.524282407408</v>
      </c>
      <c r="G9" s="341"/>
      <c r="H9" s="341" t="s">
        <v>66</v>
      </c>
      <c r="I9" s="341" t="s">
        <v>2</v>
      </c>
      <c r="J9" s="340" t="s">
        <v>5364</v>
      </c>
      <c r="K9" s="340"/>
      <c r="L9" s="170">
        <v>45189</v>
      </c>
      <c r="M9" s="177" t="s">
        <v>2411</v>
      </c>
      <c r="N9" s="179"/>
      <c r="O9" s="178"/>
      <c r="Q9" t="s">
        <v>129</v>
      </c>
      <c r="S9" s="186">
        <v>45147.482847222222</v>
      </c>
      <c r="T9" s="194">
        <v>45147.482847222222</v>
      </c>
      <c r="U9" s="194" t="s">
        <v>66</v>
      </c>
      <c r="V9" s="290"/>
      <c r="W9" s="198"/>
      <c r="X9" s="198">
        <v>45176.663182870368</v>
      </c>
      <c r="Y9" s="199">
        <v>32269</v>
      </c>
      <c r="Z9" s="204">
        <v>45176</v>
      </c>
      <c r="AA9" s="205">
        <v>10</v>
      </c>
      <c r="AB9" s="204">
        <v>45189</v>
      </c>
      <c r="AC9" s="187">
        <v>31</v>
      </c>
      <c r="AD9" s="186"/>
    </row>
    <row r="10" spans="1:30">
      <c r="A10" s="340">
        <f>COUNTA($E$3:E10)</f>
        <v>8</v>
      </c>
      <c r="B10" s="340" t="s">
        <v>6105</v>
      </c>
      <c r="C10" s="340" t="s">
        <v>40</v>
      </c>
      <c r="D10" s="340" t="s">
        <v>49</v>
      </c>
      <c r="E10" s="340" t="s">
        <v>5327</v>
      </c>
      <c r="F10" s="341">
        <v>45174.751423611109</v>
      </c>
      <c r="G10" s="341"/>
      <c r="H10" s="341"/>
      <c r="I10" s="341" t="s">
        <v>3</v>
      </c>
      <c r="J10" s="340" t="s">
        <v>1485</v>
      </c>
      <c r="K10" s="340"/>
      <c r="L10" s="170">
        <v>45189</v>
      </c>
      <c r="M10" s="177" t="s">
        <v>2411</v>
      </c>
      <c r="N10" s="179"/>
      <c r="O10" s="178"/>
      <c r="Q10" t="s">
        <v>129</v>
      </c>
      <c r="S10" s="186">
        <v>45176.774328703701</v>
      </c>
      <c r="T10" s="194">
        <v>45176.774328703701</v>
      </c>
      <c r="U10" s="194" t="str">
        <f t="shared" si="0"/>
        <v/>
      </c>
      <c r="V10" s="290"/>
      <c r="W10" s="198"/>
      <c r="X10" s="198">
        <v>45176.774421296293</v>
      </c>
      <c r="Y10" s="199">
        <v>32269</v>
      </c>
      <c r="Z10" s="204">
        <v>45176</v>
      </c>
      <c r="AA10" s="205">
        <v>10</v>
      </c>
      <c r="AB10" s="204">
        <v>45189</v>
      </c>
      <c r="AC10" s="187">
        <v>10</v>
      </c>
      <c r="AD10" s="186"/>
    </row>
    <row r="11" spans="1:30">
      <c r="A11" s="340">
        <f>COUNTA($E$3:E11)</f>
        <v>9</v>
      </c>
      <c r="B11" s="340" t="s">
        <v>6109</v>
      </c>
      <c r="C11" s="340" t="s">
        <v>2370</v>
      </c>
      <c r="D11" s="340" t="s">
        <v>56</v>
      </c>
      <c r="E11" s="340" t="s">
        <v>2697</v>
      </c>
      <c r="F11" s="341"/>
      <c r="G11" s="341"/>
      <c r="H11" s="341"/>
      <c r="I11" s="341"/>
      <c r="J11" s="340"/>
      <c r="K11" s="340" t="s">
        <v>6110</v>
      </c>
      <c r="L11" s="170">
        <v>45189</v>
      </c>
      <c r="M11" s="177" t="s">
        <v>3860</v>
      </c>
      <c r="N11" s="179"/>
      <c r="O11" s="178"/>
      <c r="Q11" t="s">
        <v>22</v>
      </c>
      <c r="S11" s="186">
        <v>45181</v>
      </c>
      <c r="T11" s="194">
        <v>45184</v>
      </c>
      <c r="U11" s="194" t="str">
        <f t="shared" si="0"/>
        <v/>
      </c>
      <c r="V11" s="290"/>
      <c r="W11" s="198"/>
      <c r="X11" s="198" t="str">
        <f>IF(INDEX([10]Sheet1!$1:$1048576,MATCH($E11,[10]Sheet1!$D:$D,0),MATCH(X$2,[10]Sheet1!$1:$1,0))="","",INDEX([10]Sheet1!$1:$1048576,MATCH($E11,[10]Sheet1!$D:$D,0),MATCH(X$2,[10]Sheet1!$1:$1,0)))</f>
        <v/>
      </c>
      <c r="Y11" s="199">
        <v>1</v>
      </c>
      <c r="Z11" s="204" t="str">
        <f>IF(INDEX([10]Sheet1!$1:$1048576,MATCH($E11,[10]Sheet1!$D:$D,0),MATCH(Z$2,[10]Sheet1!$1:$1,0))="",X11,INDEX([10]Sheet1!$1:$1048576,MATCH($E11,[10]Sheet1!$D:$D,0),MATCH(Z$2,[10]Sheet1!$1:$1,0)))</f>
        <v/>
      </c>
      <c r="AA11" s="205">
        <v>1</v>
      </c>
      <c r="AB11" s="204" t="str">
        <f>IF(INDEX([10]Sheet1!$1:$1048576,MATCH($E11,[10]Sheet1!$D:$D,0),MATCH(AB$2,[10]Sheet1!$1:$1,0))="",Z11,INDEX([10]Sheet1!$1:$1048576,MATCH($E11,[10]Sheet1!$D:$D,0),MATCH(AB$2,[10]Sheet1!$1:$1,0)))</f>
        <v/>
      </c>
      <c r="AC11" s="187">
        <v>1</v>
      </c>
      <c r="AD11" s="186"/>
    </row>
    <row r="12" spans="1:30">
      <c r="A12" s="340">
        <f>COUNTA($E$3:E12)</f>
        <v>10</v>
      </c>
      <c r="B12" s="340" t="s">
        <v>6111</v>
      </c>
      <c r="C12" s="340" t="s">
        <v>44</v>
      </c>
      <c r="D12" s="340" t="s">
        <v>1129</v>
      </c>
      <c r="E12" s="340" t="s">
        <v>1812</v>
      </c>
      <c r="F12" s="341">
        <v>45177.576354166667</v>
      </c>
      <c r="G12" s="341"/>
      <c r="H12" s="341"/>
      <c r="I12" s="341" t="s">
        <v>3</v>
      </c>
      <c r="J12" s="340" t="s">
        <v>6265</v>
      </c>
      <c r="K12" s="340"/>
      <c r="L12" s="170">
        <v>45189</v>
      </c>
      <c r="M12" s="177" t="s">
        <v>2411</v>
      </c>
      <c r="N12" s="179"/>
      <c r="O12" s="178"/>
      <c r="Q12" t="s">
        <v>129</v>
      </c>
      <c r="S12" s="186">
        <v>45182.714780092596</v>
      </c>
      <c r="T12" s="194">
        <v>45182.714780092596</v>
      </c>
      <c r="U12" s="194" t="str">
        <f t="shared" si="0"/>
        <v/>
      </c>
      <c r="V12" s="290"/>
      <c r="W12" s="198"/>
      <c r="X12" s="198">
        <v>45182.717847222222</v>
      </c>
      <c r="Y12" s="199">
        <v>32273</v>
      </c>
      <c r="Z12" s="204">
        <v>45182</v>
      </c>
      <c r="AA12" s="205">
        <v>2</v>
      </c>
      <c r="AB12" s="204">
        <v>45183</v>
      </c>
      <c r="AC12" s="187">
        <v>2</v>
      </c>
      <c r="AD12" s="186"/>
    </row>
    <row r="13" spans="1:30">
      <c r="A13" s="340">
        <f>COUNTA($E$3:E13)</f>
        <v>11</v>
      </c>
      <c r="B13" s="340" t="s">
        <v>6268</v>
      </c>
      <c r="C13" s="340" t="s">
        <v>41</v>
      </c>
      <c r="D13" s="340" t="s">
        <v>1201</v>
      </c>
      <c r="E13" s="340" t="s">
        <v>3629</v>
      </c>
      <c r="F13" s="341">
        <v>45181.484872685185</v>
      </c>
      <c r="G13" s="341"/>
      <c r="H13" s="341"/>
      <c r="I13" s="341" t="s">
        <v>3</v>
      </c>
      <c r="J13" s="340" t="s">
        <v>1649</v>
      </c>
      <c r="K13" s="340"/>
      <c r="L13" s="170">
        <v>45189</v>
      </c>
      <c r="M13" s="177" t="s">
        <v>2411</v>
      </c>
      <c r="N13" s="179"/>
      <c r="O13" s="178"/>
      <c r="Q13" t="s">
        <v>129</v>
      </c>
      <c r="S13" s="186">
        <v>45182.532060185185</v>
      </c>
      <c r="T13" s="194">
        <v>45182.532060185185</v>
      </c>
      <c r="U13" s="194" t="str">
        <f t="shared" si="0"/>
        <v/>
      </c>
      <c r="V13" s="290"/>
      <c r="W13" s="198"/>
      <c r="X13" s="198">
        <v>45182.532384259262</v>
      </c>
      <c r="Y13" s="199">
        <v>32273</v>
      </c>
      <c r="Z13" s="204">
        <v>45182</v>
      </c>
      <c r="AA13" s="205">
        <v>2</v>
      </c>
      <c r="AB13" s="204">
        <v>45183</v>
      </c>
      <c r="AC13" s="187">
        <v>2</v>
      </c>
      <c r="AD13" s="186"/>
    </row>
    <row r="14" spans="1:30">
      <c r="A14" s="340">
        <f>COUNTA($E$3:E14)</f>
        <v>12</v>
      </c>
      <c r="B14" s="340" t="s">
        <v>6273</v>
      </c>
      <c r="C14" s="340" t="s">
        <v>6274</v>
      </c>
      <c r="D14" s="340" t="s">
        <v>1139</v>
      </c>
      <c r="E14" s="340" t="s">
        <v>6275</v>
      </c>
      <c r="F14" s="341">
        <v>45182.706932870373</v>
      </c>
      <c r="G14" s="341"/>
      <c r="H14" s="341"/>
      <c r="I14" s="341" t="s">
        <v>3</v>
      </c>
      <c r="J14" s="340" t="s">
        <v>1485</v>
      </c>
      <c r="K14" s="340"/>
      <c r="L14" s="170">
        <v>45189</v>
      </c>
      <c r="M14" s="289" t="s">
        <v>2411</v>
      </c>
      <c r="N14" s="292"/>
      <c r="O14" s="178"/>
      <c r="Q14" t="s">
        <v>129</v>
      </c>
      <c r="S14" s="186">
        <v>45182.707974537036</v>
      </c>
      <c r="T14" s="194">
        <v>45182.707974537036</v>
      </c>
      <c r="U14" s="194" t="str">
        <f t="shared" si="0"/>
        <v/>
      </c>
      <c r="V14" s="290"/>
      <c r="W14" s="198"/>
      <c r="X14" s="198">
        <v>45182.708136574074</v>
      </c>
      <c r="Y14" s="199">
        <v>32273</v>
      </c>
      <c r="Z14" s="204">
        <v>45182</v>
      </c>
      <c r="AA14" s="205">
        <v>2</v>
      </c>
      <c r="AB14" s="204">
        <v>45183</v>
      </c>
      <c r="AC14" s="187">
        <v>2</v>
      </c>
      <c r="AD14" s="186"/>
    </row>
    <row r="15" spans="1:30">
      <c r="A15" s="340">
        <f>COUNTA($E$3:E15)</f>
        <v>13</v>
      </c>
      <c r="B15" s="340" t="s">
        <v>6276</v>
      </c>
      <c r="C15" s="340" t="s">
        <v>41</v>
      </c>
      <c r="D15" s="340" t="s">
        <v>34</v>
      </c>
      <c r="E15" s="340" t="s">
        <v>1923</v>
      </c>
      <c r="F15" s="341">
        <v>45183</v>
      </c>
      <c r="G15" s="341"/>
      <c r="H15" s="341"/>
      <c r="I15" s="341" t="s">
        <v>3</v>
      </c>
      <c r="J15" s="340" t="s">
        <v>4768</v>
      </c>
      <c r="K15" s="340" t="s">
        <v>33</v>
      </c>
      <c r="L15" s="170">
        <v>45189</v>
      </c>
      <c r="M15" s="289" t="s">
        <v>2269</v>
      </c>
      <c r="N15" s="292"/>
      <c r="O15" s="178"/>
      <c r="Q15" t="s">
        <v>129</v>
      </c>
      <c r="S15" s="186">
        <v>45183.512303240743</v>
      </c>
      <c r="T15" s="194">
        <v>45183.512303240743</v>
      </c>
      <c r="U15" s="194" t="str">
        <f t="shared" si="0"/>
        <v/>
      </c>
      <c r="V15" s="290"/>
      <c r="W15" s="198"/>
      <c r="X15" s="198">
        <v>45183.512372685182</v>
      </c>
      <c r="Y15" s="199">
        <v>32274</v>
      </c>
      <c r="Z15" s="204">
        <v>45183.512372685182</v>
      </c>
      <c r="AA15" s="205">
        <v>1</v>
      </c>
      <c r="AB15" s="204">
        <v>45183.512372685182</v>
      </c>
      <c r="AC15" s="187">
        <v>1</v>
      </c>
      <c r="AD15" s="186"/>
    </row>
    <row r="16" spans="1:30">
      <c r="A16" s="340">
        <f>COUNTA($E$3:E16)</f>
        <v>14</v>
      </c>
      <c r="B16" s="340" t="s">
        <v>5475</v>
      </c>
      <c r="C16" s="340" t="s">
        <v>40</v>
      </c>
      <c r="D16" s="340" t="s">
        <v>49</v>
      </c>
      <c r="E16" s="340" t="s">
        <v>2255</v>
      </c>
      <c r="F16" s="341">
        <v>45096</v>
      </c>
      <c r="G16" s="341"/>
      <c r="H16" s="341"/>
      <c r="I16" s="341" t="s">
        <v>2</v>
      </c>
      <c r="J16" s="340" t="s">
        <v>5476</v>
      </c>
      <c r="K16" s="340"/>
      <c r="L16" s="170">
        <v>45183</v>
      </c>
      <c r="M16" s="289" t="s">
        <v>6038</v>
      </c>
      <c r="N16" s="292"/>
      <c r="O16" s="178"/>
      <c r="Q16" t="s">
        <v>22</v>
      </c>
      <c r="S16" s="186">
        <v>44530.56863425926</v>
      </c>
      <c r="T16" s="194">
        <v>44530.56863425926</v>
      </c>
      <c r="U16" s="194" t="str">
        <f t="shared" si="0"/>
        <v/>
      </c>
      <c r="V16" s="290"/>
      <c r="W16" s="198"/>
      <c r="X16" s="198">
        <v>44623.837604166663</v>
      </c>
      <c r="Y16" s="199">
        <v>31874</v>
      </c>
      <c r="Z16" s="204">
        <v>44623.837604166663</v>
      </c>
      <c r="AA16" s="205">
        <v>1</v>
      </c>
      <c r="AB16" s="204">
        <v>44623.837604166663</v>
      </c>
      <c r="AC16" s="187">
        <v>68</v>
      </c>
      <c r="AD16" s="186"/>
    </row>
    <row r="17" spans="1:30">
      <c r="A17" s="340">
        <f>COUNTA($E$3:E17)</f>
        <v>15</v>
      </c>
      <c r="B17" s="340" t="s">
        <v>5689</v>
      </c>
      <c r="C17" s="340" t="s">
        <v>37</v>
      </c>
      <c r="D17" s="340" t="s">
        <v>34</v>
      </c>
      <c r="E17" s="340" t="s">
        <v>3218</v>
      </c>
      <c r="F17" s="341">
        <v>45131</v>
      </c>
      <c r="G17" s="341"/>
      <c r="H17" s="341" t="s">
        <v>66</v>
      </c>
      <c r="I17" s="341" t="s">
        <v>3</v>
      </c>
      <c r="J17" s="340" t="s">
        <v>1666</v>
      </c>
      <c r="K17" s="340" t="s">
        <v>1102</v>
      </c>
      <c r="L17" s="170">
        <v>45183</v>
      </c>
      <c r="M17" s="289"/>
      <c r="N17" s="292"/>
      <c r="O17" s="178"/>
      <c r="Q17" t="s">
        <v>129</v>
      </c>
      <c r="S17" s="186">
        <v>45132.532118055555</v>
      </c>
      <c r="T17" s="194">
        <v>45132.532118055555</v>
      </c>
      <c r="U17" s="194" t="s">
        <v>66</v>
      </c>
      <c r="V17" s="290"/>
      <c r="W17" s="198"/>
      <c r="X17" s="198">
        <v>45176.517210648148</v>
      </c>
      <c r="Y17" s="199">
        <v>32269</v>
      </c>
      <c r="Z17" s="204">
        <v>45176</v>
      </c>
      <c r="AA17" s="205">
        <v>1</v>
      </c>
      <c r="AB17" s="204">
        <v>45176</v>
      </c>
      <c r="AC17" s="187">
        <v>33</v>
      </c>
      <c r="AD17" s="186"/>
    </row>
    <row r="18" spans="1:30">
      <c r="A18" s="340">
        <f>COUNTA($E$3:E18)</f>
        <v>16</v>
      </c>
      <c r="B18" s="340" t="s">
        <v>5793</v>
      </c>
      <c r="C18" s="340" t="s">
        <v>21</v>
      </c>
      <c r="D18" s="340" t="s">
        <v>1169</v>
      </c>
      <c r="E18" s="340" t="s">
        <v>3702</v>
      </c>
      <c r="F18" s="341"/>
      <c r="G18" s="341"/>
      <c r="H18" s="341" t="s">
        <v>66</v>
      </c>
      <c r="I18" s="341" t="s">
        <v>3</v>
      </c>
      <c r="J18" s="340"/>
      <c r="K18" s="340" t="s">
        <v>53</v>
      </c>
      <c r="L18" s="170">
        <v>45183</v>
      </c>
      <c r="M18" s="289" t="s">
        <v>66</v>
      </c>
      <c r="N18" s="292"/>
      <c r="O18" s="178"/>
      <c r="Q18" t="s">
        <v>129</v>
      </c>
      <c r="S18" s="186">
        <v>45152.563217592593</v>
      </c>
      <c r="T18" s="194">
        <v>45152.563217592593</v>
      </c>
      <c r="U18" s="194" t="s">
        <v>66</v>
      </c>
      <c r="V18" s="290"/>
      <c r="W18" s="198"/>
      <c r="X18" s="198">
        <v>45174.731377314813</v>
      </c>
      <c r="Y18" s="199">
        <v>32267</v>
      </c>
      <c r="Z18" s="204">
        <v>45174</v>
      </c>
      <c r="AA18" s="205">
        <v>2</v>
      </c>
      <c r="AB18" s="204">
        <v>45175</v>
      </c>
      <c r="AC18" s="187">
        <v>18</v>
      </c>
      <c r="AD18" s="186"/>
    </row>
    <row r="19" spans="1:30">
      <c r="A19" s="340">
        <f>COUNTA($E$3:E19)</f>
        <v>17</v>
      </c>
      <c r="B19" s="340" t="s">
        <v>5798</v>
      </c>
      <c r="C19" s="340" t="s">
        <v>37</v>
      </c>
      <c r="D19" s="340" t="s">
        <v>34</v>
      </c>
      <c r="E19" s="340" t="s">
        <v>5799</v>
      </c>
      <c r="F19" s="341">
        <v>45145</v>
      </c>
      <c r="G19" s="341"/>
      <c r="H19" s="341" t="s">
        <v>66</v>
      </c>
      <c r="I19" s="341" t="s">
        <v>3</v>
      </c>
      <c r="J19" s="340" t="s">
        <v>1666</v>
      </c>
      <c r="K19" s="340" t="s">
        <v>1102</v>
      </c>
      <c r="L19" s="170">
        <v>45183</v>
      </c>
      <c r="M19" s="289" t="s">
        <v>66</v>
      </c>
      <c r="N19" s="292"/>
      <c r="O19" s="178"/>
      <c r="Q19" t="s">
        <v>129</v>
      </c>
      <c r="S19" s="186">
        <v>45148.523101851853</v>
      </c>
      <c r="T19" s="194">
        <v>45148.523101851853</v>
      </c>
      <c r="U19" s="194" t="s">
        <v>66</v>
      </c>
      <c r="V19" s="290"/>
      <c r="W19" s="198"/>
      <c r="X19" s="198">
        <v>45175.547233796293</v>
      </c>
      <c r="Y19" s="199">
        <v>32268</v>
      </c>
      <c r="Z19" s="204">
        <v>45175</v>
      </c>
      <c r="AA19" s="205">
        <v>11</v>
      </c>
      <c r="AB19" s="204">
        <v>45189</v>
      </c>
      <c r="AC19" s="187">
        <v>30</v>
      </c>
      <c r="AD19" s="186"/>
    </row>
    <row r="20" spans="1:30">
      <c r="A20" s="340">
        <f>COUNTA($E$3:E20)</f>
        <v>18</v>
      </c>
      <c r="B20" s="340" t="s">
        <v>6054</v>
      </c>
      <c r="C20" s="340" t="s">
        <v>41</v>
      </c>
      <c r="D20" s="340" t="s">
        <v>34</v>
      </c>
      <c r="E20" s="340" t="s">
        <v>5062</v>
      </c>
      <c r="F20" s="341"/>
      <c r="G20" s="341"/>
      <c r="H20" s="341"/>
      <c r="I20" s="341" t="s">
        <v>3</v>
      </c>
      <c r="J20" s="340"/>
      <c r="K20" s="340" t="s">
        <v>33</v>
      </c>
      <c r="L20" s="170">
        <v>45183</v>
      </c>
      <c r="M20" s="177"/>
      <c r="N20" s="179"/>
      <c r="O20" s="178"/>
      <c r="Q20" t="s">
        <v>129</v>
      </c>
      <c r="S20" s="186">
        <v>45174.724062499998</v>
      </c>
      <c r="T20" s="194">
        <v>45174.724062499998</v>
      </c>
      <c r="U20" s="194" t="str">
        <f t="shared" si="0"/>
        <v/>
      </c>
      <c r="V20" s="290"/>
      <c r="W20" s="198"/>
      <c r="X20" s="198">
        <v>45174.724131944444</v>
      </c>
      <c r="Y20" s="199">
        <v>32267</v>
      </c>
      <c r="Z20" s="204">
        <v>45174.724131944444</v>
      </c>
      <c r="AA20" s="205">
        <v>1</v>
      </c>
      <c r="AB20" s="204">
        <v>45174.724131944444</v>
      </c>
      <c r="AC20" s="187">
        <v>1</v>
      </c>
      <c r="AD20" s="186"/>
    </row>
    <row r="21" spans="1:30">
      <c r="A21" s="340">
        <f>COUNTA($E$3:E21)</f>
        <v>19</v>
      </c>
      <c r="B21" s="340" t="s">
        <v>6108</v>
      </c>
      <c r="C21" s="340" t="s">
        <v>37</v>
      </c>
      <c r="D21" s="340" t="s">
        <v>27</v>
      </c>
      <c r="E21" s="340" t="s">
        <v>4720</v>
      </c>
      <c r="F21" s="341">
        <v>45176</v>
      </c>
      <c r="G21" s="341"/>
      <c r="H21" s="341"/>
      <c r="I21" s="341" t="s">
        <v>4</v>
      </c>
      <c r="J21" s="340" t="s">
        <v>1093</v>
      </c>
      <c r="K21" s="340"/>
      <c r="L21" s="170">
        <v>45183</v>
      </c>
      <c r="M21" s="177"/>
      <c r="N21" s="179"/>
      <c r="O21" s="178"/>
      <c r="Q21" t="s">
        <v>129</v>
      </c>
      <c r="S21" s="186">
        <v>45176.727789351855</v>
      </c>
      <c r="T21" s="194">
        <v>45176.727789351855</v>
      </c>
      <c r="U21" s="194" t="str">
        <f t="shared" si="0"/>
        <v/>
      </c>
      <c r="V21" s="290"/>
      <c r="W21" s="198"/>
      <c r="X21" s="198">
        <v>45176.728032407409</v>
      </c>
      <c r="Y21" s="199">
        <v>32269</v>
      </c>
      <c r="Z21" s="204">
        <v>45176</v>
      </c>
      <c r="AA21" s="205">
        <v>6</v>
      </c>
      <c r="AB21" s="204">
        <v>45183</v>
      </c>
      <c r="AC21" s="187">
        <v>6</v>
      </c>
      <c r="AD21" s="186"/>
    </row>
    <row r="22" spans="1:30">
      <c r="A22" s="340">
        <f>COUNTA($E$3:E22)</f>
        <v>20</v>
      </c>
      <c r="B22" s="340" t="s">
        <v>5699</v>
      </c>
      <c r="C22" s="340" t="s">
        <v>41</v>
      </c>
      <c r="D22" s="340" t="s">
        <v>63</v>
      </c>
      <c r="E22" s="340" t="s">
        <v>4981</v>
      </c>
      <c r="F22" s="341">
        <v>45133.775057870371</v>
      </c>
      <c r="G22" s="341"/>
      <c r="H22" s="341" t="s">
        <v>66</v>
      </c>
      <c r="I22" s="341" t="s">
        <v>3</v>
      </c>
      <c r="J22" s="340" t="s">
        <v>1666</v>
      </c>
      <c r="K22" s="340" t="s">
        <v>1102</v>
      </c>
      <c r="L22" s="170">
        <v>45177</v>
      </c>
      <c r="M22" s="177"/>
      <c r="N22" s="179"/>
      <c r="O22" s="178"/>
      <c r="Q22" t="s">
        <v>129</v>
      </c>
      <c r="S22" s="186">
        <v>45133.775810185187</v>
      </c>
      <c r="T22" s="194">
        <v>45133.775810185187</v>
      </c>
      <c r="U22" s="194" t="s">
        <v>66</v>
      </c>
      <c r="V22" s="290"/>
      <c r="W22" s="198"/>
      <c r="X22" s="198">
        <v>45167.51053240741</v>
      </c>
      <c r="Y22" s="199">
        <v>32262</v>
      </c>
      <c r="Z22" s="204">
        <v>45167</v>
      </c>
      <c r="AA22" s="205">
        <v>7</v>
      </c>
      <c r="AB22" s="204">
        <v>45175</v>
      </c>
      <c r="AC22" s="187">
        <v>31</v>
      </c>
      <c r="AD22" s="186"/>
    </row>
    <row r="23" spans="1:30">
      <c r="A23" s="340">
        <f>COUNTA($E$3:E23)</f>
        <v>21</v>
      </c>
      <c r="B23" s="340" t="s">
        <v>5809</v>
      </c>
      <c r="C23" s="340" t="s">
        <v>37</v>
      </c>
      <c r="D23" s="340" t="s">
        <v>34</v>
      </c>
      <c r="E23" s="340" t="s">
        <v>4687</v>
      </c>
      <c r="F23" s="341"/>
      <c r="G23" s="341"/>
      <c r="H23" s="341" t="s">
        <v>66</v>
      </c>
      <c r="I23" s="341" t="s">
        <v>3</v>
      </c>
      <c r="J23" s="340"/>
      <c r="K23" s="340" t="s">
        <v>1277</v>
      </c>
      <c r="L23" s="170">
        <v>45177</v>
      </c>
      <c r="M23" s="177" t="s">
        <v>6036</v>
      </c>
      <c r="N23" s="179"/>
      <c r="O23" s="178"/>
      <c r="Q23" t="s">
        <v>129</v>
      </c>
      <c r="S23" s="186">
        <v>45154.793043981481</v>
      </c>
      <c r="T23" s="194">
        <v>45154.793043981481</v>
      </c>
      <c r="U23" s="194" t="s">
        <v>66</v>
      </c>
      <c r="V23" s="290"/>
      <c r="W23" s="198"/>
      <c r="X23" s="198">
        <v>45167.68340277778</v>
      </c>
      <c r="Y23" s="199">
        <v>32262</v>
      </c>
      <c r="Z23" s="204">
        <v>45167</v>
      </c>
      <c r="AA23" s="205">
        <v>7</v>
      </c>
      <c r="AB23" s="204">
        <v>45175</v>
      </c>
      <c r="AC23" s="187">
        <v>16</v>
      </c>
      <c r="AD23" s="186"/>
    </row>
    <row r="24" spans="1:30">
      <c r="A24" s="340">
        <f>COUNTA($E$3:E24)</f>
        <v>22</v>
      </c>
      <c r="B24" s="340" t="s">
        <v>5868</v>
      </c>
      <c r="C24" s="340" t="s">
        <v>2370</v>
      </c>
      <c r="D24" s="340" t="s">
        <v>56</v>
      </c>
      <c r="E24" s="340" t="s">
        <v>5869</v>
      </c>
      <c r="F24" s="341">
        <v>45155.657685185186</v>
      </c>
      <c r="G24" s="341"/>
      <c r="H24" s="341">
        <v>45161</v>
      </c>
      <c r="I24" s="341" t="s">
        <v>3</v>
      </c>
      <c r="J24" s="340" t="s">
        <v>514</v>
      </c>
      <c r="K24" s="340" t="s">
        <v>18</v>
      </c>
      <c r="L24" s="170">
        <v>45177</v>
      </c>
      <c r="M24" s="177" t="s">
        <v>5910</v>
      </c>
      <c r="N24" s="179"/>
      <c r="O24" s="178"/>
      <c r="Q24" t="s">
        <v>22</v>
      </c>
      <c r="S24" s="186">
        <v>45146</v>
      </c>
      <c r="T24" s="194">
        <v>45149</v>
      </c>
      <c r="U24" s="194">
        <v>45161</v>
      </c>
      <c r="V24" s="290"/>
      <c r="W24" s="198"/>
      <c r="X24" s="198" t="str">
        <f>IF(INDEX([10]Sheet1!$1:$1048576,MATCH($E24,[10]Sheet1!$D:$D,0),MATCH(X$2,[10]Sheet1!$1:$1,0))="","",INDEX([10]Sheet1!$1:$1048576,MATCH($E24,[10]Sheet1!$D:$D,0),MATCH(X$2,[10]Sheet1!$1:$1,0)))</f>
        <v/>
      </c>
      <c r="Y24" s="199">
        <v>1</v>
      </c>
      <c r="Z24" s="204" t="str">
        <f>IF(INDEX([10]Sheet1!$1:$1048576,MATCH($E24,[10]Sheet1!$D:$D,0),MATCH(Z$2,[10]Sheet1!$1:$1,0))="",X24,INDEX([10]Sheet1!$1:$1048576,MATCH($E24,[10]Sheet1!$D:$D,0),MATCH(Z$2,[10]Sheet1!$1:$1,0)))</f>
        <v/>
      </c>
      <c r="AA24" s="205">
        <v>1</v>
      </c>
      <c r="AB24" s="204" t="str">
        <f>IF(INDEX([10]Sheet1!$1:$1048576,MATCH($E24,[10]Sheet1!$D:$D,0),MATCH(AB$2,[10]Sheet1!$1:$1,0))="",Z24,INDEX([10]Sheet1!$1:$1048576,MATCH($E24,[10]Sheet1!$D:$D,0),MATCH(AB$2,[10]Sheet1!$1:$1,0)))</f>
        <v/>
      </c>
      <c r="AC24" s="187">
        <v>1</v>
      </c>
      <c r="AD24" s="186"/>
    </row>
    <row r="25" spans="1:30">
      <c r="A25" s="340">
        <f>COUNTA($E$3:E25)</f>
        <v>23</v>
      </c>
      <c r="B25" s="340" t="s">
        <v>5893</v>
      </c>
      <c r="C25" s="340" t="s">
        <v>37</v>
      </c>
      <c r="D25" s="340" t="s">
        <v>30</v>
      </c>
      <c r="E25" s="340" t="s">
        <v>2634</v>
      </c>
      <c r="F25" s="341">
        <v>45159.457430555558</v>
      </c>
      <c r="G25" s="341"/>
      <c r="H25" s="341"/>
      <c r="I25" s="341" t="s">
        <v>2</v>
      </c>
      <c r="J25" s="340" t="s">
        <v>5254</v>
      </c>
      <c r="K25" s="340" t="s">
        <v>1102</v>
      </c>
      <c r="L25" s="170">
        <v>45177</v>
      </c>
      <c r="M25" s="177"/>
      <c r="N25" s="179"/>
      <c r="O25" s="178"/>
      <c r="Q25" t="s">
        <v>129</v>
      </c>
      <c r="S25" s="186">
        <v>45162.551157407404</v>
      </c>
      <c r="T25" s="194">
        <v>45162.551157407404</v>
      </c>
      <c r="U25" s="194" t="str">
        <f t="shared" si="0"/>
        <v/>
      </c>
      <c r="V25" s="290"/>
      <c r="W25" s="198"/>
      <c r="X25" s="198">
        <v>45166.440752314818</v>
      </c>
      <c r="Y25" s="199">
        <v>32261</v>
      </c>
      <c r="Z25" s="204">
        <v>45166</v>
      </c>
      <c r="AA25" s="205">
        <v>8</v>
      </c>
      <c r="AB25" s="204">
        <v>45175</v>
      </c>
      <c r="AC25" s="187">
        <v>10</v>
      </c>
      <c r="AD25" s="186"/>
    </row>
    <row r="26" spans="1:30">
      <c r="A26" s="340">
        <f>COUNTA($E$3:E26)</f>
        <v>24</v>
      </c>
      <c r="B26" s="340" t="s">
        <v>5934</v>
      </c>
      <c r="C26" s="340" t="s">
        <v>21</v>
      </c>
      <c r="D26" s="340" t="s">
        <v>30</v>
      </c>
      <c r="E26" s="340" t="s">
        <v>5935</v>
      </c>
      <c r="F26" s="341">
        <v>45159.720752314817</v>
      </c>
      <c r="G26" s="341"/>
      <c r="H26" s="341"/>
      <c r="I26" s="341" t="s">
        <v>3</v>
      </c>
      <c r="J26" s="340" t="s">
        <v>5997</v>
      </c>
      <c r="K26" s="340" t="s">
        <v>1120</v>
      </c>
      <c r="L26" s="170">
        <v>45177</v>
      </c>
      <c r="M26" s="177" t="s">
        <v>6010</v>
      </c>
      <c r="N26" s="179"/>
      <c r="O26" s="178"/>
      <c r="Q26" t="s">
        <v>129</v>
      </c>
      <c r="S26" s="186">
        <v>45163.564363425925</v>
      </c>
      <c r="T26" s="194">
        <v>45163.564363425925</v>
      </c>
      <c r="U26" s="194" t="str">
        <f t="shared" si="0"/>
        <v/>
      </c>
      <c r="V26" s="290"/>
      <c r="W26" s="198"/>
      <c r="X26" s="198">
        <v>45163.56453703704</v>
      </c>
      <c r="Y26" s="199">
        <v>32260</v>
      </c>
      <c r="Z26" s="204">
        <v>45163</v>
      </c>
      <c r="AA26" s="205">
        <v>15</v>
      </c>
      <c r="AB26" s="204">
        <v>45183</v>
      </c>
      <c r="AC26" s="187">
        <v>15</v>
      </c>
      <c r="AD26" s="186"/>
    </row>
    <row r="27" spans="1:30">
      <c r="A27" s="340">
        <f>COUNTA($E$3:E27)</f>
        <v>25</v>
      </c>
      <c r="B27" s="340" t="s">
        <v>5942</v>
      </c>
      <c r="C27" s="340" t="s">
        <v>21</v>
      </c>
      <c r="D27" s="340" t="s">
        <v>34</v>
      </c>
      <c r="E27" s="340" t="s">
        <v>5518</v>
      </c>
      <c r="F27" s="341">
        <v>45159.724004629628</v>
      </c>
      <c r="G27" s="341"/>
      <c r="H27" s="341"/>
      <c r="I27" s="341" t="s">
        <v>3</v>
      </c>
      <c r="J27" s="340" t="s">
        <v>6046</v>
      </c>
      <c r="K27" s="340" t="s">
        <v>53</v>
      </c>
      <c r="L27" s="170">
        <v>45177</v>
      </c>
      <c r="M27" s="177" t="s">
        <v>6061</v>
      </c>
      <c r="N27" s="179"/>
      <c r="O27" s="178"/>
      <c r="Q27" t="s">
        <v>129</v>
      </c>
      <c r="S27" s="186">
        <v>45168.493703703702</v>
      </c>
      <c r="T27" s="194">
        <v>45168.493703703702</v>
      </c>
      <c r="U27" s="194" t="str">
        <f t="shared" si="0"/>
        <v/>
      </c>
      <c r="V27" s="290"/>
      <c r="W27" s="198"/>
      <c r="X27" s="198">
        <v>45168.49417824074</v>
      </c>
      <c r="Y27" s="199">
        <v>32263</v>
      </c>
      <c r="Z27" s="204">
        <v>45168</v>
      </c>
      <c r="AA27" s="205">
        <v>6</v>
      </c>
      <c r="AB27" s="204">
        <v>45175</v>
      </c>
      <c r="AC27" s="187">
        <v>6</v>
      </c>
      <c r="AD27" s="186"/>
    </row>
    <row r="28" spans="1:30">
      <c r="A28" s="340">
        <f>COUNTA($E$3:E28)</f>
        <v>26</v>
      </c>
      <c r="B28" s="340" t="s">
        <v>5962</v>
      </c>
      <c r="C28" s="340" t="s">
        <v>2767</v>
      </c>
      <c r="D28" s="340" t="s">
        <v>51</v>
      </c>
      <c r="E28" s="340" t="s">
        <v>5963</v>
      </c>
      <c r="F28" s="341">
        <v>45161.792939814812</v>
      </c>
      <c r="G28" s="341"/>
      <c r="H28" s="341"/>
      <c r="I28" s="341" t="s">
        <v>2</v>
      </c>
      <c r="J28" s="340" t="s">
        <v>6001</v>
      </c>
      <c r="K28" s="340" t="s">
        <v>53</v>
      </c>
      <c r="L28" s="170">
        <v>45177</v>
      </c>
      <c r="M28" s="177" t="s">
        <v>3859</v>
      </c>
      <c r="N28" s="179"/>
      <c r="O28" s="178"/>
      <c r="Q28" t="s">
        <v>129</v>
      </c>
      <c r="S28" s="186">
        <v>45169.67627314815</v>
      </c>
      <c r="T28" s="194">
        <v>45169.67627314815</v>
      </c>
      <c r="U28" s="194" t="str">
        <f t="shared" si="0"/>
        <v/>
      </c>
      <c r="V28" s="290"/>
      <c r="W28" s="198"/>
      <c r="X28" s="198">
        <v>45169.676400462966</v>
      </c>
      <c r="Y28" s="199">
        <v>32264</v>
      </c>
      <c r="Z28" s="204">
        <v>45169</v>
      </c>
      <c r="AA28" s="205">
        <v>5</v>
      </c>
      <c r="AB28" s="204">
        <v>45175</v>
      </c>
      <c r="AC28" s="187">
        <v>5</v>
      </c>
      <c r="AD28" s="186"/>
    </row>
    <row r="29" spans="1:30">
      <c r="A29" s="340">
        <f>COUNTA($E$3:E29)</f>
        <v>27</v>
      </c>
      <c r="B29" s="340" t="s">
        <v>6002</v>
      </c>
      <c r="C29" s="340" t="s">
        <v>1077</v>
      </c>
      <c r="D29" s="340" t="s">
        <v>58</v>
      </c>
      <c r="E29" s="340" t="s">
        <v>2482</v>
      </c>
      <c r="F29" s="341">
        <v>45168.798298611109</v>
      </c>
      <c r="G29" s="341"/>
      <c r="H29" s="341"/>
      <c r="I29" s="341" t="s">
        <v>3</v>
      </c>
      <c r="J29" s="340" t="s">
        <v>2153</v>
      </c>
      <c r="K29" s="340" t="s">
        <v>18</v>
      </c>
      <c r="L29" s="170">
        <v>45177</v>
      </c>
      <c r="M29" s="177" t="s">
        <v>6061</v>
      </c>
      <c r="N29" s="179"/>
      <c r="O29" s="178"/>
      <c r="Q29" t="s">
        <v>22</v>
      </c>
      <c r="S29" s="186">
        <v>45168.799085648148</v>
      </c>
      <c r="T29" s="194">
        <v>45168.799085648148</v>
      </c>
      <c r="U29" s="194" t="str">
        <f t="shared" si="0"/>
        <v/>
      </c>
      <c r="V29" s="290"/>
      <c r="W29" s="198"/>
      <c r="X29" s="198">
        <v>45168.799155092594</v>
      </c>
      <c r="Y29" s="199">
        <v>32263</v>
      </c>
      <c r="Z29" s="204">
        <v>45168</v>
      </c>
      <c r="AA29" s="205">
        <v>6</v>
      </c>
      <c r="AB29" s="204">
        <v>45175</v>
      </c>
      <c r="AC29" s="187">
        <v>6</v>
      </c>
      <c r="AD29" s="186"/>
    </row>
    <row r="30" spans="1:30">
      <c r="A30" s="340">
        <f>COUNTA($E$3:E30)</f>
        <v>28</v>
      </c>
      <c r="B30" s="340" t="s">
        <v>6005</v>
      </c>
      <c r="C30" s="340" t="s">
        <v>40</v>
      </c>
      <c r="D30" s="340" t="s">
        <v>1123</v>
      </c>
      <c r="E30" s="340" t="s">
        <v>6006</v>
      </c>
      <c r="F30" s="341">
        <v>45162.805868055555</v>
      </c>
      <c r="G30" s="341"/>
      <c r="H30" s="341"/>
      <c r="I30" s="341" t="s">
        <v>3</v>
      </c>
      <c r="J30" s="340" t="s">
        <v>1485</v>
      </c>
      <c r="K30" s="340" t="s">
        <v>1277</v>
      </c>
      <c r="L30" s="170">
        <v>45177</v>
      </c>
      <c r="M30" s="177"/>
      <c r="N30" s="179"/>
      <c r="O30" s="178"/>
      <c r="Q30" t="s">
        <v>129</v>
      </c>
      <c r="S30" s="186">
        <v>45167.664907407408</v>
      </c>
      <c r="T30" s="194">
        <v>45167.664907407408</v>
      </c>
      <c r="U30" s="194" t="str">
        <f t="shared" si="0"/>
        <v/>
      </c>
      <c r="V30" s="290"/>
      <c r="W30" s="198"/>
      <c r="X30" s="198">
        <v>45167.66511574074</v>
      </c>
      <c r="Y30" s="199">
        <v>32262</v>
      </c>
      <c r="Z30" s="204">
        <v>45167</v>
      </c>
      <c r="AA30" s="205">
        <v>7</v>
      </c>
      <c r="AB30" s="204">
        <v>45175</v>
      </c>
      <c r="AC30" s="187">
        <v>7</v>
      </c>
      <c r="AD30" s="186"/>
    </row>
    <row r="31" spans="1:30">
      <c r="A31" s="340">
        <f>COUNTA($E$3:E31)</f>
        <v>29</v>
      </c>
      <c r="B31" s="340" t="s">
        <v>6007</v>
      </c>
      <c r="C31" s="340" t="s">
        <v>40</v>
      </c>
      <c r="D31" s="340" t="s">
        <v>49</v>
      </c>
      <c r="E31" s="340" t="s">
        <v>5325</v>
      </c>
      <c r="F31" s="341">
        <v>45162.80641203704</v>
      </c>
      <c r="G31" s="341"/>
      <c r="H31" s="341"/>
      <c r="I31" s="341" t="s">
        <v>3</v>
      </c>
      <c r="J31" s="340" t="s">
        <v>2153</v>
      </c>
      <c r="K31" s="340" t="s">
        <v>1277</v>
      </c>
      <c r="L31" s="170">
        <v>45177</v>
      </c>
      <c r="M31" s="177" t="s">
        <v>5564</v>
      </c>
      <c r="N31" s="179"/>
      <c r="O31" s="178"/>
      <c r="Q31" t="s">
        <v>129</v>
      </c>
      <c r="S31" s="186">
        <v>45167.460821759261</v>
      </c>
      <c r="T31" s="194">
        <v>45167.460821759261</v>
      </c>
      <c r="U31" s="194" t="str">
        <f t="shared" si="0"/>
        <v/>
      </c>
      <c r="V31" s="290"/>
      <c r="W31" s="198"/>
      <c r="X31" s="198">
        <v>45167.461030092592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7</v>
      </c>
      <c r="AD31" s="186"/>
    </row>
    <row r="32" spans="1:30">
      <c r="A32" s="340">
        <f>COUNTA($E$3:E32)</f>
        <v>30</v>
      </c>
      <c r="B32" s="340" t="s">
        <v>6052</v>
      </c>
      <c r="C32" s="340" t="s">
        <v>5355</v>
      </c>
      <c r="D32" s="340" t="s">
        <v>34</v>
      </c>
      <c r="E32" s="340" t="s">
        <v>1250</v>
      </c>
      <c r="F32" s="341">
        <v>45168</v>
      </c>
      <c r="G32" s="341"/>
      <c r="H32" s="341"/>
      <c r="I32" s="341" t="s">
        <v>2</v>
      </c>
      <c r="J32" s="340" t="s">
        <v>6053</v>
      </c>
      <c r="K32" s="340" t="s">
        <v>24</v>
      </c>
      <c r="L32" s="170">
        <v>45177</v>
      </c>
      <c r="M32" s="177" t="s">
        <v>3859</v>
      </c>
      <c r="N32" s="179"/>
      <c r="O32" s="178"/>
      <c r="Q32" t="s">
        <v>22</v>
      </c>
      <c r="S32" s="186">
        <v>44942.786562499998</v>
      </c>
      <c r="T32" s="194">
        <v>44942.786562499998</v>
      </c>
      <c r="U32" s="194" t="str">
        <f t="shared" si="0"/>
        <v/>
      </c>
      <c r="V32" s="290"/>
      <c r="W32" s="198"/>
      <c r="X32" s="198">
        <v>45070.47729166667</v>
      </c>
      <c r="Y32" s="199">
        <v>32193</v>
      </c>
      <c r="Z32" s="204">
        <v>45070.47729166667</v>
      </c>
      <c r="AA32" s="205">
        <v>1</v>
      </c>
      <c r="AB32" s="204">
        <v>45070.47729166667</v>
      </c>
      <c r="AC32" s="187">
        <v>93</v>
      </c>
      <c r="AD32" s="186"/>
    </row>
    <row r="33" spans="1:30">
      <c r="A33" s="340">
        <f>COUNTA($E$3:E33)</f>
        <v>31</v>
      </c>
      <c r="B33" s="340" t="s">
        <v>4780</v>
      </c>
      <c r="C33" s="340" t="s">
        <v>37</v>
      </c>
      <c r="D33" s="340" t="s">
        <v>34</v>
      </c>
      <c r="E33" s="340" t="s">
        <v>296</v>
      </c>
      <c r="F33" s="341">
        <v>44978.568194444444</v>
      </c>
      <c r="G33" s="341">
        <v>44984</v>
      </c>
      <c r="H33" s="341">
        <v>44984</v>
      </c>
      <c r="I33" s="341" t="s">
        <v>3</v>
      </c>
      <c r="J33" s="340" t="s">
        <v>1666</v>
      </c>
      <c r="K33" s="340" t="s">
        <v>33</v>
      </c>
      <c r="L33" s="170">
        <v>45166</v>
      </c>
      <c r="M33" s="177" t="s">
        <v>4805</v>
      </c>
      <c r="N33" s="179"/>
      <c r="O33" s="178"/>
      <c r="Q33" t="s">
        <v>129</v>
      </c>
      <c r="S33" s="184">
        <v>44984</v>
      </c>
      <c r="T33" s="195">
        <v>44984</v>
      </c>
      <c r="U33" s="195">
        <v>44984</v>
      </c>
      <c r="V33" s="290">
        <v>1</v>
      </c>
      <c r="W33" s="200">
        <v>44984</v>
      </c>
      <c r="X33" s="200">
        <v>45075.497175925928</v>
      </c>
      <c r="Y33" s="199">
        <v>66</v>
      </c>
      <c r="Z33" s="206">
        <v>45161</v>
      </c>
      <c r="AA33" s="205">
        <v>1</v>
      </c>
      <c r="AB33" s="206">
        <v>45161</v>
      </c>
      <c r="AC33" s="187">
        <v>128</v>
      </c>
      <c r="AD33" s="186"/>
    </row>
    <row r="34" spans="1:30">
      <c r="A34" s="340">
        <f>COUNTA($E$3:E34)</f>
        <v>32</v>
      </c>
      <c r="B34" s="340" t="s">
        <v>5806</v>
      </c>
      <c r="C34" s="340" t="s">
        <v>41</v>
      </c>
      <c r="D34" s="340" t="s">
        <v>1193</v>
      </c>
      <c r="E34" s="340" t="s">
        <v>4257</v>
      </c>
      <c r="F34" s="341">
        <v>45145</v>
      </c>
      <c r="G34" s="341"/>
      <c r="H34" s="341"/>
      <c r="I34" s="341" t="s">
        <v>1110</v>
      </c>
      <c r="J34" s="340" t="s">
        <v>4768</v>
      </c>
      <c r="K34" s="340" t="s">
        <v>33</v>
      </c>
      <c r="L34" s="170">
        <v>45166</v>
      </c>
      <c r="M34" s="177" t="s">
        <v>5965</v>
      </c>
      <c r="N34" s="179"/>
      <c r="O34" s="178"/>
      <c r="Q34" t="s">
        <v>129</v>
      </c>
      <c r="S34" s="184">
        <v>45160.507951388892</v>
      </c>
      <c r="T34" s="195">
        <v>45160.507951388892</v>
      </c>
      <c r="U34" s="195">
        <v>45160.507951388892</v>
      </c>
      <c r="V34" s="290">
        <v>1</v>
      </c>
      <c r="W34" s="200">
        <v>45160.507951388892</v>
      </c>
      <c r="X34" s="200">
        <v>45160.5080787037</v>
      </c>
      <c r="Y34" s="199">
        <v>1</v>
      </c>
      <c r="Z34" s="206">
        <v>45160.5080787037</v>
      </c>
      <c r="AA34" s="205">
        <v>1</v>
      </c>
      <c r="AB34" s="206">
        <v>45160.5080787037</v>
      </c>
      <c r="AC34" s="187">
        <v>1</v>
      </c>
      <c r="AD34" s="186"/>
    </row>
    <row r="35" spans="1:30">
      <c r="A35" s="340">
        <f>COUNTA($E$3:E35)</f>
        <v>33</v>
      </c>
      <c r="B35" s="340" t="s">
        <v>5810</v>
      </c>
      <c r="C35" s="340" t="s">
        <v>41</v>
      </c>
      <c r="D35" s="340" t="s">
        <v>49</v>
      </c>
      <c r="E35" s="340" t="s">
        <v>4914</v>
      </c>
      <c r="F35" s="341">
        <v>45156.705231481479</v>
      </c>
      <c r="G35" s="341"/>
      <c r="H35" s="341"/>
      <c r="I35" s="341" t="s">
        <v>2</v>
      </c>
      <c r="J35" s="340" t="s">
        <v>5882</v>
      </c>
      <c r="K35" s="340"/>
      <c r="L35" s="170">
        <v>45166</v>
      </c>
      <c r="M35" s="177" t="s">
        <v>5971</v>
      </c>
      <c r="N35" s="179"/>
      <c r="O35" s="178"/>
      <c r="Q35" t="s">
        <v>22</v>
      </c>
      <c r="S35" s="184">
        <v>45156.710023148145</v>
      </c>
      <c r="T35" s="195">
        <v>45156.710023148145</v>
      </c>
      <c r="U35" s="195">
        <v>45156.710023148145</v>
      </c>
      <c r="V35" s="290">
        <v>1</v>
      </c>
      <c r="W35" s="200">
        <v>45156.710023148145</v>
      </c>
      <c r="X35" s="200">
        <v>45156.710162037038</v>
      </c>
      <c r="Y35" s="199">
        <v>1</v>
      </c>
      <c r="Z35" s="206">
        <v>45156.710162037038</v>
      </c>
      <c r="AA35" s="205">
        <v>1</v>
      </c>
      <c r="AB35" s="206">
        <v>45156.710162037038</v>
      </c>
      <c r="AC35" s="187">
        <v>1</v>
      </c>
      <c r="AD35" s="186"/>
    </row>
    <row r="36" spans="1:30">
      <c r="A36" s="340">
        <f>COUNTA($E$3:E36)</f>
        <v>34</v>
      </c>
      <c r="B36" s="340" t="s">
        <v>5831</v>
      </c>
      <c r="C36" s="340" t="s">
        <v>4122</v>
      </c>
      <c r="D36" s="340" t="s">
        <v>16</v>
      </c>
      <c r="E36" s="340" t="s">
        <v>4773</v>
      </c>
      <c r="F36" s="341">
        <v>45149.690127314818</v>
      </c>
      <c r="G36" s="341"/>
      <c r="H36" s="341" t="s">
        <v>55</v>
      </c>
      <c r="I36" s="341" t="s">
        <v>2</v>
      </c>
      <c r="J36" s="340" t="s">
        <v>5854</v>
      </c>
      <c r="K36" s="340" t="s">
        <v>20</v>
      </c>
      <c r="L36" s="170">
        <v>45166</v>
      </c>
      <c r="M36" s="177" t="s">
        <v>5966</v>
      </c>
      <c r="N36" s="179"/>
      <c r="O36" s="178"/>
      <c r="Q36" t="s">
        <v>22</v>
      </c>
      <c r="S36" s="184">
        <v>45152.546597222223</v>
      </c>
      <c r="T36" s="195">
        <v>45152.546597222223</v>
      </c>
      <c r="U36" s="195">
        <v>45152.546597222223</v>
      </c>
      <c r="V36" s="290">
        <v>1</v>
      </c>
      <c r="W36" s="200">
        <v>45152.546597222223</v>
      </c>
      <c r="X36" s="200">
        <v>45156.454895833333</v>
      </c>
      <c r="Y36" s="199">
        <v>5</v>
      </c>
      <c r="Z36" s="206">
        <v>45156</v>
      </c>
      <c r="AA36" s="205">
        <v>5</v>
      </c>
      <c r="AB36" s="206">
        <v>45162</v>
      </c>
      <c r="AC36" s="187">
        <v>9</v>
      </c>
      <c r="AD36" s="186"/>
    </row>
    <row r="37" spans="1:30">
      <c r="A37" s="340">
        <f>COUNTA($E$3:E37)</f>
        <v>35</v>
      </c>
      <c r="B37" s="340" t="s">
        <v>5855</v>
      </c>
      <c r="C37" s="340" t="s">
        <v>4122</v>
      </c>
      <c r="D37" s="340" t="s">
        <v>16</v>
      </c>
      <c r="E37" s="340" t="s">
        <v>5014</v>
      </c>
      <c r="F37" s="341">
        <v>45152.661689814813</v>
      </c>
      <c r="G37" s="341"/>
      <c r="H37" s="341"/>
      <c r="I37" s="341" t="s">
        <v>2</v>
      </c>
      <c r="J37" s="340" t="s">
        <v>17</v>
      </c>
      <c r="K37" s="340"/>
      <c r="L37" s="170">
        <v>45166</v>
      </c>
      <c r="M37" s="177" t="s">
        <v>5970</v>
      </c>
      <c r="N37" s="179"/>
      <c r="O37" s="178"/>
      <c r="Q37" t="s">
        <v>22</v>
      </c>
      <c r="S37" s="184">
        <v>45152.709131944444</v>
      </c>
      <c r="T37" s="195">
        <v>45152.709131944444</v>
      </c>
      <c r="U37" s="195">
        <v>45152.709131944444</v>
      </c>
      <c r="V37" s="290">
        <v>1</v>
      </c>
      <c r="W37" s="200">
        <v>45152.709131944444</v>
      </c>
      <c r="X37" s="200">
        <v>45156.489328703705</v>
      </c>
      <c r="Y37" s="199">
        <v>5</v>
      </c>
      <c r="Z37" s="206">
        <v>45156</v>
      </c>
      <c r="AA37" s="205">
        <v>1</v>
      </c>
      <c r="AB37" s="206">
        <v>45156</v>
      </c>
      <c r="AC37" s="187">
        <v>1</v>
      </c>
      <c r="AD37" s="186"/>
    </row>
    <row r="38" spans="1:30">
      <c r="A38" s="340">
        <f>COUNTA($E$3:E38)</f>
        <v>36</v>
      </c>
      <c r="B38" s="340" t="s">
        <v>5857</v>
      </c>
      <c r="C38" s="340" t="s">
        <v>41</v>
      </c>
      <c r="D38" s="340" t="s">
        <v>2052</v>
      </c>
      <c r="E38" s="340" t="s">
        <v>2114</v>
      </c>
      <c r="F38" s="341">
        <v>45152</v>
      </c>
      <c r="G38" s="341"/>
      <c r="H38" s="341"/>
      <c r="I38" s="341" t="s">
        <v>1110</v>
      </c>
      <c r="J38" s="340" t="s">
        <v>4768</v>
      </c>
      <c r="K38" s="340" t="s">
        <v>33</v>
      </c>
      <c r="L38" s="170">
        <v>45166</v>
      </c>
      <c r="M38" s="177" t="s">
        <v>5965</v>
      </c>
      <c r="N38" s="179"/>
      <c r="O38" s="178"/>
      <c r="Q38" t="s">
        <v>129</v>
      </c>
      <c r="S38" s="184">
        <v>45160.521689814814</v>
      </c>
      <c r="T38" s="195">
        <v>45160.521689814814</v>
      </c>
      <c r="U38" s="195">
        <v>45160.521689814814</v>
      </c>
      <c r="V38" s="290">
        <v>1</v>
      </c>
      <c r="W38" s="200">
        <v>45160.521689814814</v>
      </c>
      <c r="X38" s="200">
        <v>45160.521851851852</v>
      </c>
      <c r="Y38" s="199">
        <v>1</v>
      </c>
      <c r="Z38" s="206">
        <v>45160.521851851852</v>
      </c>
      <c r="AA38" s="205">
        <v>1</v>
      </c>
      <c r="AB38" s="206">
        <v>45160.521851851852</v>
      </c>
      <c r="AC38" s="187">
        <v>1</v>
      </c>
      <c r="AD38" s="186"/>
    </row>
    <row r="39" spans="1:30">
      <c r="A39" s="340">
        <f>COUNTA($E$3:E39)</f>
        <v>37</v>
      </c>
      <c r="B39" s="340" t="s">
        <v>5861</v>
      </c>
      <c r="C39" s="340" t="s">
        <v>41</v>
      </c>
      <c r="D39" s="340" t="s">
        <v>51</v>
      </c>
      <c r="E39" s="340" t="s">
        <v>4607</v>
      </c>
      <c r="F39" s="341">
        <v>45154</v>
      </c>
      <c r="G39" s="341"/>
      <c r="H39" s="341"/>
      <c r="I39" s="341" t="s">
        <v>3</v>
      </c>
      <c r="J39" s="340" t="s">
        <v>2153</v>
      </c>
      <c r="K39" s="340" t="s">
        <v>33</v>
      </c>
      <c r="L39" s="170">
        <v>45166</v>
      </c>
      <c r="M39" s="177" t="s">
        <v>3846</v>
      </c>
      <c r="N39" s="179"/>
      <c r="O39" s="178"/>
      <c r="Q39" t="s">
        <v>129</v>
      </c>
      <c r="S39" s="184">
        <v>45159.555520833332</v>
      </c>
      <c r="T39" s="195">
        <v>45159.555520833332</v>
      </c>
      <c r="U39" s="195">
        <v>45159.555520833332</v>
      </c>
      <c r="V39" s="290">
        <v>1</v>
      </c>
      <c r="W39" s="200">
        <v>45159.555520833332</v>
      </c>
      <c r="X39" s="200">
        <v>45159.555590277778</v>
      </c>
      <c r="Y39" s="199">
        <v>1</v>
      </c>
      <c r="Z39" s="206">
        <v>45159</v>
      </c>
      <c r="AA39" s="205">
        <v>3</v>
      </c>
      <c r="AB39" s="206">
        <v>45161</v>
      </c>
      <c r="AC39" s="187">
        <v>3</v>
      </c>
      <c r="AD39" s="186"/>
    </row>
    <row r="40" spans="1:30">
      <c r="A40" s="340">
        <f>COUNTA($E$3:E40)</f>
        <v>38</v>
      </c>
      <c r="B40" s="340" t="s">
        <v>5891</v>
      </c>
      <c r="C40" s="340" t="s">
        <v>37</v>
      </c>
      <c r="D40" s="340" t="s">
        <v>30</v>
      </c>
      <c r="E40" s="340" t="s">
        <v>5099</v>
      </c>
      <c r="F40" s="341">
        <v>45159</v>
      </c>
      <c r="G40" s="341"/>
      <c r="H40" s="341"/>
      <c r="I40" s="341" t="s">
        <v>3</v>
      </c>
      <c r="J40" s="340" t="s">
        <v>1720</v>
      </c>
      <c r="K40" s="340" t="s">
        <v>125</v>
      </c>
      <c r="L40" s="170">
        <v>45166</v>
      </c>
      <c r="M40" s="177" t="s">
        <v>5968</v>
      </c>
      <c r="N40" s="179"/>
      <c r="O40" s="178"/>
      <c r="Q40" t="s">
        <v>129</v>
      </c>
      <c r="S40" s="184">
        <v>45160.586435185185</v>
      </c>
      <c r="T40" s="195">
        <v>45160.586435185185</v>
      </c>
      <c r="U40" s="195">
        <v>45160.586435185185</v>
      </c>
      <c r="V40" s="290">
        <v>1</v>
      </c>
      <c r="W40" s="200">
        <v>45160.586435185185</v>
      </c>
      <c r="X40" s="200">
        <v>45160.586585648147</v>
      </c>
      <c r="Y40" s="199">
        <v>1</v>
      </c>
      <c r="Z40" s="206">
        <v>45160</v>
      </c>
      <c r="AA40" s="205">
        <v>1</v>
      </c>
      <c r="AB40" s="206">
        <v>45160</v>
      </c>
      <c r="AC40" s="187">
        <v>1</v>
      </c>
      <c r="AD40" s="186"/>
    </row>
    <row r="41" spans="1:30">
      <c r="A41" s="340">
        <f>COUNTA($E$3:E41)</f>
        <v>39</v>
      </c>
      <c r="B41" s="340" t="s">
        <v>5892</v>
      </c>
      <c r="C41" s="340" t="s">
        <v>37</v>
      </c>
      <c r="D41" s="340" t="s">
        <v>30</v>
      </c>
      <c r="E41" s="340" t="s">
        <v>4927</v>
      </c>
      <c r="F41" s="341">
        <v>45159.456412037034</v>
      </c>
      <c r="G41" s="341"/>
      <c r="H41" s="341"/>
      <c r="I41" s="341" t="s">
        <v>3</v>
      </c>
      <c r="J41" s="340" t="s">
        <v>1212</v>
      </c>
      <c r="K41" s="340"/>
      <c r="L41" s="170">
        <v>45166</v>
      </c>
      <c r="M41" s="177" t="s">
        <v>3837</v>
      </c>
      <c r="N41" s="179"/>
      <c r="O41" s="178"/>
      <c r="Q41" t="s">
        <v>129</v>
      </c>
      <c r="S41" s="184">
        <v>45160.540775462963</v>
      </c>
      <c r="T41" s="195">
        <v>45160.540775462963</v>
      </c>
      <c r="U41" s="195">
        <v>45160.540775462963</v>
      </c>
      <c r="V41" s="290">
        <v>1</v>
      </c>
      <c r="W41" s="200">
        <v>45160.540775462963</v>
      </c>
      <c r="X41" s="200">
        <v>45160.540914351855</v>
      </c>
      <c r="Y41" s="199">
        <v>1</v>
      </c>
      <c r="Z41" s="206">
        <v>45160</v>
      </c>
      <c r="AA41" s="205">
        <v>4</v>
      </c>
      <c r="AB41" s="206">
        <v>45163</v>
      </c>
      <c r="AC41" s="187">
        <v>4</v>
      </c>
      <c r="AD41" s="186"/>
    </row>
    <row r="42" spans="1:30">
      <c r="A42" s="340">
        <f>COUNTA($E$3:E42)</f>
        <v>40</v>
      </c>
      <c r="B42" s="340" t="s">
        <v>5932</v>
      </c>
      <c r="C42" s="340" t="s">
        <v>41</v>
      </c>
      <c r="D42" s="340" t="s">
        <v>51</v>
      </c>
      <c r="E42" s="340" t="s">
        <v>5933</v>
      </c>
      <c r="F42" s="341">
        <v>45159</v>
      </c>
      <c r="G42" s="341"/>
      <c r="H42" s="341"/>
      <c r="I42" s="341" t="s">
        <v>3</v>
      </c>
      <c r="J42" s="340" t="s">
        <v>5996</v>
      </c>
      <c r="K42" s="340" t="s">
        <v>33</v>
      </c>
      <c r="L42" s="170">
        <v>45166</v>
      </c>
      <c r="M42" s="177"/>
      <c r="N42" s="179"/>
      <c r="O42" s="178"/>
      <c r="Q42" t="s">
        <v>129</v>
      </c>
      <c r="S42" s="184">
        <v>45162.523333333331</v>
      </c>
      <c r="T42" s="195">
        <v>45162.523333333331</v>
      </c>
      <c r="U42" s="195">
        <v>45162.523333333331</v>
      </c>
      <c r="V42" s="290">
        <v>1</v>
      </c>
      <c r="W42" s="200">
        <v>45162.523333333331</v>
      </c>
      <c r="X42" s="200">
        <v>45162.5234837963</v>
      </c>
      <c r="Y42" s="199">
        <v>1</v>
      </c>
      <c r="Z42" s="206">
        <v>45162</v>
      </c>
      <c r="AA42" s="205">
        <v>1</v>
      </c>
      <c r="AB42" s="206">
        <v>45162</v>
      </c>
      <c r="AC42" s="187">
        <v>1</v>
      </c>
      <c r="AD42" s="186"/>
    </row>
    <row r="43" spans="1:30">
      <c r="A43" s="340">
        <f>COUNTA($E$3:E43)</f>
        <v>41</v>
      </c>
      <c r="B43" s="340" t="s">
        <v>5958</v>
      </c>
      <c r="C43" s="340" t="s">
        <v>5084</v>
      </c>
      <c r="D43" s="340" t="s">
        <v>1123</v>
      </c>
      <c r="E43" s="340" t="s">
        <v>5959</v>
      </c>
      <c r="F43" s="341">
        <v>45160</v>
      </c>
      <c r="G43" s="341"/>
      <c r="H43" s="341"/>
      <c r="I43" s="341" t="s">
        <v>3</v>
      </c>
      <c r="J43" s="340" t="s">
        <v>2153</v>
      </c>
      <c r="K43" s="340" t="s">
        <v>33</v>
      </c>
      <c r="L43" s="170">
        <v>45166</v>
      </c>
      <c r="M43" s="177" t="s">
        <v>5964</v>
      </c>
      <c r="N43" s="179"/>
      <c r="O43" s="178"/>
      <c r="Q43" t="s">
        <v>129</v>
      </c>
      <c r="S43" s="184">
        <v>45161.714467592596</v>
      </c>
      <c r="T43" s="195">
        <v>45161.714467592596</v>
      </c>
      <c r="U43" s="195">
        <v>45161.714467592596</v>
      </c>
      <c r="V43" s="290">
        <v>1</v>
      </c>
      <c r="W43" s="200">
        <v>45161.714467592596</v>
      </c>
      <c r="X43" s="200">
        <v>45161.71465277778</v>
      </c>
      <c r="Y43" s="199">
        <v>1</v>
      </c>
      <c r="Z43" s="206">
        <v>45161</v>
      </c>
      <c r="AA43" s="205">
        <v>1</v>
      </c>
      <c r="AB43" s="206">
        <v>45161</v>
      </c>
      <c r="AC43" s="187">
        <v>1</v>
      </c>
      <c r="AD43" s="186"/>
    </row>
    <row r="44" spans="1:30">
      <c r="A44" s="340">
        <f>COUNTA($E$3:E44)</f>
        <v>42</v>
      </c>
      <c r="B44" s="340" t="s">
        <v>6019</v>
      </c>
      <c r="C44" s="340" t="s">
        <v>41</v>
      </c>
      <c r="D44" s="340" t="s">
        <v>49</v>
      </c>
      <c r="E44" s="340" t="s">
        <v>2719</v>
      </c>
      <c r="F44" s="341"/>
      <c r="G44" s="341"/>
      <c r="H44" s="341"/>
      <c r="I44" s="341" t="s">
        <v>2</v>
      </c>
      <c r="J44" s="340"/>
      <c r="K44" s="340" t="s">
        <v>24</v>
      </c>
      <c r="L44" s="170">
        <v>45160</v>
      </c>
      <c r="M44" s="177" t="s">
        <v>3759</v>
      </c>
      <c r="N44" s="179"/>
      <c r="O44" s="178"/>
      <c r="Q44" t="s">
        <v>22</v>
      </c>
      <c r="S44" s="186">
        <v>45124.534270833334</v>
      </c>
      <c r="T44" s="194">
        <v>45124.534270833334</v>
      </c>
      <c r="U44" s="194" t="str">
        <f>IF(H44&lt;&gt;"",H44,"")</f>
        <v/>
      </c>
      <c r="V44" s="290">
        <v>1</v>
      </c>
      <c r="W44" s="198">
        <v>0</v>
      </c>
      <c r="X44" s="198">
        <v>45148.449687499997</v>
      </c>
      <c r="Y44" s="199">
        <v>32249</v>
      </c>
      <c r="Z44" s="204">
        <v>45148</v>
      </c>
      <c r="AA44" s="205">
        <v>5</v>
      </c>
      <c r="AB44" s="204">
        <v>45154</v>
      </c>
      <c r="AC44" s="187">
        <v>23</v>
      </c>
      <c r="AD44" s="186"/>
    </row>
    <row r="45" spans="1:30">
      <c r="A45" s="340">
        <f>COUNTA($E$3:E45)</f>
        <v>43</v>
      </c>
      <c r="B45" s="340" t="s">
        <v>6020</v>
      </c>
      <c r="C45" s="340" t="s">
        <v>3299</v>
      </c>
      <c r="D45" s="340" t="s">
        <v>58</v>
      </c>
      <c r="E45" s="340" t="s">
        <v>5223</v>
      </c>
      <c r="F45" s="341">
        <v>45139.79246527778</v>
      </c>
      <c r="G45" s="341"/>
      <c r="H45" s="341"/>
      <c r="I45" s="341"/>
      <c r="J45" s="340" t="s">
        <v>6021</v>
      </c>
      <c r="K45" s="340"/>
      <c r="L45" s="170">
        <v>45160</v>
      </c>
      <c r="M45" s="177" t="s">
        <v>6022</v>
      </c>
      <c r="N45" s="179"/>
      <c r="O45" s="178"/>
      <c r="Q45" t="s">
        <v>129</v>
      </c>
      <c r="S45" s="186">
        <v>45153.469375000001</v>
      </c>
      <c r="T45" s="194">
        <v>45153.469375000001</v>
      </c>
      <c r="U45" s="194" t="str">
        <f t="shared" ref="U45:U50" si="1">IF(H45&lt;&gt;"",H45,"")</f>
        <v/>
      </c>
      <c r="V45" s="290">
        <v>1</v>
      </c>
      <c r="W45" s="198">
        <v>0</v>
      </c>
      <c r="X45" s="198">
        <v>45153.469513888886</v>
      </c>
      <c r="Y45" s="199">
        <v>32252</v>
      </c>
      <c r="Z45" s="204">
        <v>45153</v>
      </c>
      <c r="AA45" s="205">
        <v>4</v>
      </c>
      <c r="AB45" s="204">
        <v>45156</v>
      </c>
      <c r="AC45" s="187">
        <v>4</v>
      </c>
      <c r="AD45" s="186"/>
    </row>
    <row r="46" spans="1:30">
      <c r="A46" s="340">
        <f>COUNTA($E$3:E46)</f>
        <v>44</v>
      </c>
      <c r="B46" s="340" t="s">
        <v>6023</v>
      </c>
      <c r="C46" s="340" t="s">
        <v>109</v>
      </c>
      <c r="D46" s="340" t="s">
        <v>58</v>
      </c>
      <c r="E46" s="340" t="s">
        <v>6024</v>
      </c>
      <c r="F46" s="341">
        <v>45141.720868055556</v>
      </c>
      <c r="G46" s="341"/>
      <c r="H46" s="341"/>
      <c r="I46" s="341"/>
      <c r="J46" s="340" t="s">
        <v>2153</v>
      </c>
      <c r="K46" s="340"/>
      <c r="L46" s="170">
        <v>45160</v>
      </c>
      <c r="M46" s="177" t="s">
        <v>6022</v>
      </c>
      <c r="N46" s="179"/>
      <c r="O46" s="178"/>
      <c r="Q46" t="s">
        <v>129</v>
      </c>
      <c r="S46" s="186">
        <v>45146.725092592591</v>
      </c>
      <c r="T46" s="194">
        <v>45146.725092592591</v>
      </c>
      <c r="U46" s="194" t="str">
        <f t="shared" si="1"/>
        <v/>
      </c>
      <c r="V46" s="290">
        <v>1</v>
      </c>
      <c r="W46" s="198">
        <v>0</v>
      </c>
      <c r="X46" s="198">
        <v>45146.725208333337</v>
      </c>
      <c r="Y46" s="199">
        <v>32247</v>
      </c>
      <c r="Z46" s="204">
        <v>45153</v>
      </c>
      <c r="AA46" s="205">
        <v>4</v>
      </c>
      <c r="AB46" s="204">
        <v>45156</v>
      </c>
      <c r="AC46" s="187">
        <v>9</v>
      </c>
      <c r="AD46" s="186"/>
    </row>
    <row r="47" spans="1:30">
      <c r="A47" s="340">
        <f>COUNTA($E$3:E47)</f>
        <v>45</v>
      </c>
      <c r="B47" s="340" t="s">
        <v>6025</v>
      </c>
      <c r="C47" s="340" t="s">
        <v>44</v>
      </c>
      <c r="D47" s="340" t="s">
        <v>1129</v>
      </c>
      <c r="E47" s="340" t="s">
        <v>5290</v>
      </c>
      <c r="F47" s="341">
        <v>45148.520138888889</v>
      </c>
      <c r="G47" s="341"/>
      <c r="H47" s="341"/>
      <c r="I47" s="341"/>
      <c r="J47" s="340" t="s">
        <v>17</v>
      </c>
      <c r="K47" s="340" t="s">
        <v>20</v>
      </c>
      <c r="L47" s="170">
        <v>45160</v>
      </c>
      <c r="M47" s="177"/>
      <c r="N47" s="179"/>
      <c r="O47" s="178"/>
      <c r="Q47" t="s">
        <v>22</v>
      </c>
      <c r="S47" s="186">
        <v>45149.650706018518</v>
      </c>
      <c r="T47" s="194">
        <v>45149.650706018518</v>
      </c>
      <c r="U47" s="194" t="str">
        <f t="shared" si="1"/>
        <v/>
      </c>
      <c r="V47" s="290">
        <v>1</v>
      </c>
      <c r="W47" s="198">
        <v>0</v>
      </c>
      <c r="X47" s="198">
        <v>45154.418680555558</v>
      </c>
      <c r="Y47" s="199">
        <v>32253</v>
      </c>
      <c r="Z47" s="204">
        <v>45154</v>
      </c>
      <c r="AA47" s="205">
        <v>2</v>
      </c>
      <c r="AB47" s="204">
        <v>45155</v>
      </c>
      <c r="AC47" s="187">
        <v>5</v>
      </c>
      <c r="AD47" s="186"/>
    </row>
    <row r="48" spans="1:30">
      <c r="A48" s="340">
        <f>COUNTA($E$3:E48)</f>
        <v>46</v>
      </c>
      <c r="B48" s="340" t="s">
        <v>6026</v>
      </c>
      <c r="C48" s="340" t="s">
        <v>3984</v>
      </c>
      <c r="D48" s="340" t="s">
        <v>34</v>
      </c>
      <c r="E48" s="340" t="s">
        <v>6027</v>
      </c>
      <c r="F48" s="341">
        <v>45149.677442129629</v>
      </c>
      <c r="G48" s="341"/>
      <c r="H48" s="341"/>
      <c r="I48" s="341"/>
      <c r="J48" s="340" t="s">
        <v>6028</v>
      </c>
      <c r="K48" s="340" t="s">
        <v>1277</v>
      </c>
      <c r="L48" s="170">
        <v>45160</v>
      </c>
      <c r="M48" s="177"/>
      <c r="N48" s="179"/>
      <c r="O48" s="178"/>
      <c r="Q48" t="s">
        <v>129</v>
      </c>
      <c r="S48" s="186">
        <v>45154.798819444448</v>
      </c>
      <c r="T48" s="194">
        <v>45154.798819444448</v>
      </c>
      <c r="U48" s="194" t="str">
        <f t="shared" si="1"/>
        <v/>
      </c>
      <c r="V48" s="290">
        <v>1</v>
      </c>
      <c r="W48" s="198">
        <v>0</v>
      </c>
      <c r="X48" s="198">
        <v>45154.798900462964</v>
      </c>
      <c r="Y48" s="199">
        <v>32253</v>
      </c>
      <c r="Z48" s="204">
        <v>45154</v>
      </c>
      <c r="AA48" s="205">
        <v>3</v>
      </c>
      <c r="AB48" s="204">
        <v>45156</v>
      </c>
      <c r="AC48" s="187">
        <v>3</v>
      </c>
      <c r="AD48" s="186"/>
    </row>
    <row r="49" spans="1:30">
      <c r="A49" s="340">
        <f>COUNTA($E$3:E49)</f>
        <v>47</v>
      </c>
      <c r="B49" s="340" t="s">
        <v>6029</v>
      </c>
      <c r="C49" s="340" t="s">
        <v>41</v>
      </c>
      <c r="D49" s="340" t="s">
        <v>56</v>
      </c>
      <c r="E49" s="340" t="s">
        <v>5454</v>
      </c>
      <c r="F49" s="341">
        <v>45152.765057870369</v>
      </c>
      <c r="G49" s="341"/>
      <c r="H49" s="341"/>
      <c r="I49" s="341" t="s">
        <v>3</v>
      </c>
      <c r="J49" s="340" t="s">
        <v>2153</v>
      </c>
      <c r="K49" s="340"/>
      <c r="L49" s="170">
        <v>45160</v>
      </c>
      <c r="M49" s="177" t="s">
        <v>6030</v>
      </c>
      <c r="N49" s="179"/>
      <c r="O49" s="178"/>
      <c r="Q49" t="s">
        <v>129</v>
      </c>
      <c r="S49" s="186">
        <v>45153.684236111112</v>
      </c>
      <c r="T49" s="194">
        <v>45153.684236111112</v>
      </c>
      <c r="U49" s="194" t="str">
        <f t="shared" si="1"/>
        <v/>
      </c>
      <c r="V49" s="290">
        <v>1</v>
      </c>
      <c r="W49" s="198">
        <v>0</v>
      </c>
      <c r="X49" s="198">
        <v>45153.684305555558</v>
      </c>
      <c r="Y49" s="199">
        <v>32252</v>
      </c>
      <c r="Z49" s="204">
        <v>45153</v>
      </c>
      <c r="AA49" s="205">
        <v>4</v>
      </c>
      <c r="AB49" s="204">
        <v>45156</v>
      </c>
      <c r="AC49" s="187">
        <v>4</v>
      </c>
      <c r="AD49" s="186"/>
    </row>
    <row r="50" spans="1:30">
      <c r="A50" s="340">
        <f>COUNTA($E$3:E50)</f>
        <v>48</v>
      </c>
      <c r="B50" s="340" t="s">
        <v>6031</v>
      </c>
      <c r="C50" s="340" t="s">
        <v>41</v>
      </c>
      <c r="D50" s="340" t="s">
        <v>49</v>
      </c>
      <c r="E50" s="340" t="s">
        <v>5452</v>
      </c>
      <c r="F50" s="341">
        <v>45152.765694444446</v>
      </c>
      <c r="G50" s="341"/>
      <c r="H50" s="341"/>
      <c r="I50" s="341" t="s">
        <v>3</v>
      </c>
      <c r="J50" s="340" t="s">
        <v>2153</v>
      </c>
      <c r="K50" s="340"/>
      <c r="L50" s="170">
        <v>45160</v>
      </c>
      <c r="M50" s="177" t="s">
        <v>6030</v>
      </c>
      <c r="N50" s="179"/>
      <c r="O50" s="178"/>
      <c r="Q50" t="s">
        <v>129</v>
      </c>
      <c r="S50" s="186">
        <v>45153.682800925926</v>
      </c>
      <c r="T50" s="194">
        <v>45153.682800925926</v>
      </c>
      <c r="U50" s="194" t="str">
        <f t="shared" si="1"/>
        <v/>
      </c>
      <c r="V50" s="290">
        <v>1</v>
      </c>
      <c r="W50" s="198">
        <v>0</v>
      </c>
      <c r="X50" s="198">
        <v>45153.682928240742</v>
      </c>
      <c r="Y50" s="199">
        <v>32252</v>
      </c>
      <c r="Z50" s="204">
        <v>45153</v>
      </c>
      <c r="AA50" s="205">
        <v>4</v>
      </c>
      <c r="AB50" s="204">
        <v>45156</v>
      </c>
      <c r="AC50" s="187">
        <v>4</v>
      </c>
      <c r="AD50" s="186"/>
    </row>
    <row r="51" spans="1:30">
      <c r="A51" s="340">
        <f>COUNTA($E$3:E51)</f>
        <v>49</v>
      </c>
      <c r="B51" s="340" t="s">
        <v>5201</v>
      </c>
      <c r="C51" s="340" t="s">
        <v>5202</v>
      </c>
      <c r="D51" s="340" t="s">
        <v>19</v>
      </c>
      <c r="E51" s="340" t="s">
        <v>5203</v>
      </c>
      <c r="F51" s="341">
        <v>45055.764918981484</v>
      </c>
      <c r="G51" s="341">
        <v>45139</v>
      </c>
      <c r="H51" s="341">
        <v>45105</v>
      </c>
      <c r="I51" s="341" t="s">
        <v>2</v>
      </c>
      <c r="J51" s="340" t="s">
        <v>5260</v>
      </c>
      <c r="K51" s="340" t="s">
        <v>1287</v>
      </c>
      <c r="L51" s="170">
        <v>45152</v>
      </c>
      <c r="M51" s="177" t="s">
        <v>33</v>
      </c>
      <c r="N51" s="179">
        <v>45148</v>
      </c>
      <c r="O51" s="178"/>
      <c r="Q51" t="s">
        <v>129</v>
      </c>
      <c r="S51" s="184">
        <v>45105</v>
      </c>
      <c r="T51" s="195">
        <v>45105</v>
      </c>
      <c r="U51" s="195">
        <v>45105</v>
      </c>
      <c r="V51" s="290">
        <v>1</v>
      </c>
      <c r="W51" s="200">
        <v>45142.732777777775</v>
      </c>
      <c r="X51" s="200">
        <v>45142.732777777775</v>
      </c>
      <c r="Y51" s="199">
        <v>1</v>
      </c>
      <c r="Z51" s="206">
        <v>45142</v>
      </c>
      <c r="AA51" s="205">
        <v>6</v>
      </c>
      <c r="AB51" s="206">
        <v>45149</v>
      </c>
      <c r="AC51" s="187">
        <v>33</v>
      </c>
      <c r="AD51" s="186"/>
    </row>
    <row r="52" spans="1:30">
      <c r="A52" s="340">
        <f>COUNTA($E$3:E52)</f>
        <v>50</v>
      </c>
      <c r="B52" s="340" t="s">
        <v>5349</v>
      </c>
      <c r="C52" s="340" t="s">
        <v>109</v>
      </c>
      <c r="D52" s="340" t="s">
        <v>58</v>
      </c>
      <c r="E52" s="340" t="s">
        <v>5350</v>
      </c>
      <c r="F52" s="341">
        <v>45076.866064814814</v>
      </c>
      <c r="G52" s="341"/>
      <c r="H52" s="341" t="s">
        <v>55</v>
      </c>
      <c r="I52" s="341" t="s">
        <v>2</v>
      </c>
      <c r="J52" s="340" t="s">
        <v>5351</v>
      </c>
      <c r="K52" s="340" t="s">
        <v>1296</v>
      </c>
      <c r="L52" s="170">
        <v>45152</v>
      </c>
      <c r="M52" s="177" t="s">
        <v>2955</v>
      </c>
      <c r="N52" s="179">
        <v>45148</v>
      </c>
      <c r="O52" s="178"/>
      <c r="Q52" t="s">
        <v>129</v>
      </c>
      <c r="S52" s="184">
        <v>45078.562326388892</v>
      </c>
      <c r="T52" s="195">
        <v>45078.562326388892</v>
      </c>
      <c r="U52" s="195">
        <v>45078.562326388892</v>
      </c>
      <c r="V52" s="290">
        <v>1</v>
      </c>
      <c r="W52" s="200">
        <v>45142.769837962966</v>
      </c>
      <c r="X52" s="200">
        <v>45142.769837962966</v>
      </c>
      <c r="Y52" s="199">
        <v>1</v>
      </c>
      <c r="Z52" s="206">
        <v>45142</v>
      </c>
      <c r="AA52" s="205">
        <v>1</v>
      </c>
      <c r="AB52" s="206">
        <v>45149</v>
      </c>
      <c r="AC52" s="187">
        <v>1</v>
      </c>
      <c r="AD52" s="186"/>
    </row>
    <row r="53" spans="1:30">
      <c r="A53" s="340">
        <f>COUNTA($E$3:E53)</f>
        <v>51</v>
      </c>
      <c r="B53" s="340" t="s">
        <v>5690</v>
      </c>
      <c r="C53" s="340" t="s">
        <v>37</v>
      </c>
      <c r="D53" s="340" t="s">
        <v>30</v>
      </c>
      <c r="E53" s="340" t="s">
        <v>3370</v>
      </c>
      <c r="F53" s="341">
        <v>45131.651435185187</v>
      </c>
      <c r="G53" s="341"/>
      <c r="H53" s="341"/>
      <c r="I53" s="341" t="s">
        <v>3</v>
      </c>
      <c r="J53" s="340" t="s">
        <v>1485</v>
      </c>
      <c r="K53" s="340" t="s">
        <v>1287</v>
      </c>
      <c r="L53" s="170">
        <v>45152</v>
      </c>
      <c r="M53" s="177" t="s">
        <v>5836</v>
      </c>
      <c r="N53" s="179">
        <v>45135</v>
      </c>
      <c r="O53" s="178"/>
      <c r="Q53" t="s">
        <v>129</v>
      </c>
      <c r="S53" s="184">
        <v>45132.736597222225</v>
      </c>
      <c r="T53" s="195">
        <v>45132.736597222225</v>
      </c>
      <c r="U53" s="195">
        <v>45132.736597222225</v>
      </c>
      <c r="V53" s="290">
        <v>1</v>
      </c>
      <c r="W53" s="200">
        <v>45132.736712962964</v>
      </c>
      <c r="X53" s="200">
        <v>45132.736712962964</v>
      </c>
      <c r="Y53" s="199">
        <v>1</v>
      </c>
      <c r="Z53" s="206">
        <v>45132</v>
      </c>
      <c r="AA53" s="205">
        <v>1</v>
      </c>
      <c r="AB53" s="206">
        <v>45149</v>
      </c>
      <c r="AC53" s="187">
        <v>1</v>
      </c>
      <c r="AD53" s="186"/>
    </row>
    <row r="54" spans="1:30">
      <c r="A54" s="340">
        <f>COUNTA($E$3:E54)</f>
        <v>52</v>
      </c>
      <c r="B54" s="340" t="s">
        <v>5771</v>
      </c>
      <c r="C54" s="340" t="s">
        <v>2370</v>
      </c>
      <c r="D54" s="340" t="s">
        <v>1123</v>
      </c>
      <c r="E54" s="340" t="s">
        <v>5434</v>
      </c>
      <c r="F54" s="341">
        <v>45142.467141203706</v>
      </c>
      <c r="G54" s="341"/>
      <c r="H54" s="341"/>
      <c r="I54" s="341" t="s">
        <v>2</v>
      </c>
      <c r="J54" s="340" t="s">
        <v>5772</v>
      </c>
      <c r="K54" s="340" t="s">
        <v>20</v>
      </c>
      <c r="L54" s="170">
        <v>45152</v>
      </c>
      <c r="M54" s="177" t="s">
        <v>3732</v>
      </c>
      <c r="N54" s="179">
        <v>45147</v>
      </c>
      <c r="O54" s="178"/>
      <c r="Q54" t="s">
        <v>22</v>
      </c>
      <c r="S54" s="184">
        <v>45142.472824074073</v>
      </c>
      <c r="T54" s="195">
        <v>45142.472824074073</v>
      </c>
      <c r="U54" s="195">
        <v>45142.472824074073</v>
      </c>
      <c r="V54" s="290">
        <v>1</v>
      </c>
      <c r="W54" s="200">
        <v>45148.509444444448</v>
      </c>
      <c r="X54" s="200">
        <v>45148.509444444448</v>
      </c>
      <c r="Y54" s="199">
        <v>1</v>
      </c>
      <c r="Z54" s="206">
        <v>45142</v>
      </c>
      <c r="AA54" s="205">
        <v>7</v>
      </c>
      <c r="AB54" s="206">
        <v>45152</v>
      </c>
      <c r="AC54" s="187">
        <v>7</v>
      </c>
      <c r="AD54" s="186">
        <v>45147</v>
      </c>
    </row>
    <row r="55" spans="1:30">
      <c r="A55" s="340">
        <f>COUNTA($E$3:E55)</f>
        <v>53</v>
      </c>
      <c r="B55" s="340" t="s">
        <v>5774</v>
      </c>
      <c r="C55" s="340" t="s">
        <v>2767</v>
      </c>
      <c r="D55" s="340" t="s">
        <v>16</v>
      </c>
      <c r="E55" s="340" t="s">
        <v>3277</v>
      </c>
      <c r="F55" s="341">
        <v>45142.648356481484</v>
      </c>
      <c r="G55" s="341"/>
      <c r="H55" s="341"/>
      <c r="I55" s="341" t="s">
        <v>2</v>
      </c>
      <c r="J55" s="340" t="s">
        <v>4921</v>
      </c>
      <c r="K55" s="340" t="s">
        <v>1120</v>
      </c>
      <c r="L55" s="170">
        <v>45152</v>
      </c>
      <c r="M55" s="177" t="s">
        <v>3732</v>
      </c>
      <c r="N55" s="179"/>
      <c r="O55" s="178"/>
      <c r="Q55" t="s">
        <v>129</v>
      </c>
      <c r="S55" s="184">
        <v>44882</v>
      </c>
      <c r="T55" s="195">
        <v>44886</v>
      </c>
      <c r="U55" s="195">
        <v>45033</v>
      </c>
      <c r="V55" s="290">
        <v>106</v>
      </c>
      <c r="W55" s="200">
        <v>45044</v>
      </c>
      <c r="X55" s="200">
        <v>45142</v>
      </c>
      <c r="Y55" s="199">
        <v>71</v>
      </c>
      <c r="Z55" s="206">
        <v>45142</v>
      </c>
      <c r="AA55" s="205">
        <v>5</v>
      </c>
      <c r="AB55" s="206">
        <v>45148</v>
      </c>
      <c r="AC55" s="187">
        <v>191</v>
      </c>
      <c r="AD55" s="186"/>
    </row>
    <row r="56" spans="1:30">
      <c r="A56" s="340">
        <f>COUNTA($E$3:E56)</f>
        <v>54</v>
      </c>
      <c r="B56" s="340" t="s">
        <v>5801</v>
      </c>
      <c r="C56" s="340" t="s">
        <v>37</v>
      </c>
      <c r="D56" s="340" t="s">
        <v>30</v>
      </c>
      <c r="E56" s="340" t="s">
        <v>3381</v>
      </c>
      <c r="F56" s="341">
        <v>45145.700879629629</v>
      </c>
      <c r="G56" s="341"/>
      <c r="H56" s="341"/>
      <c r="I56" s="341"/>
      <c r="J56" s="340" t="s">
        <v>1720</v>
      </c>
      <c r="K56" s="340"/>
      <c r="L56" s="170">
        <v>45152</v>
      </c>
      <c r="M56" s="177" t="s">
        <v>5837</v>
      </c>
      <c r="N56" s="179"/>
      <c r="O56" s="178"/>
      <c r="Q56" t="s">
        <v>129</v>
      </c>
      <c r="S56" s="184">
        <v>45147.710185185184</v>
      </c>
      <c r="T56" s="195">
        <v>45147.710185185184</v>
      </c>
      <c r="U56" s="195">
        <v>45147.710185185184</v>
      </c>
      <c r="V56" s="290">
        <v>1</v>
      </c>
      <c r="W56" s="200">
        <v>45147.710358796299</v>
      </c>
      <c r="X56" s="200">
        <v>45147.710358796299</v>
      </c>
      <c r="Y56" s="199">
        <v>1</v>
      </c>
      <c r="Z56" s="206">
        <v>45147</v>
      </c>
      <c r="AA56" s="205">
        <v>2</v>
      </c>
      <c r="AB56" s="206">
        <v>45148</v>
      </c>
      <c r="AC56" s="187">
        <v>2</v>
      </c>
      <c r="AD56" s="186"/>
    </row>
    <row r="57" spans="1:30">
      <c r="A57" s="340">
        <f>COUNTA($E$3:E57)</f>
        <v>55</v>
      </c>
      <c r="B57" s="340" t="s">
        <v>5804</v>
      </c>
      <c r="C57" s="340" t="s">
        <v>41</v>
      </c>
      <c r="D57" s="340" t="s">
        <v>1125</v>
      </c>
      <c r="E57" s="340" t="s">
        <v>2879</v>
      </c>
      <c r="F57" s="341">
        <v>45145.78634259259</v>
      </c>
      <c r="G57" s="341"/>
      <c r="H57" s="341"/>
      <c r="I57" s="341"/>
      <c r="J57" s="340" t="s">
        <v>4768</v>
      </c>
      <c r="K57" s="340"/>
      <c r="L57" s="170">
        <v>45152</v>
      </c>
      <c r="M57" s="177" t="s">
        <v>3755</v>
      </c>
      <c r="N57" s="179"/>
      <c r="O57" s="178"/>
      <c r="Q57" t="s">
        <v>129</v>
      </c>
      <c r="S57" s="184">
        <v>45148.755555555559</v>
      </c>
      <c r="T57" s="195">
        <v>45148.755555555559</v>
      </c>
      <c r="U57" s="195">
        <v>45148.755555555559</v>
      </c>
      <c r="V57" s="290">
        <v>1</v>
      </c>
      <c r="W57" s="200">
        <v>45148.755729166667</v>
      </c>
      <c r="X57" s="200">
        <v>45148.755729166667</v>
      </c>
      <c r="Y57" s="199">
        <v>1</v>
      </c>
      <c r="Z57" s="206">
        <v>45148</v>
      </c>
      <c r="AA57" s="205">
        <v>2</v>
      </c>
      <c r="AB57" s="206">
        <v>45151</v>
      </c>
      <c r="AC57" s="187">
        <v>2</v>
      </c>
      <c r="AD57" s="186"/>
    </row>
    <row r="58" spans="1:30">
      <c r="A58" s="340">
        <f>COUNTA($E$3:E58)</f>
        <v>56</v>
      </c>
      <c r="B58" s="340" t="s">
        <v>5805</v>
      </c>
      <c r="C58" s="340" t="s">
        <v>41</v>
      </c>
      <c r="D58" s="340" t="s">
        <v>49</v>
      </c>
      <c r="E58" s="340" t="s">
        <v>3744</v>
      </c>
      <c r="F58" s="341">
        <v>45145</v>
      </c>
      <c r="G58" s="341"/>
      <c r="H58" s="341"/>
      <c r="I58" s="341" t="s">
        <v>3</v>
      </c>
      <c r="J58" s="340" t="s">
        <v>4768</v>
      </c>
      <c r="K58" s="340"/>
      <c r="L58" s="170">
        <v>45152</v>
      </c>
      <c r="M58" s="177" t="s">
        <v>5838</v>
      </c>
      <c r="N58" s="179"/>
      <c r="O58" s="178"/>
      <c r="Q58" t="s">
        <v>129</v>
      </c>
      <c r="S58" s="184">
        <v>45148.520648148151</v>
      </c>
      <c r="T58" s="195">
        <v>45148.520648148151</v>
      </c>
      <c r="U58" s="195">
        <v>45148.520648148151</v>
      </c>
      <c r="V58" s="290">
        <v>1</v>
      </c>
      <c r="W58" s="200">
        <v>45148.520752314813</v>
      </c>
      <c r="X58" s="200">
        <v>45148.520752314813</v>
      </c>
      <c r="Y58" s="199">
        <v>1</v>
      </c>
      <c r="Z58" s="206">
        <v>45148</v>
      </c>
      <c r="AA58" s="205">
        <v>2</v>
      </c>
      <c r="AB58" s="206">
        <v>45151</v>
      </c>
      <c r="AC58" s="187">
        <v>2</v>
      </c>
      <c r="AD58" s="186"/>
    </row>
    <row r="59" spans="1:30">
      <c r="A59" s="340">
        <f>COUNTA($E$3:E59)</f>
        <v>57</v>
      </c>
      <c r="B59" s="340" t="s">
        <v>5808</v>
      </c>
      <c r="C59" s="340" t="s">
        <v>37</v>
      </c>
      <c r="D59" s="340" t="s">
        <v>30</v>
      </c>
      <c r="E59" s="340" t="s">
        <v>3871</v>
      </c>
      <c r="F59" s="341">
        <v>45146.727812500001</v>
      </c>
      <c r="G59" s="341"/>
      <c r="H59" s="341"/>
      <c r="I59" s="341" t="s">
        <v>3</v>
      </c>
      <c r="J59" s="340" t="s">
        <v>1212</v>
      </c>
      <c r="K59" s="340"/>
      <c r="L59" s="170">
        <v>45152</v>
      </c>
      <c r="M59" s="177" t="s">
        <v>5839</v>
      </c>
      <c r="N59" s="179"/>
      <c r="O59" s="178"/>
      <c r="Q59" t="s">
        <v>129</v>
      </c>
      <c r="S59" s="184">
        <v>45148.490474537037</v>
      </c>
      <c r="T59" s="195">
        <v>45148.490474537037</v>
      </c>
      <c r="U59" s="195">
        <v>45148.490474537037</v>
      </c>
      <c r="V59" s="290">
        <v>1</v>
      </c>
      <c r="W59" s="200">
        <v>45148.492291666669</v>
      </c>
      <c r="X59" s="200">
        <v>45148.492291666669</v>
      </c>
      <c r="Y59" s="199">
        <v>1</v>
      </c>
      <c r="Z59" s="206">
        <v>45148</v>
      </c>
      <c r="AA59" s="205">
        <v>1</v>
      </c>
      <c r="AB59" s="206">
        <v>45148</v>
      </c>
      <c r="AC59" s="187">
        <v>1</v>
      </c>
      <c r="AD59" s="186"/>
    </row>
    <row r="60" spans="1:30">
      <c r="A60" s="340">
        <f>COUNTA($E$3:E60)</f>
        <v>58</v>
      </c>
      <c r="B60" s="340" t="s">
        <v>5828</v>
      </c>
      <c r="C60" s="340" t="s">
        <v>4122</v>
      </c>
      <c r="D60" s="340" t="s">
        <v>16</v>
      </c>
      <c r="E60" s="340" t="s">
        <v>5194</v>
      </c>
      <c r="F60" s="341">
        <v>45149.685069444444</v>
      </c>
      <c r="G60" s="341"/>
      <c r="H60" s="341"/>
      <c r="I60" s="341" t="s">
        <v>3</v>
      </c>
      <c r="J60" s="340" t="s">
        <v>357</v>
      </c>
      <c r="K60" s="340" t="s">
        <v>20</v>
      </c>
      <c r="L60" s="170">
        <v>45152</v>
      </c>
      <c r="M60" s="177" t="s">
        <v>5832</v>
      </c>
      <c r="N60" s="179"/>
      <c r="O60" s="178"/>
      <c r="Q60" t="s">
        <v>22</v>
      </c>
      <c r="S60" s="184">
        <v>45149.68613425926</v>
      </c>
      <c r="T60" s="195">
        <v>45149.68613425926</v>
      </c>
      <c r="U60" s="195">
        <v>45149.68613425926</v>
      </c>
      <c r="V60" s="290">
        <v>1</v>
      </c>
      <c r="W60" s="200">
        <v>45149.68644675926</v>
      </c>
      <c r="X60" s="200">
        <v>45149.68644675926</v>
      </c>
      <c r="Y60" s="199">
        <v>1</v>
      </c>
      <c r="Z60" s="206">
        <v>45149</v>
      </c>
      <c r="AA60" s="205">
        <v>1</v>
      </c>
      <c r="AB60" s="206">
        <v>45149</v>
      </c>
      <c r="AC60" s="187">
        <v>1</v>
      </c>
      <c r="AD60" s="186"/>
    </row>
    <row r="61" spans="1:30">
      <c r="A61" s="340">
        <f>COUNTA($E$3:E61)</f>
        <v>59</v>
      </c>
      <c r="B61" s="340" t="s">
        <v>5322</v>
      </c>
      <c r="C61" s="340" t="s">
        <v>37</v>
      </c>
      <c r="D61" s="340" t="s">
        <v>34</v>
      </c>
      <c r="E61" s="340" t="s">
        <v>5323</v>
      </c>
      <c r="F61" s="341">
        <v>45071</v>
      </c>
      <c r="G61" s="341"/>
      <c r="H61" s="341" t="s">
        <v>66</v>
      </c>
      <c r="I61" s="341" t="s">
        <v>3</v>
      </c>
      <c r="J61" s="340" t="s">
        <v>1666</v>
      </c>
      <c r="K61" s="340" t="s">
        <v>33</v>
      </c>
      <c r="L61" s="170">
        <v>45145</v>
      </c>
      <c r="M61" s="177"/>
      <c r="N61" s="179">
        <v>45110</v>
      </c>
      <c r="O61" s="178"/>
      <c r="Q61" t="s">
        <v>129</v>
      </c>
      <c r="S61" s="184">
        <v>45076.41028935185</v>
      </c>
      <c r="T61" s="195">
        <v>45076.41028935185</v>
      </c>
      <c r="U61" s="195">
        <v>45076.41028935185</v>
      </c>
      <c r="V61" s="290">
        <v>1</v>
      </c>
      <c r="W61" s="200">
        <v>45104.455775462964</v>
      </c>
      <c r="X61" s="200">
        <v>45104.455775462964</v>
      </c>
      <c r="Y61" s="199">
        <v>1</v>
      </c>
      <c r="Z61" s="206">
        <v>45145</v>
      </c>
      <c r="AA61" s="205">
        <v>1</v>
      </c>
      <c r="AB61" s="206">
        <v>45149</v>
      </c>
      <c r="AC61" s="187">
        <v>1</v>
      </c>
      <c r="AD61" s="186">
        <v>45110</v>
      </c>
    </row>
    <row r="62" spans="1:30">
      <c r="A62" s="340">
        <f>COUNTA($E$3:E62)</f>
        <v>60</v>
      </c>
      <c r="B62" s="340" t="s">
        <v>5417</v>
      </c>
      <c r="C62" s="340" t="s">
        <v>297</v>
      </c>
      <c r="D62" s="340" t="s">
        <v>49</v>
      </c>
      <c r="E62" s="340" t="s">
        <v>5418</v>
      </c>
      <c r="F62" s="341"/>
      <c r="G62" s="341">
        <v>45093</v>
      </c>
      <c r="H62" s="341">
        <v>45086</v>
      </c>
      <c r="I62" s="341" t="s">
        <v>3</v>
      </c>
      <c r="J62" s="340"/>
      <c r="K62" s="340" t="s">
        <v>2032</v>
      </c>
      <c r="L62" s="170">
        <v>45145</v>
      </c>
      <c r="M62" s="177" t="s">
        <v>5758</v>
      </c>
      <c r="N62" s="179">
        <v>45140</v>
      </c>
      <c r="O62" s="178"/>
      <c r="Q62" t="s">
        <v>22</v>
      </c>
      <c r="S62" s="184">
        <v>45086.677465277775</v>
      </c>
      <c r="T62" s="195">
        <v>45086.677465277775</v>
      </c>
      <c r="U62" s="195">
        <v>45086.677465277775</v>
      </c>
      <c r="V62" s="290">
        <v>1</v>
      </c>
      <c r="W62" s="200">
        <v>45140.634826388887</v>
      </c>
      <c r="X62" s="200">
        <v>45140.634826388887</v>
      </c>
      <c r="Y62" s="199">
        <v>1</v>
      </c>
      <c r="Z62" s="206">
        <v>45139</v>
      </c>
      <c r="AA62" s="205">
        <v>2</v>
      </c>
      <c r="AB62" s="206">
        <v>45140</v>
      </c>
      <c r="AC62" s="187">
        <v>39</v>
      </c>
      <c r="AD62" s="186">
        <v>45140</v>
      </c>
    </row>
    <row r="63" spans="1:30">
      <c r="A63" s="340">
        <f>COUNTA($E$3:E63)</f>
        <v>61</v>
      </c>
      <c r="B63" s="340" t="s">
        <v>5586</v>
      </c>
      <c r="C63" s="340" t="s">
        <v>5587</v>
      </c>
      <c r="D63" s="340" t="s">
        <v>38</v>
      </c>
      <c r="E63" s="340" t="s">
        <v>5588</v>
      </c>
      <c r="F63" s="341">
        <v>45117.484699074077</v>
      </c>
      <c r="G63" s="341">
        <v>45126</v>
      </c>
      <c r="H63" s="341">
        <v>45118</v>
      </c>
      <c r="I63" s="341" t="s">
        <v>2</v>
      </c>
      <c r="J63" s="340" t="s">
        <v>5364</v>
      </c>
      <c r="K63" s="340" t="s">
        <v>24</v>
      </c>
      <c r="L63" s="170">
        <v>45145</v>
      </c>
      <c r="M63" s="177" t="s">
        <v>5782</v>
      </c>
      <c r="N63" s="179">
        <v>45142</v>
      </c>
      <c r="O63" s="178"/>
      <c r="Q63" t="s">
        <v>22</v>
      </c>
      <c r="S63" s="184">
        <v>45117.494270833333</v>
      </c>
      <c r="T63" s="195">
        <v>45117.494270833333</v>
      </c>
      <c r="U63" s="195">
        <v>45117.494270833333</v>
      </c>
      <c r="V63" s="290">
        <v>1</v>
      </c>
      <c r="W63" s="200">
        <v>45141.428518518522</v>
      </c>
      <c r="X63" s="200">
        <v>45141.428518518522</v>
      </c>
      <c r="Y63" s="199">
        <v>1</v>
      </c>
      <c r="Z63" s="206">
        <v>45141</v>
      </c>
      <c r="AA63" s="205">
        <v>8</v>
      </c>
      <c r="AB63" s="206">
        <v>45152</v>
      </c>
      <c r="AC63" s="187">
        <v>26</v>
      </c>
      <c r="AD63" s="186">
        <v>45142</v>
      </c>
    </row>
    <row r="64" spans="1:30">
      <c r="A64" s="340">
        <f>COUNTA($E$3:E64)</f>
        <v>62</v>
      </c>
      <c r="B64" s="340" t="s">
        <v>5620</v>
      </c>
      <c r="C64" s="340" t="s">
        <v>1218</v>
      </c>
      <c r="D64" s="340" t="s">
        <v>34</v>
      </c>
      <c r="E64" s="340" t="s">
        <v>5621</v>
      </c>
      <c r="F64" s="341"/>
      <c r="G64" s="341"/>
      <c r="H64" s="341"/>
      <c r="I64" s="341"/>
      <c r="J64" s="340"/>
      <c r="K64" s="340"/>
      <c r="L64" s="170">
        <v>45145</v>
      </c>
      <c r="M64" s="177" t="s">
        <v>5759</v>
      </c>
      <c r="N64" s="179">
        <v>45147</v>
      </c>
      <c r="O64" s="178"/>
      <c r="Q64" t="s">
        <v>129</v>
      </c>
      <c r="S64" s="184">
        <v>45127.444641203707</v>
      </c>
      <c r="T64" s="195">
        <v>45127.444641203707</v>
      </c>
      <c r="U64" s="195">
        <v>45127.444641203707</v>
      </c>
      <c r="V64" s="290">
        <v>1</v>
      </c>
      <c r="W64" s="200">
        <v>45127.444710648146</v>
      </c>
      <c r="X64" s="200">
        <v>45127.444710648146</v>
      </c>
      <c r="Y64" s="199">
        <v>1</v>
      </c>
      <c r="Z64" s="206">
        <v>45127</v>
      </c>
      <c r="AA64" s="205">
        <v>3</v>
      </c>
      <c r="AB64" s="206">
        <v>45131</v>
      </c>
      <c r="AC64" s="187">
        <v>3</v>
      </c>
      <c r="AD64" s="186"/>
    </row>
    <row r="65" spans="1:30">
      <c r="A65" s="340">
        <f>COUNTA($E$3:E65)</f>
        <v>63</v>
      </c>
      <c r="B65" s="340" t="s">
        <v>5682</v>
      </c>
      <c r="C65" s="340" t="s">
        <v>4326</v>
      </c>
      <c r="D65" s="340" t="s">
        <v>36</v>
      </c>
      <c r="E65" s="340" t="s">
        <v>4342</v>
      </c>
      <c r="F65" s="341">
        <v>45127.558807870373</v>
      </c>
      <c r="G65" s="341"/>
      <c r="H65" s="341" t="s">
        <v>55</v>
      </c>
      <c r="I65" s="341" t="s">
        <v>2</v>
      </c>
      <c r="J65" s="340" t="s">
        <v>1485</v>
      </c>
      <c r="K65" s="340" t="s">
        <v>1120</v>
      </c>
      <c r="L65" s="170">
        <v>45145</v>
      </c>
      <c r="M65" s="177" t="s">
        <v>5676</v>
      </c>
      <c r="N65" s="179"/>
      <c r="O65" s="178"/>
      <c r="Q65" t="s">
        <v>129</v>
      </c>
      <c r="S65" s="184">
        <v>45127.695902777778</v>
      </c>
      <c r="T65" s="195">
        <v>45127.695902777778</v>
      </c>
      <c r="U65" s="195">
        <v>45127.695902777778</v>
      </c>
      <c r="V65" s="290">
        <v>1</v>
      </c>
      <c r="W65" s="200">
        <v>45138.758032407408</v>
      </c>
      <c r="X65" s="200">
        <v>45138.758032407408</v>
      </c>
      <c r="Y65" s="199">
        <v>1</v>
      </c>
      <c r="Z65" s="206">
        <v>45138</v>
      </c>
      <c r="AA65" s="205">
        <v>1</v>
      </c>
      <c r="AB65" s="206">
        <v>45149</v>
      </c>
      <c r="AC65" s="187">
        <v>1</v>
      </c>
      <c r="AD65" s="186"/>
    </row>
    <row r="66" spans="1:30">
      <c r="A66" s="340">
        <f>COUNTA($E$3:E66)</f>
        <v>64</v>
      </c>
      <c r="B66" s="340" t="s">
        <v>5688</v>
      </c>
      <c r="C66" s="340" t="s">
        <v>4430</v>
      </c>
      <c r="D66" s="340" t="s">
        <v>104</v>
      </c>
      <c r="E66" s="340" t="s">
        <v>4431</v>
      </c>
      <c r="F66" s="341">
        <v>45131.649918981479</v>
      </c>
      <c r="G66" s="341"/>
      <c r="H66" s="341">
        <v>45135</v>
      </c>
      <c r="I66" s="341" t="s">
        <v>3</v>
      </c>
      <c r="J66" s="340" t="s">
        <v>514</v>
      </c>
      <c r="K66" s="340" t="s">
        <v>1296</v>
      </c>
      <c r="L66" s="170">
        <v>45145</v>
      </c>
      <c r="M66" s="177" t="s">
        <v>5760</v>
      </c>
      <c r="N66" s="179">
        <v>45139</v>
      </c>
      <c r="O66" s="178"/>
      <c r="Q66" t="s">
        <v>129</v>
      </c>
      <c r="S66" s="184">
        <v>45134.517627314817</v>
      </c>
      <c r="T66" s="195">
        <v>45134.517627314817</v>
      </c>
      <c r="U66" s="195">
        <v>45134.517627314817</v>
      </c>
      <c r="V66" s="290">
        <v>1</v>
      </c>
      <c r="W66" s="200">
        <v>45138.709328703706</v>
      </c>
      <c r="X66" s="200">
        <v>45138.709328703706</v>
      </c>
      <c r="Y66" s="199">
        <v>1</v>
      </c>
      <c r="Z66" s="206">
        <v>45138</v>
      </c>
      <c r="AA66" s="205">
        <v>1</v>
      </c>
      <c r="AB66" s="206">
        <v>45149</v>
      </c>
      <c r="AC66" s="187">
        <v>1</v>
      </c>
      <c r="AD66" s="186">
        <v>45139</v>
      </c>
    </row>
    <row r="67" spans="1:30">
      <c r="A67" s="340">
        <f>COUNTA($E$3:E67)</f>
        <v>65</v>
      </c>
      <c r="B67" s="340" t="s">
        <v>5704</v>
      </c>
      <c r="C67" s="340" t="s">
        <v>2458</v>
      </c>
      <c r="D67" s="340" t="s">
        <v>16</v>
      </c>
      <c r="E67" s="340" t="s">
        <v>2459</v>
      </c>
      <c r="F67" s="341">
        <v>45134.495243055557</v>
      </c>
      <c r="G67" s="341"/>
      <c r="H67" s="341"/>
      <c r="I67" s="341"/>
      <c r="J67" s="340" t="s">
        <v>5748</v>
      </c>
      <c r="K67" s="340" t="s">
        <v>1120</v>
      </c>
      <c r="L67" s="170">
        <v>45145</v>
      </c>
      <c r="M67" s="177" t="s">
        <v>2959</v>
      </c>
      <c r="N67" s="179">
        <v>45146</v>
      </c>
      <c r="O67" s="178"/>
      <c r="Q67" t="s">
        <v>129</v>
      </c>
      <c r="S67" s="184">
        <v>45139.73810185185</v>
      </c>
      <c r="T67" s="195">
        <v>45139.73810185185</v>
      </c>
      <c r="U67" s="195">
        <v>45139.73810185185</v>
      </c>
      <c r="V67" s="290">
        <v>1</v>
      </c>
      <c r="W67" s="200">
        <v>45139.738506944443</v>
      </c>
      <c r="X67" s="200">
        <v>45139.738506944443</v>
      </c>
      <c r="Y67" s="199">
        <v>1</v>
      </c>
      <c r="Z67" s="206">
        <v>45139</v>
      </c>
      <c r="AA67" s="205">
        <v>1</v>
      </c>
      <c r="AB67" s="206">
        <v>45149</v>
      </c>
      <c r="AC67" s="187">
        <v>1</v>
      </c>
      <c r="AD67" s="186"/>
    </row>
    <row r="68" spans="1:30">
      <c r="A68" s="340">
        <f>COUNTA($E$3:E68)</f>
        <v>66</v>
      </c>
      <c r="B68" s="340" t="s">
        <v>5746</v>
      </c>
      <c r="C68" s="340" t="s">
        <v>3828</v>
      </c>
      <c r="D68" s="340" t="s">
        <v>19</v>
      </c>
      <c r="E68" s="340" t="s">
        <v>3696</v>
      </c>
      <c r="F68" s="341">
        <v>45139.664351851854</v>
      </c>
      <c r="G68" s="341"/>
      <c r="H68" s="341"/>
      <c r="I68" s="341"/>
      <c r="J68" s="340" t="s">
        <v>4624</v>
      </c>
      <c r="K68" s="340" t="s">
        <v>33</v>
      </c>
      <c r="L68" s="170">
        <v>45145</v>
      </c>
      <c r="M68" s="177" t="s">
        <v>4635</v>
      </c>
      <c r="N68" s="179">
        <v>45156</v>
      </c>
      <c r="O68" s="178"/>
      <c r="Q68" t="s">
        <v>129</v>
      </c>
      <c r="S68" s="184">
        <v>45141.815127314818</v>
      </c>
      <c r="T68" s="195">
        <v>45141.815127314818</v>
      </c>
      <c r="U68" s="195">
        <v>45141.815127314818</v>
      </c>
      <c r="V68" s="290">
        <v>1</v>
      </c>
      <c r="W68" s="200">
        <v>45141.815312500003</v>
      </c>
      <c r="X68" s="200">
        <v>45141.815312500003</v>
      </c>
      <c r="Y68" s="199">
        <v>1</v>
      </c>
      <c r="Z68" s="206">
        <v>45141</v>
      </c>
      <c r="AA68" s="205">
        <v>1</v>
      </c>
      <c r="AB68" s="206">
        <v>45149</v>
      </c>
      <c r="AC68" s="187">
        <v>1</v>
      </c>
      <c r="AD68" s="186"/>
    </row>
    <row r="69" spans="1:30">
      <c r="A69" s="340">
        <f>COUNTA($E$3:E69)</f>
        <v>67</v>
      </c>
      <c r="B69" s="340" t="s">
        <v>5757</v>
      </c>
      <c r="C69" s="340" t="s">
        <v>297</v>
      </c>
      <c r="D69" s="340" t="s">
        <v>1123</v>
      </c>
      <c r="E69" s="340" t="s">
        <v>5215</v>
      </c>
      <c r="F69" s="341">
        <v>45141.653807870367</v>
      </c>
      <c r="G69" s="341"/>
      <c r="H69" s="341"/>
      <c r="I69" s="341" t="s">
        <v>3</v>
      </c>
      <c r="J69" s="340" t="s">
        <v>1649</v>
      </c>
      <c r="K69" s="340"/>
      <c r="L69" s="170">
        <v>45145</v>
      </c>
      <c r="M69" s="177" t="s">
        <v>5765</v>
      </c>
      <c r="N69" s="179">
        <v>45146</v>
      </c>
      <c r="O69" s="178"/>
      <c r="Q69" t="s">
        <v>22</v>
      </c>
      <c r="S69" s="184">
        <v>45141.654768518521</v>
      </c>
      <c r="T69" s="195">
        <v>45141.654768518521</v>
      </c>
      <c r="U69" s="195">
        <v>45141.654768518521</v>
      </c>
      <c r="V69" s="290">
        <v>1</v>
      </c>
      <c r="W69" s="200">
        <v>45141.654826388891</v>
      </c>
      <c r="X69" s="200">
        <v>45141.654826388891</v>
      </c>
      <c r="Y69" s="199">
        <v>1</v>
      </c>
      <c r="Z69" s="206">
        <v>45141</v>
      </c>
      <c r="AA69" s="205">
        <v>2</v>
      </c>
      <c r="AB69" s="206">
        <v>45142</v>
      </c>
      <c r="AC69" s="187">
        <v>2</v>
      </c>
      <c r="AD69" s="186">
        <v>45146</v>
      </c>
    </row>
    <row r="70" spans="1:30">
      <c r="A70" s="340">
        <f>COUNTA($E$3:E70)</f>
        <v>68</v>
      </c>
      <c r="B70" s="340" t="s">
        <v>5770</v>
      </c>
      <c r="C70" s="340" t="s">
        <v>3984</v>
      </c>
      <c r="D70" s="340" t="s">
        <v>27</v>
      </c>
      <c r="E70" s="340" t="s">
        <v>3985</v>
      </c>
      <c r="F70" s="341">
        <v>45141.83929398148</v>
      </c>
      <c r="G70" s="341"/>
      <c r="H70" s="341"/>
      <c r="I70" s="341" t="s">
        <v>4</v>
      </c>
      <c r="J70" s="340" t="s">
        <v>1093</v>
      </c>
      <c r="K70" s="340"/>
      <c r="L70" s="170">
        <v>45145</v>
      </c>
      <c r="M70" s="177" t="s">
        <v>3729</v>
      </c>
      <c r="N70" s="179"/>
      <c r="O70" s="178"/>
      <c r="Q70" t="s">
        <v>129</v>
      </c>
      <c r="S70" s="184">
        <v>44824</v>
      </c>
      <c r="T70" s="195">
        <v>44825</v>
      </c>
      <c r="U70" s="195">
        <v>45012</v>
      </c>
      <c r="V70" s="290">
        <v>134</v>
      </c>
      <c r="W70" s="200">
        <v>45017</v>
      </c>
      <c r="X70" s="200">
        <v>45141</v>
      </c>
      <c r="Y70" s="199">
        <v>89</v>
      </c>
      <c r="Z70" s="206">
        <v>45141</v>
      </c>
      <c r="AA70" s="205">
        <v>3</v>
      </c>
      <c r="AB70" s="206">
        <v>45145</v>
      </c>
      <c r="AC70" s="187">
        <v>230</v>
      </c>
      <c r="AD70" s="186"/>
    </row>
    <row r="71" spans="1:30">
      <c r="A71" s="340">
        <f>COUNTA($E$3:E71)</f>
        <v>69</v>
      </c>
      <c r="B71" s="340" t="s">
        <v>5070</v>
      </c>
      <c r="C71" s="340" t="s">
        <v>41</v>
      </c>
      <c r="D71" s="340" t="s">
        <v>1193</v>
      </c>
      <c r="E71" s="340" t="s">
        <v>5071</v>
      </c>
      <c r="F71" s="341">
        <v>45030</v>
      </c>
      <c r="G71" s="341"/>
      <c r="H71" s="341" t="s">
        <v>66</v>
      </c>
      <c r="I71" s="341" t="s">
        <v>2</v>
      </c>
      <c r="J71" s="340" t="s">
        <v>1485</v>
      </c>
      <c r="K71" s="340" t="s">
        <v>1120</v>
      </c>
      <c r="L71" s="170">
        <v>45139</v>
      </c>
      <c r="M71" s="177" t="s">
        <v>5729</v>
      </c>
      <c r="N71" s="179"/>
      <c r="O71" s="178"/>
      <c r="Q71" t="s">
        <v>129</v>
      </c>
      <c r="S71" s="184">
        <v>45034.795208333337</v>
      </c>
      <c r="T71" s="195">
        <v>45034.795208333337</v>
      </c>
      <c r="U71" s="195">
        <v>45034.795208333337</v>
      </c>
      <c r="V71" s="290">
        <v>1</v>
      </c>
      <c r="W71" s="200">
        <v>45134.841990740744</v>
      </c>
      <c r="X71" s="200">
        <v>45134.841990740744</v>
      </c>
      <c r="Y71" s="199">
        <v>1</v>
      </c>
      <c r="Z71" s="206">
        <v>45134</v>
      </c>
      <c r="AA71" s="205">
        <v>1</v>
      </c>
      <c r="AB71" s="206">
        <v>45149</v>
      </c>
      <c r="AC71" s="187">
        <v>1</v>
      </c>
      <c r="AD71" s="186"/>
    </row>
    <row r="72" spans="1:30">
      <c r="A72" s="340">
        <f>COUNTA($E$3:E72)</f>
        <v>70</v>
      </c>
      <c r="B72" s="340" t="s">
        <v>5267</v>
      </c>
      <c r="C72" s="340" t="s">
        <v>1246</v>
      </c>
      <c r="D72" s="340" t="s">
        <v>58</v>
      </c>
      <c r="E72" s="340" t="s">
        <v>5268</v>
      </c>
      <c r="F72" s="341">
        <v>45068.718842592592</v>
      </c>
      <c r="G72" s="341">
        <v>45128</v>
      </c>
      <c r="H72" s="341">
        <v>45069</v>
      </c>
      <c r="I72" s="341" t="s">
        <v>2</v>
      </c>
      <c r="J72" s="340" t="s">
        <v>5359</v>
      </c>
      <c r="K72" s="340" t="s">
        <v>20</v>
      </c>
      <c r="L72" s="170">
        <v>45139</v>
      </c>
      <c r="M72" s="177" t="s">
        <v>5671</v>
      </c>
      <c r="N72" s="179">
        <v>45138</v>
      </c>
      <c r="O72" s="178"/>
      <c r="Q72" t="s">
        <v>22</v>
      </c>
      <c r="S72" s="184">
        <v>45068.732766203706</v>
      </c>
      <c r="T72" s="195">
        <v>45068.732766203706</v>
      </c>
      <c r="U72" s="195">
        <v>45068.732766203706</v>
      </c>
      <c r="V72" s="290">
        <v>1</v>
      </c>
      <c r="W72" s="200">
        <v>45132.662453703706</v>
      </c>
      <c r="X72" s="200">
        <v>45132.662453703706</v>
      </c>
      <c r="Y72" s="199">
        <v>1</v>
      </c>
      <c r="Z72" s="206">
        <v>45132</v>
      </c>
      <c r="AA72" s="205">
        <v>5</v>
      </c>
      <c r="AB72" s="206">
        <v>45138</v>
      </c>
      <c r="AC72" s="187">
        <v>51</v>
      </c>
      <c r="AD72" s="186">
        <v>45138</v>
      </c>
    </row>
    <row r="73" spans="1:30">
      <c r="A73" s="340">
        <f>COUNTA($E$3:E73)</f>
        <v>71</v>
      </c>
      <c r="B73" s="340" t="s">
        <v>5284</v>
      </c>
      <c r="C73" s="340" t="s">
        <v>41</v>
      </c>
      <c r="D73" s="340" t="s">
        <v>1123</v>
      </c>
      <c r="E73" s="340" t="s">
        <v>5285</v>
      </c>
      <c r="F73" s="341">
        <v>45068.703599537039</v>
      </c>
      <c r="G73" s="341">
        <v>45085</v>
      </c>
      <c r="H73" s="341" t="s">
        <v>66</v>
      </c>
      <c r="I73" s="341" t="s">
        <v>2</v>
      </c>
      <c r="J73" s="340" t="s">
        <v>5286</v>
      </c>
      <c r="K73" s="340" t="s">
        <v>103</v>
      </c>
      <c r="L73" s="170">
        <v>45139</v>
      </c>
      <c r="M73" s="177" t="s">
        <v>5672</v>
      </c>
      <c r="N73" s="179">
        <v>45141</v>
      </c>
      <c r="O73" s="178"/>
      <c r="Q73" t="s">
        <v>22</v>
      </c>
      <c r="S73" s="184">
        <v>45149.65828703704</v>
      </c>
      <c r="T73" s="195">
        <v>45149.65828703704</v>
      </c>
      <c r="U73" s="195">
        <v>45149.65828703704</v>
      </c>
      <c r="V73" s="290">
        <v>1</v>
      </c>
      <c r="W73" s="200">
        <v>45149.65834490741</v>
      </c>
      <c r="X73" s="200">
        <v>45149.65834490741</v>
      </c>
      <c r="Y73" s="199">
        <v>1</v>
      </c>
      <c r="Z73" s="206">
        <v>45149</v>
      </c>
      <c r="AA73" s="205">
        <v>1</v>
      </c>
      <c r="AB73" s="206">
        <v>45149</v>
      </c>
      <c r="AC73" s="187">
        <v>1</v>
      </c>
      <c r="AD73" s="186">
        <v>45141</v>
      </c>
    </row>
    <row r="74" spans="1:30">
      <c r="A74" s="340">
        <f>COUNTA($E$3:E74)</f>
        <v>72</v>
      </c>
      <c r="B74" s="340" t="s">
        <v>5472</v>
      </c>
      <c r="C74" s="340" t="s">
        <v>41</v>
      </c>
      <c r="D74" s="340" t="s">
        <v>34</v>
      </c>
      <c r="E74" s="340" t="s">
        <v>2296</v>
      </c>
      <c r="F74" s="341">
        <v>45096.553101851852</v>
      </c>
      <c r="G74" s="341"/>
      <c r="H74" s="341" t="s">
        <v>66</v>
      </c>
      <c r="I74" s="341" t="s">
        <v>2</v>
      </c>
      <c r="J74" s="340"/>
      <c r="K74" s="340" t="s">
        <v>1296</v>
      </c>
      <c r="L74" s="170">
        <v>45139</v>
      </c>
      <c r="M74" s="177" t="s">
        <v>5673</v>
      </c>
      <c r="N74" s="179">
        <v>45134</v>
      </c>
      <c r="O74" s="178"/>
      <c r="Q74" t="s">
        <v>129</v>
      </c>
      <c r="S74" s="184">
        <v>45097.722002314818</v>
      </c>
      <c r="T74" s="195">
        <v>45097.722002314818</v>
      </c>
      <c r="U74" s="195">
        <v>45097.722002314818</v>
      </c>
      <c r="V74" s="290">
        <v>1</v>
      </c>
      <c r="W74" s="200">
        <v>45131.717569444445</v>
      </c>
      <c r="X74" s="200">
        <v>45131.717569444445</v>
      </c>
      <c r="Y74" s="199">
        <v>1</v>
      </c>
      <c r="Z74" s="206">
        <v>45131</v>
      </c>
      <c r="AA74" s="205">
        <v>4</v>
      </c>
      <c r="AB74" s="206">
        <v>45134</v>
      </c>
      <c r="AC74" s="187">
        <v>28</v>
      </c>
      <c r="AD74" s="186">
        <v>45134</v>
      </c>
    </row>
    <row r="75" spans="1:30">
      <c r="A75" s="340">
        <f>COUNTA($E$3:E75)</f>
        <v>73</v>
      </c>
      <c r="B75" s="340" t="s">
        <v>5611</v>
      </c>
      <c r="C75" s="340" t="s">
        <v>41</v>
      </c>
      <c r="D75" s="340" t="s">
        <v>2129</v>
      </c>
      <c r="E75" s="340" t="s">
        <v>2130</v>
      </c>
      <c r="F75" s="341">
        <v>45124</v>
      </c>
      <c r="G75" s="341"/>
      <c r="H75" s="341" t="s">
        <v>66</v>
      </c>
      <c r="I75" s="341" t="s">
        <v>2</v>
      </c>
      <c r="J75" s="340"/>
      <c r="K75" s="340" t="s">
        <v>1294</v>
      </c>
      <c r="L75" s="170">
        <v>45139</v>
      </c>
      <c r="M75" s="177" t="s">
        <v>5674</v>
      </c>
      <c r="N75" s="179">
        <v>45134</v>
      </c>
      <c r="O75" s="178"/>
      <c r="Q75" t="s">
        <v>22</v>
      </c>
      <c r="S75" s="184">
        <v>45124.610821759263</v>
      </c>
      <c r="T75" s="195">
        <v>45124.610821759263</v>
      </c>
      <c r="U75" s="195">
        <v>45124.610821759263</v>
      </c>
      <c r="V75" s="290">
        <v>1</v>
      </c>
      <c r="W75" s="200">
        <v>45134.429027777776</v>
      </c>
      <c r="X75" s="200">
        <v>45134.429027777776</v>
      </c>
      <c r="Y75" s="199">
        <v>1</v>
      </c>
      <c r="Z75" s="206">
        <v>45134</v>
      </c>
      <c r="AA75" s="205">
        <v>1</v>
      </c>
      <c r="AB75" s="206">
        <v>45134</v>
      </c>
      <c r="AC75" s="187">
        <v>9</v>
      </c>
      <c r="AD75" s="186">
        <v>45134</v>
      </c>
    </row>
    <row r="76" spans="1:30">
      <c r="A76" s="340">
        <f>COUNTA($E$3:E76)</f>
        <v>74</v>
      </c>
      <c r="B76" s="340" t="s">
        <v>5636</v>
      </c>
      <c r="C76" s="340" t="s">
        <v>3041</v>
      </c>
      <c r="D76" s="340" t="s">
        <v>58</v>
      </c>
      <c r="E76" s="340" t="s">
        <v>3176</v>
      </c>
      <c r="F76" s="341">
        <v>45125.714791666665</v>
      </c>
      <c r="G76" s="341"/>
      <c r="H76" s="341"/>
      <c r="I76" s="341"/>
      <c r="J76" s="340" t="s">
        <v>1666</v>
      </c>
      <c r="K76" s="340" t="s">
        <v>125</v>
      </c>
      <c r="L76" s="170">
        <v>45139</v>
      </c>
      <c r="M76" s="177" t="s">
        <v>2955</v>
      </c>
      <c r="N76" s="179">
        <v>45169</v>
      </c>
      <c r="O76" s="178"/>
      <c r="Q76" t="s">
        <v>129</v>
      </c>
      <c r="S76" s="184">
        <v>45128.675162037034</v>
      </c>
      <c r="T76" s="195">
        <v>45128.675162037034</v>
      </c>
      <c r="U76" s="195">
        <v>45128.675162037034</v>
      </c>
      <c r="V76" s="290">
        <v>1</v>
      </c>
      <c r="W76" s="200">
        <v>45128.675717592596</v>
      </c>
      <c r="X76" s="200">
        <v>45128.675717592596</v>
      </c>
      <c r="Y76" s="199">
        <v>1</v>
      </c>
      <c r="Z76" s="206">
        <v>45128</v>
      </c>
      <c r="AA76" s="205">
        <v>5</v>
      </c>
      <c r="AB76" s="206">
        <v>45134</v>
      </c>
      <c r="AC76" s="187">
        <v>5</v>
      </c>
      <c r="AD76" s="186">
        <v>45169</v>
      </c>
    </row>
    <row r="77" spans="1:30">
      <c r="A77" s="340">
        <f>COUNTA($E$3:E77)</f>
        <v>75</v>
      </c>
      <c r="B77" s="340" t="s">
        <v>5655</v>
      </c>
      <c r="C77" s="340" t="s">
        <v>41</v>
      </c>
      <c r="D77" s="340" t="s">
        <v>51</v>
      </c>
      <c r="E77" s="340" t="s">
        <v>3306</v>
      </c>
      <c r="F77" s="341">
        <v>45131</v>
      </c>
      <c r="G77" s="341"/>
      <c r="H77" s="341"/>
      <c r="I77" s="341" t="s">
        <v>3</v>
      </c>
      <c r="J77" s="340" t="s">
        <v>2153</v>
      </c>
      <c r="K77" s="340" t="s">
        <v>1294</v>
      </c>
      <c r="L77" s="170">
        <v>45139</v>
      </c>
      <c r="M77" s="177" t="s">
        <v>5681</v>
      </c>
      <c r="N77" s="179">
        <v>45133</v>
      </c>
      <c r="O77" s="178"/>
      <c r="Q77" t="s">
        <v>22</v>
      </c>
      <c r="S77" s="184">
        <v>45131.501701388886</v>
      </c>
      <c r="T77" s="195">
        <v>45131.501701388886</v>
      </c>
      <c r="U77" s="195">
        <v>45131.501701388886</v>
      </c>
      <c r="V77" s="290">
        <v>1</v>
      </c>
      <c r="W77" s="200">
        <v>45131.501828703702</v>
      </c>
      <c r="X77" s="200">
        <v>45131.501828703702</v>
      </c>
      <c r="Y77" s="199">
        <v>1</v>
      </c>
      <c r="Z77" s="206">
        <v>45131</v>
      </c>
      <c r="AA77" s="205">
        <v>1</v>
      </c>
      <c r="AB77" s="206">
        <v>45131</v>
      </c>
      <c r="AC77" s="187">
        <v>1</v>
      </c>
      <c r="AD77" s="186">
        <v>45133</v>
      </c>
    </row>
    <row r="78" spans="1:30">
      <c r="A78" s="340">
        <f>COUNTA($E$3:E78)</f>
        <v>76</v>
      </c>
      <c r="B78" s="340" t="s">
        <v>5692</v>
      </c>
      <c r="C78" s="340" t="s">
        <v>37</v>
      </c>
      <c r="D78" s="340" t="s">
        <v>30</v>
      </c>
      <c r="E78" s="340" t="s">
        <v>3487</v>
      </c>
      <c r="F78" s="341">
        <v>45133</v>
      </c>
      <c r="G78" s="341"/>
      <c r="H78" s="341"/>
      <c r="I78" s="341" t="s">
        <v>3</v>
      </c>
      <c r="J78" s="340" t="s">
        <v>1720</v>
      </c>
      <c r="K78" s="340" t="s">
        <v>1296</v>
      </c>
      <c r="L78" s="170">
        <v>45139</v>
      </c>
      <c r="M78" s="177" t="s">
        <v>5673</v>
      </c>
      <c r="N78" s="179">
        <v>45135</v>
      </c>
      <c r="O78" s="178"/>
      <c r="Q78" t="s">
        <v>129</v>
      </c>
      <c r="S78" s="184">
        <v>45132.776087962964</v>
      </c>
      <c r="T78" s="195">
        <v>45132.776087962964</v>
      </c>
      <c r="U78" s="195">
        <v>45132.776087962964</v>
      </c>
      <c r="V78" s="290">
        <v>1</v>
      </c>
      <c r="W78" s="200">
        <v>45132.776226851849</v>
      </c>
      <c r="X78" s="200">
        <v>45132.776226851849</v>
      </c>
      <c r="Y78" s="199">
        <v>1</v>
      </c>
      <c r="Z78" s="206">
        <v>45132</v>
      </c>
      <c r="AA78" s="205">
        <v>1</v>
      </c>
      <c r="AB78" s="206">
        <v>45138</v>
      </c>
      <c r="AC78" s="187">
        <v>1</v>
      </c>
      <c r="AD78" s="186">
        <v>45135</v>
      </c>
    </row>
    <row r="79" spans="1:30">
      <c r="A79" s="340">
        <f>COUNTA($E$3:E79)</f>
        <v>77</v>
      </c>
      <c r="B79" s="340" t="s">
        <v>5693</v>
      </c>
      <c r="C79" s="340" t="s">
        <v>37</v>
      </c>
      <c r="D79" s="340" t="s">
        <v>30</v>
      </c>
      <c r="E79" s="340" t="s">
        <v>3368</v>
      </c>
      <c r="F79" s="341">
        <v>45131.653668981482</v>
      </c>
      <c r="G79" s="341"/>
      <c r="H79" s="341"/>
      <c r="I79" s="341" t="s">
        <v>3</v>
      </c>
      <c r="J79" s="340" t="s">
        <v>1212</v>
      </c>
      <c r="K79" s="340" t="s">
        <v>1295</v>
      </c>
      <c r="L79" s="170">
        <v>45139</v>
      </c>
      <c r="M79" s="177" t="s">
        <v>5728</v>
      </c>
      <c r="N79" s="179">
        <v>45115</v>
      </c>
      <c r="O79" s="178"/>
      <c r="Q79" t="s">
        <v>129</v>
      </c>
      <c r="S79" s="184">
        <v>45132.689120370371</v>
      </c>
      <c r="T79" s="195">
        <v>45132.689120370371</v>
      </c>
      <c r="U79" s="195">
        <v>45132.689120370371</v>
      </c>
      <c r="V79" s="290">
        <v>1</v>
      </c>
      <c r="W79" s="200">
        <v>45132.689247685186</v>
      </c>
      <c r="X79" s="200">
        <v>45132.689247685186</v>
      </c>
      <c r="Y79" s="199">
        <v>1</v>
      </c>
      <c r="Z79" s="206">
        <v>45132</v>
      </c>
      <c r="AA79" s="205">
        <v>1</v>
      </c>
      <c r="AB79" s="206">
        <v>45138</v>
      </c>
      <c r="AC79" s="187">
        <v>1</v>
      </c>
      <c r="AD79" s="186">
        <v>45115</v>
      </c>
    </row>
    <row r="80" spans="1:30">
      <c r="A80" s="340">
        <f>COUNTA($E$3:E80)</f>
        <v>78</v>
      </c>
      <c r="B80" s="340" t="s">
        <v>5694</v>
      </c>
      <c r="C80" s="340" t="s">
        <v>4871</v>
      </c>
      <c r="D80" s="340" t="s">
        <v>16</v>
      </c>
      <c r="E80" s="340" t="s">
        <v>2261</v>
      </c>
      <c r="F80" s="341">
        <v>45131.689467592594</v>
      </c>
      <c r="G80" s="341"/>
      <c r="H80" s="341"/>
      <c r="I80" s="341" t="s">
        <v>2</v>
      </c>
      <c r="J80" s="340" t="s">
        <v>5584</v>
      </c>
      <c r="K80" s="340" t="s">
        <v>20</v>
      </c>
      <c r="L80" s="170">
        <v>45139</v>
      </c>
      <c r="M80" s="177" t="s">
        <v>5695</v>
      </c>
      <c r="N80" s="179">
        <v>45135</v>
      </c>
      <c r="O80" s="178"/>
      <c r="Q80" t="s">
        <v>22</v>
      </c>
      <c r="S80" s="184">
        <v>45131.745208333334</v>
      </c>
      <c r="T80" s="195">
        <v>45131.745208333334</v>
      </c>
      <c r="U80" s="195">
        <v>45131.745208333334</v>
      </c>
      <c r="V80" s="290">
        <v>1</v>
      </c>
      <c r="W80" s="200">
        <v>45132.660474537035</v>
      </c>
      <c r="X80" s="200">
        <v>45132.660474537035</v>
      </c>
      <c r="Y80" s="199">
        <v>1</v>
      </c>
      <c r="Z80" s="206">
        <v>45138</v>
      </c>
      <c r="AA80" s="205">
        <v>1</v>
      </c>
      <c r="AB80" s="206">
        <v>45138</v>
      </c>
      <c r="AC80" s="187">
        <v>6</v>
      </c>
      <c r="AD80" s="186">
        <v>45135</v>
      </c>
    </row>
    <row r="81" spans="1:30">
      <c r="A81" s="340">
        <f>COUNTA($E$3:E81)</f>
        <v>79</v>
      </c>
      <c r="B81" s="340" t="s">
        <v>4942</v>
      </c>
      <c r="C81" s="340" t="s">
        <v>41</v>
      </c>
      <c r="D81" s="340" t="s">
        <v>1169</v>
      </c>
      <c r="E81" s="340" t="s">
        <v>2745</v>
      </c>
      <c r="F81" s="341">
        <v>45013.421678240738</v>
      </c>
      <c r="G81" s="341"/>
      <c r="H81" s="341" t="s">
        <v>66</v>
      </c>
      <c r="I81" s="341" t="s">
        <v>2</v>
      </c>
      <c r="J81" s="340" t="s">
        <v>5237</v>
      </c>
      <c r="K81" s="340" t="s">
        <v>1294</v>
      </c>
      <c r="L81" s="170">
        <v>45124</v>
      </c>
      <c r="M81" s="177" t="s">
        <v>5622</v>
      </c>
      <c r="N81" s="179">
        <v>45124</v>
      </c>
      <c r="O81" s="178"/>
      <c r="Q81" t="s">
        <v>22</v>
      </c>
      <c r="R81">
        <v>77</v>
      </c>
      <c r="S81" s="184">
        <v>45013</v>
      </c>
      <c r="T81" s="195">
        <v>45013.437673611108</v>
      </c>
      <c r="U81" s="195">
        <v>45093</v>
      </c>
      <c r="V81" s="290">
        <v>59</v>
      </c>
      <c r="W81" s="200">
        <v>45093</v>
      </c>
      <c r="X81" s="200">
        <v>45110.611111111109</v>
      </c>
      <c r="Y81" s="199">
        <v>12</v>
      </c>
      <c r="Z81" s="206">
        <v>45113</v>
      </c>
      <c r="AA81" s="205">
        <v>4</v>
      </c>
      <c r="AB81" s="206">
        <v>45118</v>
      </c>
      <c r="AC81" s="187">
        <v>76</v>
      </c>
      <c r="AD81" s="186">
        <v>45124</v>
      </c>
    </row>
    <row r="82" spans="1:30">
      <c r="A82" s="340">
        <f>COUNTA($E$3:E82)</f>
        <v>80</v>
      </c>
      <c r="B82" s="340" t="s">
        <v>5193</v>
      </c>
      <c r="C82" s="340" t="s">
        <v>4122</v>
      </c>
      <c r="D82" s="340" t="s">
        <v>16</v>
      </c>
      <c r="E82" s="340" t="s">
        <v>5194</v>
      </c>
      <c r="F82" s="341">
        <v>45055.773506944446</v>
      </c>
      <c r="G82" s="341"/>
      <c r="H82" s="341" t="s">
        <v>55</v>
      </c>
      <c r="I82" s="341" t="s">
        <v>2</v>
      </c>
      <c r="J82" s="340" t="s">
        <v>5195</v>
      </c>
      <c r="K82" s="340" t="s">
        <v>287</v>
      </c>
      <c r="L82" s="170">
        <v>45124</v>
      </c>
      <c r="M82" s="177" t="s">
        <v>5623</v>
      </c>
      <c r="N82" s="179">
        <v>45131</v>
      </c>
      <c r="O82" s="178"/>
      <c r="Q82" t="s">
        <v>22</v>
      </c>
      <c r="R82">
        <v>43</v>
      </c>
      <c r="S82" s="184">
        <v>45055</v>
      </c>
      <c r="T82" s="195">
        <v>45055.791631944441</v>
      </c>
      <c r="U82" s="195">
        <v>45056</v>
      </c>
      <c r="V82" s="290">
        <v>2</v>
      </c>
      <c r="W82" s="200">
        <v>45056</v>
      </c>
      <c r="X82" s="200">
        <v>45107</v>
      </c>
      <c r="Y82" s="199">
        <v>38</v>
      </c>
      <c r="Z82" s="206">
        <v>45113</v>
      </c>
      <c r="AA82" s="205">
        <v>5</v>
      </c>
      <c r="AB82" s="206">
        <v>45119</v>
      </c>
      <c r="AC82" s="187">
        <v>47</v>
      </c>
      <c r="AD82" s="186">
        <v>45131</v>
      </c>
    </row>
    <row r="83" spans="1:30">
      <c r="A83" s="340">
        <f>COUNTA($E$3:E83)</f>
        <v>81</v>
      </c>
      <c r="B83" s="340" t="s">
        <v>5214</v>
      </c>
      <c r="C83" s="340" t="s">
        <v>297</v>
      </c>
      <c r="D83" s="340" t="s">
        <v>1123</v>
      </c>
      <c r="E83" s="340" t="s">
        <v>5215</v>
      </c>
      <c r="F83" s="341">
        <v>45061.429236111115</v>
      </c>
      <c r="G83" s="341">
        <v>45093</v>
      </c>
      <c r="H83" s="341">
        <v>45068</v>
      </c>
      <c r="I83" s="341" t="s">
        <v>3</v>
      </c>
      <c r="J83" s="340"/>
      <c r="K83" s="340"/>
      <c r="L83" s="170">
        <v>45124</v>
      </c>
      <c r="M83" s="177" t="s">
        <v>5583</v>
      </c>
      <c r="N83" s="179">
        <v>45105</v>
      </c>
      <c r="O83" s="178"/>
      <c r="Q83" t="s">
        <v>22</v>
      </c>
      <c r="R83">
        <v>39</v>
      </c>
      <c r="S83" s="184">
        <v>45061</v>
      </c>
      <c r="T83" s="195">
        <v>45068</v>
      </c>
      <c r="U83" s="195">
        <v>45093</v>
      </c>
      <c r="V83" s="290">
        <v>20</v>
      </c>
      <c r="W83" s="200">
        <v>45093</v>
      </c>
      <c r="X83" s="200">
        <v>45098.445949074077</v>
      </c>
      <c r="Y83" s="199">
        <v>4</v>
      </c>
      <c r="Z83" s="206">
        <v>45106</v>
      </c>
      <c r="AA83" s="205">
        <v>3</v>
      </c>
      <c r="AB83" s="206">
        <v>45110</v>
      </c>
      <c r="AC83" s="187">
        <v>36</v>
      </c>
      <c r="AD83" s="186">
        <v>45105</v>
      </c>
    </row>
    <row r="84" spans="1:30">
      <c r="A84" s="340">
        <f>COUNTA($E$3:E84)</f>
        <v>82</v>
      </c>
      <c r="B84" s="340" t="s">
        <v>5346</v>
      </c>
      <c r="C84" s="340" t="s">
        <v>109</v>
      </c>
      <c r="D84" s="340" t="s">
        <v>16</v>
      </c>
      <c r="E84" s="340" t="s">
        <v>5347</v>
      </c>
      <c r="F84" s="341">
        <v>45076</v>
      </c>
      <c r="G84" s="341"/>
      <c r="H84" s="341" t="s">
        <v>55</v>
      </c>
      <c r="I84" s="341" t="s">
        <v>3</v>
      </c>
      <c r="J84" s="340" t="s">
        <v>1212</v>
      </c>
      <c r="K84" s="340" t="s">
        <v>33</v>
      </c>
      <c r="L84" s="170">
        <v>45124</v>
      </c>
      <c r="M84" s="177" t="s">
        <v>5439</v>
      </c>
      <c r="N84" s="179">
        <v>45084</v>
      </c>
      <c r="O84" s="178"/>
      <c r="Q84" t="s">
        <v>129</v>
      </c>
      <c r="R84">
        <v>28</v>
      </c>
      <c r="S84" s="184">
        <v>45076</v>
      </c>
      <c r="T84" s="195">
        <v>45078.787881944445</v>
      </c>
      <c r="U84" s="195">
        <v>45082</v>
      </c>
      <c r="V84" s="290">
        <v>3</v>
      </c>
      <c r="W84" s="200">
        <v>45082</v>
      </c>
      <c r="X84" s="200">
        <v>45082</v>
      </c>
      <c r="Y84" s="199">
        <v>1</v>
      </c>
      <c r="Z84" s="206">
        <v>45119</v>
      </c>
      <c r="AA84" s="205">
        <v>3</v>
      </c>
      <c r="AB84" s="206">
        <v>45121</v>
      </c>
      <c r="AC84" s="187">
        <v>34</v>
      </c>
      <c r="AD84" s="186">
        <v>45084</v>
      </c>
    </row>
    <row r="85" spans="1:30">
      <c r="A85" s="340">
        <f>COUNTA($E$3:E85)</f>
        <v>83</v>
      </c>
      <c r="B85" s="340" t="s">
        <v>5529</v>
      </c>
      <c r="C85" s="340" t="s">
        <v>5530</v>
      </c>
      <c r="D85" s="340" t="s">
        <v>58</v>
      </c>
      <c r="E85" s="340" t="s">
        <v>5531</v>
      </c>
      <c r="F85" s="341">
        <v>45105</v>
      </c>
      <c r="G85" s="341"/>
      <c r="H85" s="341"/>
      <c r="I85" s="341" t="s">
        <v>3</v>
      </c>
      <c r="J85" s="340"/>
      <c r="K85" s="340"/>
      <c r="L85" s="170">
        <v>45124</v>
      </c>
      <c r="M85" s="177" t="s">
        <v>5625</v>
      </c>
      <c r="N85" s="179">
        <v>45121</v>
      </c>
      <c r="O85" s="178"/>
      <c r="Q85" t="s">
        <v>129</v>
      </c>
      <c r="R85">
        <v>7</v>
      </c>
      <c r="S85" s="184">
        <v>45119</v>
      </c>
      <c r="T85" s="195">
        <v>45120.563680555555</v>
      </c>
      <c r="U85" s="195">
        <v>45120.563680555555</v>
      </c>
      <c r="V85" s="290">
        <v>1</v>
      </c>
      <c r="W85" s="200">
        <v>45120.563680555555</v>
      </c>
      <c r="X85" s="200">
        <v>45120.564189814817</v>
      </c>
      <c r="Y85" s="199">
        <v>1</v>
      </c>
      <c r="Z85" s="206">
        <v>45120</v>
      </c>
      <c r="AA85" s="205">
        <v>2</v>
      </c>
      <c r="AB85" s="206">
        <v>45122</v>
      </c>
      <c r="AC85" s="187">
        <v>3</v>
      </c>
      <c r="AD85" s="186">
        <v>45121</v>
      </c>
    </row>
    <row r="86" spans="1:30">
      <c r="A86" s="340">
        <f>COUNTA($E$3:E86)</f>
        <v>84</v>
      </c>
      <c r="B86" s="340" t="s">
        <v>5562</v>
      </c>
      <c r="C86" s="340" t="s">
        <v>2327</v>
      </c>
      <c r="D86" s="340" t="s">
        <v>56</v>
      </c>
      <c r="E86" s="340" t="s">
        <v>2328</v>
      </c>
      <c r="F86" s="341">
        <v>45112.683206018519</v>
      </c>
      <c r="G86" s="341"/>
      <c r="H86" s="341"/>
      <c r="I86" s="341"/>
      <c r="J86" s="340" t="s">
        <v>1249</v>
      </c>
      <c r="K86" s="340" t="s">
        <v>1287</v>
      </c>
      <c r="L86" s="170">
        <v>45124</v>
      </c>
      <c r="M86" s="177" t="s">
        <v>5624</v>
      </c>
      <c r="N86" s="179">
        <v>45120</v>
      </c>
      <c r="O86" s="178"/>
      <c r="Q86" t="s">
        <v>129</v>
      </c>
      <c r="R86">
        <v>14</v>
      </c>
      <c r="S86" s="184">
        <v>45112</v>
      </c>
      <c r="T86" s="195">
        <v>45116.50445601852</v>
      </c>
      <c r="U86" s="195">
        <v>45116.50445601852</v>
      </c>
      <c r="V86" s="290">
        <v>0</v>
      </c>
      <c r="W86" s="200">
        <v>45116.50445601852</v>
      </c>
      <c r="X86" s="200">
        <v>45116.504594907405</v>
      </c>
      <c r="Y86" s="199">
        <v>1</v>
      </c>
      <c r="Z86" s="206">
        <v>45116</v>
      </c>
      <c r="AA86" s="205">
        <v>2</v>
      </c>
      <c r="AB86" s="206">
        <v>45118</v>
      </c>
      <c r="AC86" s="187">
        <v>5</v>
      </c>
      <c r="AD86" s="186">
        <v>45120</v>
      </c>
    </row>
    <row r="87" spans="1:30">
      <c r="A87" s="340">
        <f>COUNTA($E$3:E87)</f>
        <v>85</v>
      </c>
      <c r="B87" s="340" t="s">
        <v>5605</v>
      </c>
      <c r="C87" s="340" t="s">
        <v>40</v>
      </c>
      <c r="D87" s="340" t="s">
        <v>1123</v>
      </c>
      <c r="E87" s="340" t="s">
        <v>5606</v>
      </c>
      <c r="F87" s="341">
        <v>45119.751435185186</v>
      </c>
      <c r="G87" s="341"/>
      <c r="H87" s="341"/>
      <c r="I87" s="341"/>
      <c r="J87" s="340" t="s">
        <v>1485</v>
      </c>
      <c r="K87" s="340" t="s">
        <v>1287</v>
      </c>
      <c r="L87" s="170">
        <v>45124</v>
      </c>
      <c r="M87" s="177" t="s">
        <v>5626</v>
      </c>
      <c r="N87" s="179">
        <v>45140</v>
      </c>
      <c r="O87" s="178"/>
      <c r="Q87" t="s">
        <v>129</v>
      </c>
      <c r="S87" s="184">
        <v>45119</v>
      </c>
      <c r="T87" s="195">
        <v>45120.810844907406</v>
      </c>
      <c r="U87" s="195">
        <v>45120.810844907406</v>
      </c>
      <c r="V87" s="290">
        <v>1</v>
      </c>
      <c r="W87" s="200">
        <v>45120.810844907406</v>
      </c>
      <c r="X87" s="200">
        <v>45120.810925925929</v>
      </c>
      <c r="Y87" s="199">
        <v>1</v>
      </c>
      <c r="Z87" s="206">
        <v>45120</v>
      </c>
      <c r="AA87" s="205">
        <v>3</v>
      </c>
      <c r="AB87" s="206">
        <v>45124</v>
      </c>
      <c r="AC87" s="187">
        <v>4</v>
      </c>
      <c r="AD87" s="186"/>
    </row>
    <row r="88" spans="1:30">
      <c r="A88" s="340">
        <f>COUNTA($E$3:E88)</f>
        <v>86</v>
      </c>
      <c r="B88" s="340" t="s">
        <v>5607</v>
      </c>
      <c r="C88" s="340" t="s">
        <v>40</v>
      </c>
      <c r="D88" s="340" t="s">
        <v>5608</v>
      </c>
      <c r="E88" s="340" t="s">
        <v>5609</v>
      </c>
      <c r="F88" s="341">
        <v>45119.751817129632</v>
      </c>
      <c r="G88" s="341"/>
      <c r="H88" s="341"/>
      <c r="I88" s="341"/>
      <c r="J88" s="340" t="s">
        <v>2153</v>
      </c>
      <c r="K88" s="340" t="s">
        <v>1296</v>
      </c>
      <c r="L88" s="170">
        <v>45124</v>
      </c>
      <c r="M88" s="177" t="s">
        <v>3534</v>
      </c>
      <c r="N88" s="179">
        <v>45140</v>
      </c>
      <c r="O88" s="178"/>
      <c r="Q88" t="s">
        <v>129</v>
      </c>
      <c r="S88" s="184">
        <v>45119</v>
      </c>
      <c r="T88" s="195">
        <v>45120.761967592596</v>
      </c>
      <c r="U88" s="195">
        <v>45120.761967592596</v>
      </c>
      <c r="V88" s="290">
        <v>1</v>
      </c>
      <c r="W88" s="200">
        <v>45120.761967592596</v>
      </c>
      <c r="X88" s="200">
        <v>45120.762048611112</v>
      </c>
      <c r="Y88" s="199">
        <v>1</v>
      </c>
      <c r="Z88" s="206">
        <v>45120</v>
      </c>
      <c r="AA88" s="205">
        <v>2</v>
      </c>
      <c r="AB88" s="206">
        <v>45122</v>
      </c>
      <c r="AC88" s="187">
        <v>3</v>
      </c>
      <c r="AD88" s="186"/>
    </row>
    <row r="89" spans="1:30">
      <c r="A89" s="340">
        <f>COUNTA($E$3:E89)</f>
        <v>87</v>
      </c>
      <c r="B89" s="340" t="s">
        <v>4962</v>
      </c>
      <c r="C89" s="340" t="s">
        <v>4165</v>
      </c>
      <c r="D89" s="340" t="s">
        <v>1103</v>
      </c>
      <c r="E89" s="340" t="s">
        <v>4963</v>
      </c>
      <c r="F89" s="341">
        <v>45013.44054398148</v>
      </c>
      <c r="G89" s="341">
        <v>45036</v>
      </c>
      <c r="H89" s="341">
        <v>45014</v>
      </c>
      <c r="I89" s="341" t="s">
        <v>2</v>
      </c>
      <c r="J89" s="340" t="s">
        <v>4964</v>
      </c>
      <c r="K89" s="340" t="s">
        <v>287</v>
      </c>
      <c r="L89" s="170">
        <v>45117</v>
      </c>
      <c r="M89" s="177" t="s">
        <v>5582</v>
      </c>
      <c r="N89" s="179">
        <v>45120</v>
      </c>
      <c r="O89" s="178"/>
      <c r="Q89" t="s">
        <v>22</v>
      </c>
      <c r="R89">
        <v>73</v>
      </c>
      <c r="S89" s="184">
        <v>45013</v>
      </c>
      <c r="T89" s="195">
        <v>45014</v>
      </c>
      <c r="U89" s="195">
        <v>45036</v>
      </c>
      <c r="V89" s="290">
        <v>17</v>
      </c>
      <c r="W89" s="200">
        <v>45069</v>
      </c>
      <c r="X89" s="200">
        <v>45106.690057870372</v>
      </c>
      <c r="Y89" s="199">
        <v>28</v>
      </c>
      <c r="Z89" s="206">
        <v>45107</v>
      </c>
      <c r="AA89" s="205">
        <v>3</v>
      </c>
      <c r="AB89" s="206">
        <v>45111</v>
      </c>
      <c r="AC89" s="187">
        <v>71</v>
      </c>
      <c r="AD89" s="186">
        <v>45120</v>
      </c>
    </row>
    <row r="90" spans="1:30">
      <c r="A90" s="340">
        <f>COUNTA($E$3:E90)</f>
        <v>88</v>
      </c>
      <c r="B90" s="340" t="s">
        <v>4941</v>
      </c>
      <c r="C90" s="340" t="s">
        <v>41</v>
      </c>
      <c r="D90" s="340" t="s">
        <v>16</v>
      </c>
      <c r="E90" s="340" t="s">
        <v>1203</v>
      </c>
      <c r="F90" s="341">
        <v>45012</v>
      </c>
      <c r="G90" s="341"/>
      <c r="H90" s="341" t="s">
        <v>66</v>
      </c>
      <c r="I90" s="341" t="s">
        <v>2</v>
      </c>
      <c r="J90" s="340" t="s">
        <v>5236</v>
      </c>
      <c r="K90" s="340" t="s">
        <v>18</v>
      </c>
      <c r="L90" s="170">
        <v>45117</v>
      </c>
      <c r="M90" s="177" t="s">
        <v>5461</v>
      </c>
      <c r="N90" s="179">
        <v>45124</v>
      </c>
      <c r="O90" s="178"/>
      <c r="Q90" t="s">
        <v>22</v>
      </c>
      <c r="R90">
        <v>78</v>
      </c>
      <c r="S90" s="184">
        <v>45012</v>
      </c>
      <c r="T90" s="195">
        <v>45013.456134259257</v>
      </c>
      <c r="U90" s="195">
        <v>45013.456134259257</v>
      </c>
      <c r="V90" s="290">
        <v>1</v>
      </c>
      <c r="W90" s="200">
        <v>45013.456134259257</v>
      </c>
      <c r="X90" s="200">
        <v>45093.791597222225</v>
      </c>
      <c r="Y90" s="199">
        <v>59</v>
      </c>
      <c r="Z90" s="206">
        <v>45113</v>
      </c>
      <c r="AA90" s="205">
        <v>3</v>
      </c>
      <c r="AB90" s="206">
        <v>45117</v>
      </c>
      <c r="AC90" s="187">
        <v>76</v>
      </c>
      <c r="AD90" s="186">
        <v>45124</v>
      </c>
    </row>
    <row r="91" spans="1:30">
      <c r="A91" s="340">
        <f>COUNTA($E$3:E91)</f>
        <v>89</v>
      </c>
      <c r="B91" s="340" t="s">
        <v>5037</v>
      </c>
      <c r="C91" s="340" t="s">
        <v>1119</v>
      </c>
      <c r="D91" s="340" t="s">
        <v>58</v>
      </c>
      <c r="E91" s="340" t="s">
        <v>5038</v>
      </c>
      <c r="F91" s="341">
        <v>45023</v>
      </c>
      <c r="G91" s="341"/>
      <c r="H91" s="341" t="s">
        <v>55</v>
      </c>
      <c r="I91" s="341" t="s">
        <v>2</v>
      </c>
      <c r="J91" s="340" t="s">
        <v>5243</v>
      </c>
      <c r="K91" s="340" t="s">
        <v>33</v>
      </c>
      <c r="L91" s="170">
        <v>45117</v>
      </c>
      <c r="M91" s="177" t="s">
        <v>5568</v>
      </c>
      <c r="N91" s="179"/>
      <c r="O91" s="178"/>
      <c r="Q91" t="s">
        <v>129</v>
      </c>
      <c r="R91">
        <v>65</v>
      </c>
      <c r="S91" s="184">
        <v>45023</v>
      </c>
      <c r="T91" s="195">
        <v>45033.80269675926</v>
      </c>
      <c r="U91" s="195">
        <v>45033.80269675926</v>
      </c>
      <c r="V91" s="290">
        <v>1</v>
      </c>
      <c r="W91" s="200">
        <v>45033.80269675926</v>
      </c>
      <c r="X91" s="200">
        <v>45111.657557870371</v>
      </c>
      <c r="Y91" s="199">
        <v>57</v>
      </c>
      <c r="Z91" s="206">
        <v>45111</v>
      </c>
      <c r="AA91" s="205">
        <v>6</v>
      </c>
      <c r="AB91" s="206">
        <v>45118</v>
      </c>
      <c r="AC91" s="187">
        <v>68</v>
      </c>
      <c r="AD91" s="186"/>
    </row>
    <row r="92" spans="1:30">
      <c r="A92" s="340">
        <f>COUNTA($E$3:E92)</f>
        <v>90</v>
      </c>
      <c r="B92" s="340" t="s">
        <v>5168</v>
      </c>
      <c r="C92" s="340" t="s">
        <v>1119</v>
      </c>
      <c r="D92" s="340" t="s">
        <v>16</v>
      </c>
      <c r="E92" s="340" t="s">
        <v>5169</v>
      </c>
      <c r="F92" s="341">
        <v>45050</v>
      </c>
      <c r="G92" s="341"/>
      <c r="H92" s="341" t="s">
        <v>55</v>
      </c>
      <c r="I92" s="341" t="s">
        <v>2</v>
      </c>
      <c r="J92" s="340" t="s">
        <v>5255</v>
      </c>
      <c r="K92" s="340" t="s">
        <v>33</v>
      </c>
      <c r="L92" s="170">
        <v>45117</v>
      </c>
      <c r="M92" s="177" t="s">
        <v>5524</v>
      </c>
      <c r="N92" s="179">
        <v>45112</v>
      </c>
      <c r="O92" s="178"/>
      <c r="Q92" t="s">
        <v>129</v>
      </c>
      <c r="R92">
        <v>46</v>
      </c>
      <c r="S92" s="184">
        <v>45050</v>
      </c>
      <c r="T92" s="195">
        <v>45050.71638888889</v>
      </c>
      <c r="U92" s="195">
        <v>45050.71638888889</v>
      </c>
      <c r="V92" s="290">
        <v>1</v>
      </c>
      <c r="W92" s="200">
        <v>45050.71638888889</v>
      </c>
      <c r="X92" s="200">
        <v>45075.542719907404</v>
      </c>
      <c r="Y92" s="199">
        <v>18</v>
      </c>
      <c r="Z92" s="206">
        <v>45112</v>
      </c>
      <c r="AA92" s="205">
        <v>6</v>
      </c>
      <c r="AB92" s="206">
        <v>45119</v>
      </c>
      <c r="AC92" s="187">
        <v>50</v>
      </c>
      <c r="AD92" s="186">
        <v>45112</v>
      </c>
    </row>
    <row r="93" spans="1:30">
      <c r="A93" s="340">
        <f>COUNTA($E$3:E93)</f>
        <v>91</v>
      </c>
      <c r="B93" s="340" t="s">
        <v>5542</v>
      </c>
      <c r="C93" s="340" t="s">
        <v>2370</v>
      </c>
      <c r="D93" s="340" t="s">
        <v>1145</v>
      </c>
      <c r="E93" s="340" t="s">
        <v>1163</v>
      </c>
      <c r="F93" s="341">
        <v>45107.650462962964</v>
      </c>
      <c r="G93" s="341"/>
      <c r="H93" s="341"/>
      <c r="I93" s="341" t="s">
        <v>3</v>
      </c>
      <c r="J93" s="340" t="s">
        <v>5549</v>
      </c>
      <c r="K93" s="340" t="s">
        <v>1294</v>
      </c>
      <c r="L93" s="170">
        <v>45117</v>
      </c>
      <c r="M93" s="177" t="s">
        <v>5565</v>
      </c>
      <c r="N93" s="179">
        <v>45111</v>
      </c>
      <c r="O93" s="178"/>
      <c r="Q93" t="s">
        <v>22</v>
      </c>
      <c r="R93">
        <v>5</v>
      </c>
      <c r="S93" s="184">
        <v>45107</v>
      </c>
      <c r="T93" s="195">
        <v>45110.497256944444</v>
      </c>
      <c r="U93" s="195">
        <v>45110.497256944444</v>
      </c>
      <c r="V93" s="290">
        <v>1</v>
      </c>
      <c r="W93" s="200">
        <v>45110.497256944444</v>
      </c>
      <c r="X93" s="200">
        <v>45110.497986111113</v>
      </c>
      <c r="Y93" s="199">
        <v>1</v>
      </c>
      <c r="Z93" s="206">
        <v>45110</v>
      </c>
      <c r="AA93" s="205">
        <v>9</v>
      </c>
      <c r="AB93" s="206">
        <v>45120</v>
      </c>
      <c r="AC93" s="187">
        <v>10</v>
      </c>
      <c r="AD93" s="186">
        <v>45111</v>
      </c>
    </row>
    <row r="94" spans="1:30">
      <c r="A94" s="340">
        <f>COUNTA($E$3:E94)</f>
        <v>92</v>
      </c>
      <c r="B94" s="340" t="s">
        <v>5551</v>
      </c>
      <c r="C94" s="340" t="s">
        <v>37</v>
      </c>
      <c r="D94" s="340" t="s">
        <v>34</v>
      </c>
      <c r="E94" s="340" t="s">
        <v>3286</v>
      </c>
      <c r="F94" s="341">
        <v>45111</v>
      </c>
      <c r="G94" s="341"/>
      <c r="H94" s="341"/>
      <c r="I94" s="341" t="s">
        <v>3</v>
      </c>
      <c r="J94" s="340" t="s">
        <v>2153</v>
      </c>
      <c r="K94" s="340" t="s">
        <v>1120</v>
      </c>
      <c r="L94" s="170">
        <v>45117</v>
      </c>
      <c r="M94" s="177" t="s">
        <v>5564</v>
      </c>
      <c r="N94" s="179"/>
      <c r="O94" s="178"/>
      <c r="Q94" t="s">
        <v>129</v>
      </c>
      <c r="S94" s="184">
        <v>45111</v>
      </c>
      <c r="T94" s="195">
        <v>45113.582916666666</v>
      </c>
      <c r="U94" s="195">
        <v>45113.582916666666</v>
      </c>
      <c r="V94" s="290">
        <v>1</v>
      </c>
      <c r="W94" s="200">
        <v>45113.582916666666</v>
      </c>
      <c r="X94" s="200">
        <v>45113.583009259259</v>
      </c>
      <c r="Y94" s="199">
        <v>1</v>
      </c>
      <c r="Z94" s="206">
        <v>45113</v>
      </c>
      <c r="AA94" s="205">
        <v>7</v>
      </c>
      <c r="AB94" s="206">
        <v>45121</v>
      </c>
      <c r="AC94" s="187">
        <v>9</v>
      </c>
      <c r="AD94" s="186"/>
    </row>
    <row r="95" spans="1:30">
      <c r="A95" s="340">
        <f>COUNTA($E$3:E95)</f>
        <v>93</v>
      </c>
      <c r="B95" s="340" t="s">
        <v>5556</v>
      </c>
      <c r="C95" s="340" t="s">
        <v>37</v>
      </c>
      <c r="D95" s="340" t="s">
        <v>30</v>
      </c>
      <c r="E95" s="340" t="s">
        <v>1209</v>
      </c>
      <c r="F95" s="341">
        <v>45111</v>
      </c>
      <c r="G95" s="341"/>
      <c r="H95" s="341"/>
      <c r="I95" s="341" t="s">
        <v>3</v>
      </c>
      <c r="J95" s="340" t="s">
        <v>4768</v>
      </c>
      <c r="K95" s="340" t="s">
        <v>33</v>
      </c>
      <c r="L95" s="170">
        <v>45117</v>
      </c>
      <c r="M95" s="177" t="s">
        <v>5995</v>
      </c>
      <c r="N95" s="179">
        <v>45128</v>
      </c>
      <c r="O95" s="178"/>
      <c r="Q95" t="s">
        <v>129</v>
      </c>
      <c r="S95" s="184">
        <v>45111</v>
      </c>
      <c r="T95" s="195">
        <v>45113.763182870367</v>
      </c>
      <c r="U95" s="195">
        <v>45113.763182870367</v>
      </c>
      <c r="V95" s="290">
        <v>1</v>
      </c>
      <c r="W95" s="200">
        <v>45113.763182870367</v>
      </c>
      <c r="X95" s="200">
        <v>45113.763356481482</v>
      </c>
      <c r="Y95" s="199">
        <v>1</v>
      </c>
      <c r="Z95" s="206">
        <v>45113</v>
      </c>
      <c r="AA95" s="205">
        <v>7</v>
      </c>
      <c r="AB95" s="206">
        <v>45122</v>
      </c>
      <c r="AC95" s="187">
        <v>9</v>
      </c>
      <c r="AD95" s="186"/>
    </row>
    <row r="96" spans="1:30">
      <c r="A96" s="340">
        <f>COUNTA($E$3:E96)</f>
        <v>94</v>
      </c>
      <c r="B96" s="340" t="s">
        <v>5557</v>
      </c>
      <c r="C96" s="340" t="s">
        <v>3828</v>
      </c>
      <c r="D96" s="340" t="s">
        <v>19</v>
      </c>
      <c r="E96" s="340" t="s">
        <v>3696</v>
      </c>
      <c r="F96" s="341">
        <v>45111</v>
      </c>
      <c r="G96" s="341"/>
      <c r="H96" s="341"/>
      <c r="I96" s="341" t="s">
        <v>3</v>
      </c>
      <c r="J96" s="340" t="s">
        <v>4624</v>
      </c>
      <c r="K96" s="340" t="s">
        <v>1295</v>
      </c>
      <c r="L96" s="170">
        <v>45117</v>
      </c>
      <c r="M96" s="177" t="s">
        <v>3500</v>
      </c>
      <c r="N96" s="179"/>
      <c r="O96" s="178"/>
      <c r="Q96" t="s">
        <v>129</v>
      </c>
      <c r="S96" s="184">
        <v>45111</v>
      </c>
      <c r="T96" s="195">
        <v>45112.563622685186</v>
      </c>
      <c r="U96" s="195">
        <v>45112.563622685186</v>
      </c>
      <c r="V96" s="290">
        <v>1</v>
      </c>
      <c r="W96" s="200">
        <v>45112.563622685186</v>
      </c>
      <c r="X96" s="200">
        <v>45112.563923611109</v>
      </c>
      <c r="Y96" s="199">
        <v>1</v>
      </c>
      <c r="Z96" s="206">
        <v>45113</v>
      </c>
      <c r="AA96" s="205">
        <v>7</v>
      </c>
      <c r="AB96" s="206">
        <v>45123</v>
      </c>
      <c r="AC96" s="187">
        <v>9</v>
      </c>
      <c r="AD96" s="186"/>
    </row>
    <row r="97" spans="1:30">
      <c r="A97" s="340">
        <f>COUNTA($E$3:E97)</f>
        <v>95</v>
      </c>
      <c r="B97" s="340" t="s">
        <v>4985</v>
      </c>
      <c r="C97" s="340" t="s">
        <v>21</v>
      </c>
      <c r="D97" s="340" t="s">
        <v>34</v>
      </c>
      <c r="E97" s="340" t="s">
        <v>4986</v>
      </c>
      <c r="F97" s="341">
        <v>45015.548657407409</v>
      </c>
      <c r="G97" s="341"/>
      <c r="H97" s="341">
        <v>45022</v>
      </c>
      <c r="I97" s="341" t="s">
        <v>3</v>
      </c>
      <c r="J97" s="340" t="s">
        <v>4694</v>
      </c>
      <c r="K97" s="340" t="s">
        <v>1295</v>
      </c>
      <c r="L97" s="170">
        <v>45110</v>
      </c>
      <c r="M97" s="177" t="s">
        <v>5543</v>
      </c>
      <c r="N97" s="179"/>
      <c r="O97" s="178"/>
      <c r="Q97" t="s">
        <v>129</v>
      </c>
      <c r="R97">
        <v>68</v>
      </c>
      <c r="S97" s="184">
        <v>45015</v>
      </c>
      <c r="T97" s="195">
        <v>45022</v>
      </c>
      <c r="U97" s="195">
        <v>45022</v>
      </c>
      <c r="V97" s="290">
        <v>1</v>
      </c>
      <c r="W97" s="200" t="s">
        <v>1761</v>
      </c>
      <c r="X97" s="200">
        <v>45106.674351851849</v>
      </c>
      <c r="Y97" s="199">
        <v>1</v>
      </c>
      <c r="Z97" s="206">
        <v>45106</v>
      </c>
      <c r="AA97" s="205">
        <v>2</v>
      </c>
      <c r="AB97" s="206">
        <v>45107</v>
      </c>
      <c r="AC97" s="187">
        <v>67</v>
      </c>
      <c r="AD97" s="186"/>
    </row>
    <row r="98" spans="1:30">
      <c r="A98" s="340">
        <f>COUNTA($E$3:E98)</f>
        <v>96</v>
      </c>
      <c r="B98" s="340" t="s">
        <v>5060</v>
      </c>
      <c r="C98" s="340" t="s">
        <v>41</v>
      </c>
      <c r="D98" s="340" t="s">
        <v>30</v>
      </c>
      <c r="E98" s="340" t="s">
        <v>4360</v>
      </c>
      <c r="F98" s="341">
        <v>45029.440752314818</v>
      </c>
      <c r="G98" s="341"/>
      <c r="H98" s="341" t="s">
        <v>66</v>
      </c>
      <c r="I98" s="341" t="s">
        <v>3</v>
      </c>
      <c r="J98" s="340" t="s">
        <v>5246</v>
      </c>
      <c r="K98" s="340" t="s">
        <v>1295</v>
      </c>
      <c r="L98" s="170">
        <v>45110</v>
      </c>
      <c r="M98" s="177" t="s">
        <v>5544</v>
      </c>
      <c r="N98" s="179">
        <v>45147</v>
      </c>
      <c r="O98" s="178"/>
      <c r="Q98" t="s">
        <v>129</v>
      </c>
      <c r="R98">
        <v>58</v>
      </c>
      <c r="S98" s="184">
        <v>45031</v>
      </c>
      <c r="T98" s="195">
        <v>45040.528738425928</v>
      </c>
      <c r="U98" s="195">
        <v>45040.528738425928</v>
      </c>
      <c r="V98" s="290">
        <v>1</v>
      </c>
      <c r="W98" s="200">
        <v>45040.528738425928</v>
      </c>
      <c r="X98" s="200">
        <v>45075.526087962964</v>
      </c>
      <c r="Y98" s="199">
        <v>26</v>
      </c>
      <c r="Z98" s="206">
        <v>45106</v>
      </c>
      <c r="AA98" s="205">
        <v>2</v>
      </c>
      <c r="AB98" s="206">
        <v>45107</v>
      </c>
      <c r="AC98" s="187">
        <v>55</v>
      </c>
      <c r="AD98" s="186">
        <v>45147</v>
      </c>
    </row>
    <row r="99" spans="1:30">
      <c r="A99" s="340">
        <f>COUNTA($E$3:E99)</f>
        <v>97</v>
      </c>
      <c r="B99" s="340" t="s">
        <v>5074</v>
      </c>
      <c r="C99" s="340" t="s">
        <v>3324</v>
      </c>
      <c r="D99" s="340" t="s">
        <v>45</v>
      </c>
      <c r="E99" s="340" t="s">
        <v>3330</v>
      </c>
      <c r="F99" s="341">
        <v>45030.624814814815</v>
      </c>
      <c r="G99" s="341">
        <v>45076</v>
      </c>
      <c r="H99" s="341">
        <v>45030</v>
      </c>
      <c r="I99" s="341" t="s">
        <v>4</v>
      </c>
      <c r="J99" s="340" t="s">
        <v>5075</v>
      </c>
      <c r="K99" s="340" t="s">
        <v>287</v>
      </c>
      <c r="L99" s="170">
        <v>45110</v>
      </c>
      <c r="M99" s="177" t="s">
        <v>5532</v>
      </c>
      <c r="N99" s="179">
        <v>45106</v>
      </c>
      <c r="O99" s="178"/>
      <c r="Q99" t="s">
        <v>22</v>
      </c>
      <c r="R99">
        <v>57</v>
      </c>
      <c r="S99" s="184">
        <v>45030</v>
      </c>
      <c r="T99" s="195">
        <v>45030</v>
      </c>
      <c r="U99" s="195">
        <v>45030</v>
      </c>
      <c r="V99" s="290">
        <v>1</v>
      </c>
      <c r="W99" s="200">
        <v>45030</v>
      </c>
      <c r="X99" s="200">
        <v>45106.447245370371</v>
      </c>
      <c r="Y99" s="199">
        <v>55</v>
      </c>
      <c r="Z99" s="206">
        <v>45106</v>
      </c>
      <c r="AA99" s="205">
        <v>1</v>
      </c>
      <c r="AB99" s="206">
        <v>45106</v>
      </c>
      <c r="AC99" s="187">
        <v>55</v>
      </c>
      <c r="AD99" s="186">
        <v>45106</v>
      </c>
    </row>
    <row r="100" spans="1:30">
      <c r="A100" s="340">
        <f>COUNTA($E$3:E100)</f>
        <v>98</v>
      </c>
      <c r="B100" s="340" t="s">
        <v>5129</v>
      </c>
      <c r="C100" s="340" t="s">
        <v>41</v>
      </c>
      <c r="D100" s="340" t="s">
        <v>1103</v>
      </c>
      <c r="E100" s="340" t="s">
        <v>4255</v>
      </c>
      <c r="F100" s="341">
        <v>45041.566770833335</v>
      </c>
      <c r="G100" s="341"/>
      <c r="H100" s="341" t="s">
        <v>66</v>
      </c>
      <c r="I100" s="341" t="s">
        <v>3</v>
      </c>
      <c r="J100" s="340" t="s">
        <v>1666</v>
      </c>
      <c r="K100" s="340" t="s">
        <v>1287</v>
      </c>
      <c r="L100" s="170">
        <v>45110</v>
      </c>
      <c r="M100" s="177" t="s">
        <v>5533</v>
      </c>
      <c r="N100" s="179">
        <v>45147</v>
      </c>
      <c r="O100" s="178"/>
      <c r="Q100" t="s">
        <v>129</v>
      </c>
      <c r="R100">
        <v>50</v>
      </c>
      <c r="S100" s="184">
        <v>45041</v>
      </c>
      <c r="T100" s="195">
        <v>45042.561747685184</v>
      </c>
      <c r="U100" s="195">
        <v>45042.561747685184</v>
      </c>
      <c r="V100" s="290">
        <v>1</v>
      </c>
      <c r="W100" s="200">
        <v>45042.561747685184</v>
      </c>
      <c r="X100" s="200">
        <v>45104.455347222225</v>
      </c>
      <c r="Y100" s="199">
        <v>45</v>
      </c>
      <c r="Z100" s="206">
        <v>45104</v>
      </c>
      <c r="AA100" s="205">
        <v>3</v>
      </c>
      <c r="AB100" s="206">
        <v>45106</v>
      </c>
      <c r="AC100" s="187">
        <v>48</v>
      </c>
      <c r="AD100" s="186">
        <v>45147</v>
      </c>
    </row>
    <row r="101" spans="1:30">
      <c r="A101" s="340">
        <f>COUNTA($E$3:E101)</f>
        <v>99</v>
      </c>
      <c r="B101" s="340" t="s">
        <v>5211</v>
      </c>
      <c r="C101" s="340" t="s">
        <v>5212</v>
      </c>
      <c r="D101" s="340" t="s">
        <v>64</v>
      </c>
      <c r="E101" s="340" t="s">
        <v>5213</v>
      </c>
      <c r="F101" s="341">
        <v>45058.552673611113</v>
      </c>
      <c r="G101" s="341">
        <v>45092</v>
      </c>
      <c r="H101" s="341">
        <v>45058</v>
      </c>
      <c r="I101" s="341" t="s">
        <v>2</v>
      </c>
      <c r="J101" s="340" t="s">
        <v>5261</v>
      </c>
      <c r="K101" s="340" t="s">
        <v>287</v>
      </c>
      <c r="L101" s="170">
        <v>45110</v>
      </c>
      <c r="M101" s="177" t="s">
        <v>5534</v>
      </c>
      <c r="N101" s="179">
        <v>45106</v>
      </c>
      <c r="O101" s="178"/>
      <c r="Q101" t="s">
        <v>22</v>
      </c>
      <c r="R101">
        <v>37</v>
      </c>
      <c r="S101" s="184">
        <v>45057</v>
      </c>
      <c r="T101" s="195">
        <v>45058</v>
      </c>
      <c r="U101" s="195">
        <v>45058</v>
      </c>
      <c r="V101" s="290">
        <v>1</v>
      </c>
      <c r="W101" s="200">
        <v>45058</v>
      </c>
      <c r="X101" s="200">
        <v>45098.6953587963</v>
      </c>
      <c r="Y101" s="199">
        <v>29</v>
      </c>
      <c r="Z101" s="206">
        <v>45098</v>
      </c>
      <c r="AA101" s="205">
        <v>9</v>
      </c>
      <c r="AB101" s="206">
        <v>45110</v>
      </c>
      <c r="AC101" s="187">
        <v>38</v>
      </c>
      <c r="AD101" s="186">
        <v>45106</v>
      </c>
    </row>
    <row r="102" spans="1:30">
      <c r="A102" s="340">
        <f>COUNTA($E$3:E102)</f>
        <v>100</v>
      </c>
      <c r="B102" s="340" t="s">
        <v>5266</v>
      </c>
      <c r="C102" s="340" t="s">
        <v>41</v>
      </c>
      <c r="D102" s="340" t="s">
        <v>16</v>
      </c>
      <c r="E102" s="340" t="s">
        <v>3962</v>
      </c>
      <c r="F102" s="341">
        <v>45092.77884259259</v>
      </c>
      <c r="G102" s="341"/>
      <c r="H102" s="341"/>
      <c r="I102" s="341" t="s">
        <v>3</v>
      </c>
      <c r="J102" s="340" t="s">
        <v>17</v>
      </c>
      <c r="K102" s="340" t="s">
        <v>287</v>
      </c>
      <c r="L102" s="170">
        <v>45110</v>
      </c>
      <c r="M102" s="177" t="s">
        <v>5545</v>
      </c>
      <c r="N102" s="179">
        <v>45124</v>
      </c>
      <c r="O102" s="178"/>
      <c r="Q102" t="s">
        <v>22</v>
      </c>
      <c r="R102">
        <v>13</v>
      </c>
      <c r="S102" s="184">
        <v>45054</v>
      </c>
      <c r="T102" s="195">
        <v>45099.798379629632</v>
      </c>
      <c r="U102" s="195">
        <v>45099.798379629632</v>
      </c>
      <c r="V102" s="290">
        <v>1</v>
      </c>
      <c r="W102" s="200">
        <v>45099.798379629632</v>
      </c>
      <c r="X102" s="200">
        <v>45099.798437500001</v>
      </c>
      <c r="Y102" s="199">
        <v>1</v>
      </c>
      <c r="Z102" s="206">
        <v>45107</v>
      </c>
      <c r="AA102" s="205">
        <v>2</v>
      </c>
      <c r="AB102" s="206">
        <v>45110</v>
      </c>
      <c r="AC102" s="187">
        <v>41</v>
      </c>
      <c r="AD102" s="186">
        <v>45124</v>
      </c>
    </row>
    <row r="103" spans="1:30">
      <c r="A103" s="340">
        <f>COUNTA($E$3:E103)</f>
        <v>101</v>
      </c>
      <c r="B103" s="340" t="s">
        <v>5396</v>
      </c>
      <c r="C103" s="340" t="s">
        <v>5355</v>
      </c>
      <c r="D103" s="340" t="s">
        <v>1201</v>
      </c>
      <c r="E103" s="340" t="s">
        <v>5397</v>
      </c>
      <c r="F103" s="341">
        <v>45083.438020833331</v>
      </c>
      <c r="G103" s="341"/>
      <c r="H103" s="341"/>
      <c r="I103" s="341" t="s">
        <v>2</v>
      </c>
      <c r="J103" s="340" t="s">
        <v>5498</v>
      </c>
      <c r="K103" s="340" t="s">
        <v>287</v>
      </c>
      <c r="L103" s="170">
        <v>45110</v>
      </c>
      <c r="M103" s="177" t="s">
        <v>5537</v>
      </c>
      <c r="N103" s="179">
        <v>45124</v>
      </c>
      <c r="O103" s="178"/>
      <c r="Q103" t="s">
        <v>22</v>
      </c>
      <c r="R103">
        <v>20</v>
      </c>
      <c r="S103" s="184">
        <v>45086</v>
      </c>
      <c r="T103" s="195">
        <v>45098.658333333333</v>
      </c>
      <c r="U103" s="195">
        <v>45098.658333333333</v>
      </c>
      <c r="V103" s="290">
        <v>1</v>
      </c>
      <c r="W103" s="200">
        <v>45098.658333333333</v>
      </c>
      <c r="X103" s="200">
        <v>45098.661168981482</v>
      </c>
      <c r="Y103" s="199">
        <v>1</v>
      </c>
      <c r="Z103" s="206">
        <v>45100</v>
      </c>
      <c r="AA103" s="205">
        <v>7</v>
      </c>
      <c r="AB103" s="206">
        <v>45110</v>
      </c>
      <c r="AC103" s="187">
        <v>17</v>
      </c>
      <c r="AD103" s="186">
        <v>45124</v>
      </c>
    </row>
    <row r="104" spans="1:30">
      <c r="A104" s="340">
        <f>COUNTA($E$3:E104)</f>
        <v>102</v>
      </c>
      <c r="B104" s="340" t="s">
        <v>5400</v>
      </c>
      <c r="C104" s="340" t="s">
        <v>41</v>
      </c>
      <c r="D104" s="340" t="s">
        <v>1115</v>
      </c>
      <c r="E104" s="340" t="s">
        <v>4316</v>
      </c>
      <c r="F104" s="341">
        <v>45083.439155092594</v>
      </c>
      <c r="G104" s="341"/>
      <c r="H104" s="341"/>
      <c r="I104" s="341" t="s">
        <v>3</v>
      </c>
      <c r="J104" s="340" t="s">
        <v>4624</v>
      </c>
      <c r="K104" s="340"/>
      <c r="L104" s="170">
        <v>45110</v>
      </c>
      <c r="M104" s="177" t="s">
        <v>5537</v>
      </c>
      <c r="N104" s="179">
        <v>45124</v>
      </c>
      <c r="O104" s="178"/>
      <c r="Q104" t="s">
        <v>22</v>
      </c>
      <c r="R104">
        <v>20</v>
      </c>
      <c r="S104" s="184">
        <v>45086</v>
      </c>
      <c r="T104" s="195">
        <v>45104.676481481481</v>
      </c>
      <c r="U104" s="195">
        <v>45104.676481481481</v>
      </c>
      <c r="V104" s="290">
        <v>1</v>
      </c>
      <c r="W104" s="200">
        <v>45104.676481481481</v>
      </c>
      <c r="X104" s="200">
        <v>45104.67664351852</v>
      </c>
      <c r="Y104" s="199">
        <v>1</v>
      </c>
      <c r="Z104" s="206">
        <v>45104</v>
      </c>
      <c r="AA104" s="205">
        <v>3</v>
      </c>
      <c r="AB104" s="206">
        <v>45106</v>
      </c>
      <c r="AC104" s="187">
        <v>15</v>
      </c>
      <c r="AD104" s="186">
        <v>45124</v>
      </c>
    </row>
    <row r="105" spans="1:30">
      <c r="A105" s="340">
        <f>COUNTA($E$3:E105)</f>
        <v>103</v>
      </c>
      <c r="B105" s="340" t="s">
        <v>5428</v>
      </c>
      <c r="C105" s="340" t="s">
        <v>5084</v>
      </c>
      <c r="D105" s="340" t="s">
        <v>56</v>
      </c>
      <c r="E105" s="340" t="s">
        <v>5085</v>
      </c>
      <c r="F105" s="341">
        <v>45089.755914351852</v>
      </c>
      <c r="G105" s="341"/>
      <c r="H105" s="341" t="s">
        <v>55</v>
      </c>
      <c r="I105" s="341" t="s">
        <v>3</v>
      </c>
      <c r="J105" s="340" t="s">
        <v>1720</v>
      </c>
      <c r="K105" s="340" t="s">
        <v>1295</v>
      </c>
      <c r="L105" s="170">
        <v>45110</v>
      </c>
      <c r="M105" s="177" t="s">
        <v>5546</v>
      </c>
      <c r="N105" s="179">
        <v>45098</v>
      </c>
      <c r="O105" s="178"/>
      <c r="Q105" t="s">
        <v>129</v>
      </c>
      <c r="R105">
        <v>16</v>
      </c>
      <c r="S105" s="184">
        <v>45089</v>
      </c>
      <c r="T105" s="195">
        <v>45096.518599537034</v>
      </c>
      <c r="U105" s="195">
        <v>45096.518599537034</v>
      </c>
      <c r="V105" s="290">
        <v>1</v>
      </c>
      <c r="W105" s="200">
        <v>45096.518599537034</v>
      </c>
      <c r="X105" s="200">
        <v>45106.698020833333</v>
      </c>
      <c r="Y105" s="199">
        <v>9</v>
      </c>
      <c r="Z105" s="206">
        <v>45106</v>
      </c>
      <c r="AA105" s="205">
        <v>2</v>
      </c>
      <c r="AB105" s="206">
        <v>45107</v>
      </c>
      <c r="AC105" s="187">
        <v>15</v>
      </c>
      <c r="AD105" s="186">
        <v>45098</v>
      </c>
    </row>
    <row r="106" spans="1:30">
      <c r="A106" s="340">
        <f>COUNTA($E$3:E106)</f>
        <v>104</v>
      </c>
      <c r="B106" s="340" t="s">
        <v>5486</v>
      </c>
      <c r="C106" s="340" t="s">
        <v>37</v>
      </c>
      <c r="D106" s="340" t="s">
        <v>30</v>
      </c>
      <c r="E106" s="340" t="s">
        <v>2558</v>
      </c>
      <c r="F106" s="341">
        <v>45097.495266203703</v>
      </c>
      <c r="G106" s="341"/>
      <c r="H106" s="341"/>
      <c r="I106" s="341" t="s">
        <v>3</v>
      </c>
      <c r="J106" s="340" t="s">
        <v>1212</v>
      </c>
      <c r="K106" s="340" t="s">
        <v>1296</v>
      </c>
      <c r="L106" s="170">
        <v>45110</v>
      </c>
      <c r="M106" s="177" t="s">
        <v>5547</v>
      </c>
      <c r="N106" s="179">
        <v>45110</v>
      </c>
      <c r="O106" s="178"/>
      <c r="Q106" t="s">
        <v>129</v>
      </c>
      <c r="R106">
        <v>10</v>
      </c>
      <c r="S106" s="184">
        <v>45097</v>
      </c>
      <c r="T106" s="195">
        <v>45100.78334490741</v>
      </c>
      <c r="U106" s="195">
        <v>45100.78334490741</v>
      </c>
      <c r="V106" s="290">
        <v>1</v>
      </c>
      <c r="W106" s="200">
        <v>45100.78334490741</v>
      </c>
      <c r="X106" s="200">
        <v>45100.783414351848</v>
      </c>
      <c r="Y106" s="199">
        <v>1</v>
      </c>
      <c r="Z106" s="206">
        <v>45100</v>
      </c>
      <c r="AA106" s="205">
        <v>6</v>
      </c>
      <c r="AB106" s="206">
        <v>45107</v>
      </c>
      <c r="AC106" s="187">
        <v>9</v>
      </c>
      <c r="AD106" s="186">
        <v>45110</v>
      </c>
    </row>
    <row r="107" spans="1:30">
      <c r="A107" s="340">
        <f>COUNTA($E$3:E107)</f>
        <v>105</v>
      </c>
      <c r="B107" s="340" t="s">
        <v>5492</v>
      </c>
      <c r="C107" s="340" t="s">
        <v>40</v>
      </c>
      <c r="D107" s="340" t="s">
        <v>3179</v>
      </c>
      <c r="E107" s="340" t="s">
        <v>5493</v>
      </c>
      <c r="F107" s="341">
        <v>45097.773773148147</v>
      </c>
      <c r="G107" s="341"/>
      <c r="H107" s="341"/>
      <c r="I107" s="341" t="s">
        <v>3</v>
      </c>
      <c r="J107" s="340" t="s">
        <v>1485</v>
      </c>
      <c r="K107" s="340" t="s">
        <v>1287</v>
      </c>
      <c r="L107" s="170">
        <v>45110</v>
      </c>
      <c r="M107" s="177" t="s">
        <v>5535</v>
      </c>
      <c r="N107" s="179">
        <v>45102</v>
      </c>
      <c r="O107" s="178"/>
      <c r="Q107" t="s">
        <v>129</v>
      </c>
      <c r="R107">
        <v>10</v>
      </c>
      <c r="S107" s="184">
        <v>45097</v>
      </c>
      <c r="T107" s="195">
        <v>45099.659282407411</v>
      </c>
      <c r="U107" s="195">
        <v>45099.659282407411</v>
      </c>
      <c r="V107" s="290">
        <v>1</v>
      </c>
      <c r="W107" s="200">
        <v>45099.659282407411</v>
      </c>
      <c r="X107" s="200">
        <v>45099.659363425926</v>
      </c>
      <c r="Y107" s="199">
        <v>1</v>
      </c>
      <c r="Z107" s="206">
        <v>45099</v>
      </c>
      <c r="AA107" s="205">
        <v>6</v>
      </c>
      <c r="AB107" s="206">
        <v>45106</v>
      </c>
      <c r="AC107" s="187">
        <v>8</v>
      </c>
      <c r="AD107" s="186">
        <v>45102</v>
      </c>
    </row>
    <row r="108" spans="1:30">
      <c r="A108" s="340">
        <f>COUNTA($E$3:E108)</f>
        <v>106</v>
      </c>
      <c r="B108" s="340" t="s">
        <v>5501</v>
      </c>
      <c r="C108" s="340" t="s">
        <v>41</v>
      </c>
      <c r="D108" s="340" t="s">
        <v>51</v>
      </c>
      <c r="E108" s="340" t="s">
        <v>3740</v>
      </c>
      <c r="F108" s="341">
        <v>45107.462789351855</v>
      </c>
      <c r="G108" s="341"/>
      <c r="H108" s="341"/>
      <c r="I108" s="341" t="s">
        <v>3</v>
      </c>
      <c r="J108" s="340" t="s">
        <v>514</v>
      </c>
      <c r="K108" s="340"/>
      <c r="L108" s="170">
        <v>45110</v>
      </c>
      <c r="M108" s="177" t="s">
        <v>3436</v>
      </c>
      <c r="N108" s="179"/>
      <c r="O108" s="178"/>
      <c r="Q108" t="s">
        <v>22</v>
      </c>
      <c r="S108" s="184">
        <v>45107</v>
      </c>
      <c r="T108" s="195">
        <v>45107.474305555559</v>
      </c>
      <c r="U108" s="195">
        <v>45107.474305555559</v>
      </c>
      <c r="V108" s="290">
        <v>1</v>
      </c>
      <c r="W108" s="200">
        <v>45107.474305555559</v>
      </c>
      <c r="X108" s="200">
        <v>45107.474456018521</v>
      </c>
      <c r="Y108" s="199">
        <v>1</v>
      </c>
      <c r="Z108" s="206">
        <v>45107</v>
      </c>
      <c r="AA108" s="205">
        <v>2</v>
      </c>
      <c r="AB108" s="206">
        <v>45110</v>
      </c>
      <c r="AC108" s="187">
        <v>2</v>
      </c>
      <c r="AD108" s="186"/>
    </row>
    <row r="109" spans="1:30">
      <c r="A109" s="340">
        <f>COUNTA($E$3:E109)</f>
        <v>107</v>
      </c>
      <c r="B109" s="340" t="s">
        <v>5504</v>
      </c>
      <c r="C109" s="340" t="s">
        <v>40</v>
      </c>
      <c r="D109" s="340" t="s">
        <v>51</v>
      </c>
      <c r="E109" s="340" t="s">
        <v>3906</v>
      </c>
      <c r="F109" s="341">
        <v>45100.755995370368</v>
      </c>
      <c r="G109" s="341"/>
      <c r="H109" s="341"/>
      <c r="I109" s="341" t="s">
        <v>3</v>
      </c>
      <c r="J109" s="340" t="s">
        <v>5364</v>
      </c>
      <c r="K109" s="340" t="s">
        <v>1287</v>
      </c>
      <c r="L109" s="170">
        <v>45110</v>
      </c>
      <c r="M109" s="177" t="s">
        <v>5533</v>
      </c>
      <c r="N109" s="179">
        <v>45117</v>
      </c>
      <c r="O109" s="178"/>
      <c r="Q109" t="s">
        <v>129</v>
      </c>
      <c r="S109" s="184">
        <v>45100</v>
      </c>
      <c r="T109" s="195">
        <v>45105.648680555554</v>
      </c>
      <c r="U109" s="195">
        <v>45105.648680555554</v>
      </c>
      <c r="V109" s="290">
        <v>1</v>
      </c>
      <c r="W109" s="200">
        <v>45105.648680555554</v>
      </c>
      <c r="X109" s="200">
        <v>45105.648842592593</v>
      </c>
      <c r="Y109" s="199">
        <v>1</v>
      </c>
      <c r="Z109" s="206">
        <v>45105</v>
      </c>
      <c r="AA109" s="205">
        <v>2</v>
      </c>
      <c r="AB109" s="206">
        <v>45106</v>
      </c>
      <c r="AC109" s="187">
        <v>5</v>
      </c>
      <c r="AD109" s="186">
        <v>45117</v>
      </c>
    </row>
    <row r="110" spans="1:30">
      <c r="A110" s="340">
        <f>COUNTA($E$3:E110)</f>
        <v>108</v>
      </c>
      <c r="B110" s="340" t="s">
        <v>5511</v>
      </c>
      <c r="C110" s="340" t="s">
        <v>37</v>
      </c>
      <c r="D110" s="340" t="s">
        <v>34</v>
      </c>
      <c r="E110" s="340" t="s">
        <v>4600</v>
      </c>
      <c r="F110" s="341">
        <v>45100.761446759258</v>
      </c>
      <c r="G110" s="341"/>
      <c r="H110" s="341"/>
      <c r="I110" s="341" t="s">
        <v>3</v>
      </c>
      <c r="J110" s="340" t="s">
        <v>2560</v>
      </c>
      <c r="K110" s="340" t="s">
        <v>1296</v>
      </c>
      <c r="L110" s="170">
        <v>45110</v>
      </c>
      <c r="M110" s="177" t="s">
        <v>5536</v>
      </c>
      <c r="N110" s="179">
        <v>45110</v>
      </c>
      <c r="O110" s="178"/>
      <c r="Q110" t="s">
        <v>129</v>
      </c>
      <c r="S110" s="184">
        <v>45100</v>
      </c>
      <c r="T110" s="195">
        <v>45104.591851851852</v>
      </c>
      <c r="U110" s="195">
        <v>45104.591851851852</v>
      </c>
      <c r="V110" s="290">
        <v>1</v>
      </c>
      <c r="W110" s="200">
        <v>45104.591851851852</v>
      </c>
      <c r="X110" s="200">
        <v>45104.591921296298</v>
      </c>
      <c r="Y110" s="199">
        <v>1</v>
      </c>
      <c r="Z110" s="206">
        <v>45104</v>
      </c>
      <c r="AA110" s="205">
        <v>3</v>
      </c>
      <c r="AB110" s="206">
        <v>45106</v>
      </c>
      <c r="AC110" s="187">
        <v>5</v>
      </c>
      <c r="AD110" s="186">
        <v>45110</v>
      </c>
    </row>
    <row r="111" spans="1:30">
      <c r="A111" s="340">
        <f>COUNTA($E$3:E111)</f>
        <v>109</v>
      </c>
      <c r="B111" s="340" t="s">
        <v>5512</v>
      </c>
      <c r="C111" s="340" t="s">
        <v>5355</v>
      </c>
      <c r="D111" s="340" t="s">
        <v>1201</v>
      </c>
      <c r="E111" s="340" t="s">
        <v>2987</v>
      </c>
      <c r="F111" s="341">
        <v>45100.769467592596</v>
      </c>
      <c r="G111" s="341"/>
      <c r="H111" s="341"/>
      <c r="I111" s="341" t="s">
        <v>3</v>
      </c>
      <c r="J111" s="340" t="s">
        <v>2153</v>
      </c>
      <c r="K111" s="340" t="s">
        <v>1295</v>
      </c>
      <c r="L111" s="170">
        <v>45110</v>
      </c>
      <c r="M111" s="177" t="s">
        <v>5537</v>
      </c>
      <c r="N111" s="179">
        <v>45147</v>
      </c>
      <c r="O111" s="178"/>
      <c r="Q111" t="s">
        <v>129</v>
      </c>
      <c r="S111" s="184">
        <v>45100</v>
      </c>
      <c r="T111" s="195">
        <v>45100.788645833331</v>
      </c>
      <c r="U111" s="195">
        <v>45100.788645833331</v>
      </c>
      <c r="V111" s="290">
        <v>1</v>
      </c>
      <c r="W111" s="200">
        <v>45100.788645833331</v>
      </c>
      <c r="X111" s="200">
        <v>45100.78875</v>
      </c>
      <c r="Y111" s="199">
        <v>1</v>
      </c>
      <c r="Z111" s="206">
        <v>45103</v>
      </c>
      <c r="AA111" s="205">
        <v>4</v>
      </c>
      <c r="AB111" s="206">
        <v>45106</v>
      </c>
      <c r="AC111" s="187">
        <v>5</v>
      </c>
      <c r="AD111" s="186">
        <v>45147</v>
      </c>
    </row>
    <row r="112" spans="1:30">
      <c r="A112" s="340">
        <f>COUNTA($E$3:E112)</f>
        <v>110</v>
      </c>
      <c r="B112" s="340" t="s">
        <v>5513</v>
      </c>
      <c r="C112" s="340" t="s">
        <v>3828</v>
      </c>
      <c r="D112" s="340" t="s">
        <v>19</v>
      </c>
      <c r="E112" s="340" t="s">
        <v>3696</v>
      </c>
      <c r="F112" s="341">
        <v>45100.771249999998</v>
      </c>
      <c r="G112" s="341"/>
      <c r="H112" s="341"/>
      <c r="I112" s="341" t="s">
        <v>3</v>
      </c>
      <c r="J112" s="340" t="s">
        <v>2153</v>
      </c>
      <c r="K112" s="340" t="s">
        <v>1296</v>
      </c>
      <c r="L112" s="170">
        <v>45110</v>
      </c>
      <c r="M112" s="177" t="s">
        <v>5536</v>
      </c>
      <c r="N112" s="179">
        <v>45106</v>
      </c>
      <c r="O112" s="178"/>
      <c r="Q112" t="s">
        <v>129</v>
      </c>
      <c r="S112" s="184">
        <v>45100</v>
      </c>
      <c r="T112" s="195">
        <v>45104.485069444447</v>
      </c>
      <c r="U112" s="195">
        <v>45104.485069444447</v>
      </c>
      <c r="V112" s="290">
        <v>1</v>
      </c>
      <c r="W112" s="200">
        <v>45104.485069444447</v>
      </c>
      <c r="X112" s="200">
        <v>45104.485127314816</v>
      </c>
      <c r="Y112" s="199">
        <v>1</v>
      </c>
      <c r="Z112" s="206">
        <v>45104</v>
      </c>
      <c r="AA112" s="205">
        <v>3</v>
      </c>
      <c r="AB112" s="206">
        <v>45106</v>
      </c>
      <c r="AC112" s="187">
        <v>5</v>
      </c>
      <c r="AD112" s="186">
        <v>45106</v>
      </c>
    </row>
    <row r="113" spans="1:30">
      <c r="A113" s="340">
        <f>COUNTA($E$3:E113)</f>
        <v>111</v>
      </c>
      <c r="B113" s="340" t="s">
        <v>5540</v>
      </c>
      <c r="C113" s="340" t="s">
        <v>1171</v>
      </c>
      <c r="D113" s="340" t="s">
        <v>30</v>
      </c>
      <c r="E113" s="340" t="s">
        <v>5541</v>
      </c>
      <c r="F113" s="341">
        <v>45106.756342592591</v>
      </c>
      <c r="G113" s="341"/>
      <c r="H113" s="341"/>
      <c r="I113" s="341" t="s">
        <v>3</v>
      </c>
      <c r="J113" s="340" t="s">
        <v>514</v>
      </c>
      <c r="K113" s="340" t="s">
        <v>103</v>
      </c>
      <c r="L113" s="170">
        <v>45110</v>
      </c>
      <c r="M113" s="177" t="s">
        <v>3436</v>
      </c>
      <c r="N113" s="179"/>
      <c r="O113" s="178"/>
      <c r="Q113" t="s">
        <v>22</v>
      </c>
      <c r="S113">
        <v>45106</v>
      </c>
      <c r="T113" s="195">
        <v>45107.477650462963</v>
      </c>
      <c r="U113" s="195">
        <v>45107.477650462963</v>
      </c>
      <c r="V113" s="290">
        <v>1</v>
      </c>
      <c r="W113" s="200">
        <v>45107.477650462963</v>
      </c>
      <c r="X113" s="200">
        <v>45107.477951388886</v>
      </c>
      <c r="Y113" s="199">
        <v>1</v>
      </c>
      <c r="Z113" s="206">
        <v>45107</v>
      </c>
      <c r="AA113" s="205">
        <v>2</v>
      </c>
      <c r="AB113" s="206">
        <v>45110</v>
      </c>
      <c r="AC113" s="187">
        <v>3</v>
      </c>
      <c r="AD113" s="186"/>
    </row>
    <row r="114" spans="1:30">
      <c r="A114" s="340">
        <f>COUNTA($E$3:E114)</f>
        <v>112</v>
      </c>
      <c r="B114" s="340" t="s">
        <v>5309</v>
      </c>
      <c r="C114" s="340" t="s">
        <v>1149</v>
      </c>
      <c r="D114" s="340" t="s">
        <v>16</v>
      </c>
      <c r="E114" s="340" t="s">
        <v>5310</v>
      </c>
      <c r="F114" s="341">
        <v>45077.503807870373</v>
      </c>
      <c r="G114" s="341">
        <v>45085</v>
      </c>
      <c r="H114" s="341">
        <v>45077</v>
      </c>
      <c r="I114" s="341" t="s">
        <v>2</v>
      </c>
      <c r="J114" s="340"/>
      <c r="K114" s="340"/>
      <c r="L114" s="170">
        <v>45103</v>
      </c>
      <c r="M114" s="177" t="s">
        <v>5469</v>
      </c>
      <c r="N114" s="179">
        <v>45093</v>
      </c>
      <c r="O114" s="178"/>
      <c r="Q114" t="s">
        <v>22</v>
      </c>
      <c r="R114">
        <v>19</v>
      </c>
      <c r="S114">
        <v>45077</v>
      </c>
      <c r="T114" s="195">
        <v>45077</v>
      </c>
      <c r="U114" s="195">
        <v>45077</v>
      </c>
      <c r="V114" s="290">
        <v>1</v>
      </c>
      <c r="W114" s="200">
        <v>45077</v>
      </c>
      <c r="X114" s="200">
        <v>45092.793275462966</v>
      </c>
      <c r="Y114" s="199">
        <v>12</v>
      </c>
      <c r="Z114" s="206">
        <v>45092</v>
      </c>
      <c r="AA114" s="205">
        <v>5</v>
      </c>
      <c r="AB114" s="206">
        <v>45098</v>
      </c>
      <c r="AC114" s="187">
        <v>16</v>
      </c>
      <c r="AD114" s="186">
        <v>45093</v>
      </c>
    </row>
    <row r="115" spans="1:30">
      <c r="A115" s="340">
        <f>COUNTA($E$3:E115)</f>
        <v>113</v>
      </c>
      <c r="B115" s="340" t="s">
        <v>5311</v>
      </c>
      <c r="C115" s="340" t="s">
        <v>41</v>
      </c>
      <c r="D115" s="340" t="s">
        <v>34</v>
      </c>
      <c r="E115" s="340" t="s">
        <v>1045</v>
      </c>
      <c r="F115" s="341">
        <v>45093.642870370371</v>
      </c>
      <c r="G115" s="341"/>
      <c r="H115" s="341"/>
      <c r="I115" s="341" t="s">
        <v>3</v>
      </c>
      <c r="J115" s="340" t="s">
        <v>3477</v>
      </c>
      <c r="K115" s="340" t="s">
        <v>1294</v>
      </c>
      <c r="L115" s="170">
        <v>45103</v>
      </c>
      <c r="M115" s="177" t="s">
        <v>3341</v>
      </c>
      <c r="N115" s="179">
        <v>45103</v>
      </c>
      <c r="O115" s="178"/>
      <c r="Q115" t="s">
        <v>22</v>
      </c>
      <c r="R115">
        <v>7</v>
      </c>
      <c r="S115">
        <v>45061</v>
      </c>
      <c r="T115" s="195">
        <v>45100.759062500001</v>
      </c>
      <c r="U115" s="195">
        <v>45100.759062500001</v>
      </c>
      <c r="V115" s="290">
        <v>1</v>
      </c>
      <c r="W115" s="200">
        <v>45100.759062500001</v>
      </c>
      <c r="X115" s="200">
        <v>45100.759282407409</v>
      </c>
      <c r="Y115" s="199">
        <v>1</v>
      </c>
      <c r="Z115" s="206">
        <v>45100</v>
      </c>
      <c r="AA115" s="205">
        <v>1</v>
      </c>
      <c r="AB115" s="206">
        <v>45100</v>
      </c>
      <c r="AC115" s="187">
        <v>30</v>
      </c>
      <c r="AD115" s="186">
        <v>45103</v>
      </c>
    </row>
    <row r="116" spans="1:30">
      <c r="A116" s="340">
        <f>COUNTA($E$3:E116)</f>
        <v>114</v>
      </c>
      <c r="B116" s="340" t="s">
        <v>5430</v>
      </c>
      <c r="C116" s="340" t="s">
        <v>2484</v>
      </c>
      <c r="D116" s="340" t="s">
        <v>52</v>
      </c>
      <c r="E116" s="340" t="s">
        <v>5431</v>
      </c>
      <c r="F116" s="341">
        <v>45092</v>
      </c>
      <c r="G116" s="341"/>
      <c r="H116" s="341" t="s">
        <v>55</v>
      </c>
      <c r="I116" s="341" t="s">
        <v>4</v>
      </c>
      <c r="J116" s="340"/>
      <c r="K116" s="340" t="s">
        <v>24</v>
      </c>
      <c r="L116" s="170">
        <v>45103</v>
      </c>
      <c r="M116" s="177" t="s">
        <v>5496</v>
      </c>
      <c r="N116" s="179">
        <v>45099</v>
      </c>
      <c r="O116" s="178"/>
      <c r="Q116" t="s">
        <v>22</v>
      </c>
      <c r="R116">
        <v>8</v>
      </c>
      <c r="S116">
        <v>45092</v>
      </c>
      <c r="T116" s="195">
        <v>45092.666504629633</v>
      </c>
      <c r="U116" s="195">
        <v>45092.666504629633</v>
      </c>
      <c r="V116" s="290">
        <v>1</v>
      </c>
      <c r="W116" s="200">
        <v>45092.666504629633</v>
      </c>
      <c r="X116" s="200">
        <v>45098.694548611114</v>
      </c>
      <c r="Y116" s="199">
        <v>5</v>
      </c>
      <c r="Z116" s="206">
        <v>45098</v>
      </c>
      <c r="AA116" s="205">
        <v>2</v>
      </c>
      <c r="AB116" s="206">
        <v>45099</v>
      </c>
      <c r="AC116" s="187">
        <v>6</v>
      </c>
      <c r="AD116" s="186">
        <v>45099</v>
      </c>
    </row>
    <row r="117" spans="1:30">
      <c r="A117" s="340">
        <f>COUNTA($E$3:E117)</f>
        <v>115</v>
      </c>
      <c r="B117" s="340" t="s">
        <v>5433</v>
      </c>
      <c r="C117" s="340" t="s">
        <v>2370</v>
      </c>
      <c r="D117" s="340" t="s">
        <v>1123</v>
      </c>
      <c r="E117" s="340" t="s">
        <v>5434</v>
      </c>
      <c r="F117" s="341">
        <v>45092.47384259259</v>
      </c>
      <c r="G117" s="341">
        <v>45125</v>
      </c>
      <c r="H117" s="341"/>
      <c r="I117" s="341" t="s">
        <v>3</v>
      </c>
      <c r="J117" s="340" t="s">
        <v>5499</v>
      </c>
      <c r="K117" s="340" t="s">
        <v>2032</v>
      </c>
      <c r="L117" s="170">
        <v>45103</v>
      </c>
      <c r="M117" s="177" t="s">
        <v>5514</v>
      </c>
      <c r="N117" s="179">
        <v>45103</v>
      </c>
      <c r="O117" s="178"/>
      <c r="Q117" t="s">
        <v>22</v>
      </c>
      <c r="R117">
        <v>8</v>
      </c>
      <c r="S117">
        <v>45092</v>
      </c>
      <c r="T117" s="195">
        <v>45099.786087962966</v>
      </c>
      <c r="U117" s="195">
        <v>45099.786087962966</v>
      </c>
      <c r="V117" s="290">
        <v>1</v>
      </c>
      <c r="W117" s="200">
        <v>45099.786087962966</v>
      </c>
      <c r="X117" s="200">
        <v>45099.786157407405</v>
      </c>
      <c r="Y117" s="199">
        <v>1</v>
      </c>
      <c r="Z117" s="206">
        <v>45099</v>
      </c>
      <c r="AA117" s="205">
        <v>2</v>
      </c>
      <c r="AB117" s="206">
        <v>45101</v>
      </c>
      <c r="AC117" s="187">
        <v>7</v>
      </c>
      <c r="AD117" s="186">
        <v>45103</v>
      </c>
    </row>
    <row r="118" spans="1:30">
      <c r="A118" s="340">
        <f>COUNTA($E$3:E118)</f>
        <v>116</v>
      </c>
      <c r="B118" s="340" t="s">
        <v>5435</v>
      </c>
      <c r="C118" s="340" t="s">
        <v>1752</v>
      </c>
      <c r="D118" s="340" t="s">
        <v>49</v>
      </c>
      <c r="E118" s="340" t="s">
        <v>1753</v>
      </c>
      <c r="F118" s="341">
        <v>45092</v>
      </c>
      <c r="G118" s="341"/>
      <c r="H118" s="341"/>
      <c r="I118" s="341" t="s">
        <v>3</v>
      </c>
      <c r="J118" s="340"/>
      <c r="K118" s="340"/>
      <c r="L118" s="170">
        <v>45103</v>
      </c>
      <c r="M118" s="177" t="s">
        <v>5468</v>
      </c>
      <c r="N118" s="179">
        <v>45092</v>
      </c>
      <c r="O118" s="178"/>
      <c r="Q118" t="s">
        <v>22</v>
      </c>
      <c r="R118">
        <v>8</v>
      </c>
      <c r="S118">
        <v>45092</v>
      </c>
      <c r="T118" s="195">
        <v>45099.773900462962</v>
      </c>
      <c r="U118" s="195">
        <v>45099.773900462962</v>
      </c>
      <c r="V118" s="290">
        <v>1</v>
      </c>
      <c r="W118" s="200">
        <v>45099.773900462962</v>
      </c>
      <c r="X118" s="200">
        <v>45099.773969907408</v>
      </c>
      <c r="Y118" s="199">
        <v>1</v>
      </c>
      <c r="Z118" s="206">
        <v>45099</v>
      </c>
      <c r="AA118" s="205">
        <v>1</v>
      </c>
      <c r="AB118" s="206">
        <v>45099</v>
      </c>
      <c r="AC118" s="187">
        <v>6</v>
      </c>
      <c r="AD118" s="186">
        <v>45092</v>
      </c>
    </row>
    <row r="119" spans="1:30">
      <c r="A119" s="340">
        <f>COUNTA($E$3:E119)</f>
        <v>117</v>
      </c>
      <c r="B119" s="340" t="s">
        <v>5444</v>
      </c>
      <c r="C119" s="340" t="s">
        <v>41</v>
      </c>
      <c r="D119" s="340" t="s">
        <v>1126</v>
      </c>
      <c r="E119" s="340" t="s">
        <v>5445</v>
      </c>
      <c r="F119" s="341">
        <v>45093</v>
      </c>
      <c r="G119" s="341"/>
      <c r="H119" s="341"/>
      <c r="I119" s="341" t="s">
        <v>4</v>
      </c>
      <c r="J119" s="340"/>
      <c r="K119" s="340" t="s">
        <v>1287</v>
      </c>
      <c r="L119" s="170">
        <v>45103</v>
      </c>
      <c r="M119" s="177" t="s">
        <v>5494</v>
      </c>
      <c r="N119" s="179">
        <v>45103</v>
      </c>
      <c r="O119" s="178"/>
      <c r="Q119" t="s">
        <v>129</v>
      </c>
      <c r="R119">
        <v>7</v>
      </c>
      <c r="S119">
        <v>45093</v>
      </c>
      <c r="T119" s="195">
        <v>45096.449444444443</v>
      </c>
      <c r="U119" s="195">
        <v>45096.449444444443</v>
      </c>
      <c r="V119" s="290">
        <v>1</v>
      </c>
      <c r="W119" s="200">
        <v>45096.449444444443</v>
      </c>
      <c r="X119" s="200">
        <v>45096.449513888889</v>
      </c>
      <c r="Y119" s="199">
        <v>1</v>
      </c>
      <c r="Z119" s="206">
        <v>45096</v>
      </c>
      <c r="AA119" s="205">
        <v>2</v>
      </c>
      <c r="AB119" s="206">
        <v>45097</v>
      </c>
      <c r="AC119" s="187">
        <v>3</v>
      </c>
      <c r="AD119" s="186">
        <v>45103</v>
      </c>
    </row>
    <row r="120" spans="1:30">
      <c r="A120" s="340">
        <f>COUNTA($E$3:E120)</f>
        <v>118</v>
      </c>
      <c r="B120" s="340" t="s">
        <v>5447</v>
      </c>
      <c r="C120" s="340" t="s">
        <v>41</v>
      </c>
      <c r="D120" s="340" t="s">
        <v>1264</v>
      </c>
      <c r="E120" s="340" t="s">
        <v>5448</v>
      </c>
      <c r="F120" s="341">
        <v>45093</v>
      </c>
      <c r="G120" s="341"/>
      <c r="H120" s="341"/>
      <c r="I120" s="341" t="s">
        <v>4</v>
      </c>
      <c r="J120" s="340" t="s">
        <v>4624</v>
      </c>
      <c r="K120" s="340" t="s">
        <v>1287</v>
      </c>
      <c r="L120" s="170">
        <v>45103</v>
      </c>
      <c r="M120" s="177" t="s">
        <v>5494</v>
      </c>
      <c r="N120" s="179">
        <v>45103</v>
      </c>
      <c r="O120" s="178"/>
      <c r="Q120" t="s">
        <v>129</v>
      </c>
      <c r="R120">
        <v>7</v>
      </c>
      <c r="S120">
        <v>45093</v>
      </c>
      <c r="T120" s="195">
        <v>45096.446643518517</v>
      </c>
      <c r="U120" s="195">
        <v>45096.446643518517</v>
      </c>
      <c r="V120" s="290">
        <v>1</v>
      </c>
      <c r="W120" s="200">
        <v>45096.446643518517</v>
      </c>
      <c r="X120" s="200">
        <v>45096.44672453704</v>
      </c>
      <c r="Y120" s="199">
        <v>1</v>
      </c>
      <c r="Z120" s="206">
        <v>45096</v>
      </c>
      <c r="AA120" s="205">
        <v>2</v>
      </c>
      <c r="AB120" s="206">
        <v>45097</v>
      </c>
      <c r="AC120" s="187">
        <v>3</v>
      </c>
      <c r="AD120" s="186">
        <v>45103</v>
      </c>
    </row>
    <row r="121" spans="1:30">
      <c r="A121" s="340">
        <f>COUNTA($E$3:E121)</f>
        <v>119</v>
      </c>
      <c r="B121" s="340" t="s">
        <v>5449</v>
      </c>
      <c r="C121" s="340" t="s">
        <v>41</v>
      </c>
      <c r="D121" s="340" t="s">
        <v>2751</v>
      </c>
      <c r="E121" s="340" t="s">
        <v>5450</v>
      </c>
      <c r="F121" s="341">
        <v>45093</v>
      </c>
      <c r="G121" s="341"/>
      <c r="H121" s="341"/>
      <c r="I121" s="341" t="s">
        <v>4</v>
      </c>
      <c r="J121" s="340" t="s">
        <v>4624</v>
      </c>
      <c r="K121" s="340" t="s">
        <v>1287</v>
      </c>
      <c r="L121" s="170">
        <v>45103</v>
      </c>
      <c r="M121" s="177" t="s">
        <v>5494</v>
      </c>
      <c r="N121" s="179">
        <v>45103</v>
      </c>
      <c r="O121" s="178"/>
      <c r="Q121" t="s">
        <v>129</v>
      </c>
      <c r="R121">
        <v>7</v>
      </c>
      <c r="S121">
        <v>45093</v>
      </c>
      <c r="T121" s="195">
        <v>45096.442037037035</v>
      </c>
      <c r="U121" s="195">
        <v>45096.442037037035</v>
      </c>
      <c r="V121" s="290">
        <v>1</v>
      </c>
      <c r="W121" s="200">
        <v>45096.442037037035</v>
      </c>
      <c r="X121" s="200">
        <v>45096.442187499997</v>
      </c>
      <c r="Y121" s="199">
        <v>1</v>
      </c>
      <c r="Z121" s="206">
        <v>45096</v>
      </c>
      <c r="AA121" s="205">
        <v>2</v>
      </c>
      <c r="AB121" s="206">
        <v>45097</v>
      </c>
      <c r="AC121" s="187">
        <v>3</v>
      </c>
      <c r="AD121" s="186">
        <v>45103</v>
      </c>
    </row>
    <row r="122" spans="1:30">
      <c r="A122" s="340">
        <f>COUNTA($E$3:E122)</f>
        <v>120</v>
      </c>
      <c r="B122" s="340" t="s">
        <v>5451</v>
      </c>
      <c r="C122" s="340" t="s">
        <v>41</v>
      </c>
      <c r="D122" s="340" t="s">
        <v>49</v>
      </c>
      <c r="E122" s="340" t="s">
        <v>5452</v>
      </c>
      <c r="F122" s="341">
        <v>45093</v>
      </c>
      <c r="G122" s="341"/>
      <c r="H122" s="341"/>
      <c r="I122" s="341" t="s">
        <v>3</v>
      </c>
      <c r="J122" s="340"/>
      <c r="K122" s="340" t="s">
        <v>1287</v>
      </c>
      <c r="L122" s="170">
        <v>45103</v>
      </c>
      <c r="M122" s="177" t="s">
        <v>5494</v>
      </c>
      <c r="N122" s="179">
        <v>45103</v>
      </c>
      <c r="O122" s="178"/>
      <c r="Q122" t="s">
        <v>129</v>
      </c>
      <c r="R122">
        <v>7</v>
      </c>
      <c r="S122">
        <v>45093</v>
      </c>
      <c r="T122" s="195">
        <v>45096.454768518517</v>
      </c>
      <c r="U122" s="195">
        <v>45096.454768518517</v>
      </c>
      <c r="V122" s="290">
        <v>1</v>
      </c>
      <c r="W122" s="200">
        <v>45096.454768518517</v>
      </c>
      <c r="X122" s="200">
        <v>45096.45484953704</v>
      </c>
      <c r="Y122" s="199">
        <v>1</v>
      </c>
      <c r="Z122" s="206">
        <v>45096</v>
      </c>
      <c r="AA122" s="205">
        <v>2</v>
      </c>
      <c r="AB122" s="206">
        <v>45097</v>
      </c>
      <c r="AC122" s="187">
        <v>3</v>
      </c>
      <c r="AD122" s="186">
        <v>45103</v>
      </c>
    </row>
    <row r="123" spans="1:30">
      <c r="A123" s="340">
        <f>COUNTA($E$3:E123)</f>
        <v>121</v>
      </c>
      <c r="B123" s="340" t="s">
        <v>5453</v>
      </c>
      <c r="C123" s="340" t="s">
        <v>41</v>
      </c>
      <c r="D123" s="340" t="s">
        <v>56</v>
      </c>
      <c r="E123" s="340" t="s">
        <v>5454</v>
      </c>
      <c r="F123" s="341">
        <v>45093</v>
      </c>
      <c r="G123" s="341"/>
      <c r="H123" s="341"/>
      <c r="I123" s="341" t="s">
        <v>1110</v>
      </c>
      <c r="J123" s="340"/>
      <c r="K123" s="340" t="s">
        <v>1296</v>
      </c>
      <c r="L123" s="170">
        <v>45103</v>
      </c>
      <c r="M123" s="177" t="s">
        <v>5495</v>
      </c>
      <c r="N123" s="179">
        <v>45103</v>
      </c>
      <c r="O123" s="178"/>
      <c r="Q123" t="s">
        <v>129</v>
      </c>
      <c r="R123">
        <v>7</v>
      </c>
      <c r="S123">
        <v>45093</v>
      </c>
      <c r="T123" s="195">
        <v>45096.477199074077</v>
      </c>
      <c r="U123" s="195">
        <v>45096.477199074077</v>
      </c>
      <c r="V123" s="290">
        <v>1</v>
      </c>
      <c r="W123" s="200">
        <v>45096.477199074077</v>
      </c>
      <c r="X123" s="200">
        <v>45096.477268518516</v>
      </c>
      <c r="Y123" s="199">
        <v>1</v>
      </c>
      <c r="Z123" s="206">
        <v>45096</v>
      </c>
      <c r="AA123" s="205">
        <v>2</v>
      </c>
      <c r="AB123" s="206">
        <v>45097</v>
      </c>
      <c r="AC123" s="187">
        <v>3</v>
      </c>
      <c r="AD123" s="186">
        <v>45103</v>
      </c>
    </row>
    <row r="124" spans="1:30">
      <c r="A124" s="340">
        <f>COUNTA($E$3:E124)</f>
        <v>122</v>
      </c>
      <c r="B124" s="340" t="s">
        <v>5455</v>
      </c>
      <c r="C124" s="340" t="s">
        <v>41</v>
      </c>
      <c r="D124" s="340" t="s">
        <v>1124</v>
      </c>
      <c r="E124" s="340" t="s">
        <v>1184</v>
      </c>
      <c r="F124" s="341">
        <v>45093</v>
      </c>
      <c r="G124" s="341"/>
      <c r="H124" s="341"/>
      <c r="I124" s="341" t="s">
        <v>3</v>
      </c>
      <c r="J124" s="340"/>
      <c r="K124" s="340" t="s">
        <v>1296</v>
      </c>
      <c r="L124" s="170">
        <v>45103</v>
      </c>
      <c r="M124" s="177" t="s">
        <v>5495</v>
      </c>
      <c r="N124" s="179">
        <v>45103</v>
      </c>
      <c r="O124" s="178"/>
      <c r="Q124" t="s">
        <v>129</v>
      </c>
      <c r="R124">
        <v>7</v>
      </c>
      <c r="S124">
        <v>45093</v>
      </c>
      <c r="T124" s="195">
        <v>45097.436574074076</v>
      </c>
      <c r="U124" s="195">
        <v>45097.436574074076</v>
      </c>
      <c r="V124" s="290">
        <v>1</v>
      </c>
      <c r="W124" s="200">
        <v>45097.436574074076</v>
      </c>
      <c r="X124" s="200">
        <v>45097.436643518522</v>
      </c>
      <c r="Y124" s="199">
        <v>1</v>
      </c>
      <c r="Z124" s="206">
        <v>45097</v>
      </c>
      <c r="AA124" s="205">
        <v>1</v>
      </c>
      <c r="AB124" s="206">
        <v>45097</v>
      </c>
      <c r="AC124" s="187">
        <v>3</v>
      </c>
      <c r="AD124" s="186">
        <v>45103</v>
      </c>
    </row>
    <row r="125" spans="1:30">
      <c r="A125" s="340">
        <f>COUNTA($E$3:E125)</f>
        <v>123</v>
      </c>
      <c r="B125" s="340" t="s">
        <v>5485</v>
      </c>
      <c r="C125" s="340" t="s">
        <v>37</v>
      </c>
      <c r="D125" s="340" t="s">
        <v>30</v>
      </c>
      <c r="E125" s="340" t="s">
        <v>4791</v>
      </c>
      <c r="F125" s="341">
        <v>45097.494780092595</v>
      </c>
      <c r="G125" s="341"/>
      <c r="H125" s="341"/>
      <c r="I125" s="341" t="s">
        <v>3</v>
      </c>
      <c r="J125" s="340" t="s">
        <v>5500</v>
      </c>
      <c r="K125" s="340" t="s">
        <v>1296</v>
      </c>
      <c r="L125" s="170">
        <v>45103</v>
      </c>
      <c r="M125" s="177" t="s">
        <v>3341</v>
      </c>
      <c r="N125" s="179">
        <v>45112</v>
      </c>
      <c r="O125" s="178"/>
      <c r="Q125" t="s">
        <v>129</v>
      </c>
      <c r="R125">
        <v>5</v>
      </c>
      <c r="S125">
        <v>45097</v>
      </c>
      <c r="T125" s="195">
        <v>45100.71665509259</v>
      </c>
      <c r="U125" s="195">
        <v>45100.71665509259</v>
      </c>
      <c r="V125" s="290">
        <v>1</v>
      </c>
      <c r="W125" s="200">
        <v>45100.71665509259</v>
      </c>
      <c r="X125" s="200">
        <v>45100.716782407406</v>
      </c>
      <c r="Y125" s="199">
        <v>1</v>
      </c>
      <c r="Z125" s="206">
        <v>45100</v>
      </c>
      <c r="AA125" s="205">
        <v>1</v>
      </c>
      <c r="AB125" s="206">
        <v>45100</v>
      </c>
      <c r="AC125" s="187">
        <v>4</v>
      </c>
      <c r="AD125" s="186"/>
    </row>
    <row r="126" spans="1:30">
      <c r="A126" s="340">
        <f>COUNTA($E$3:E126)</f>
        <v>124</v>
      </c>
      <c r="B126" s="340" t="s">
        <v>5487</v>
      </c>
      <c r="C126" s="340" t="s">
        <v>37</v>
      </c>
      <c r="D126" s="340" t="s">
        <v>30</v>
      </c>
      <c r="E126" s="340" t="s">
        <v>4974</v>
      </c>
      <c r="F126" s="341">
        <v>45097</v>
      </c>
      <c r="G126" s="341"/>
      <c r="H126" s="341"/>
      <c r="I126" s="341" t="s">
        <v>3</v>
      </c>
      <c r="J126" s="340"/>
      <c r="K126" s="340" t="s">
        <v>1277</v>
      </c>
      <c r="L126" s="170">
        <v>45103</v>
      </c>
      <c r="M126" s="177"/>
      <c r="N126" s="179">
        <v>45110</v>
      </c>
      <c r="O126" s="178"/>
      <c r="Q126" t="s">
        <v>129</v>
      </c>
      <c r="R126">
        <v>5</v>
      </c>
      <c r="S126">
        <v>45097</v>
      </c>
      <c r="T126" s="195">
        <v>45099.489062499997</v>
      </c>
      <c r="U126" s="195">
        <v>45099.489062499997</v>
      </c>
      <c r="V126" s="290">
        <v>1</v>
      </c>
      <c r="W126" s="200">
        <v>45099.489062499997</v>
      </c>
      <c r="X126" s="200">
        <v>45099.489131944443</v>
      </c>
      <c r="Y126" s="199">
        <v>1</v>
      </c>
      <c r="Z126" s="206">
        <v>45099</v>
      </c>
      <c r="AA126" s="205">
        <v>1</v>
      </c>
      <c r="AB126" s="206">
        <v>45099</v>
      </c>
      <c r="AC126" s="187">
        <v>3</v>
      </c>
      <c r="AD126" s="186"/>
    </row>
    <row r="127" spans="1:30">
      <c r="A127" s="340">
        <f>COUNTA($E$3:E127)</f>
        <v>125</v>
      </c>
      <c r="B127" s="340" t="s">
        <v>5488</v>
      </c>
      <c r="C127" s="340" t="s">
        <v>37</v>
      </c>
      <c r="D127" s="340" t="s">
        <v>30</v>
      </c>
      <c r="E127" s="340" t="s">
        <v>5489</v>
      </c>
      <c r="F127" s="341">
        <v>45097</v>
      </c>
      <c r="G127" s="341"/>
      <c r="H127" s="341"/>
      <c r="I127" s="341" t="s">
        <v>3</v>
      </c>
      <c r="J127" s="340"/>
      <c r="K127" s="340" t="s">
        <v>1277</v>
      </c>
      <c r="L127" s="170">
        <v>45103</v>
      </c>
      <c r="M127" s="177"/>
      <c r="N127" s="179">
        <v>45110</v>
      </c>
      <c r="O127" s="178"/>
      <c r="Q127" t="s">
        <v>129</v>
      </c>
      <c r="R127">
        <v>5</v>
      </c>
      <c r="S127">
        <v>45097</v>
      </c>
      <c r="T127" s="195">
        <v>45098.707291666666</v>
      </c>
      <c r="U127" s="195">
        <v>45098.707291666666</v>
      </c>
      <c r="V127" s="290">
        <v>1</v>
      </c>
      <c r="W127" s="200">
        <v>45098.707291666666</v>
      </c>
      <c r="X127" s="200">
        <v>45098.708240740743</v>
      </c>
      <c r="Y127" s="199">
        <v>1</v>
      </c>
      <c r="Z127" s="206">
        <v>45098</v>
      </c>
      <c r="AA127" s="205">
        <v>2</v>
      </c>
      <c r="AB127" s="206">
        <v>45099</v>
      </c>
      <c r="AC127" s="187">
        <v>3</v>
      </c>
      <c r="AD127" s="186"/>
    </row>
    <row r="128" spans="1:30">
      <c r="A128" s="340">
        <f>COUNTA($E$3:E128)</f>
        <v>126</v>
      </c>
      <c r="B128" s="340" t="s">
        <v>5517</v>
      </c>
      <c r="C128" s="340" t="s">
        <v>21</v>
      </c>
      <c r="D128" s="340" t="s">
        <v>34</v>
      </c>
      <c r="E128" s="340" t="s">
        <v>5518</v>
      </c>
      <c r="F128" s="341">
        <v>45007</v>
      </c>
      <c r="G128" s="341"/>
      <c r="H128" s="341" t="s">
        <v>66</v>
      </c>
      <c r="I128" s="341" t="s">
        <v>3</v>
      </c>
      <c r="J128" s="340" t="s">
        <v>5519</v>
      </c>
      <c r="K128" s="340"/>
      <c r="L128" s="170">
        <v>45096</v>
      </c>
      <c r="M128" s="177" t="s">
        <v>5520</v>
      </c>
      <c r="N128" s="179">
        <v>45086</v>
      </c>
      <c r="O128" s="178"/>
      <c r="Q128" t="s">
        <v>129</v>
      </c>
      <c r="R128">
        <v>64</v>
      </c>
      <c r="S128">
        <v>45007</v>
      </c>
      <c r="T128" s="195">
        <v>45014.673368055555</v>
      </c>
      <c r="U128" s="195">
        <v>45014.673368055555</v>
      </c>
      <c r="V128" s="290">
        <v>1</v>
      </c>
      <c r="W128" s="200">
        <v>45014.673368055555</v>
      </c>
      <c r="X128" s="200">
        <v>45078.805821759262</v>
      </c>
      <c r="Y128" s="199">
        <v>47</v>
      </c>
      <c r="Z128" s="206">
        <v>45096</v>
      </c>
      <c r="AA128" s="205">
        <v>1</v>
      </c>
      <c r="AB128" s="206">
        <v>45096</v>
      </c>
      <c r="AC128" s="187">
        <v>64</v>
      </c>
      <c r="AD128" s="186">
        <v>45086</v>
      </c>
    </row>
    <row r="129" spans="1:30">
      <c r="A129" s="340">
        <f>COUNTA($E$3:E129)</f>
        <v>127</v>
      </c>
      <c r="B129" s="340" t="s">
        <v>5013</v>
      </c>
      <c r="C129" s="340" t="s">
        <v>4122</v>
      </c>
      <c r="D129" s="340" t="s">
        <v>16</v>
      </c>
      <c r="E129" s="340" t="s">
        <v>5014</v>
      </c>
      <c r="F129" s="341">
        <v>45022.631180555552</v>
      </c>
      <c r="G129" s="341"/>
      <c r="H129" s="341"/>
      <c r="I129" s="341" t="s">
        <v>2</v>
      </c>
      <c r="J129" s="340" t="s">
        <v>5521</v>
      </c>
      <c r="K129" s="340"/>
      <c r="L129" s="170">
        <v>45096</v>
      </c>
      <c r="M129" s="177" t="s">
        <v>2411</v>
      </c>
      <c r="N129" s="179">
        <v>45092</v>
      </c>
      <c r="O129" s="178"/>
      <c r="Q129" t="s">
        <v>22</v>
      </c>
      <c r="R129">
        <v>53</v>
      </c>
      <c r="S129">
        <v>45022</v>
      </c>
      <c r="T129" s="195">
        <v>45081</v>
      </c>
      <c r="U129" s="195">
        <v>45081</v>
      </c>
      <c r="V129" s="290">
        <v>0</v>
      </c>
      <c r="W129" s="200">
        <v>45071</v>
      </c>
      <c r="X129" s="200">
        <v>45078.736516203702</v>
      </c>
      <c r="Y129" s="199">
        <v>6</v>
      </c>
      <c r="Z129" s="206">
        <v>45071</v>
      </c>
      <c r="AA129" s="205">
        <v>17</v>
      </c>
      <c r="AB129" s="206">
        <v>45093</v>
      </c>
      <c r="AC129" s="187">
        <v>52</v>
      </c>
      <c r="AD129" s="186">
        <v>45092</v>
      </c>
    </row>
    <row r="130" spans="1:30">
      <c r="A130" s="340">
        <f>COUNTA($E$3:E130)</f>
        <v>128</v>
      </c>
      <c r="B130" s="340" t="s">
        <v>5522</v>
      </c>
      <c r="C130" s="340" t="s">
        <v>2431</v>
      </c>
      <c r="D130" s="340" t="s">
        <v>1103</v>
      </c>
      <c r="E130" s="340" t="s">
        <v>5523</v>
      </c>
      <c r="F130" s="341">
        <v>45055</v>
      </c>
      <c r="G130" s="341"/>
      <c r="H130" s="341"/>
      <c r="I130" s="341" t="s">
        <v>3</v>
      </c>
      <c r="J130" s="340" t="s">
        <v>514</v>
      </c>
      <c r="K130" s="340" t="s">
        <v>1287</v>
      </c>
      <c r="L130" s="170">
        <v>45096</v>
      </c>
      <c r="M130" s="177" t="s">
        <v>5438</v>
      </c>
      <c r="N130" s="179">
        <v>45069</v>
      </c>
      <c r="O130" s="178"/>
      <c r="Q130" t="s">
        <v>129</v>
      </c>
      <c r="R130">
        <v>30</v>
      </c>
      <c r="S130">
        <v>45055</v>
      </c>
      <c r="T130" s="195">
        <v>45055.489039351851</v>
      </c>
      <c r="U130" s="195">
        <v>45055.489039351851</v>
      </c>
      <c r="V130" s="290">
        <v>1</v>
      </c>
      <c r="W130" s="200">
        <v>45055.489039351851</v>
      </c>
      <c r="X130" s="200">
        <v>45086.693854166668</v>
      </c>
      <c r="Y130" s="199">
        <v>24</v>
      </c>
      <c r="Z130" s="206">
        <v>45086</v>
      </c>
      <c r="AA130" s="205">
        <v>4</v>
      </c>
      <c r="AB130" s="206">
        <v>45091</v>
      </c>
      <c r="AC130" s="187">
        <v>27</v>
      </c>
      <c r="AD130" s="186">
        <v>45069</v>
      </c>
    </row>
    <row r="131" spans="1:30">
      <c r="A131" s="340">
        <f>COUNTA($E$3:E131)</f>
        <v>129</v>
      </c>
      <c r="B131" s="340" t="s">
        <v>5216</v>
      </c>
      <c r="C131" s="340" t="s">
        <v>5217</v>
      </c>
      <c r="D131" s="340" t="s">
        <v>16</v>
      </c>
      <c r="E131" s="340" t="s">
        <v>5218</v>
      </c>
      <c r="F131" s="341">
        <v>45057</v>
      </c>
      <c r="G131" s="341">
        <v>45089</v>
      </c>
      <c r="H131" s="341">
        <v>45058</v>
      </c>
      <c r="I131" s="341" t="s">
        <v>2</v>
      </c>
      <c r="J131" s="340" t="s">
        <v>5219</v>
      </c>
      <c r="K131" s="340"/>
      <c r="L131" s="170">
        <v>45096</v>
      </c>
      <c r="M131" s="177" t="s">
        <v>3271</v>
      </c>
      <c r="N131" s="179">
        <v>45093</v>
      </c>
      <c r="O131" s="178"/>
      <c r="Q131" t="s">
        <v>22</v>
      </c>
      <c r="R131">
        <v>28</v>
      </c>
      <c r="S131">
        <v>45057</v>
      </c>
      <c r="T131" s="195">
        <v>45058</v>
      </c>
      <c r="U131" s="195">
        <v>45058</v>
      </c>
      <c r="V131" s="290">
        <v>1</v>
      </c>
      <c r="W131" s="200">
        <v>45089</v>
      </c>
      <c r="X131" s="200">
        <v>45092.793761574074</v>
      </c>
      <c r="Y131" s="199">
        <v>4</v>
      </c>
      <c r="Z131" s="206">
        <v>45092</v>
      </c>
      <c r="AA131" s="205">
        <v>1</v>
      </c>
      <c r="AB131" s="206">
        <v>45092</v>
      </c>
      <c r="AC131" s="187">
        <v>26</v>
      </c>
      <c r="AD131" s="186">
        <v>45093</v>
      </c>
    </row>
    <row r="132" spans="1:30">
      <c r="A132" s="340">
        <f>COUNTA($E$3:E132)</f>
        <v>130</v>
      </c>
      <c r="B132" s="340" t="s">
        <v>5297</v>
      </c>
      <c r="C132" s="340" t="s">
        <v>1100</v>
      </c>
      <c r="D132" s="340" t="s">
        <v>30</v>
      </c>
      <c r="E132" s="340" t="s">
        <v>1648</v>
      </c>
      <c r="F132" s="341">
        <v>45061.429236111115</v>
      </c>
      <c r="G132" s="341"/>
      <c r="H132" s="341"/>
      <c r="I132" s="341" t="s">
        <v>3</v>
      </c>
      <c r="J132" s="340"/>
      <c r="K132" s="340" t="s">
        <v>1277</v>
      </c>
      <c r="L132" s="170">
        <v>45096</v>
      </c>
      <c r="M132" s="177" t="s">
        <v>5408</v>
      </c>
      <c r="N132" s="179">
        <v>45047</v>
      </c>
      <c r="O132" s="178"/>
      <c r="Q132" t="s">
        <v>129</v>
      </c>
      <c r="R132">
        <v>26</v>
      </c>
      <c r="S132">
        <v>45061</v>
      </c>
      <c r="T132" s="195">
        <v>45072.777256944442</v>
      </c>
      <c r="U132" s="195">
        <v>45072.777256944442</v>
      </c>
      <c r="V132" s="290">
        <v>1</v>
      </c>
      <c r="W132" s="200">
        <v>45072.777256944442</v>
      </c>
      <c r="X132" s="200">
        <v>45072.777384259258</v>
      </c>
      <c r="Y132" s="199">
        <v>1</v>
      </c>
      <c r="Z132" s="206">
        <v>45072</v>
      </c>
      <c r="AA132" s="205">
        <v>4</v>
      </c>
      <c r="AB132" s="206">
        <v>45077</v>
      </c>
      <c r="AC132" s="187">
        <v>13</v>
      </c>
      <c r="AD132" s="186">
        <v>45047</v>
      </c>
    </row>
    <row r="133" spans="1:30">
      <c r="A133" s="340">
        <f>COUNTA($E$3:E133)</f>
        <v>131</v>
      </c>
      <c r="B133" s="340" t="s">
        <v>5328</v>
      </c>
      <c r="C133" s="340" t="s">
        <v>41</v>
      </c>
      <c r="D133" s="340" t="s">
        <v>34</v>
      </c>
      <c r="E133" s="340" t="s">
        <v>2461</v>
      </c>
      <c r="F133" s="341">
        <v>45069.586261574077</v>
      </c>
      <c r="G133" s="341"/>
      <c r="H133" s="341"/>
      <c r="I133" s="341" t="s">
        <v>3</v>
      </c>
      <c r="J133" s="340" t="s">
        <v>1212</v>
      </c>
      <c r="K133" s="340" t="s">
        <v>1287</v>
      </c>
      <c r="L133" s="170">
        <v>45096</v>
      </c>
      <c r="M133" s="177" t="s">
        <v>5438</v>
      </c>
      <c r="N133" s="179">
        <v>45096</v>
      </c>
      <c r="O133" s="178"/>
      <c r="Q133" t="s">
        <v>129</v>
      </c>
      <c r="R133">
        <v>20</v>
      </c>
      <c r="S133">
        <v>45069</v>
      </c>
      <c r="T133" s="195">
        <v>45075.500983796293</v>
      </c>
      <c r="U133" s="195">
        <v>45075.500983796293</v>
      </c>
      <c r="V133" s="290">
        <v>1</v>
      </c>
      <c r="W133" s="200">
        <v>45075.500983796293</v>
      </c>
      <c r="X133" s="200">
        <v>45075.501435185186</v>
      </c>
      <c r="Y133" s="199">
        <v>1</v>
      </c>
      <c r="Z133" s="206">
        <v>45075</v>
      </c>
      <c r="AA133" s="205">
        <v>13</v>
      </c>
      <c r="AB133" s="206">
        <v>45091</v>
      </c>
      <c r="AC133" s="187">
        <v>17</v>
      </c>
      <c r="AD133" s="186">
        <v>45096</v>
      </c>
    </row>
    <row r="134" spans="1:30">
      <c r="A134" s="340">
        <f>COUNTA($E$3:E134)</f>
        <v>132</v>
      </c>
      <c r="B134" s="340" t="s">
        <v>5366</v>
      </c>
      <c r="C134" s="340" t="s">
        <v>4326</v>
      </c>
      <c r="D134" s="340" t="s">
        <v>36</v>
      </c>
      <c r="E134" s="340" t="s">
        <v>4342</v>
      </c>
      <c r="F134" s="341">
        <v>45078</v>
      </c>
      <c r="G134" s="341"/>
      <c r="H134" s="341"/>
      <c r="I134" s="341" t="s">
        <v>3</v>
      </c>
      <c r="J134" s="340" t="s">
        <v>4888</v>
      </c>
      <c r="K134" s="340" t="s">
        <v>1296</v>
      </c>
      <c r="L134" s="170">
        <v>45096</v>
      </c>
      <c r="M134" s="177" t="s">
        <v>2955</v>
      </c>
      <c r="N134" s="179">
        <v>45090</v>
      </c>
      <c r="O134" s="178"/>
      <c r="Q134" t="s">
        <v>129</v>
      </c>
      <c r="R134">
        <v>13</v>
      </c>
      <c r="S134">
        <v>45078</v>
      </c>
      <c r="T134" s="195">
        <v>45084.780324074076</v>
      </c>
      <c r="U134" s="195">
        <v>45084.780324074076</v>
      </c>
      <c r="V134" s="290">
        <v>1</v>
      </c>
      <c r="W134" s="200">
        <v>45084.780324074076</v>
      </c>
      <c r="X134" s="200">
        <v>45084.780405092592</v>
      </c>
      <c r="Y134" s="199">
        <v>1</v>
      </c>
      <c r="Z134" s="206">
        <v>45084</v>
      </c>
      <c r="AA134" s="205">
        <v>6</v>
      </c>
      <c r="AB134" s="206">
        <v>45091</v>
      </c>
      <c r="AC134" s="187">
        <v>10</v>
      </c>
      <c r="AD134" s="186">
        <v>45090</v>
      </c>
    </row>
    <row r="135" spans="1:30">
      <c r="A135" s="340">
        <f>COUNTA($E$3:E135)</f>
        <v>133</v>
      </c>
      <c r="B135" s="340" t="s">
        <v>5398</v>
      </c>
      <c r="C135" s="340" t="s">
        <v>1752</v>
      </c>
      <c r="D135" s="340" t="s">
        <v>51</v>
      </c>
      <c r="E135" s="340" t="s">
        <v>3153</v>
      </c>
      <c r="F135" s="341">
        <v>45086</v>
      </c>
      <c r="G135" s="341"/>
      <c r="H135" s="341"/>
      <c r="I135" s="341" t="s">
        <v>3</v>
      </c>
      <c r="J135" s="340"/>
      <c r="K135" s="340" t="s">
        <v>2032</v>
      </c>
      <c r="L135" s="170">
        <v>45096</v>
      </c>
      <c r="M135" s="177" t="s">
        <v>5432</v>
      </c>
      <c r="N135" s="179">
        <v>45090</v>
      </c>
      <c r="O135" s="178"/>
      <c r="Q135" t="s">
        <v>22</v>
      </c>
      <c r="R135">
        <v>7</v>
      </c>
      <c r="S135">
        <v>45086</v>
      </c>
      <c r="T135" s="195">
        <v>45090.701296296298</v>
      </c>
      <c r="U135" s="195">
        <v>45090.701296296298</v>
      </c>
      <c r="V135" s="290">
        <v>1</v>
      </c>
      <c r="W135" s="200">
        <v>45090.701296296298</v>
      </c>
      <c r="X135" s="200">
        <v>45090.701423611114</v>
      </c>
      <c r="Y135" s="199">
        <v>1</v>
      </c>
      <c r="Z135" s="206">
        <v>45090</v>
      </c>
      <c r="AA135" s="205">
        <v>1</v>
      </c>
      <c r="AB135" s="206">
        <v>45090</v>
      </c>
      <c r="AC135" s="187">
        <v>3</v>
      </c>
      <c r="AD135" s="186">
        <v>45090</v>
      </c>
    </row>
    <row r="136" spans="1:30">
      <c r="A136" s="340">
        <f>COUNTA($E$3:E136)</f>
        <v>134</v>
      </c>
      <c r="B136" s="340" t="s">
        <v>5399</v>
      </c>
      <c r="C136" s="340" t="s">
        <v>1196</v>
      </c>
      <c r="D136" s="340" t="s">
        <v>36</v>
      </c>
      <c r="E136" s="340" t="s">
        <v>2579</v>
      </c>
      <c r="F136" s="341">
        <v>45086</v>
      </c>
      <c r="G136" s="341"/>
      <c r="H136" s="341"/>
      <c r="I136" s="341" t="s">
        <v>3</v>
      </c>
      <c r="J136" s="340" t="s">
        <v>17</v>
      </c>
      <c r="K136" s="340"/>
      <c r="L136" s="170">
        <v>45096</v>
      </c>
      <c r="M136" s="177" t="s">
        <v>5440</v>
      </c>
      <c r="N136" s="179">
        <v>45090</v>
      </c>
      <c r="O136" s="178"/>
      <c r="Q136" t="s">
        <v>22</v>
      </c>
      <c r="R136">
        <v>7</v>
      </c>
      <c r="S136">
        <v>45086</v>
      </c>
      <c r="T136" s="195">
        <v>45089.672627314816</v>
      </c>
      <c r="U136" s="195">
        <v>45089.672627314816</v>
      </c>
      <c r="V136" s="290">
        <v>1</v>
      </c>
      <c r="W136" s="200">
        <v>45089.672627314816</v>
      </c>
      <c r="X136" s="200">
        <v>45089.672719907408</v>
      </c>
      <c r="Y136" s="199">
        <v>1</v>
      </c>
      <c r="Z136" s="206">
        <v>45089</v>
      </c>
      <c r="AA136" s="205">
        <v>4</v>
      </c>
      <c r="AB136" s="206">
        <v>45092</v>
      </c>
      <c r="AC136" s="187">
        <v>5</v>
      </c>
      <c r="AD136" s="186">
        <v>45090</v>
      </c>
    </row>
    <row r="137" spans="1:30">
      <c r="A137" s="340">
        <f>COUNTA($E$3:E137)</f>
        <v>135</v>
      </c>
      <c r="B137" s="340" t="s">
        <v>5405</v>
      </c>
      <c r="C137" s="340" t="s">
        <v>41</v>
      </c>
      <c r="D137" s="340" t="s">
        <v>34</v>
      </c>
      <c r="E137" s="340" t="s">
        <v>1923</v>
      </c>
      <c r="F137" s="341">
        <v>45086</v>
      </c>
      <c r="G137" s="341"/>
      <c r="H137" s="341"/>
      <c r="I137" s="341" t="s">
        <v>3</v>
      </c>
      <c r="J137" s="340" t="s">
        <v>5441</v>
      </c>
      <c r="K137" s="340" t="s">
        <v>1287</v>
      </c>
      <c r="L137" s="170">
        <v>45096</v>
      </c>
      <c r="M137" s="177" t="s">
        <v>5438</v>
      </c>
      <c r="N137" s="179"/>
      <c r="O137" s="178"/>
      <c r="Q137" t="s">
        <v>129</v>
      </c>
      <c r="R137">
        <v>7</v>
      </c>
      <c r="S137">
        <v>45086</v>
      </c>
      <c r="T137" s="195">
        <v>45089.704861111109</v>
      </c>
      <c r="U137" s="195">
        <v>45089.704861111109</v>
      </c>
      <c r="V137" s="290">
        <v>1</v>
      </c>
      <c r="W137" s="200">
        <v>45089.704861111109</v>
      </c>
      <c r="X137" s="200">
        <v>45089.705127314817</v>
      </c>
      <c r="Y137" s="199">
        <v>1</v>
      </c>
      <c r="Z137" s="206">
        <v>45089</v>
      </c>
      <c r="AA137" s="205">
        <v>3</v>
      </c>
      <c r="AB137" s="206">
        <v>45091</v>
      </c>
      <c r="AC137" s="187">
        <v>4</v>
      </c>
      <c r="AD137" s="186"/>
    </row>
    <row r="138" spans="1:30">
      <c r="A138" s="340">
        <f>COUNTA($E$3:E138)</f>
        <v>136</v>
      </c>
      <c r="B138" s="340" t="s">
        <v>5406</v>
      </c>
      <c r="C138" s="340" t="s">
        <v>2315</v>
      </c>
      <c r="D138" s="340" t="s">
        <v>58</v>
      </c>
      <c r="E138" s="340" t="s">
        <v>2316</v>
      </c>
      <c r="F138" s="341">
        <v>45086</v>
      </c>
      <c r="G138" s="341"/>
      <c r="H138" s="341"/>
      <c r="I138" s="341" t="s">
        <v>3</v>
      </c>
      <c r="J138" s="340" t="s">
        <v>5442</v>
      </c>
      <c r="K138" s="340" t="s">
        <v>1296</v>
      </c>
      <c r="L138" s="170">
        <v>45096</v>
      </c>
      <c r="M138" s="177" t="s">
        <v>5432</v>
      </c>
      <c r="N138" s="179">
        <v>45093</v>
      </c>
      <c r="O138" s="178"/>
      <c r="Q138" t="s">
        <v>129</v>
      </c>
      <c r="R138">
        <v>7</v>
      </c>
      <c r="S138">
        <v>45086</v>
      </c>
      <c r="T138" s="195">
        <v>45089.704282407409</v>
      </c>
      <c r="U138" s="195">
        <v>45089.704282407409</v>
      </c>
      <c r="V138" s="290">
        <v>1</v>
      </c>
      <c r="W138" s="200">
        <v>45089.704282407409</v>
      </c>
      <c r="X138" s="200">
        <v>45089.704375000001</v>
      </c>
      <c r="Y138" s="199">
        <v>1</v>
      </c>
      <c r="Z138" s="206">
        <v>45089</v>
      </c>
      <c r="AA138" s="205">
        <v>3</v>
      </c>
      <c r="AB138" s="206">
        <v>45091</v>
      </c>
      <c r="AC138" s="187">
        <v>4</v>
      </c>
      <c r="AD138" s="186">
        <v>45093</v>
      </c>
    </row>
    <row r="139" spans="1:30">
      <c r="A139" s="340">
        <f>COUNTA($E$3:E139)</f>
        <v>137</v>
      </c>
      <c r="B139" s="340" t="s">
        <v>5415</v>
      </c>
      <c r="C139" s="340" t="s">
        <v>297</v>
      </c>
      <c r="D139" s="340" t="s">
        <v>49</v>
      </c>
      <c r="E139" s="340" t="s">
        <v>5416</v>
      </c>
      <c r="F139" s="341">
        <v>45086</v>
      </c>
      <c r="G139" s="341"/>
      <c r="H139" s="341">
        <v>45086</v>
      </c>
      <c r="I139" s="341" t="s">
        <v>3</v>
      </c>
      <c r="J139" s="340" t="s">
        <v>4624</v>
      </c>
      <c r="K139" s="340"/>
      <c r="L139" s="170">
        <v>45096</v>
      </c>
      <c r="M139" s="177" t="s">
        <v>5470</v>
      </c>
      <c r="N139" s="179">
        <v>45093</v>
      </c>
      <c r="O139" s="178"/>
      <c r="Q139" t="s">
        <v>22</v>
      </c>
      <c r="R139">
        <v>7</v>
      </c>
      <c r="S139" s="186">
        <v>45086</v>
      </c>
      <c r="T139" s="195">
        <v>45086</v>
      </c>
      <c r="U139" s="195">
        <v>45086</v>
      </c>
      <c r="V139" s="290">
        <v>1</v>
      </c>
      <c r="W139" s="200">
        <v>45086</v>
      </c>
      <c r="X139" s="200">
        <v>45092.790717592594</v>
      </c>
      <c r="Y139" s="199">
        <v>5</v>
      </c>
      <c r="Z139" s="206">
        <v>45092</v>
      </c>
      <c r="AA139" s="205">
        <v>2</v>
      </c>
      <c r="AB139" s="206">
        <v>45093</v>
      </c>
      <c r="AC139" s="187">
        <v>6</v>
      </c>
      <c r="AD139" s="186">
        <v>45093</v>
      </c>
    </row>
    <row r="140" spans="1:30">
      <c r="A140" s="340">
        <f>COUNTA($E$3:E140)</f>
        <v>138</v>
      </c>
      <c r="B140" s="340" t="s">
        <v>5427</v>
      </c>
      <c r="C140" s="340" t="s">
        <v>41</v>
      </c>
      <c r="D140" s="340" t="s">
        <v>51</v>
      </c>
      <c r="E140" s="340" t="s">
        <v>4607</v>
      </c>
      <c r="F140" s="341">
        <v>45089.753877314812</v>
      </c>
      <c r="G140" s="341"/>
      <c r="H140" s="341"/>
      <c r="I140" s="341" t="s">
        <v>3</v>
      </c>
      <c r="J140" s="340" t="s">
        <v>4768</v>
      </c>
      <c r="K140" s="340" t="s">
        <v>1296</v>
      </c>
      <c r="L140" s="170">
        <v>45096</v>
      </c>
      <c r="M140" s="177" t="s">
        <v>5438</v>
      </c>
      <c r="N140" s="179">
        <v>45147</v>
      </c>
      <c r="O140" s="178"/>
      <c r="Q140" t="s">
        <v>129</v>
      </c>
      <c r="R140">
        <v>6</v>
      </c>
      <c r="S140">
        <v>45089</v>
      </c>
      <c r="T140" s="195">
        <v>45090.744791666664</v>
      </c>
      <c r="U140" s="195">
        <v>45090.744791666664</v>
      </c>
      <c r="V140" s="290">
        <v>1</v>
      </c>
      <c r="W140" s="200">
        <v>45090.744791666664</v>
      </c>
      <c r="X140" s="200">
        <v>45090.74486111111</v>
      </c>
      <c r="Y140" s="199">
        <v>1</v>
      </c>
      <c r="Z140" s="206">
        <v>45090</v>
      </c>
      <c r="AA140" s="205">
        <v>2</v>
      </c>
      <c r="AB140" s="206">
        <v>45091</v>
      </c>
      <c r="AC140" s="187">
        <v>3</v>
      </c>
      <c r="AD140" s="186"/>
    </row>
    <row r="141" spans="1:30">
      <c r="A141" s="340">
        <f>COUNTA($E$3:E141)</f>
        <v>139</v>
      </c>
      <c r="B141" s="340" t="s">
        <v>5464</v>
      </c>
      <c r="C141" s="340" t="s">
        <v>41</v>
      </c>
      <c r="D141" s="340" t="s">
        <v>49</v>
      </c>
      <c r="E141" s="340" t="s">
        <v>4917</v>
      </c>
      <c r="F141" s="341">
        <v>45093.706689814811</v>
      </c>
      <c r="G141" s="341"/>
      <c r="H141" s="341"/>
      <c r="I141" s="341" t="s">
        <v>3</v>
      </c>
      <c r="J141" s="340" t="s">
        <v>4768</v>
      </c>
      <c r="K141" s="340"/>
      <c r="L141" s="170">
        <v>45096</v>
      </c>
      <c r="M141" s="177" t="s">
        <v>2411</v>
      </c>
      <c r="N141" s="179">
        <v>45096</v>
      </c>
      <c r="O141" s="178"/>
      <c r="Q141" t="s">
        <v>129</v>
      </c>
      <c r="R141">
        <v>2</v>
      </c>
      <c r="S141">
        <v>45093</v>
      </c>
      <c r="T141" s="195">
        <v>45093.710810185185</v>
      </c>
      <c r="U141" s="195">
        <v>45093.710810185185</v>
      </c>
      <c r="V141" s="290">
        <v>1</v>
      </c>
      <c r="W141" s="200">
        <v>45093.710810185185</v>
      </c>
      <c r="X141" s="200">
        <v>45093.710879629631</v>
      </c>
      <c r="Y141" s="199">
        <v>1</v>
      </c>
      <c r="Z141" s="206">
        <v>45093</v>
      </c>
      <c r="AA141" s="205">
        <v>1</v>
      </c>
      <c r="AB141" s="206">
        <v>45093</v>
      </c>
      <c r="AC141" s="187">
        <v>1</v>
      </c>
      <c r="AD141" s="186"/>
    </row>
    <row r="142" spans="1:30">
      <c r="A142" s="340">
        <f>COUNTA($E$3:E142)</f>
        <v>140</v>
      </c>
      <c r="B142" s="340" t="s">
        <v>4868</v>
      </c>
      <c r="C142" s="340" t="s">
        <v>4165</v>
      </c>
      <c r="D142" s="340" t="s">
        <v>58</v>
      </c>
      <c r="E142" s="340" t="s">
        <v>4869</v>
      </c>
      <c r="F142" s="341">
        <v>45000</v>
      </c>
      <c r="G142" s="341">
        <v>45015</v>
      </c>
      <c r="H142" s="341">
        <v>45001</v>
      </c>
      <c r="I142" s="341" t="s">
        <v>2</v>
      </c>
      <c r="J142" s="340"/>
      <c r="K142" s="340" t="s">
        <v>1294</v>
      </c>
      <c r="L142" s="170">
        <v>45089</v>
      </c>
      <c r="M142" s="177" t="s">
        <v>5425</v>
      </c>
      <c r="N142" s="179">
        <v>45082</v>
      </c>
      <c r="O142" s="178"/>
      <c r="Q142" t="s">
        <v>22</v>
      </c>
      <c r="R142">
        <v>64</v>
      </c>
      <c r="S142">
        <v>45000</v>
      </c>
      <c r="T142" s="195">
        <v>45001</v>
      </c>
      <c r="U142" s="195">
        <v>45015</v>
      </c>
      <c r="V142" s="290">
        <v>11</v>
      </c>
      <c r="W142" s="200">
        <v>45015</v>
      </c>
      <c r="X142" s="200">
        <v>45076.514120370368</v>
      </c>
      <c r="Y142" s="199">
        <v>44</v>
      </c>
      <c r="Z142" s="206">
        <v>45076</v>
      </c>
      <c r="AA142" s="205">
        <v>8</v>
      </c>
      <c r="AB142" s="206">
        <v>45085</v>
      </c>
      <c r="AC142" s="187">
        <v>62</v>
      </c>
      <c r="AD142" s="186">
        <v>45082</v>
      </c>
    </row>
    <row r="143" spans="1:30">
      <c r="A143" s="340">
        <f>COUNTA($E$3:E143)</f>
        <v>141</v>
      </c>
      <c r="B143" s="340" t="s">
        <v>4908</v>
      </c>
      <c r="C143" s="340" t="s">
        <v>2726</v>
      </c>
      <c r="D143" s="340" t="s">
        <v>1080</v>
      </c>
      <c r="E143" s="340" t="s">
        <v>4909</v>
      </c>
      <c r="F143" s="341">
        <v>45007</v>
      </c>
      <c r="G143" s="341">
        <v>45043</v>
      </c>
      <c r="H143" s="341">
        <v>45022</v>
      </c>
      <c r="I143" s="341" t="s">
        <v>2</v>
      </c>
      <c r="J143" s="340"/>
      <c r="K143" s="340" t="s">
        <v>287</v>
      </c>
      <c r="L143" s="170">
        <v>45089</v>
      </c>
      <c r="M143" s="177" t="s">
        <v>5425</v>
      </c>
      <c r="N143" s="179">
        <v>45082</v>
      </c>
      <c r="O143" s="178"/>
      <c r="Q143" t="s">
        <v>22</v>
      </c>
      <c r="R143">
        <v>59</v>
      </c>
      <c r="S143">
        <v>45007</v>
      </c>
      <c r="T143" s="195">
        <v>45022</v>
      </c>
      <c r="U143" s="195">
        <v>45043</v>
      </c>
      <c r="V143" s="290">
        <v>16</v>
      </c>
      <c r="W143" s="200">
        <v>45043</v>
      </c>
      <c r="X143" s="200">
        <v>45079.422256944446</v>
      </c>
      <c r="Y143" s="199">
        <v>27</v>
      </c>
      <c r="Z143" s="206">
        <v>45079</v>
      </c>
      <c r="AA143" s="205">
        <v>5</v>
      </c>
      <c r="AB143" s="206">
        <v>45085</v>
      </c>
      <c r="AC143" s="187">
        <v>57</v>
      </c>
      <c r="AD143" s="186">
        <v>45082</v>
      </c>
    </row>
    <row r="144" spans="1:30">
      <c r="A144" s="340">
        <f>COUNTA($E$3:E144)</f>
        <v>142</v>
      </c>
      <c r="B144" s="340" t="s">
        <v>5083</v>
      </c>
      <c r="C144" s="340" t="s">
        <v>5084</v>
      </c>
      <c r="D144" s="340" t="s">
        <v>56</v>
      </c>
      <c r="E144" s="340" t="s">
        <v>5085</v>
      </c>
      <c r="F144" s="341">
        <v>45033.827233796299</v>
      </c>
      <c r="G144" s="341"/>
      <c r="H144" s="341" t="s">
        <v>66</v>
      </c>
      <c r="I144" s="341" t="s">
        <v>3</v>
      </c>
      <c r="J144" s="340" t="s">
        <v>514</v>
      </c>
      <c r="K144" s="340" t="s">
        <v>1296</v>
      </c>
      <c r="L144" s="170">
        <v>45089</v>
      </c>
      <c r="M144" s="177" t="s">
        <v>5419</v>
      </c>
      <c r="N144" s="179">
        <v>45082</v>
      </c>
      <c r="O144" s="178"/>
      <c r="Q144" t="s">
        <v>129</v>
      </c>
      <c r="R144">
        <v>41</v>
      </c>
      <c r="S144">
        <v>45033</v>
      </c>
      <c r="T144" s="195">
        <v>45034.563252314816</v>
      </c>
      <c r="U144" s="195">
        <v>45034.563252314816</v>
      </c>
      <c r="V144" s="290">
        <v>1</v>
      </c>
      <c r="W144" s="200">
        <v>45034.563252314816</v>
      </c>
      <c r="X144" s="200">
        <v>45075.531342592592</v>
      </c>
      <c r="Y144" s="199">
        <v>30</v>
      </c>
      <c r="Z144" s="206">
        <v>45083</v>
      </c>
      <c r="AA144" s="205">
        <v>4</v>
      </c>
      <c r="AB144" s="206">
        <v>45086</v>
      </c>
      <c r="AC144" s="187">
        <v>40</v>
      </c>
      <c r="AD144" s="186">
        <v>45082</v>
      </c>
    </row>
    <row r="145" spans="1:30">
      <c r="A145" s="340">
        <f>COUNTA($E$3:E145)</f>
        <v>143</v>
      </c>
      <c r="B145" s="340" t="s">
        <v>5312</v>
      </c>
      <c r="C145" s="340" t="s">
        <v>2933</v>
      </c>
      <c r="D145" s="340" t="s">
        <v>1123</v>
      </c>
      <c r="E145" s="340" t="s">
        <v>5313</v>
      </c>
      <c r="F145" s="341">
        <v>45071.480358796296</v>
      </c>
      <c r="G145" s="341"/>
      <c r="H145" s="341"/>
      <c r="I145" s="341" t="s">
        <v>3</v>
      </c>
      <c r="J145" s="340"/>
      <c r="K145" s="340" t="s">
        <v>1296</v>
      </c>
      <c r="L145" s="170">
        <v>45089</v>
      </c>
      <c r="M145" s="177" t="s">
        <v>5409</v>
      </c>
      <c r="N145" s="179">
        <v>45084</v>
      </c>
      <c r="O145" s="178"/>
      <c r="Q145" t="s">
        <v>129</v>
      </c>
      <c r="R145">
        <v>13</v>
      </c>
      <c r="S145">
        <v>45071</v>
      </c>
      <c r="T145" s="195">
        <v>45072.568703703706</v>
      </c>
      <c r="U145" s="195">
        <v>45072.568703703706</v>
      </c>
      <c r="V145" s="290">
        <v>1</v>
      </c>
      <c r="W145" s="200">
        <v>45072.568703703706</v>
      </c>
      <c r="X145" s="200">
        <v>45072.568807870368</v>
      </c>
      <c r="Y145" s="199">
        <v>1</v>
      </c>
      <c r="Z145" s="206">
        <v>45072</v>
      </c>
      <c r="AA145" s="205">
        <v>4</v>
      </c>
      <c r="AB145" s="206">
        <v>45077</v>
      </c>
      <c r="AC145" s="187">
        <v>5</v>
      </c>
      <c r="AD145" s="186">
        <v>45084</v>
      </c>
    </row>
    <row r="146" spans="1:30">
      <c r="A146" s="340">
        <f>COUNTA($E$3:E146)</f>
        <v>144</v>
      </c>
      <c r="B146" s="340" t="s">
        <v>5321</v>
      </c>
      <c r="C146" s="340" t="s">
        <v>37</v>
      </c>
      <c r="D146" s="340" t="s">
        <v>34</v>
      </c>
      <c r="E146" s="340" t="s">
        <v>1676</v>
      </c>
      <c r="F146" s="341">
        <v>45070.713761574072</v>
      </c>
      <c r="G146" s="341"/>
      <c r="H146" s="341"/>
      <c r="I146" s="341" t="s">
        <v>3</v>
      </c>
      <c r="J146" s="340"/>
      <c r="K146" s="340" t="s">
        <v>1287</v>
      </c>
      <c r="L146" s="170">
        <v>45089</v>
      </c>
      <c r="M146" s="177" t="s">
        <v>5410</v>
      </c>
      <c r="N146" s="179">
        <v>45096</v>
      </c>
      <c r="O146" s="178"/>
      <c r="Q146" t="s">
        <v>129</v>
      </c>
      <c r="R146">
        <v>14</v>
      </c>
      <c r="S146">
        <v>45070</v>
      </c>
      <c r="T146" s="195">
        <v>45079.748923611114</v>
      </c>
      <c r="U146" s="195">
        <v>45079.748923611114</v>
      </c>
      <c r="V146" s="290">
        <v>1</v>
      </c>
      <c r="W146" s="200">
        <v>45079.748923611114</v>
      </c>
      <c r="X146" s="200">
        <v>45079.749016203707</v>
      </c>
      <c r="Y146" s="199">
        <v>1</v>
      </c>
      <c r="Z146" s="206">
        <v>45079</v>
      </c>
      <c r="AA146" s="205">
        <v>4</v>
      </c>
      <c r="AB146" s="206">
        <v>45084</v>
      </c>
      <c r="AC146" s="187">
        <v>11</v>
      </c>
      <c r="AD146" s="186">
        <v>45096</v>
      </c>
    </row>
    <row r="147" spans="1:30">
      <c r="A147" s="340">
        <f>COUNTA($E$3:E147)</f>
        <v>145</v>
      </c>
      <c r="B147" s="340" t="s">
        <v>5332</v>
      </c>
      <c r="C147" s="340" t="s">
        <v>3548</v>
      </c>
      <c r="D147" s="340" t="s">
        <v>16</v>
      </c>
      <c r="E147" s="340" t="s">
        <v>5333</v>
      </c>
      <c r="F147" s="341">
        <v>45069.599606481483</v>
      </c>
      <c r="G147" s="341"/>
      <c r="H147" s="341"/>
      <c r="I147" s="341" t="s">
        <v>3</v>
      </c>
      <c r="J147" s="340"/>
      <c r="K147" s="340"/>
      <c r="L147" s="170">
        <v>45089</v>
      </c>
      <c r="M147" s="177" t="s">
        <v>5411</v>
      </c>
      <c r="N147" s="179">
        <v>45076</v>
      </c>
      <c r="O147" s="178"/>
      <c r="Q147" t="s">
        <v>22</v>
      </c>
      <c r="R147">
        <v>15</v>
      </c>
      <c r="S147">
        <v>45069</v>
      </c>
      <c r="T147" s="195">
        <v>45078.487291666665</v>
      </c>
      <c r="U147" s="195">
        <v>45078.487291666665</v>
      </c>
      <c r="V147" s="290">
        <v>1</v>
      </c>
      <c r="W147" s="200">
        <v>45078.487291666665</v>
      </c>
      <c r="X147" s="200">
        <v>45078.487442129626</v>
      </c>
      <c r="Y147" s="199">
        <v>1</v>
      </c>
      <c r="Z147" s="206">
        <v>45078</v>
      </c>
      <c r="AA147" s="205">
        <v>7</v>
      </c>
      <c r="AB147" s="206">
        <v>45086</v>
      </c>
      <c r="AC147" s="187">
        <v>14</v>
      </c>
      <c r="AD147" s="186">
        <v>45076</v>
      </c>
    </row>
    <row r="148" spans="1:30">
      <c r="A148" s="340">
        <f>COUNTA($E$3:E148)</f>
        <v>146</v>
      </c>
      <c r="B148" s="340" t="s">
        <v>5352</v>
      </c>
      <c r="C148" s="340" t="s">
        <v>44</v>
      </c>
      <c r="D148" s="340" t="s">
        <v>1129</v>
      </c>
      <c r="E148" s="340" t="s">
        <v>5353</v>
      </c>
      <c r="F148" s="341">
        <v>45077</v>
      </c>
      <c r="G148" s="341"/>
      <c r="H148" s="341" t="s">
        <v>66</v>
      </c>
      <c r="I148" s="341" t="s">
        <v>2</v>
      </c>
      <c r="J148" s="340"/>
      <c r="K148" s="340" t="s">
        <v>2032</v>
      </c>
      <c r="L148" s="170">
        <v>45089</v>
      </c>
      <c r="M148" s="177" t="s">
        <v>5412</v>
      </c>
      <c r="N148" s="179">
        <v>45089</v>
      </c>
      <c r="O148" s="178"/>
      <c r="Q148" t="s">
        <v>22</v>
      </c>
      <c r="R148">
        <v>9</v>
      </c>
      <c r="S148">
        <v>45077</v>
      </c>
      <c r="T148" s="195">
        <v>45077.453194444446</v>
      </c>
      <c r="U148" s="195">
        <v>45077.453194444446</v>
      </c>
      <c r="V148" s="290">
        <v>1</v>
      </c>
      <c r="W148" s="200">
        <v>45077.453194444446</v>
      </c>
      <c r="X148" s="200">
        <v>45083.653599537036</v>
      </c>
      <c r="Y148" s="199">
        <v>5</v>
      </c>
      <c r="Z148" s="206">
        <v>45083</v>
      </c>
      <c r="AA148" s="205">
        <v>2</v>
      </c>
      <c r="AB148" s="206">
        <v>45084</v>
      </c>
      <c r="AC148" s="187">
        <v>6</v>
      </c>
      <c r="AD148" s="186">
        <v>45089</v>
      </c>
    </row>
    <row r="149" spans="1:30">
      <c r="A149" s="340">
        <f>COUNTA($E$3:E149)</f>
        <v>147</v>
      </c>
      <c r="B149" s="340" t="s">
        <v>5356</v>
      </c>
      <c r="C149" s="340" t="s">
        <v>4794</v>
      </c>
      <c r="D149" s="340" t="s">
        <v>1123</v>
      </c>
      <c r="E149" s="340" t="s">
        <v>5357</v>
      </c>
      <c r="F149" s="341">
        <v>45078</v>
      </c>
      <c r="G149" s="341"/>
      <c r="H149" s="341"/>
      <c r="I149" s="341" t="s">
        <v>3</v>
      </c>
      <c r="J149" s="340" t="s">
        <v>5394</v>
      </c>
      <c r="K149" s="340" t="s">
        <v>33</v>
      </c>
      <c r="L149" s="170">
        <v>45089</v>
      </c>
      <c r="M149" s="177" t="s">
        <v>2269</v>
      </c>
      <c r="N149" s="179">
        <v>45147</v>
      </c>
      <c r="O149" s="178"/>
      <c r="Q149" t="s">
        <v>129</v>
      </c>
      <c r="R149">
        <v>8</v>
      </c>
      <c r="S149">
        <v>45078</v>
      </c>
      <c r="T149" s="195">
        <v>45084.558622685188</v>
      </c>
      <c r="U149" s="195">
        <v>45084.558622685188</v>
      </c>
      <c r="V149" s="290">
        <v>1</v>
      </c>
      <c r="W149" s="200">
        <v>45084.558622685188</v>
      </c>
      <c r="X149" s="200">
        <v>45084.55972222222</v>
      </c>
      <c r="Y149" s="199">
        <v>1</v>
      </c>
      <c r="Z149" s="206">
        <v>45089</v>
      </c>
      <c r="AA149" s="205">
        <v>1</v>
      </c>
      <c r="AB149" s="206">
        <v>45089</v>
      </c>
      <c r="AC149" s="187">
        <v>8</v>
      </c>
      <c r="AD149" s="186"/>
    </row>
    <row r="150" spans="1:30">
      <c r="A150" s="340">
        <f>COUNTA($E$3:E150)</f>
        <v>148</v>
      </c>
      <c r="B150" s="340" t="s">
        <v>5367</v>
      </c>
      <c r="C150" s="340" t="s">
        <v>37</v>
      </c>
      <c r="D150" s="340" t="s">
        <v>30</v>
      </c>
      <c r="E150" s="340" t="s">
        <v>5099</v>
      </c>
      <c r="F150" s="341">
        <v>45079</v>
      </c>
      <c r="G150" s="341"/>
      <c r="H150" s="341"/>
      <c r="I150" s="341" t="s">
        <v>3</v>
      </c>
      <c r="J150" s="340"/>
      <c r="K150" s="340" t="s">
        <v>1296</v>
      </c>
      <c r="L150" s="170">
        <v>45089</v>
      </c>
      <c r="M150" s="177" t="s">
        <v>5413</v>
      </c>
      <c r="N150" s="179">
        <v>45090</v>
      </c>
      <c r="O150" s="178"/>
      <c r="Q150" t="s">
        <v>129</v>
      </c>
      <c r="R150">
        <v>7</v>
      </c>
      <c r="S150">
        <v>45079</v>
      </c>
      <c r="T150" s="195">
        <v>45083.534699074073</v>
      </c>
      <c r="U150" s="195">
        <v>45083.534699074073</v>
      </c>
      <c r="V150" s="290">
        <v>1</v>
      </c>
      <c r="W150" s="200">
        <v>45083.534699074073</v>
      </c>
      <c r="X150" s="200">
        <v>45083.534780092596</v>
      </c>
      <c r="Y150" s="199">
        <v>1</v>
      </c>
      <c r="Z150" s="206">
        <v>45083</v>
      </c>
      <c r="AA150" s="205">
        <v>2</v>
      </c>
      <c r="AB150" s="206">
        <v>45084</v>
      </c>
      <c r="AC150" s="187">
        <v>4</v>
      </c>
      <c r="AD150" s="186">
        <v>45090</v>
      </c>
    </row>
    <row r="151" spans="1:30">
      <c r="A151" s="340">
        <f>COUNTA($E$3:E151)</f>
        <v>149</v>
      </c>
      <c r="B151" s="340" t="s">
        <v>5368</v>
      </c>
      <c r="C151" s="340" t="s">
        <v>37</v>
      </c>
      <c r="D151" s="340" t="s">
        <v>30</v>
      </c>
      <c r="E151" s="340" t="s">
        <v>4779</v>
      </c>
      <c r="F151" s="341">
        <v>45083</v>
      </c>
      <c r="G151" s="341"/>
      <c r="H151" s="341"/>
      <c r="I151" s="341" t="s">
        <v>3</v>
      </c>
      <c r="J151" s="340" t="s">
        <v>4624</v>
      </c>
      <c r="K151" s="340" t="s">
        <v>1295</v>
      </c>
      <c r="L151" s="170">
        <v>45089</v>
      </c>
      <c r="M151" s="177" t="s">
        <v>5413</v>
      </c>
      <c r="N151" s="179">
        <v>45089</v>
      </c>
      <c r="O151" s="178"/>
      <c r="Q151" t="s">
        <v>129</v>
      </c>
      <c r="R151">
        <v>5</v>
      </c>
      <c r="S151">
        <v>45083</v>
      </c>
      <c r="T151" s="195">
        <v>45084.533819444441</v>
      </c>
      <c r="U151" s="195">
        <v>45084.533819444441</v>
      </c>
      <c r="V151" s="290">
        <v>1</v>
      </c>
      <c r="W151" s="200">
        <v>45084.533819444441</v>
      </c>
      <c r="X151" s="200">
        <v>45084.533888888887</v>
      </c>
      <c r="Y151" s="199">
        <v>1</v>
      </c>
      <c r="Z151" s="206">
        <v>45084</v>
      </c>
      <c r="AA151" s="205">
        <v>3</v>
      </c>
      <c r="AB151" s="206">
        <v>45086</v>
      </c>
      <c r="AC151" s="187">
        <v>4</v>
      </c>
      <c r="AD151" s="186">
        <v>45089</v>
      </c>
    </row>
    <row r="152" spans="1:30">
      <c r="A152" s="340">
        <f>COUNTA($E$3:E152)</f>
        <v>150</v>
      </c>
      <c r="B152" s="340" t="s">
        <v>5369</v>
      </c>
      <c r="C152" s="340" t="s">
        <v>37</v>
      </c>
      <c r="D152" s="340" t="s">
        <v>30</v>
      </c>
      <c r="E152" s="340" t="s">
        <v>5370</v>
      </c>
      <c r="F152" s="341">
        <v>45083</v>
      </c>
      <c r="G152" s="341"/>
      <c r="H152" s="341"/>
      <c r="I152" s="341" t="s">
        <v>3</v>
      </c>
      <c r="J152" s="340"/>
      <c r="K152" s="340" t="s">
        <v>1296</v>
      </c>
      <c r="L152" s="170">
        <v>45089</v>
      </c>
      <c r="M152" s="177" t="s">
        <v>5413</v>
      </c>
      <c r="N152" s="179">
        <v>45089</v>
      </c>
      <c r="O152" s="178"/>
      <c r="Q152" t="s">
        <v>129</v>
      </c>
      <c r="R152">
        <v>5</v>
      </c>
      <c r="S152">
        <v>45083</v>
      </c>
      <c r="T152" s="195">
        <v>45084.565601851849</v>
      </c>
      <c r="U152" s="195">
        <v>45084.565601851849</v>
      </c>
      <c r="V152" s="290">
        <v>1</v>
      </c>
      <c r="W152" s="200">
        <v>45084.565601851849</v>
      </c>
      <c r="X152" s="200">
        <v>45084.565682870372</v>
      </c>
      <c r="Y152" s="199">
        <v>1</v>
      </c>
      <c r="Z152" s="206">
        <v>45084</v>
      </c>
      <c r="AA152" s="205">
        <v>3</v>
      </c>
      <c r="AB152" s="206">
        <v>45086</v>
      </c>
      <c r="AC152" s="187">
        <v>4</v>
      </c>
      <c r="AD152" s="186">
        <v>45089</v>
      </c>
    </row>
    <row r="153" spans="1:30">
      <c r="A153" s="340">
        <f>COUNTA($E$3:E153)</f>
        <v>151</v>
      </c>
      <c r="B153" s="340" t="s">
        <v>5371</v>
      </c>
      <c r="C153" s="340" t="s">
        <v>37</v>
      </c>
      <c r="D153" s="340" t="s">
        <v>30</v>
      </c>
      <c r="E153" s="340" t="s">
        <v>5372</v>
      </c>
      <c r="F153" s="341">
        <v>45083</v>
      </c>
      <c r="G153" s="341"/>
      <c r="H153" s="341"/>
      <c r="I153" s="341" t="s">
        <v>3</v>
      </c>
      <c r="J153" s="340"/>
      <c r="K153" s="340" t="s">
        <v>1287</v>
      </c>
      <c r="L153" s="170">
        <v>45089</v>
      </c>
      <c r="M153" s="177" t="s">
        <v>5414</v>
      </c>
      <c r="N153" s="179">
        <v>45089</v>
      </c>
      <c r="O153" s="178"/>
      <c r="Q153" t="s">
        <v>129</v>
      </c>
      <c r="R153">
        <v>5</v>
      </c>
      <c r="S153">
        <v>45083</v>
      </c>
      <c r="T153" s="195">
        <v>45083.814826388887</v>
      </c>
      <c r="U153" s="195">
        <v>45083.814826388887</v>
      </c>
      <c r="V153" s="288">
        <v>1</v>
      </c>
      <c r="W153" s="200">
        <v>45083.814826388887</v>
      </c>
      <c r="X153" s="200">
        <v>45083.814988425926</v>
      </c>
      <c r="Y153" s="199">
        <v>1</v>
      </c>
      <c r="Z153" s="206">
        <v>45083</v>
      </c>
      <c r="AA153" s="205">
        <v>4</v>
      </c>
      <c r="AB153" s="206">
        <v>45086</v>
      </c>
      <c r="AC153" s="187">
        <v>4</v>
      </c>
      <c r="AD153" s="186">
        <v>45089</v>
      </c>
    </row>
    <row r="154" spans="1:30">
      <c r="A154" s="340">
        <f>COUNTA($E$3:E154)</f>
        <v>152</v>
      </c>
      <c r="B154" s="340" t="s">
        <v>5373</v>
      </c>
      <c r="C154" s="340" t="s">
        <v>37</v>
      </c>
      <c r="D154" s="340" t="s">
        <v>30</v>
      </c>
      <c r="E154" s="340" t="s">
        <v>3378</v>
      </c>
      <c r="F154" s="341">
        <v>45083</v>
      </c>
      <c r="G154" s="341"/>
      <c r="H154" s="341"/>
      <c r="I154" s="341" t="s">
        <v>3</v>
      </c>
      <c r="J154" s="340" t="s">
        <v>459</v>
      </c>
      <c r="K154" s="340" t="s">
        <v>1102</v>
      </c>
      <c r="L154" s="170">
        <v>45089</v>
      </c>
      <c r="M154" s="177"/>
      <c r="N154" s="179">
        <v>45089</v>
      </c>
      <c r="O154" s="178"/>
      <c r="Q154" t="s">
        <v>129</v>
      </c>
      <c r="R154">
        <v>5</v>
      </c>
      <c r="S154">
        <v>45083</v>
      </c>
      <c r="T154" s="195">
        <v>45085.535439814812</v>
      </c>
      <c r="U154" s="195">
        <v>45085.535439814812</v>
      </c>
      <c r="V154" s="288">
        <v>1</v>
      </c>
      <c r="W154" s="200">
        <v>45085.535439814812</v>
      </c>
      <c r="X154" s="200">
        <v>45085.653217592589</v>
      </c>
      <c r="Y154" s="199">
        <v>1</v>
      </c>
      <c r="Z154" s="206">
        <v>45085</v>
      </c>
      <c r="AA154" s="205">
        <v>3</v>
      </c>
      <c r="AB154" s="206">
        <v>45089</v>
      </c>
      <c r="AC154" s="187">
        <v>5</v>
      </c>
      <c r="AD154" s="186">
        <v>45089</v>
      </c>
    </row>
    <row r="155" spans="1:30">
      <c r="A155" s="340">
        <f>COUNTA($E$3:E155)</f>
        <v>153</v>
      </c>
      <c r="B155" s="340" t="s">
        <v>5374</v>
      </c>
      <c r="C155" s="340" t="s">
        <v>37</v>
      </c>
      <c r="D155" s="340" t="s">
        <v>30</v>
      </c>
      <c r="E155" s="340" t="s">
        <v>3370</v>
      </c>
      <c r="F155" s="341">
        <v>45085</v>
      </c>
      <c r="G155" s="341"/>
      <c r="H155" s="341"/>
      <c r="I155" s="341" t="s">
        <v>3</v>
      </c>
      <c r="J155" s="340"/>
      <c r="K155" s="340" t="s">
        <v>1296</v>
      </c>
      <c r="L155" s="170">
        <v>45089</v>
      </c>
      <c r="M155" s="177" t="s">
        <v>5413</v>
      </c>
      <c r="N155" s="179">
        <v>45089</v>
      </c>
      <c r="O155" s="178"/>
      <c r="Q155" t="s">
        <v>129</v>
      </c>
      <c r="R155">
        <v>3</v>
      </c>
      <c r="S155">
        <v>45085</v>
      </c>
      <c r="T155" s="195">
        <v>45083.71471064815</v>
      </c>
      <c r="U155" s="195">
        <v>45083.71471064815</v>
      </c>
      <c r="V155" s="288">
        <v>1</v>
      </c>
      <c r="W155" s="200">
        <v>45083.71471064815</v>
      </c>
      <c r="X155" s="200">
        <v>45083.714791666665</v>
      </c>
      <c r="Y155" s="199">
        <v>1</v>
      </c>
      <c r="Z155" s="206">
        <v>45089</v>
      </c>
      <c r="AA155" s="205">
        <v>1</v>
      </c>
      <c r="AB155" s="206">
        <v>45089</v>
      </c>
      <c r="AC155" s="187">
        <v>3</v>
      </c>
      <c r="AD155" s="186">
        <v>45089</v>
      </c>
    </row>
    <row r="156" spans="1:30">
      <c r="A156" s="340">
        <f>COUNTA($E$3:E156)</f>
        <v>154</v>
      </c>
      <c r="B156" s="340" t="s">
        <v>5375</v>
      </c>
      <c r="C156" s="340" t="s">
        <v>37</v>
      </c>
      <c r="D156" s="340" t="s">
        <v>30</v>
      </c>
      <c r="E156" s="340" t="s">
        <v>3288</v>
      </c>
      <c r="F156" s="341">
        <v>45085</v>
      </c>
      <c r="G156" s="341"/>
      <c r="H156" s="341"/>
      <c r="I156" s="341" t="s">
        <v>3</v>
      </c>
      <c r="J156" s="340"/>
      <c r="K156" s="340" t="s">
        <v>1287</v>
      </c>
      <c r="L156" s="170">
        <v>45089</v>
      </c>
      <c r="M156" s="177" t="s">
        <v>5414</v>
      </c>
      <c r="N156" s="179">
        <v>45096</v>
      </c>
      <c r="O156" s="178"/>
      <c r="Q156" t="s">
        <v>129</v>
      </c>
      <c r="R156">
        <v>3</v>
      </c>
      <c r="S156">
        <v>45085</v>
      </c>
      <c r="T156" s="195">
        <v>45083.677430555559</v>
      </c>
      <c r="U156" s="195">
        <v>45083.677430555559</v>
      </c>
      <c r="V156" s="288">
        <v>1</v>
      </c>
      <c r="W156" s="200">
        <v>45083.677430555559</v>
      </c>
      <c r="X156" s="200">
        <v>45083.677511574075</v>
      </c>
      <c r="Y156" s="199">
        <v>1</v>
      </c>
      <c r="Z156" s="206">
        <v>45083</v>
      </c>
      <c r="AA156" s="205">
        <v>4</v>
      </c>
      <c r="AB156" s="206">
        <v>45086</v>
      </c>
      <c r="AC156" s="187">
        <v>2</v>
      </c>
      <c r="AD156" s="186">
        <v>45096</v>
      </c>
    </row>
    <row r="157" spans="1:30">
      <c r="A157" s="340">
        <f>COUNTA($E$3:E157)</f>
        <v>155</v>
      </c>
      <c r="B157" s="340" t="s">
        <v>5402</v>
      </c>
      <c r="C157" s="340" t="s">
        <v>5355</v>
      </c>
      <c r="D157" s="340" t="s">
        <v>1201</v>
      </c>
      <c r="E157" s="340" t="s">
        <v>2987</v>
      </c>
      <c r="F157" s="341">
        <v>45083.658946759257</v>
      </c>
      <c r="G157" s="341"/>
      <c r="H157" s="341"/>
      <c r="I157" s="341" t="s">
        <v>3</v>
      </c>
      <c r="J157" s="340" t="s">
        <v>2153</v>
      </c>
      <c r="K157" s="340" t="s">
        <v>1295</v>
      </c>
      <c r="L157" s="170">
        <v>45089</v>
      </c>
      <c r="M157" s="177" t="s">
        <v>5422</v>
      </c>
      <c r="N157" s="179">
        <v>45147</v>
      </c>
      <c r="O157" s="178"/>
      <c r="Q157" t="s">
        <v>129</v>
      </c>
      <c r="S157">
        <v>45083</v>
      </c>
      <c r="T157" s="195">
        <v>45085.450821759259</v>
      </c>
      <c r="U157" s="195">
        <v>45085.450821759259</v>
      </c>
      <c r="V157" s="288">
        <v>1</v>
      </c>
      <c r="W157" s="200">
        <v>45085.450821759259</v>
      </c>
      <c r="X157" s="200">
        <v>45085.451296296298</v>
      </c>
      <c r="Y157" s="199">
        <v>1</v>
      </c>
      <c r="Z157" s="206">
        <v>45085</v>
      </c>
      <c r="AA157" s="205">
        <v>2</v>
      </c>
      <c r="AB157" s="206">
        <v>45086</v>
      </c>
      <c r="AC157" s="187">
        <v>4</v>
      </c>
      <c r="AD157" s="186"/>
    </row>
    <row r="158" spans="1:30">
      <c r="A158" s="340">
        <f>COUNTA($E$3:E158)</f>
        <v>156</v>
      </c>
      <c r="B158" s="340" t="s">
        <v>4958</v>
      </c>
      <c r="C158" s="340" t="s">
        <v>1246</v>
      </c>
      <c r="D158" s="340" t="s">
        <v>1124</v>
      </c>
      <c r="E158" s="340" t="s">
        <v>4959</v>
      </c>
      <c r="F158" s="341">
        <v>45012</v>
      </c>
      <c r="G158" s="341"/>
      <c r="H158" s="341" t="s">
        <v>55</v>
      </c>
      <c r="I158" s="341" t="s">
        <v>2</v>
      </c>
      <c r="J158" s="340" t="s">
        <v>1485</v>
      </c>
      <c r="K158" s="340" t="s">
        <v>2032</v>
      </c>
      <c r="L158" s="170">
        <v>45082</v>
      </c>
      <c r="M158" s="177" t="s">
        <v>5377</v>
      </c>
      <c r="N158" s="179">
        <v>45082</v>
      </c>
      <c r="O158" s="178"/>
      <c r="Q158" t="s">
        <v>22</v>
      </c>
      <c r="R158">
        <v>51</v>
      </c>
      <c r="S158">
        <v>45012</v>
      </c>
      <c r="T158" s="195">
        <v>45012.626689814817</v>
      </c>
      <c r="U158" s="195">
        <v>45012.626689814817</v>
      </c>
      <c r="V158" s="288">
        <v>1</v>
      </c>
      <c r="W158" s="200">
        <v>45012.626689814817</v>
      </c>
      <c r="X158" s="200">
        <v>45075.514467592591</v>
      </c>
      <c r="Y158" s="199">
        <v>46</v>
      </c>
      <c r="Z158" s="206">
        <v>45075</v>
      </c>
      <c r="AA158" s="205">
        <v>6</v>
      </c>
      <c r="AB158" s="206">
        <v>45082</v>
      </c>
      <c r="AC158" s="187">
        <v>51</v>
      </c>
      <c r="AD158" s="186">
        <v>45082</v>
      </c>
    </row>
    <row r="159" spans="1:30">
      <c r="A159" s="340">
        <f>COUNTA($E$3:E159)</f>
        <v>157</v>
      </c>
      <c r="B159" s="340" t="s">
        <v>4960</v>
      </c>
      <c r="C159" s="340" t="s">
        <v>2484</v>
      </c>
      <c r="D159" s="340" t="s">
        <v>16</v>
      </c>
      <c r="E159" s="340" t="s">
        <v>4961</v>
      </c>
      <c r="F159" s="341">
        <v>45012</v>
      </c>
      <c r="G159" s="341"/>
      <c r="H159" s="341" t="s">
        <v>55</v>
      </c>
      <c r="I159" s="341" t="s">
        <v>2</v>
      </c>
      <c r="J159" s="340" t="s">
        <v>3253</v>
      </c>
      <c r="K159" s="340" t="s">
        <v>1294</v>
      </c>
      <c r="L159" s="170">
        <v>45082</v>
      </c>
      <c r="M159" s="177" t="s">
        <v>5378</v>
      </c>
      <c r="N159" s="179">
        <v>45070</v>
      </c>
      <c r="O159" s="178"/>
      <c r="Q159" t="s">
        <v>22</v>
      </c>
      <c r="R159">
        <v>51</v>
      </c>
      <c r="S159">
        <v>45012</v>
      </c>
      <c r="T159" s="195">
        <v>45012.69740740741</v>
      </c>
      <c r="U159" s="195">
        <v>45012.69740740741</v>
      </c>
      <c r="V159" s="288">
        <v>1</v>
      </c>
      <c r="W159" s="200">
        <v>45012.69740740741</v>
      </c>
      <c r="X159" s="200">
        <v>45068.53266203704</v>
      </c>
      <c r="Y159" s="199">
        <v>41</v>
      </c>
      <c r="Z159" s="206">
        <v>45075</v>
      </c>
      <c r="AA159" s="205">
        <v>4</v>
      </c>
      <c r="AB159" s="206">
        <v>45078</v>
      </c>
      <c r="AC159" s="187">
        <v>49</v>
      </c>
      <c r="AD159" s="186">
        <v>45070</v>
      </c>
    </row>
    <row r="160" spans="1:30">
      <c r="A160" s="340">
        <f>COUNTA($E$3:E160)</f>
        <v>158</v>
      </c>
      <c r="B160" s="340" t="s">
        <v>5265</v>
      </c>
      <c r="C160" s="340" t="s">
        <v>2431</v>
      </c>
      <c r="D160" s="340" t="s">
        <v>36</v>
      </c>
      <c r="E160" s="340" t="s">
        <v>3123</v>
      </c>
      <c r="F160" s="341">
        <v>45054.678379629629</v>
      </c>
      <c r="G160" s="341"/>
      <c r="H160" s="341"/>
      <c r="I160" s="341" t="s">
        <v>3</v>
      </c>
      <c r="J160" s="340" t="s">
        <v>4624</v>
      </c>
      <c r="K160" s="340" t="s">
        <v>1295</v>
      </c>
      <c r="L160" s="170">
        <v>45082</v>
      </c>
      <c r="M160" s="177" t="s">
        <v>5379</v>
      </c>
      <c r="N160" s="179">
        <v>45069</v>
      </c>
      <c r="O160" s="178"/>
      <c r="Q160" t="s">
        <v>129</v>
      </c>
      <c r="R160">
        <v>21</v>
      </c>
      <c r="S160">
        <v>45061</v>
      </c>
      <c r="T160" s="195">
        <v>45069.46130787037</v>
      </c>
      <c r="U160" s="195">
        <v>45069.46130787037</v>
      </c>
      <c r="V160" s="288">
        <v>1</v>
      </c>
      <c r="W160" s="200">
        <v>45069.46130787037</v>
      </c>
      <c r="X160" s="200">
        <v>45069.461423611108</v>
      </c>
      <c r="Y160" s="199">
        <v>1</v>
      </c>
      <c r="Z160" s="206">
        <v>45075</v>
      </c>
      <c r="AA160" s="205">
        <v>3</v>
      </c>
      <c r="AB160" s="206">
        <v>45077</v>
      </c>
      <c r="AC160" s="187">
        <v>13</v>
      </c>
      <c r="AD160" s="186">
        <v>45069</v>
      </c>
    </row>
    <row r="161" spans="1:30">
      <c r="A161" s="340">
        <f>COUNTA($E$3:E161)</f>
        <v>159</v>
      </c>
      <c r="B161" s="340" t="s">
        <v>5300</v>
      </c>
      <c r="C161" s="340" t="s">
        <v>5301</v>
      </c>
      <c r="D161" s="340" t="s">
        <v>1103</v>
      </c>
      <c r="E161" s="340" t="s">
        <v>1104</v>
      </c>
      <c r="F161" s="341">
        <v>45061.769814814812</v>
      </c>
      <c r="G161" s="341">
        <v>45075</v>
      </c>
      <c r="H161" s="341">
        <v>45075</v>
      </c>
      <c r="I161" s="341" t="s">
        <v>3</v>
      </c>
      <c r="J161" s="340" t="s">
        <v>1666</v>
      </c>
      <c r="K161" s="340" t="s">
        <v>2032</v>
      </c>
      <c r="L161" s="170">
        <v>45082</v>
      </c>
      <c r="M161" s="177" t="s">
        <v>5380</v>
      </c>
      <c r="N161" s="179">
        <v>45076</v>
      </c>
      <c r="O161" s="178"/>
      <c r="Q161" t="s">
        <v>22</v>
      </c>
      <c r="R161">
        <v>16</v>
      </c>
      <c r="S161">
        <v>45075</v>
      </c>
      <c r="T161" s="195">
        <v>45075.540254629632</v>
      </c>
      <c r="U161" s="195">
        <v>45075</v>
      </c>
      <c r="V161" s="288">
        <v>1</v>
      </c>
      <c r="W161" s="200">
        <v>45075</v>
      </c>
      <c r="X161" s="200">
        <v>45075.540856481479</v>
      </c>
      <c r="Y161" s="199">
        <v>1</v>
      </c>
      <c r="Z161" s="206">
        <v>45076</v>
      </c>
      <c r="AA161" s="205">
        <v>3</v>
      </c>
      <c r="AB161" s="206">
        <v>45078</v>
      </c>
      <c r="AC161" s="187">
        <v>4</v>
      </c>
      <c r="AD161" s="186">
        <v>45076</v>
      </c>
    </row>
    <row r="162" spans="1:30">
      <c r="A162" s="340">
        <f>COUNTA($E$3:E162)</f>
        <v>160</v>
      </c>
      <c r="B162" s="340" t="s">
        <v>5314</v>
      </c>
      <c r="C162" s="340" t="s">
        <v>2933</v>
      </c>
      <c r="D162" s="340" t="s">
        <v>1145</v>
      </c>
      <c r="E162" s="340" t="s">
        <v>5315</v>
      </c>
      <c r="F162" s="341">
        <v>45068.718842592592</v>
      </c>
      <c r="G162" s="341"/>
      <c r="H162" s="341"/>
      <c r="I162" s="341" t="s">
        <v>3</v>
      </c>
      <c r="J162" s="340" t="s">
        <v>5362</v>
      </c>
      <c r="K162" s="340" t="s">
        <v>1296</v>
      </c>
      <c r="L162" s="170">
        <v>45082</v>
      </c>
      <c r="M162" s="177" t="s">
        <v>5381</v>
      </c>
      <c r="N162" s="179">
        <v>45084</v>
      </c>
      <c r="O162" s="178"/>
      <c r="Q162" t="s">
        <v>129</v>
      </c>
      <c r="R162">
        <v>11</v>
      </c>
      <c r="S162">
        <v>45071</v>
      </c>
      <c r="T162" s="195">
        <v>45077.516192129631</v>
      </c>
      <c r="U162" s="195">
        <v>45077.516192129631</v>
      </c>
      <c r="V162" s="288">
        <v>1</v>
      </c>
      <c r="W162" s="200">
        <v>45077.516192129631</v>
      </c>
      <c r="X162" s="200">
        <v>45077.516469907408</v>
      </c>
      <c r="Y162" s="199">
        <v>1</v>
      </c>
      <c r="Z162" s="206">
        <v>45077</v>
      </c>
      <c r="AA162" s="205">
        <v>1</v>
      </c>
      <c r="AB162" s="206">
        <v>45077</v>
      </c>
      <c r="AC162" s="187">
        <v>5</v>
      </c>
      <c r="AD162" s="186">
        <v>45084</v>
      </c>
    </row>
    <row r="163" spans="1:30">
      <c r="A163" s="340">
        <f>COUNTA($E$3:E163)</f>
        <v>161</v>
      </c>
      <c r="B163" s="340" t="s">
        <v>5316</v>
      </c>
      <c r="C163" s="340" t="s">
        <v>37</v>
      </c>
      <c r="D163" s="340" t="s">
        <v>30</v>
      </c>
      <c r="E163" s="340" t="s">
        <v>3487</v>
      </c>
      <c r="F163" s="341">
        <v>45062.757774259262</v>
      </c>
      <c r="G163" s="341"/>
      <c r="H163" s="341"/>
      <c r="I163" s="341" t="s">
        <v>3</v>
      </c>
      <c r="J163" s="340" t="s">
        <v>1212</v>
      </c>
      <c r="K163" s="340" t="s">
        <v>1295</v>
      </c>
      <c r="L163" s="170">
        <v>45082</v>
      </c>
      <c r="M163" s="177" t="s">
        <v>5381</v>
      </c>
      <c r="N163" s="179">
        <v>45079</v>
      </c>
      <c r="O163" s="178"/>
      <c r="Q163" t="s">
        <v>129</v>
      </c>
      <c r="R163">
        <v>15</v>
      </c>
      <c r="S163">
        <v>45071</v>
      </c>
      <c r="T163" s="195">
        <v>45075.76390046296</v>
      </c>
      <c r="U163" s="195">
        <v>45075.76390046296</v>
      </c>
      <c r="V163" s="288">
        <v>1</v>
      </c>
      <c r="W163" s="200">
        <v>45075.76390046296</v>
      </c>
      <c r="X163" s="200">
        <v>45075.764004629629</v>
      </c>
      <c r="Y163" s="199">
        <v>1</v>
      </c>
      <c r="Z163" s="206">
        <v>45075</v>
      </c>
      <c r="AA163" s="205">
        <v>3</v>
      </c>
      <c r="AB163" s="206">
        <v>45077</v>
      </c>
      <c r="AC163" s="187">
        <v>5</v>
      </c>
      <c r="AD163" s="186">
        <v>45079</v>
      </c>
    </row>
    <row r="164" spans="1:30">
      <c r="A164" s="340">
        <f>COUNTA($E$3:E164)</f>
        <v>162</v>
      </c>
      <c r="B164" s="340" t="s">
        <v>5317</v>
      </c>
      <c r="C164" s="340" t="s">
        <v>37</v>
      </c>
      <c r="D164" s="340" t="s">
        <v>30</v>
      </c>
      <c r="E164" s="340" t="s">
        <v>5318</v>
      </c>
      <c r="F164" s="341">
        <v>45063.705578703702</v>
      </c>
      <c r="G164" s="341"/>
      <c r="H164" s="341"/>
      <c r="I164" s="341" t="s">
        <v>3</v>
      </c>
      <c r="J164" s="340"/>
      <c r="K164" s="340"/>
      <c r="L164" s="170">
        <v>45082</v>
      </c>
      <c r="M164" s="177" t="s">
        <v>3133</v>
      </c>
      <c r="N164" s="179">
        <v>45079</v>
      </c>
      <c r="O164" s="178"/>
      <c r="Q164" t="s">
        <v>129</v>
      </c>
      <c r="R164">
        <v>14</v>
      </c>
      <c r="S164">
        <v>45071</v>
      </c>
      <c r="T164" s="194">
        <v>45075.741006944445</v>
      </c>
      <c r="U164" s="194">
        <v>45075.741006944445</v>
      </c>
      <c r="V164" s="288">
        <v>1</v>
      </c>
      <c r="W164" s="200">
        <v>45075.741006944445</v>
      </c>
      <c r="X164" s="200">
        <v>45075.741087962961</v>
      </c>
      <c r="Y164" s="199">
        <v>1</v>
      </c>
      <c r="Z164" s="206">
        <v>45075</v>
      </c>
      <c r="AA164" s="205">
        <v>3</v>
      </c>
      <c r="AB164" s="206">
        <v>45077</v>
      </c>
      <c r="AC164" s="187">
        <v>5</v>
      </c>
      <c r="AD164" s="186">
        <v>45079</v>
      </c>
    </row>
    <row r="165" spans="1:30">
      <c r="A165" s="340">
        <f>COUNTA($E$3:E165)</f>
        <v>163</v>
      </c>
      <c r="B165" s="340" t="s">
        <v>5319</v>
      </c>
      <c r="C165" s="340" t="s">
        <v>37</v>
      </c>
      <c r="D165" s="340" t="s">
        <v>30</v>
      </c>
      <c r="E165" s="340" t="s">
        <v>2558</v>
      </c>
      <c r="F165" s="341">
        <v>45068.703599537039</v>
      </c>
      <c r="G165" s="341"/>
      <c r="H165" s="341"/>
      <c r="I165" s="341" t="s">
        <v>3</v>
      </c>
      <c r="J165" s="340" t="s">
        <v>5363</v>
      </c>
      <c r="K165" s="340" t="s">
        <v>1287</v>
      </c>
      <c r="L165" s="170">
        <v>45082</v>
      </c>
      <c r="M165" s="177" t="s">
        <v>5381</v>
      </c>
      <c r="N165" s="179">
        <v>45079</v>
      </c>
      <c r="O165" s="178"/>
      <c r="Q165" t="s">
        <v>129</v>
      </c>
      <c r="R165">
        <v>11</v>
      </c>
      <c r="S165">
        <v>45071</v>
      </c>
      <c r="T165" s="194">
        <v>45075.863287037035</v>
      </c>
      <c r="U165" s="194">
        <v>45075.863287037035</v>
      </c>
      <c r="V165" s="288">
        <v>1</v>
      </c>
      <c r="W165" s="200">
        <v>45075.863287037035</v>
      </c>
      <c r="X165" s="200">
        <v>45075.863368055558</v>
      </c>
      <c r="Y165" s="199">
        <v>1</v>
      </c>
      <c r="Z165" s="206">
        <v>45075</v>
      </c>
      <c r="AA165" s="205">
        <v>5</v>
      </c>
      <c r="AB165" s="206">
        <v>45079</v>
      </c>
      <c r="AC165" s="187">
        <v>7</v>
      </c>
      <c r="AD165" s="186">
        <v>45079</v>
      </c>
    </row>
    <row r="166" spans="1:30">
      <c r="A166" s="340">
        <f>COUNTA($E$3:E166)</f>
        <v>164</v>
      </c>
      <c r="B166" s="340" t="s">
        <v>5324</v>
      </c>
      <c r="C166" s="340" t="s">
        <v>40</v>
      </c>
      <c r="D166" s="340" t="s">
        <v>49</v>
      </c>
      <c r="E166" s="340" t="s">
        <v>5325</v>
      </c>
      <c r="F166" s="341">
        <v>45072</v>
      </c>
      <c r="G166" s="341"/>
      <c r="H166" s="341"/>
      <c r="I166" s="341" t="s">
        <v>3</v>
      </c>
      <c r="J166" s="340" t="s">
        <v>1485</v>
      </c>
      <c r="K166" s="340" t="s">
        <v>1287</v>
      </c>
      <c r="L166" s="170">
        <v>45082</v>
      </c>
      <c r="M166" s="177" t="s">
        <v>5385</v>
      </c>
      <c r="N166" s="179">
        <v>45082</v>
      </c>
      <c r="O166" s="178"/>
      <c r="Q166" t="s">
        <v>129</v>
      </c>
      <c r="R166">
        <v>32201</v>
      </c>
      <c r="S166">
        <v>45072</v>
      </c>
      <c r="T166" s="194">
        <v>45075.864918981482</v>
      </c>
      <c r="U166" s="194">
        <v>45075.864918981482</v>
      </c>
      <c r="V166" s="288">
        <v>1</v>
      </c>
      <c r="W166" s="200">
        <v>45075.864918981482</v>
      </c>
      <c r="X166" s="200">
        <v>45075.864988425928</v>
      </c>
      <c r="Y166" s="199">
        <v>1</v>
      </c>
      <c r="Z166" s="206">
        <v>45075</v>
      </c>
      <c r="AA166" s="205">
        <v>5</v>
      </c>
      <c r="AB166" s="206">
        <v>45079</v>
      </c>
      <c r="AC166" s="187">
        <v>6</v>
      </c>
      <c r="AD166" s="186">
        <v>45082</v>
      </c>
    </row>
    <row r="167" spans="1:30">
      <c r="A167" s="340">
        <f>COUNTA($E$3:E167)</f>
        <v>165</v>
      </c>
      <c r="B167" s="340" t="s">
        <v>5326</v>
      </c>
      <c r="C167" s="340" t="s">
        <v>40</v>
      </c>
      <c r="D167" s="340" t="s">
        <v>49</v>
      </c>
      <c r="E167" s="340" t="s">
        <v>5327</v>
      </c>
      <c r="F167" s="341">
        <v>45069.585625</v>
      </c>
      <c r="G167" s="341"/>
      <c r="H167" s="341"/>
      <c r="I167" s="341" t="s">
        <v>3</v>
      </c>
      <c r="J167" s="340" t="s">
        <v>5364</v>
      </c>
      <c r="K167" s="340" t="s">
        <v>1287</v>
      </c>
      <c r="L167" s="170">
        <v>45082</v>
      </c>
      <c r="M167" s="177" t="s">
        <v>5381</v>
      </c>
      <c r="N167" s="179">
        <v>45082</v>
      </c>
      <c r="O167" s="178"/>
      <c r="Q167" t="s">
        <v>129</v>
      </c>
      <c r="R167">
        <v>10</v>
      </c>
      <c r="S167">
        <v>45072</v>
      </c>
      <c r="T167" s="194">
        <v>45076.412141203706</v>
      </c>
      <c r="U167" s="194">
        <v>45076.412141203706</v>
      </c>
      <c r="V167" s="288">
        <v>1</v>
      </c>
      <c r="W167" s="200">
        <v>45076.412141203706</v>
      </c>
      <c r="X167" s="200">
        <v>45076.730555555558</v>
      </c>
      <c r="Y167" s="199">
        <v>1</v>
      </c>
      <c r="Z167" s="206">
        <v>45076</v>
      </c>
      <c r="AA167" s="205">
        <v>4</v>
      </c>
      <c r="AB167" s="206">
        <v>45079</v>
      </c>
      <c r="AC167" s="187">
        <v>6</v>
      </c>
      <c r="AD167" s="186">
        <v>45082</v>
      </c>
    </row>
    <row r="168" spans="1:30">
      <c r="A168" s="340">
        <f>COUNTA($E$3:E168)</f>
        <v>166</v>
      </c>
      <c r="B168" s="340" t="s">
        <v>5329</v>
      </c>
      <c r="C168" s="340" t="s">
        <v>2602</v>
      </c>
      <c r="D168" s="340" t="s">
        <v>49</v>
      </c>
      <c r="E168" s="340" t="s">
        <v>4393</v>
      </c>
      <c r="F168" s="341">
        <v>45259</v>
      </c>
      <c r="G168" s="341">
        <v>45075</v>
      </c>
      <c r="H168" s="341">
        <v>44914</v>
      </c>
      <c r="I168" s="341" t="s">
        <v>2</v>
      </c>
      <c r="J168" s="340" t="s">
        <v>3387</v>
      </c>
      <c r="K168" s="340"/>
      <c r="L168" s="170">
        <v>45082</v>
      </c>
      <c r="M168" s="177" t="s">
        <v>5384</v>
      </c>
      <c r="N168" s="179">
        <v>45072</v>
      </c>
      <c r="O168" s="178"/>
      <c r="Q168" t="s">
        <v>22</v>
      </c>
      <c r="R168">
        <v>-128</v>
      </c>
      <c r="S168">
        <v>44895</v>
      </c>
      <c r="T168" s="194">
        <v>44895.705277777779</v>
      </c>
      <c r="U168" s="194">
        <v>45075</v>
      </c>
      <c r="V168" s="288">
        <v>129</v>
      </c>
      <c r="W168" s="200">
        <v>45075</v>
      </c>
      <c r="X168" s="200">
        <v>45075</v>
      </c>
      <c r="Y168" s="199">
        <v>1</v>
      </c>
      <c r="Z168" s="206">
        <v>45075</v>
      </c>
      <c r="AA168" s="205">
        <v>1</v>
      </c>
      <c r="AB168" s="206">
        <v>45075</v>
      </c>
      <c r="AC168" s="187">
        <v>129</v>
      </c>
      <c r="AD168" s="186">
        <v>45072</v>
      </c>
    </row>
    <row r="169" spans="1:30">
      <c r="A169" s="340">
        <f>COUNTA($E$3:E169)</f>
        <v>167</v>
      </c>
      <c r="B169" s="340" t="s">
        <v>5330</v>
      </c>
      <c r="C169" s="340" t="s">
        <v>2602</v>
      </c>
      <c r="D169" s="340" t="s">
        <v>1145</v>
      </c>
      <c r="E169" s="340" t="s">
        <v>2603</v>
      </c>
      <c r="F169" s="341">
        <v>44905</v>
      </c>
      <c r="G169" s="341">
        <v>45075</v>
      </c>
      <c r="H169" s="341">
        <v>44911</v>
      </c>
      <c r="I169" s="341" t="s">
        <v>2</v>
      </c>
      <c r="J169" s="340" t="s">
        <v>5331</v>
      </c>
      <c r="K169" s="340" t="s">
        <v>287</v>
      </c>
      <c r="L169" s="170">
        <v>45082</v>
      </c>
      <c r="M169" s="177" t="s">
        <v>5382</v>
      </c>
      <c r="N169" s="179">
        <v>45072</v>
      </c>
      <c r="O169" s="178"/>
      <c r="Q169" t="s">
        <v>22</v>
      </c>
      <c r="R169">
        <v>126</v>
      </c>
      <c r="S169">
        <v>44909</v>
      </c>
      <c r="T169" s="194">
        <v>44909.725555555553</v>
      </c>
      <c r="U169" s="194">
        <v>45075</v>
      </c>
      <c r="V169" s="288">
        <v>119</v>
      </c>
      <c r="W169" s="200">
        <v>45075</v>
      </c>
      <c r="X169" s="200">
        <v>45075</v>
      </c>
      <c r="Y169" s="199">
        <v>1</v>
      </c>
      <c r="Z169" s="206">
        <v>45076</v>
      </c>
      <c r="AA169" s="205">
        <v>5</v>
      </c>
      <c r="AB169" s="206">
        <v>45082</v>
      </c>
      <c r="AC169" s="187">
        <v>124</v>
      </c>
      <c r="AD169" s="186">
        <v>45072</v>
      </c>
    </row>
    <row r="170" spans="1:30">
      <c r="A170" s="340">
        <f>COUNTA($E$3:E170)</f>
        <v>168</v>
      </c>
      <c r="B170" s="340" t="s">
        <v>5342</v>
      </c>
      <c r="C170" s="340" t="s">
        <v>21</v>
      </c>
      <c r="D170" s="340" t="s">
        <v>58</v>
      </c>
      <c r="E170" s="340" t="s">
        <v>1258</v>
      </c>
      <c r="F170" s="341">
        <v>45075.793946759259</v>
      </c>
      <c r="G170" s="341"/>
      <c r="H170" s="341"/>
      <c r="I170" s="341" t="s">
        <v>3</v>
      </c>
      <c r="J170" s="340" t="s">
        <v>5343</v>
      </c>
      <c r="K170" s="340" t="s">
        <v>1295</v>
      </c>
      <c r="L170" s="170">
        <v>45082</v>
      </c>
      <c r="M170" s="177" t="s">
        <v>5376</v>
      </c>
      <c r="N170" s="179">
        <v>45086</v>
      </c>
      <c r="O170" s="178"/>
      <c r="Q170" t="s">
        <v>129</v>
      </c>
      <c r="S170">
        <v>45075</v>
      </c>
      <c r="T170" s="194">
        <v>45077.693969907406</v>
      </c>
      <c r="U170" s="194">
        <v>45077</v>
      </c>
      <c r="V170" s="288">
        <v>1</v>
      </c>
      <c r="W170" s="200">
        <v>45077</v>
      </c>
      <c r="X170" s="200">
        <v>45077.694502314815</v>
      </c>
      <c r="Y170" s="199">
        <v>1</v>
      </c>
      <c r="Z170" s="206">
        <v>45077</v>
      </c>
      <c r="AA170" s="205">
        <v>1</v>
      </c>
      <c r="AB170" s="206">
        <v>45077</v>
      </c>
      <c r="AC170" s="187">
        <v>3</v>
      </c>
      <c r="AD170" s="186"/>
    </row>
    <row r="171" spans="1:30">
      <c r="A171" s="340">
        <f>COUNTA($E$3:E171)</f>
        <v>169</v>
      </c>
      <c r="B171" s="340" t="s">
        <v>4865</v>
      </c>
      <c r="C171" s="340" t="s">
        <v>2431</v>
      </c>
      <c r="D171" s="340" t="s">
        <v>30</v>
      </c>
      <c r="E171" s="340" t="s">
        <v>4298</v>
      </c>
      <c r="F171" s="341">
        <v>44999</v>
      </c>
      <c r="G171" s="341"/>
      <c r="H171" s="341"/>
      <c r="I171" s="341" t="s">
        <v>2</v>
      </c>
      <c r="J171" s="340"/>
      <c r="K171" s="340"/>
      <c r="L171" s="170">
        <v>45075</v>
      </c>
      <c r="M171" s="177" t="s">
        <v>5282</v>
      </c>
      <c r="N171" s="179"/>
      <c r="O171" s="178"/>
      <c r="Q171" t="s">
        <v>129</v>
      </c>
      <c r="R171">
        <v>55</v>
      </c>
      <c r="S171">
        <v>44999</v>
      </c>
      <c r="T171" s="194">
        <v>44999.47619212963</v>
      </c>
      <c r="U171" s="194">
        <v>44999.47619212963</v>
      </c>
      <c r="V171" s="288">
        <v>1</v>
      </c>
      <c r="W171" s="200">
        <v>44999.47619212963</v>
      </c>
      <c r="X171" s="200">
        <v>44999.47619212963</v>
      </c>
      <c r="Y171" s="199">
        <v>1</v>
      </c>
      <c r="Z171" s="206">
        <v>45035</v>
      </c>
      <c r="AA171" s="205">
        <v>5</v>
      </c>
      <c r="AB171" s="206">
        <v>45041</v>
      </c>
      <c r="AC171" s="187">
        <v>31</v>
      </c>
      <c r="AD171" s="186"/>
    </row>
    <row r="172" spans="1:30">
      <c r="A172" s="340">
        <f>COUNTA($E$3:E172)</f>
        <v>170</v>
      </c>
      <c r="B172" s="340" t="s">
        <v>4922</v>
      </c>
      <c r="C172" s="340" t="s">
        <v>1197</v>
      </c>
      <c r="D172" s="340" t="s">
        <v>64</v>
      </c>
      <c r="E172" s="340" t="s">
        <v>2486</v>
      </c>
      <c r="F172" s="341">
        <v>45008</v>
      </c>
      <c r="G172" s="341">
        <v>45033</v>
      </c>
      <c r="H172" s="341">
        <v>45014</v>
      </c>
      <c r="I172" s="341" t="s">
        <v>2</v>
      </c>
      <c r="J172" s="340"/>
      <c r="K172" s="340"/>
      <c r="L172" s="170">
        <v>45075</v>
      </c>
      <c r="M172" s="177" t="s">
        <v>5302</v>
      </c>
      <c r="N172" s="179">
        <v>45055</v>
      </c>
      <c r="O172" s="178"/>
      <c r="Q172" t="s">
        <v>22</v>
      </c>
      <c r="R172">
        <v>48</v>
      </c>
      <c r="S172">
        <v>45008</v>
      </c>
      <c r="T172" s="194">
        <v>45014</v>
      </c>
      <c r="U172" s="194">
        <v>45014</v>
      </c>
      <c r="V172" s="288">
        <v>1</v>
      </c>
      <c r="W172" s="200">
        <v>45014</v>
      </c>
      <c r="X172" s="200">
        <v>45014</v>
      </c>
      <c r="Y172" s="199">
        <v>1</v>
      </c>
      <c r="Z172" s="206">
        <v>45044</v>
      </c>
      <c r="AA172" s="205">
        <v>10</v>
      </c>
      <c r="AB172" s="206">
        <v>45057</v>
      </c>
      <c r="AC172" s="187">
        <v>36</v>
      </c>
      <c r="AD172" s="186">
        <v>45055</v>
      </c>
    </row>
    <row r="173" spans="1:30">
      <c r="A173" s="340">
        <f>COUNTA($E$3:E173)</f>
        <v>171</v>
      </c>
      <c r="B173" s="340" t="s">
        <v>5019</v>
      </c>
      <c r="C173" s="340" t="s">
        <v>41</v>
      </c>
      <c r="D173" s="340" t="s">
        <v>1125</v>
      </c>
      <c r="E173" s="340" t="s">
        <v>2648</v>
      </c>
      <c r="F173" s="341">
        <v>45019</v>
      </c>
      <c r="G173" s="341"/>
      <c r="H173" s="341"/>
      <c r="I173" s="341" t="s">
        <v>4</v>
      </c>
      <c r="J173" s="340" t="s">
        <v>4768</v>
      </c>
      <c r="K173" s="340" t="s">
        <v>1295</v>
      </c>
      <c r="L173" s="170">
        <v>45075</v>
      </c>
      <c r="M173" s="177" t="s">
        <v>5303</v>
      </c>
      <c r="N173" s="179">
        <v>45147</v>
      </c>
      <c r="O173" s="178"/>
      <c r="Q173" t="s">
        <v>129</v>
      </c>
      <c r="R173">
        <v>41</v>
      </c>
      <c r="S173">
        <v>45019</v>
      </c>
      <c r="T173" s="194">
        <v>45027.703599537039</v>
      </c>
      <c r="U173" s="194">
        <v>45027.703599537039</v>
      </c>
      <c r="V173" s="288">
        <v>1</v>
      </c>
      <c r="W173" s="200">
        <v>45027.703599537039</v>
      </c>
      <c r="X173" s="200">
        <v>45027.703599537039</v>
      </c>
      <c r="Y173" s="199">
        <v>1</v>
      </c>
      <c r="Z173" s="206">
        <v>45069</v>
      </c>
      <c r="AA173" s="205">
        <v>1</v>
      </c>
      <c r="AB173" s="206">
        <v>45069</v>
      </c>
      <c r="AC173" s="187">
        <v>37</v>
      </c>
      <c r="AD173" s="186"/>
    </row>
    <row r="174" spans="1:30">
      <c r="A174" s="340">
        <f>COUNTA($E$3:E174)</f>
        <v>172</v>
      </c>
      <c r="B174" s="340" t="s">
        <v>5152</v>
      </c>
      <c r="C174" s="340" t="s">
        <v>41</v>
      </c>
      <c r="D174" s="340" t="s">
        <v>34</v>
      </c>
      <c r="E174" s="340" t="s">
        <v>1923</v>
      </c>
      <c r="F174" s="341">
        <v>45043</v>
      </c>
      <c r="G174" s="341"/>
      <c r="H174" s="341"/>
      <c r="I174" s="341" t="s">
        <v>3</v>
      </c>
      <c r="J174" s="340" t="s">
        <v>4624</v>
      </c>
      <c r="K174" s="340" t="s">
        <v>1295</v>
      </c>
      <c r="L174" s="170">
        <v>45075</v>
      </c>
      <c r="M174" s="177" t="s">
        <v>5305</v>
      </c>
      <c r="N174" s="179">
        <v>45147</v>
      </c>
      <c r="O174" s="178"/>
      <c r="Q174" t="s">
        <v>129</v>
      </c>
      <c r="R174">
        <v>23</v>
      </c>
      <c r="S174">
        <v>45043</v>
      </c>
      <c r="T174" s="194">
        <v>45050.584710648145</v>
      </c>
      <c r="U174" s="194">
        <v>45050.584710648145</v>
      </c>
      <c r="V174" s="288">
        <v>1</v>
      </c>
      <c r="W174" s="200">
        <v>45050.584710648145</v>
      </c>
      <c r="X174" s="200">
        <v>45050.584710648145</v>
      </c>
      <c r="Y174" s="199">
        <v>1</v>
      </c>
      <c r="Z174" s="206">
        <v>45068</v>
      </c>
      <c r="AA174" s="205">
        <v>2</v>
      </c>
      <c r="AB174" s="206">
        <v>45069</v>
      </c>
      <c r="AC174" s="187">
        <v>19</v>
      </c>
      <c r="AD174" s="186"/>
    </row>
    <row r="175" spans="1:30">
      <c r="A175" s="340">
        <f>COUNTA($E$3:E175)</f>
        <v>173</v>
      </c>
      <c r="B175" s="340" t="s">
        <v>5164</v>
      </c>
      <c r="C175" s="340" t="s">
        <v>21</v>
      </c>
      <c r="D175" s="340" t="s">
        <v>30</v>
      </c>
      <c r="E175" s="340" t="s">
        <v>2565</v>
      </c>
      <c r="F175" s="341">
        <v>45043</v>
      </c>
      <c r="G175" s="341"/>
      <c r="H175" s="341"/>
      <c r="I175" s="341" t="s">
        <v>3</v>
      </c>
      <c r="J175" s="340" t="s">
        <v>5254</v>
      </c>
      <c r="K175" s="340" t="s">
        <v>1287</v>
      </c>
      <c r="L175" s="170">
        <v>45075</v>
      </c>
      <c r="M175" s="177" t="s">
        <v>5334</v>
      </c>
      <c r="N175" s="179">
        <v>45082</v>
      </c>
      <c r="O175" s="178"/>
      <c r="Q175" t="s">
        <v>129</v>
      </c>
      <c r="R175">
        <v>23</v>
      </c>
      <c r="S175">
        <v>45043</v>
      </c>
      <c r="T175" s="194">
        <v>45058.751747685186</v>
      </c>
      <c r="U175" s="194">
        <v>45058.751747685186</v>
      </c>
      <c r="V175" s="288">
        <v>1</v>
      </c>
      <c r="W175" s="200">
        <v>45058.751747685186</v>
      </c>
      <c r="X175" s="200">
        <v>45058.751747685186</v>
      </c>
      <c r="Y175" s="199">
        <v>1</v>
      </c>
      <c r="Z175" s="206">
        <v>45070</v>
      </c>
      <c r="AA175" s="205">
        <v>3</v>
      </c>
      <c r="AB175" s="206">
        <v>45072</v>
      </c>
      <c r="AC175" s="187">
        <v>22</v>
      </c>
      <c r="AD175" s="186"/>
    </row>
    <row r="176" spans="1:30">
      <c r="A176" s="340">
        <f>COUNTA($E$3:E176)</f>
        <v>174</v>
      </c>
      <c r="B176" s="340" t="s">
        <v>5175</v>
      </c>
      <c r="C176" s="340" t="s">
        <v>37</v>
      </c>
      <c r="D176" s="340" t="s">
        <v>30</v>
      </c>
      <c r="E176" s="340" t="s">
        <v>2994</v>
      </c>
      <c r="F176" s="341">
        <v>45051</v>
      </c>
      <c r="G176" s="341"/>
      <c r="H176" s="341"/>
      <c r="I176" s="341" t="s">
        <v>3</v>
      </c>
      <c r="J176" s="340" t="s">
        <v>4624</v>
      </c>
      <c r="K176" s="340" t="s">
        <v>1295</v>
      </c>
      <c r="L176" s="170">
        <v>45075</v>
      </c>
      <c r="M176" s="177" t="s">
        <v>5306</v>
      </c>
      <c r="N176" s="179">
        <v>45108</v>
      </c>
      <c r="O176" s="178"/>
      <c r="Q176" t="s">
        <v>129</v>
      </c>
      <c r="R176">
        <v>17</v>
      </c>
      <c r="S176">
        <v>45051</v>
      </c>
      <c r="T176" s="194">
        <v>45058.579675925925</v>
      </c>
      <c r="U176" s="194">
        <v>45058.579675925925</v>
      </c>
      <c r="V176" s="288">
        <v>1</v>
      </c>
      <c r="W176" s="200">
        <v>45058.579675925925</v>
      </c>
      <c r="X176" s="200">
        <v>45058.579675925925</v>
      </c>
      <c r="Y176" s="199">
        <v>1</v>
      </c>
      <c r="Z176" s="206">
        <v>45058</v>
      </c>
      <c r="AA176" s="205">
        <v>8</v>
      </c>
      <c r="AB176" s="206">
        <v>45069</v>
      </c>
      <c r="AC176" s="187">
        <v>13</v>
      </c>
      <c r="AD176" s="186"/>
    </row>
    <row r="177" spans="1:30">
      <c r="A177" s="340">
        <f>COUNTA($E$3:E177)</f>
        <v>175</v>
      </c>
      <c r="B177" s="340" t="s">
        <v>5176</v>
      </c>
      <c r="C177" s="340" t="s">
        <v>1106</v>
      </c>
      <c r="D177" s="340" t="s">
        <v>58</v>
      </c>
      <c r="E177" s="340" t="s">
        <v>2621</v>
      </c>
      <c r="F177" s="341">
        <v>45051.633308819444</v>
      </c>
      <c r="G177" s="341"/>
      <c r="H177" s="341"/>
      <c r="I177" s="341" t="s">
        <v>3</v>
      </c>
      <c r="J177" s="340" t="s">
        <v>1649</v>
      </c>
      <c r="K177" s="340" t="s">
        <v>1295</v>
      </c>
      <c r="L177" s="170">
        <v>45075</v>
      </c>
      <c r="M177" s="177" t="s">
        <v>5306</v>
      </c>
      <c r="N177" s="179"/>
      <c r="O177" s="178"/>
      <c r="Q177" t="s">
        <v>129</v>
      </c>
      <c r="R177">
        <v>17</v>
      </c>
      <c r="S177">
        <v>45051</v>
      </c>
      <c r="T177" s="194">
        <v>45057.862997685188</v>
      </c>
      <c r="U177" s="194">
        <v>45057.862997685188</v>
      </c>
      <c r="V177" s="288">
        <v>1</v>
      </c>
      <c r="W177" s="200">
        <v>45057.862997685188</v>
      </c>
      <c r="X177" s="200">
        <v>45057.862997685188</v>
      </c>
      <c r="Y177" s="199">
        <v>1</v>
      </c>
      <c r="Z177" s="206">
        <v>45068</v>
      </c>
      <c r="AA177" s="205">
        <v>2</v>
      </c>
      <c r="AB177" s="206">
        <v>45069</v>
      </c>
      <c r="AC177" s="187">
        <v>13</v>
      </c>
      <c r="AD177" s="186"/>
    </row>
    <row r="178" spans="1:30">
      <c r="A178" s="340">
        <f>COUNTA($E$3:E178)</f>
        <v>176</v>
      </c>
      <c r="B178" s="340" t="s">
        <v>5179</v>
      </c>
      <c r="C178" s="340" t="s">
        <v>1233</v>
      </c>
      <c r="D178" s="340" t="s">
        <v>58</v>
      </c>
      <c r="E178" s="340" t="s">
        <v>5180</v>
      </c>
      <c r="F178" s="341">
        <v>45054</v>
      </c>
      <c r="G178" s="341"/>
      <c r="H178" s="341" t="s">
        <v>55</v>
      </c>
      <c r="I178" s="341" t="s">
        <v>3</v>
      </c>
      <c r="J178" s="340" t="s">
        <v>5256</v>
      </c>
      <c r="K178" s="340" t="s">
        <v>2032</v>
      </c>
      <c r="L178" s="170">
        <v>45075</v>
      </c>
      <c r="M178" s="177" t="s">
        <v>3138</v>
      </c>
      <c r="N178" s="179">
        <v>45070</v>
      </c>
      <c r="O178" s="178"/>
      <c r="Q178" t="s">
        <v>22</v>
      </c>
      <c r="R178">
        <v>16</v>
      </c>
      <c r="S178">
        <v>45054</v>
      </c>
      <c r="T178" s="194">
        <v>45056</v>
      </c>
      <c r="U178" s="194">
        <v>45056</v>
      </c>
      <c r="V178" s="288">
        <v>1</v>
      </c>
      <c r="W178" s="200">
        <v>45056</v>
      </c>
      <c r="X178" s="200">
        <v>45069</v>
      </c>
      <c r="Y178" s="199">
        <v>10</v>
      </c>
      <c r="Z178" s="206">
        <v>45069</v>
      </c>
      <c r="AA178" s="205">
        <v>2</v>
      </c>
      <c r="AB178" s="206">
        <v>45070</v>
      </c>
      <c r="AC178" s="187">
        <v>13</v>
      </c>
      <c r="AD178" s="186">
        <v>45070</v>
      </c>
    </row>
    <row r="179" spans="1:30">
      <c r="A179" s="340">
        <f>COUNTA($E$3:E179)</f>
        <v>177</v>
      </c>
      <c r="B179" s="340" t="s">
        <v>5184</v>
      </c>
      <c r="C179" s="340" t="s">
        <v>1092</v>
      </c>
      <c r="D179" s="340" t="s">
        <v>1145</v>
      </c>
      <c r="E179" s="340" t="s">
        <v>4664</v>
      </c>
      <c r="F179" s="341">
        <v>45054.676720682874</v>
      </c>
      <c r="G179" s="341"/>
      <c r="H179" s="341"/>
      <c r="I179" s="341" t="s">
        <v>3</v>
      </c>
      <c r="J179" s="340" t="s">
        <v>4768</v>
      </c>
      <c r="K179" s="340" t="s">
        <v>1287</v>
      </c>
      <c r="L179" s="170">
        <v>45075</v>
      </c>
      <c r="M179" s="177" t="s">
        <v>5335</v>
      </c>
      <c r="N179" s="179">
        <v>45052</v>
      </c>
      <c r="O179" s="178"/>
      <c r="Q179" t="s">
        <v>129</v>
      </c>
      <c r="R179">
        <v>16</v>
      </c>
      <c r="S179">
        <v>45054</v>
      </c>
      <c r="T179" s="194">
        <v>45064.724733796298</v>
      </c>
      <c r="U179" s="194">
        <v>45064.724733796298</v>
      </c>
      <c r="V179" s="288">
        <v>1</v>
      </c>
      <c r="W179" s="200">
        <v>45064.724733796298</v>
      </c>
      <c r="X179" s="200">
        <v>45064.724733796298</v>
      </c>
      <c r="Y179" s="199">
        <v>1</v>
      </c>
      <c r="Z179" s="206">
        <v>45064</v>
      </c>
      <c r="AA179" s="205">
        <v>7</v>
      </c>
      <c r="AB179" s="206">
        <v>45072</v>
      </c>
      <c r="AC179" s="187">
        <v>15</v>
      </c>
      <c r="AD179" s="186"/>
    </row>
    <row r="180" spans="1:30">
      <c r="A180" s="340">
        <f>COUNTA($E$3:E180)</f>
        <v>178</v>
      </c>
      <c r="B180" s="340" t="s">
        <v>5185</v>
      </c>
      <c r="C180" s="340" t="s">
        <v>1092</v>
      </c>
      <c r="D180" s="340" t="s">
        <v>49</v>
      </c>
      <c r="E180" s="340" t="s">
        <v>5186</v>
      </c>
      <c r="F180" s="341">
        <v>45054.678382638886</v>
      </c>
      <c r="G180" s="341"/>
      <c r="H180" s="341"/>
      <c r="I180" s="341" t="s">
        <v>3</v>
      </c>
      <c r="J180" s="340" t="s">
        <v>4768</v>
      </c>
      <c r="K180" s="340" t="s">
        <v>1287</v>
      </c>
      <c r="L180" s="170">
        <v>45075</v>
      </c>
      <c r="M180" s="177" t="s">
        <v>5335</v>
      </c>
      <c r="N180" s="179">
        <v>45052</v>
      </c>
      <c r="O180" s="178"/>
      <c r="Q180" t="s">
        <v>129</v>
      </c>
      <c r="R180">
        <v>16</v>
      </c>
      <c r="S180">
        <v>45054</v>
      </c>
      <c r="T180" s="194">
        <v>45064.72246527778</v>
      </c>
      <c r="U180" s="194">
        <v>45064.72246527778</v>
      </c>
      <c r="V180" s="288">
        <v>1</v>
      </c>
      <c r="W180" s="200">
        <v>45064.72246527778</v>
      </c>
      <c r="X180" s="200">
        <v>45064.72246527778</v>
      </c>
      <c r="Y180" s="199">
        <v>1</v>
      </c>
      <c r="Z180" s="206">
        <v>45064</v>
      </c>
      <c r="AA180" s="205">
        <v>7</v>
      </c>
      <c r="AB180" s="206">
        <v>45072</v>
      </c>
      <c r="AC180" s="187">
        <v>15</v>
      </c>
      <c r="AD180" s="186"/>
    </row>
    <row r="181" spans="1:30">
      <c r="A181" s="340">
        <f>COUNTA($E$3:E181)</f>
        <v>179</v>
      </c>
      <c r="B181" s="340" t="s">
        <v>5190</v>
      </c>
      <c r="C181" s="340" t="s">
        <v>1092</v>
      </c>
      <c r="D181" s="340" t="s">
        <v>51</v>
      </c>
      <c r="E181" s="340" t="s">
        <v>3169</v>
      </c>
      <c r="F181" s="341">
        <v>45054</v>
      </c>
      <c r="G181" s="341"/>
      <c r="H181" s="341"/>
      <c r="I181" s="341" t="s">
        <v>2</v>
      </c>
      <c r="J181" s="340" t="s">
        <v>5258</v>
      </c>
      <c r="K181" s="340" t="s">
        <v>1295</v>
      </c>
      <c r="L181" s="170">
        <v>45075</v>
      </c>
      <c r="M181" s="177" t="s">
        <v>5307</v>
      </c>
      <c r="N181" s="179">
        <v>45075</v>
      </c>
      <c r="O181" s="178"/>
      <c r="Q181" t="s">
        <v>129</v>
      </c>
      <c r="R181">
        <v>16</v>
      </c>
      <c r="S181">
        <v>44713</v>
      </c>
      <c r="T181" s="194">
        <v>44720</v>
      </c>
      <c r="U181" s="194">
        <v>45047</v>
      </c>
      <c r="V181" s="288">
        <v>234</v>
      </c>
      <c r="W181" s="200">
        <v>45047</v>
      </c>
      <c r="X181" s="200">
        <v>45047</v>
      </c>
      <c r="Y181" s="199">
        <v>1</v>
      </c>
      <c r="Z181" s="206">
        <v>45061</v>
      </c>
      <c r="AA181" s="205">
        <v>7</v>
      </c>
      <c r="AB181" s="206">
        <v>45069</v>
      </c>
      <c r="AC181" s="187">
        <v>255</v>
      </c>
      <c r="AD181" s="186"/>
    </row>
    <row r="182" spans="1:30">
      <c r="A182" s="340">
        <f>COUNTA($E$3:E182)</f>
        <v>180</v>
      </c>
      <c r="B182" s="340" t="s">
        <v>5207</v>
      </c>
      <c r="C182" s="340" t="s">
        <v>5208</v>
      </c>
      <c r="D182" s="340" t="s">
        <v>4310</v>
      </c>
      <c r="E182" s="340" t="s">
        <v>5209</v>
      </c>
      <c r="F182" s="341">
        <v>45056</v>
      </c>
      <c r="G182" s="341"/>
      <c r="H182" s="341"/>
      <c r="I182" s="341" t="s">
        <v>4</v>
      </c>
      <c r="J182" s="340"/>
      <c r="K182" s="340" t="s">
        <v>24</v>
      </c>
      <c r="L182" s="170">
        <v>45075</v>
      </c>
      <c r="M182" s="177" t="s">
        <v>5308</v>
      </c>
      <c r="N182" s="179">
        <v>45076</v>
      </c>
      <c r="O182" s="178"/>
      <c r="Q182" t="s">
        <v>22</v>
      </c>
      <c r="R182">
        <v>14</v>
      </c>
      <c r="S182">
        <v>45056</v>
      </c>
      <c r="T182" s="194">
        <v>45068.501006944447</v>
      </c>
      <c r="U182" s="194">
        <v>45068.501006944447</v>
      </c>
      <c r="V182" s="288">
        <v>1</v>
      </c>
      <c r="W182" s="200">
        <v>45068.501006944447</v>
      </c>
      <c r="X182" s="200">
        <v>45068.501006944447</v>
      </c>
      <c r="Y182" s="199">
        <v>1</v>
      </c>
      <c r="Z182" s="206">
        <v>45068</v>
      </c>
      <c r="AA182" s="205">
        <v>6</v>
      </c>
      <c r="AB182" s="206">
        <v>45075</v>
      </c>
      <c r="AC182" s="187">
        <v>14</v>
      </c>
      <c r="AD182" s="186">
        <v>45076</v>
      </c>
    </row>
    <row r="183" spans="1:30">
      <c r="A183" s="340">
        <f>COUNTA($E$3:E183)</f>
        <v>181</v>
      </c>
      <c r="B183" s="340" t="s">
        <v>5210</v>
      </c>
      <c r="C183" s="340" t="s">
        <v>3296</v>
      </c>
      <c r="D183" s="340" t="s">
        <v>36</v>
      </c>
      <c r="E183" s="340" t="s">
        <v>3525</v>
      </c>
      <c r="F183" s="341">
        <v>45057</v>
      </c>
      <c r="G183" s="341"/>
      <c r="H183" s="341"/>
      <c r="I183" s="341" t="s">
        <v>3</v>
      </c>
      <c r="J183" s="340"/>
      <c r="K183" s="340" t="s">
        <v>1296</v>
      </c>
      <c r="L183" s="170">
        <v>45075</v>
      </c>
      <c r="M183" s="177" t="s">
        <v>5334</v>
      </c>
      <c r="N183" s="179">
        <v>45072</v>
      </c>
      <c r="O183" s="178"/>
      <c r="Q183" t="s">
        <v>129</v>
      </c>
      <c r="R183">
        <v>13</v>
      </c>
      <c r="S183">
        <v>45057</v>
      </c>
      <c r="T183" s="194">
        <v>45071.501574074071</v>
      </c>
      <c r="U183" s="194">
        <v>45071.501574074071</v>
      </c>
      <c r="V183" s="288">
        <v>1</v>
      </c>
      <c r="W183" s="200">
        <v>45071.501574074071</v>
      </c>
      <c r="X183" s="200">
        <v>45071.501574074071</v>
      </c>
      <c r="Y183" s="199">
        <v>1</v>
      </c>
      <c r="Z183" s="206">
        <v>45071</v>
      </c>
      <c r="AA183" s="205">
        <v>2</v>
      </c>
      <c r="AB183" s="206">
        <v>45072</v>
      </c>
      <c r="AC183" s="187">
        <v>12</v>
      </c>
      <c r="AD183" s="186"/>
    </row>
    <row r="184" spans="1:30">
      <c r="A184" s="340">
        <f>COUNTA($E$3:E184)</f>
        <v>182</v>
      </c>
      <c r="B184" s="340" t="s">
        <v>5273</v>
      </c>
      <c r="C184" s="340" t="s">
        <v>40</v>
      </c>
      <c r="D184" s="340" t="s">
        <v>3179</v>
      </c>
      <c r="E184" s="340" t="s">
        <v>5274</v>
      </c>
      <c r="F184" s="341">
        <v>45055.773506944446</v>
      </c>
      <c r="G184" s="341"/>
      <c r="H184" s="341"/>
      <c r="I184" s="341" t="s">
        <v>3</v>
      </c>
      <c r="J184" s="340"/>
      <c r="K184" s="340" t="s">
        <v>1287</v>
      </c>
      <c r="L184" s="170">
        <v>45075</v>
      </c>
      <c r="M184" s="177" t="s">
        <v>5334</v>
      </c>
      <c r="N184" s="179">
        <v>45072</v>
      </c>
      <c r="O184" s="178"/>
      <c r="Q184" t="s">
        <v>129</v>
      </c>
      <c r="R184">
        <v>15</v>
      </c>
      <c r="T184" s="194"/>
      <c r="U184" s="194"/>
      <c r="V184" s="288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40">
        <f>COUNTA($E$3:E185)</f>
        <v>183</v>
      </c>
      <c r="B185" s="340" t="s">
        <v>5298</v>
      </c>
      <c r="C185" s="340" t="s">
        <v>65</v>
      </c>
      <c r="D185" s="340" t="s">
        <v>1103</v>
      </c>
      <c r="E185" s="340" t="s">
        <v>3642</v>
      </c>
      <c r="F185" s="341">
        <v>45057.596990740742</v>
      </c>
      <c r="G185" s="341"/>
      <c r="H185" s="341"/>
      <c r="I185" s="341" t="s">
        <v>3</v>
      </c>
      <c r="J185" s="340"/>
      <c r="K185" s="340" t="s">
        <v>1294</v>
      </c>
      <c r="L185" s="170">
        <v>45075</v>
      </c>
      <c r="M185" s="177" t="s">
        <v>3140</v>
      </c>
      <c r="N185" s="179">
        <v>45083</v>
      </c>
      <c r="O185" s="178"/>
      <c r="Q185" t="s">
        <v>22</v>
      </c>
      <c r="R185">
        <v>13</v>
      </c>
      <c r="T185" s="194"/>
      <c r="U185" s="194"/>
      <c r="V185" s="288"/>
      <c r="W185" s="200"/>
      <c r="X185" s="200"/>
      <c r="Y185" s="199"/>
      <c r="Z185" s="206"/>
      <c r="AA185" s="205"/>
      <c r="AB185" s="206"/>
      <c r="AC185" s="187"/>
      <c r="AD185" s="186">
        <v>45083</v>
      </c>
    </row>
    <row r="186" spans="1:30">
      <c r="A186" s="340">
        <f>COUNTA($E$3:E186)</f>
        <v>184</v>
      </c>
      <c r="B186" s="340" t="s">
        <v>4853</v>
      </c>
      <c r="C186" s="340" t="s">
        <v>1752</v>
      </c>
      <c r="D186" s="340" t="s">
        <v>1123</v>
      </c>
      <c r="E186" s="340" t="s">
        <v>4854</v>
      </c>
      <c r="F186" s="341">
        <v>44994</v>
      </c>
      <c r="G186" s="341">
        <v>45061</v>
      </c>
      <c r="H186" s="341">
        <v>45005</v>
      </c>
      <c r="I186" s="341" t="s">
        <v>2</v>
      </c>
      <c r="J186" s="340" t="s">
        <v>4855</v>
      </c>
      <c r="K186" s="340"/>
      <c r="L186" s="170">
        <v>45068</v>
      </c>
      <c r="M186" s="177" t="s">
        <v>5279</v>
      </c>
      <c r="N186" s="179">
        <v>45076</v>
      </c>
      <c r="O186" s="178"/>
      <c r="Q186" t="s">
        <v>22</v>
      </c>
      <c r="R186">
        <v>53</v>
      </c>
      <c r="T186" s="194"/>
      <c r="U186" s="194"/>
      <c r="V186" s="288"/>
      <c r="W186" s="200"/>
      <c r="X186" s="200"/>
      <c r="Y186" s="199"/>
      <c r="Z186" s="206"/>
      <c r="AA186" s="205"/>
      <c r="AB186" s="206"/>
      <c r="AC186" s="187"/>
      <c r="AD186" s="186">
        <v>45076</v>
      </c>
    </row>
    <row r="187" spans="1:30">
      <c r="A187" s="340">
        <f>COUNTA($E$3:E187)</f>
        <v>185</v>
      </c>
      <c r="B187" s="340" t="s">
        <v>5138</v>
      </c>
      <c r="C187" s="340" t="s">
        <v>41</v>
      </c>
      <c r="D187" s="340" t="s">
        <v>49</v>
      </c>
      <c r="E187" s="340" t="s">
        <v>2719</v>
      </c>
      <c r="F187" s="341">
        <v>45042.543129432874</v>
      </c>
      <c r="G187" s="341"/>
      <c r="H187" s="341"/>
      <c r="I187" s="341" t="s">
        <v>2</v>
      </c>
      <c r="J187" s="340" t="s">
        <v>5253</v>
      </c>
      <c r="K187" s="340"/>
      <c r="L187" s="170">
        <v>45068</v>
      </c>
      <c r="M187" s="177" t="s">
        <v>5280</v>
      </c>
      <c r="N187" s="179">
        <v>45083</v>
      </c>
      <c r="O187" s="178"/>
      <c r="Q187" t="s">
        <v>22</v>
      </c>
      <c r="R187">
        <v>19</v>
      </c>
      <c r="T187" s="194"/>
      <c r="U187" s="194"/>
      <c r="V187" s="288"/>
      <c r="W187" s="200"/>
      <c r="X187" s="200"/>
      <c r="Y187" s="199"/>
      <c r="Z187" s="206"/>
      <c r="AA187" s="205"/>
      <c r="AB187" s="206"/>
      <c r="AC187" s="187"/>
      <c r="AD187" s="186">
        <v>45083</v>
      </c>
    </row>
    <row r="188" spans="1:30">
      <c r="A188" s="340">
        <f>COUNTA($E$3:E188)</f>
        <v>186</v>
      </c>
      <c r="B188" s="340" t="s">
        <v>5189</v>
      </c>
      <c r="C188" s="340" t="s">
        <v>1092</v>
      </c>
      <c r="D188" s="340" t="s">
        <v>51</v>
      </c>
      <c r="E188" s="340" t="s">
        <v>4522</v>
      </c>
      <c r="F188" s="341">
        <v>45054.683086666664</v>
      </c>
      <c r="G188" s="341"/>
      <c r="H188" s="341"/>
      <c r="I188" s="341" t="s">
        <v>3</v>
      </c>
      <c r="J188" s="340" t="s">
        <v>2153</v>
      </c>
      <c r="K188" s="340" t="s">
        <v>1062</v>
      </c>
      <c r="L188" s="170">
        <v>45068</v>
      </c>
      <c r="M188" s="177" t="s">
        <v>5270</v>
      </c>
      <c r="N188" s="179">
        <v>45075</v>
      </c>
      <c r="O188" s="178"/>
      <c r="Q188" t="s">
        <v>129</v>
      </c>
      <c r="R188">
        <v>11</v>
      </c>
      <c r="T188" s="194"/>
      <c r="U188" s="194"/>
      <c r="V188" s="288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40">
        <f>COUNTA($E$3:E189)</f>
        <v>187</v>
      </c>
      <c r="B189" s="340" t="s">
        <v>5200</v>
      </c>
      <c r="C189" s="340" t="s">
        <v>41</v>
      </c>
      <c r="D189" s="340" t="s">
        <v>30</v>
      </c>
      <c r="E189" s="340" t="s">
        <v>1640</v>
      </c>
      <c r="F189" s="341">
        <v>45055.547175925924</v>
      </c>
      <c r="G189" s="341"/>
      <c r="H189" s="341"/>
      <c r="I189" s="341" t="s">
        <v>3</v>
      </c>
      <c r="J189" s="340" t="s">
        <v>1212</v>
      </c>
      <c r="K189" s="340" t="s">
        <v>1296</v>
      </c>
      <c r="L189" s="170">
        <v>45068</v>
      </c>
      <c r="M189" s="177" t="s">
        <v>5277</v>
      </c>
      <c r="N189" s="179">
        <v>45147</v>
      </c>
      <c r="O189" s="178"/>
      <c r="Q189" t="s">
        <v>129</v>
      </c>
      <c r="R189">
        <v>10</v>
      </c>
      <c r="T189" s="194"/>
      <c r="U189" s="194"/>
      <c r="V189" s="288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40">
        <f>COUNTA($E$3:E190)</f>
        <v>188</v>
      </c>
      <c r="B190" s="340" t="s">
        <v>5222</v>
      </c>
      <c r="C190" s="340" t="s">
        <v>3299</v>
      </c>
      <c r="D190" s="340" t="s">
        <v>58</v>
      </c>
      <c r="E190" s="340" t="s">
        <v>5223</v>
      </c>
      <c r="F190" s="341">
        <v>45057</v>
      </c>
      <c r="G190" s="341"/>
      <c r="H190" s="341"/>
      <c r="I190" s="341" t="s">
        <v>3</v>
      </c>
      <c r="J190" s="340" t="s">
        <v>4768</v>
      </c>
      <c r="K190" s="340" t="s">
        <v>1296</v>
      </c>
      <c r="L190" s="170">
        <v>45068</v>
      </c>
      <c r="M190" s="177" t="s">
        <v>5275</v>
      </c>
      <c r="N190" s="179">
        <v>45068</v>
      </c>
      <c r="O190" s="178"/>
      <c r="Q190" t="s">
        <v>129</v>
      </c>
      <c r="R190">
        <v>8</v>
      </c>
      <c r="T190" s="194"/>
      <c r="U190" s="194"/>
      <c r="V190" s="288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40">
        <f>COUNTA($E$3:E191)</f>
        <v>189</v>
      </c>
      <c r="B191" s="340" t="s">
        <v>5224</v>
      </c>
      <c r="C191" s="340" t="s">
        <v>3299</v>
      </c>
      <c r="D191" s="340" t="s">
        <v>16</v>
      </c>
      <c r="E191" s="340" t="s">
        <v>5225</v>
      </c>
      <c r="F191" s="341">
        <v>45058</v>
      </c>
      <c r="G191" s="341"/>
      <c r="H191" s="341"/>
      <c r="I191" s="341" t="s">
        <v>3</v>
      </c>
      <c r="J191" s="340" t="s">
        <v>4768</v>
      </c>
      <c r="K191" s="340" t="s">
        <v>1296</v>
      </c>
      <c r="L191" s="170">
        <v>45068</v>
      </c>
      <c r="M191" s="177" t="s">
        <v>5276</v>
      </c>
      <c r="N191" s="179">
        <v>45068</v>
      </c>
      <c r="O191" s="178"/>
      <c r="Q191" t="s">
        <v>129</v>
      </c>
      <c r="R191">
        <v>7</v>
      </c>
      <c r="T191" s="194"/>
      <c r="U191" s="194"/>
      <c r="V191" s="288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40">
        <f>COUNTA($E$3:E192)</f>
        <v>190</v>
      </c>
      <c r="B192" s="340" t="s">
        <v>4913</v>
      </c>
      <c r="C192" s="340" t="s">
        <v>41</v>
      </c>
      <c r="D192" s="340" t="s">
        <v>49</v>
      </c>
      <c r="E192" s="340" t="s">
        <v>4914</v>
      </c>
      <c r="F192" s="341">
        <v>45008</v>
      </c>
      <c r="G192" s="341"/>
      <c r="H192" s="341" t="s">
        <v>66</v>
      </c>
      <c r="I192" s="341" t="s">
        <v>2</v>
      </c>
      <c r="J192" s="340" t="s">
        <v>4915</v>
      </c>
      <c r="K192" s="340" t="s">
        <v>20</v>
      </c>
      <c r="L192" s="170">
        <v>45061</v>
      </c>
      <c r="M192" s="177" t="s">
        <v>5227</v>
      </c>
      <c r="N192" s="179">
        <v>45057</v>
      </c>
      <c r="O192" s="178"/>
      <c r="Q192" t="s">
        <v>22</v>
      </c>
      <c r="R192">
        <v>38</v>
      </c>
      <c r="T192" s="194"/>
      <c r="U192" s="194"/>
      <c r="V192" s="288"/>
      <c r="W192" s="200"/>
      <c r="X192" s="200"/>
      <c r="Y192" s="199"/>
      <c r="Z192" s="206"/>
      <c r="AA192" s="205"/>
      <c r="AB192" s="206"/>
      <c r="AC192" s="187"/>
      <c r="AD192" s="186">
        <v>45057</v>
      </c>
    </row>
    <row r="193" spans="1:30">
      <c r="A193" s="340">
        <f>COUNTA($E$3:E193)</f>
        <v>191</v>
      </c>
      <c r="B193" s="340" t="s">
        <v>5136</v>
      </c>
      <c r="C193" s="340" t="s">
        <v>4637</v>
      </c>
      <c r="D193" s="340" t="s">
        <v>1124</v>
      </c>
      <c r="E193" s="340" t="s">
        <v>5137</v>
      </c>
      <c r="F193" s="341">
        <v>45042</v>
      </c>
      <c r="G193" s="341">
        <v>45058</v>
      </c>
      <c r="H193" s="341">
        <v>45050</v>
      </c>
      <c r="I193" s="341" t="s">
        <v>3</v>
      </c>
      <c r="J193" s="340"/>
      <c r="K193" s="340" t="s">
        <v>103</v>
      </c>
      <c r="L193" s="170">
        <v>45061</v>
      </c>
      <c r="M193" s="177" t="s">
        <v>5228</v>
      </c>
      <c r="N193" s="179">
        <v>45061</v>
      </c>
      <c r="O193" s="178"/>
      <c r="Q193" t="s">
        <v>22</v>
      </c>
      <c r="R193">
        <v>14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>
        <v>45061</v>
      </c>
    </row>
    <row r="194" spans="1:30">
      <c r="A194" s="340">
        <f>COUNTA($E$3:E194)</f>
        <v>192</v>
      </c>
      <c r="B194" s="340" t="s">
        <v>5143</v>
      </c>
      <c r="C194" s="340" t="s">
        <v>37</v>
      </c>
      <c r="D194" s="340" t="s">
        <v>30</v>
      </c>
      <c r="E194" s="340" t="s">
        <v>4927</v>
      </c>
      <c r="F194" s="341">
        <v>45043.453528298611</v>
      </c>
      <c r="G194" s="341"/>
      <c r="H194" s="341"/>
      <c r="I194" s="341" t="s">
        <v>3</v>
      </c>
      <c r="J194" s="340"/>
      <c r="K194" s="340"/>
      <c r="L194" s="170">
        <v>45061</v>
      </c>
      <c r="M194" s="177" t="s">
        <v>5221</v>
      </c>
      <c r="N194" s="179">
        <v>45068</v>
      </c>
      <c r="O194" s="178"/>
      <c r="Q194" t="s">
        <v>129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40">
        <f>COUNTA($E$3:E195)</f>
        <v>193</v>
      </c>
      <c r="B195" s="340" t="s">
        <v>5170</v>
      </c>
      <c r="C195" s="340" t="s">
        <v>2315</v>
      </c>
      <c r="D195" s="340" t="s">
        <v>58</v>
      </c>
      <c r="E195" s="340" t="s">
        <v>2316</v>
      </c>
      <c r="F195" s="341">
        <v>45055</v>
      </c>
      <c r="G195" s="341"/>
      <c r="H195" s="341"/>
      <c r="I195" s="341" t="s">
        <v>3</v>
      </c>
      <c r="J195" s="340"/>
      <c r="K195" s="340" t="s">
        <v>54</v>
      </c>
      <c r="L195" s="170">
        <v>45061</v>
      </c>
      <c r="M195" s="177" t="s">
        <v>5229</v>
      </c>
      <c r="N195" s="179">
        <v>45054</v>
      </c>
      <c r="O195" s="178"/>
      <c r="Q195" t="s">
        <v>129</v>
      </c>
      <c r="R195">
        <v>5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40">
        <f>COUNTA($E$3:E196)</f>
        <v>194</v>
      </c>
      <c r="B196" s="340" t="s">
        <v>5197</v>
      </c>
      <c r="C196" s="340" t="s">
        <v>105</v>
      </c>
      <c r="D196" s="340" t="s">
        <v>45</v>
      </c>
      <c r="E196" s="340" t="s">
        <v>5198</v>
      </c>
      <c r="F196" s="341">
        <v>45057.493819444448</v>
      </c>
      <c r="G196" s="341"/>
      <c r="H196" s="341"/>
      <c r="I196" s="341" t="s">
        <v>4</v>
      </c>
      <c r="J196" s="340" t="s">
        <v>4624</v>
      </c>
      <c r="K196" s="340" t="s">
        <v>287</v>
      </c>
      <c r="L196" s="170">
        <v>45061</v>
      </c>
      <c r="M196" s="177" t="s">
        <v>3046</v>
      </c>
      <c r="N196" s="179">
        <v>45083</v>
      </c>
      <c r="O196" s="178"/>
      <c r="Q196" t="s">
        <v>22</v>
      </c>
      <c r="R196">
        <v>3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>
      <c r="A197" s="340">
        <f>COUNTA($E$3:E197)</f>
        <v>195</v>
      </c>
      <c r="B197" s="340" t="s">
        <v>5102</v>
      </c>
      <c r="C197" s="340" t="s">
        <v>2431</v>
      </c>
      <c r="D197" s="340" t="s">
        <v>19</v>
      </c>
      <c r="E197" s="340" t="s">
        <v>3523</v>
      </c>
      <c r="F197" s="341">
        <v>45035</v>
      </c>
      <c r="G197" s="341"/>
      <c r="H197" s="341"/>
      <c r="I197" s="341" t="s">
        <v>2</v>
      </c>
      <c r="J197" s="340"/>
      <c r="K197" s="340" t="s">
        <v>1287</v>
      </c>
      <c r="L197" s="170">
        <v>45054</v>
      </c>
      <c r="M197" s="177" t="s">
        <v>2953</v>
      </c>
      <c r="N197" s="179">
        <v>45050</v>
      </c>
      <c r="O197" s="178"/>
      <c r="Q197" t="s">
        <v>129</v>
      </c>
      <c r="R197">
        <v>19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40">
        <f>COUNTA($E$3:E198)</f>
        <v>196</v>
      </c>
      <c r="B198" s="340" t="s">
        <v>5139</v>
      </c>
      <c r="C198" s="340" t="s">
        <v>2431</v>
      </c>
      <c r="D198" s="340" t="s">
        <v>36</v>
      </c>
      <c r="E198" s="340" t="s">
        <v>3123</v>
      </c>
      <c r="F198" s="341">
        <v>44704</v>
      </c>
      <c r="G198" s="341">
        <v>45012</v>
      </c>
      <c r="H198" s="341">
        <v>44714</v>
      </c>
      <c r="I198" s="341" t="s">
        <v>2</v>
      </c>
      <c r="J198" s="340" t="s">
        <v>5140</v>
      </c>
      <c r="K198" s="340" t="s">
        <v>24</v>
      </c>
      <c r="L198" s="170">
        <v>45054</v>
      </c>
      <c r="M198" s="177" t="s">
        <v>5182</v>
      </c>
      <c r="N198" s="179">
        <v>45055</v>
      </c>
      <c r="O198" s="178"/>
      <c r="Q198" t="s">
        <v>22</v>
      </c>
      <c r="R198">
        <v>350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>
        <v>45055</v>
      </c>
    </row>
    <row r="199" spans="1:30">
      <c r="A199" s="340">
        <f>COUNTA($E$3:E199)</f>
        <v>197</v>
      </c>
      <c r="B199" s="340" t="s">
        <v>5141</v>
      </c>
      <c r="C199" s="340" t="s">
        <v>37</v>
      </c>
      <c r="D199" s="340" t="s">
        <v>27</v>
      </c>
      <c r="E199" s="340" t="s">
        <v>4720</v>
      </c>
      <c r="F199" s="341">
        <v>45043.449482129632</v>
      </c>
      <c r="G199" s="341"/>
      <c r="H199" s="341"/>
      <c r="I199" s="341" t="s">
        <v>4</v>
      </c>
      <c r="J199" s="340"/>
      <c r="K199" s="340" t="s">
        <v>1287</v>
      </c>
      <c r="L199" s="170">
        <v>45054</v>
      </c>
      <c r="M199" s="177" t="s">
        <v>5181</v>
      </c>
      <c r="N199" s="179">
        <v>45054</v>
      </c>
      <c r="O199" s="178"/>
      <c r="Q199" t="s">
        <v>129</v>
      </c>
      <c r="R199">
        <v>11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40">
        <f>COUNTA($E$3:E200)</f>
        <v>198</v>
      </c>
      <c r="B200" s="340" t="s">
        <v>5142</v>
      </c>
      <c r="C200" s="340" t="s">
        <v>37</v>
      </c>
      <c r="D200" s="340" t="s">
        <v>34</v>
      </c>
      <c r="E200" s="340" t="s">
        <v>1807</v>
      </c>
      <c r="F200" s="341">
        <v>45043.451997083335</v>
      </c>
      <c r="G200" s="341"/>
      <c r="H200" s="341"/>
      <c r="I200" s="341" t="s">
        <v>3</v>
      </c>
      <c r="J200" s="340"/>
      <c r="K200" s="340" t="s">
        <v>1287</v>
      </c>
      <c r="L200" s="170">
        <v>45054</v>
      </c>
      <c r="M200" s="177" t="s">
        <v>3005</v>
      </c>
      <c r="N200" s="179">
        <v>45068</v>
      </c>
      <c r="O200" s="178"/>
      <c r="Q200" t="s">
        <v>129</v>
      </c>
      <c r="R200">
        <v>11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>
      <c r="A201" s="340">
        <f>COUNTA($E$3:E201)</f>
        <v>199</v>
      </c>
      <c r="B201" s="340" t="s">
        <v>5154</v>
      </c>
      <c r="C201" s="340" t="s">
        <v>41</v>
      </c>
      <c r="D201" s="340" t="s">
        <v>32</v>
      </c>
      <c r="E201" s="340" t="s">
        <v>1282</v>
      </c>
      <c r="F201" s="341">
        <v>45045</v>
      </c>
      <c r="G201" s="341"/>
      <c r="H201" s="341"/>
      <c r="I201" s="341" t="s">
        <v>1110</v>
      </c>
      <c r="J201" s="340"/>
      <c r="K201" s="340" t="s">
        <v>1296</v>
      </c>
      <c r="L201" s="170">
        <v>45054</v>
      </c>
      <c r="M201" s="177" t="s">
        <v>5181</v>
      </c>
      <c r="N201" s="179">
        <v>45147</v>
      </c>
      <c r="O201" s="178"/>
      <c r="Q201" t="s">
        <v>129</v>
      </c>
      <c r="R201">
        <v>9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40">
        <f>COUNTA($E$3:E202)</f>
        <v>200</v>
      </c>
      <c r="B202" s="340" t="s">
        <v>5155</v>
      </c>
      <c r="C202" s="340" t="s">
        <v>41</v>
      </c>
      <c r="D202" s="340" t="s">
        <v>32</v>
      </c>
      <c r="E202" s="340" t="s">
        <v>2695</v>
      </c>
      <c r="F202" s="341">
        <v>45045</v>
      </c>
      <c r="G202" s="341"/>
      <c r="H202" s="341"/>
      <c r="I202" s="341" t="s">
        <v>1110</v>
      </c>
      <c r="J202" s="340"/>
      <c r="K202" s="340" t="s">
        <v>1296</v>
      </c>
      <c r="L202" s="170">
        <v>45054</v>
      </c>
      <c r="M202" s="177" t="s">
        <v>5181</v>
      </c>
      <c r="N202" s="179">
        <v>45147</v>
      </c>
      <c r="O202" s="178"/>
      <c r="Q202" t="s">
        <v>129</v>
      </c>
      <c r="R202">
        <v>9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40">
        <f>COUNTA($E$3:E203)</f>
        <v>201</v>
      </c>
      <c r="B203" s="340" t="s">
        <v>5156</v>
      </c>
      <c r="C203" s="340" t="s">
        <v>41</v>
      </c>
      <c r="D203" s="340" t="s">
        <v>51</v>
      </c>
      <c r="E203" s="340" t="s">
        <v>4516</v>
      </c>
      <c r="F203" s="341">
        <v>45045</v>
      </c>
      <c r="G203" s="341"/>
      <c r="H203" s="341"/>
      <c r="I203" s="341" t="s">
        <v>1110</v>
      </c>
      <c r="J203" s="340"/>
      <c r="K203" s="340" t="s">
        <v>1296</v>
      </c>
      <c r="L203" s="170">
        <v>45054</v>
      </c>
      <c r="M203" s="177" t="s">
        <v>5181</v>
      </c>
      <c r="N203" s="179">
        <v>45147</v>
      </c>
      <c r="O203" s="178"/>
      <c r="Q203" t="s">
        <v>129</v>
      </c>
      <c r="R203">
        <v>9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40">
        <f>COUNTA($E$3:E204)</f>
        <v>202</v>
      </c>
      <c r="B204" s="340" t="s">
        <v>5157</v>
      </c>
      <c r="C204" s="340" t="s">
        <v>41</v>
      </c>
      <c r="D204" s="340" t="s">
        <v>56</v>
      </c>
      <c r="E204" s="340" t="s">
        <v>3068</v>
      </c>
      <c r="F204" s="341">
        <v>45045</v>
      </c>
      <c r="G204" s="341"/>
      <c r="H204" s="341"/>
      <c r="I204" s="341" t="s">
        <v>1110</v>
      </c>
      <c r="J204" s="340"/>
      <c r="K204" s="340" t="s">
        <v>1296</v>
      </c>
      <c r="L204" s="170">
        <v>45054</v>
      </c>
      <c r="M204" s="177" t="s">
        <v>5181</v>
      </c>
      <c r="N204" s="179">
        <v>45147</v>
      </c>
      <c r="O204" s="178"/>
      <c r="Q204" t="s">
        <v>129</v>
      </c>
      <c r="R204">
        <v>9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40">
        <f>COUNTA($E$3:E205)</f>
        <v>203</v>
      </c>
      <c r="B205" s="340" t="s">
        <v>5158</v>
      </c>
      <c r="C205" s="340" t="s">
        <v>41</v>
      </c>
      <c r="D205" s="340" t="s">
        <v>1125</v>
      </c>
      <c r="E205" s="340" t="s">
        <v>2879</v>
      </c>
      <c r="F205" s="341">
        <v>45045</v>
      </c>
      <c r="G205" s="341"/>
      <c r="H205" s="341"/>
      <c r="I205" s="341" t="s">
        <v>1110</v>
      </c>
      <c r="J205" s="340"/>
      <c r="K205" s="340" t="s">
        <v>1296</v>
      </c>
      <c r="L205" s="170">
        <v>45054</v>
      </c>
      <c r="M205" s="177" t="s">
        <v>5181</v>
      </c>
      <c r="N205" s="179">
        <v>45147</v>
      </c>
      <c r="O205" s="178"/>
      <c r="Q205" t="s">
        <v>129</v>
      </c>
      <c r="R205">
        <v>9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40">
        <f>COUNTA($E$3:E206)</f>
        <v>204</v>
      </c>
      <c r="B206" s="340" t="s">
        <v>5159</v>
      </c>
      <c r="C206" s="340" t="s">
        <v>40</v>
      </c>
      <c r="D206" s="340" t="s">
        <v>1123</v>
      </c>
      <c r="E206" s="340" t="s">
        <v>5160</v>
      </c>
      <c r="F206" s="341">
        <v>45045</v>
      </c>
      <c r="G206" s="341"/>
      <c r="H206" s="341"/>
      <c r="I206" s="341" t="s">
        <v>1110</v>
      </c>
      <c r="J206" s="340"/>
      <c r="K206" s="340" t="s">
        <v>1296</v>
      </c>
      <c r="L206" s="170">
        <v>45054</v>
      </c>
      <c r="M206" s="177" t="s">
        <v>5181</v>
      </c>
      <c r="N206" s="179">
        <v>45064</v>
      </c>
      <c r="O206" s="178"/>
      <c r="Q206" t="s">
        <v>129</v>
      </c>
      <c r="R206">
        <v>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40">
        <f>COUNTA($E$3:E207)</f>
        <v>205</v>
      </c>
      <c r="B207" s="340" t="s">
        <v>5161</v>
      </c>
      <c r="C207" s="340" t="s">
        <v>41</v>
      </c>
      <c r="D207" s="340" t="s">
        <v>32</v>
      </c>
      <c r="E207" s="340" t="s">
        <v>1159</v>
      </c>
      <c r="F207" s="341">
        <v>45045</v>
      </c>
      <c r="G207" s="341"/>
      <c r="H207" s="341"/>
      <c r="I207" s="341" t="s">
        <v>1110</v>
      </c>
      <c r="J207" s="340"/>
      <c r="K207" s="340" t="s">
        <v>1296</v>
      </c>
      <c r="L207" s="170">
        <v>45054</v>
      </c>
      <c r="M207" s="177" t="s">
        <v>5181</v>
      </c>
      <c r="N207" s="179">
        <v>45147</v>
      </c>
      <c r="O207" s="178"/>
      <c r="Q207" t="s">
        <v>129</v>
      </c>
      <c r="R207">
        <v>9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40">
        <f>COUNTA($E$3:E208)</f>
        <v>206</v>
      </c>
      <c r="B208" s="340" t="s">
        <v>5162</v>
      </c>
      <c r="C208" s="340" t="s">
        <v>41</v>
      </c>
      <c r="D208" s="340" t="s">
        <v>51</v>
      </c>
      <c r="E208" s="340" t="s">
        <v>4607</v>
      </c>
      <c r="F208" s="341">
        <v>45045</v>
      </c>
      <c r="G208" s="341"/>
      <c r="H208" s="341"/>
      <c r="I208" s="341" t="s">
        <v>1110</v>
      </c>
      <c r="J208" s="340"/>
      <c r="K208" s="340" t="s">
        <v>1296</v>
      </c>
      <c r="L208" s="170">
        <v>45054</v>
      </c>
      <c r="M208" s="177" t="s">
        <v>5181</v>
      </c>
      <c r="N208" s="179">
        <v>45147</v>
      </c>
      <c r="O208" s="178"/>
      <c r="Q208" t="s">
        <v>129</v>
      </c>
      <c r="R208">
        <v>9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40">
        <f>COUNTA($E$3:E209)</f>
        <v>207</v>
      </c>
      <c r="B209" s="340" t="s">
        <v>5163</v>
      </c>
      <c r="C209" s="340" t="s">
        <v>41</v>
      </c>
      <c r="D209" s="340" t="s">
        <v>1193</v>
      </c>
      <c r="E209" s="340" t="s">
        <v>4257</v>
      </c>
      <c r="F209" s="341">
        <v>45045</v>
      </c>
      <c r="G209" s="341"/>
      <c r="H209" s="341"/>
      <c r="I209" s="341" t="s">
        <v>1110</v>
      </c>
      <c r="J209" s="340"/>
      <c r="K209" s="340" t="s">
        <v>1296</v>
      </c>
      <c r="L209" s="170">
        <v>45054</v>
      </c>
      <c r="M209" s="177" t="s">
        <v>5181</v>
      </c>
      <c r="N209" s="179">
        <v>45147</v>
      </c>
      <c r="O209" s="178"/>
      <c r="Q209" t="s">
        <v>129</v>
      </c>
      <c r="R209">
        <v>9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40">
        <f>COUNTA($E$3:E210)</f>
        <v>208</v>
      </c>
      <c r="B210" s="340" t="s">
        <v>5174</v>
      </c>
      <c r="C210" s="340" t="s">
        <v>41</v>
      </c>
      <c r="D210" s="340" t="s">
        <v>25</v>
      </c>
      <c r="E210" s="340" t="s">
        <v>1199</v>
      </c>
      <c r="F210" s="341">
        <v>45051.629629629628</v>
      </c>
      <c r="G210" s="341"/>
      <c r="H210" s="341"/>
      <c r="I210" s="341" t="s">
        <v>3</v>
      </c>
      <c r="J210" s="340" t="s">
        <v>1485</v>
      </c>
      <c r="K210" s="340" t="s">
        <v>1287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2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40">
        <f>COUNTA($E$3:E211)</f>
        <v>209</v>
      </c>
      <c r="B211" s="340" t="s">
        <v>5178</v>
      </c>
      <c r="C211" s="340" t="s">
        <v>299</v>
      </c>
      <c r="D211" s="340" t="s">
        <v>16</v>
      </c>
      <c r="E211" s="340" t="s">
        <v>1049</v>
      </c>
      <c r="F211" s="341">
        <v>45051.633308819444</v>
      </c>
      <c r="G211" s="341"/>
      <c r="H211" s="341"/>
      <c r="I211" s="341"/>
      <c r="J211" s="340"/>
      <c r="K211" s="340" t="s">
        <v>18</v>
      </c>
      <c r="L211" s="170">
        <v>45054</v>
      </c>
      <c r="M211" s="177" t="s">
        <v>5183</v>
      </c>
      <c r="N211" s="179">
        <v>45056</v>
      </c>
      <c r="O211" s="178"/>
      <c r="Q211" t="s">
        <v>22</v>
      </c>
      <c r="R211">
        <v>2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>
        <v>45056</v>
      </c>
    </row>
    <row r="212" spans="1:30">
      <c r="A212" s="340">
        <f>COUNTA($E$3:E212)</f>
        <v>210</v>
      </c>
      <c r="B212" s="340" t="s">
        <v>5068</v>
      </c>
      <c r="C212" s="340" t="s">
        <v>1246</v>
      </c>
      <c r="D212" s="340" t="s">
        <v>16</v>
      </c>
      <c r="E212" s="340" t="s">
        <v>4193</v>
      </c>
      <c r="F212" s="341">
        <v>44859</v>
      </c>
      <c r="G212" s="341"/>
      <c r="H212" s="341"/>
      <c r="I212" s="341" t="s">
        <v>2</v>
      </c>
      <c r="J212" s="340" t="s">
        <v>5069</v>
      </c>
      <c r="K212" s="340"/>
      <c r="L212" s="170">
        <v>45047</v>
      </c>
      <c r="M212" s="177" t="s">
        <v>5153</v>
      </c>
      <c r="N212" s="179">
        <v>45056</v>
      </c>
      <c r="O212" s="178"/>
      <c r="Q212" t="s">
        <v>22</v>
      </c>
      <c r="R212">
        <v>188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>
        <v>45056</v>
      </c>
    </row>
    <row r="213" spans="1:30">
      <c r="A213" s="340">
        <f>COUNTA($E$3:E213)</f>
        <v>211</v>
      </c>
      <c r="B213" s="340" t="s">
        <v>5057</v>
      </c>
      <c r="C213" s="340" t="s">
        <v>37</v>
      </c>
      <c r="D213" s="340" t="s">
        <v>34</v>
      </c>
      <c r="E213" s="340" t="s">
        <v>1963</v>
      </c>
      <c r="F213" s="341">
        <v>45027.820123993057</v>
      </c>
      <c r="G213" s="341"/>
      <c r="H213" s="341"/>
      <c r="I213" s="341" t="s">
        <v>2</v>
      </c>
      <c r="J213" s="340"/>
      <c r="K213" s="340" t="s">
        <v>1287</v>
      </c>
      <c r="L213" s="170">
        <v>45047</v>
      </c>
      <c r="M213" s="177" t="s">
        <v>5133</v>
      </c>
      <c r="N213" s="179">
        <v>45041</v>
      </c>
      <c r="O213" s="178"/>
      <c r="Q213" t="s">
        <v>129</v>
      </c>
      <c r="R213">
        <v>19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40">
        <f>COUNTA($E$3:E214)</f>
        <v>212</v>
      </c>
      <c r="B214" s="340" t="s">
        <v>5009</v>
      </c>
      <c r="C214" s="340" t="s">
        <v>4253</v>
      </c>
      <c r="D214" s="340" t="s">
        <v>38</v>
      </c>
      <c r="E214" s="340" t="s">
        <v>3750</v>
      </c>
      <c r="F214" s="341">
        <v>45019</v>
      </c>
      <c r="G214" s="341"/>
      <c r="H214" s="341">
        <v>45026</v>
      </c>
      <c r="I214" s="341" t="s">
        <v>2</v>
      </c>
      <c r="J214" s="340" t="s">
        <v>1485</v>
      </c>
      <c r="K214" s="340" t="s">
        <v>287</v>
      </c>
      <c r="L214" s="170">
        <v>45047</v>
      </c>
      <c r="M214" s="177" t="s">
        <v>5130</v>
      </c>
      <c r="N214" s="179"/>
      <c r="O214" s="178"/>
      <c r="Q214" t="s">
        <v>129</v>
      </c>
      <c r="R214">
        <v>28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40">
        <f>COUNTA($E$3:E215)</f>
        <v>213</v>
      </c>
      <c r="B215" s="340" t="s">
        <v>4753</v>
      </c>
      <c r="C215" s="340" t="s">
        <v>2726</v>
      </c>
      <c r="D215" s="340" t="s">
        <v>1080</v>
      </c>
      <c r="E215" s="340" t="s">
        <v>4754</v>
      </c>
      <c r="F215" s="341">
        <v>44972</v>
      </c>
      <c r="G215" s="341"/>
      <c r="H215" s="341" t="s">
        <v>55</v>
      </c>
      <c r="I215" s="341" t="s">
        <v>2</v>
      </c>
      <c r="J215" s="340" t="s">
        <v>3253</v>
      </c>
      <c r="K215" s="340"/>
      <c r="L215" s="170">
        <v>45047</v>
      </c>
      <c r="M215" s="177" t="s">
        <v>5391</v>
      </c>
      <c r="N215" s="179">
        <v>45070</v>
      </c>
      <c r="O215" s="178"/>
      <c r="Q215" t="s">
        <v>22</v>
      </c>
      <c r="R215">
        <v>75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>
        <v>45070</v>
      </c>
    </row>
    <row r="216" spans="1:30">
      <c r="A216" s="340">
        <f>COUNTA($E$3:E216)</f>
        <v>214</v>
      </c>
      <c r="B216" s="340" t="s">
        <v>5123</v>
      </c>
      <c r="C216" s="340" t="s">
        <v>1119</v>
      </c>
      <c r="D216" s="340" t="s">
        <v>64</v>
      </c>
      <c r="E216" s="340" t="s">
        <v>4835</v>
      </c>
      <c r="F216" s="341">
        <v>45040.466239189816</v>
      </c>
      <c r="G216" s="341"/>
      <c r="H216" s="341"/>
      <c r="I216" s="341" t="s">
        <v>3</v>
      </c>
      <c r="J216" s="340"/>
      <c r="K216" s="340" t="s">
        <v>1295</v>
      </c>
      <c r="L216" s="170">
        <v>45047</v>
      </c>
      <c r="M216" s="177" t="s">
        <v>5146</v>
      </c>
      <c r="N216" s="179">
        <v>45040</v>
      </c>
      <c r="O216" s="178"/>
      <c r="Q216" t="s">
        <v>129</v>
      </c>
      <c r="R216">
        <v>7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40">
        <f>COUNTA($E$3:E217)</f>
        <v>215</v>
      </c>
      <c r="B217" s="340" t="s">
        <v>5110</v>
      </c>
      <c r="C217" s="340" t="s">
        <v>109</v>
      </c>
      <c r="D217" s="340" t="s">
        <v>16</v>
      </c>
      <c r="E217" s="340" t="s">
        <v>5111</v>
      </c>
      <c r="F217" s="341">
        <v>45037.719680243055</v>
      </c>
      <c r="G217" s="341"/>
      <c r="H217" s="341"/>
      <c r="I217" s="341" t="s">
        <v>3</v>
      </c>
      <c r="J217" s="340"/>
      <c r="K217" s="340" t="s">
        <v>1295</v>
      </c>
      <c r="L217" s="170">
        <v>45047</v>
      </c>
      <c r="M217" s="177" t="s">
        <v>5148</v>
      </c>
      <c r="N217" s="179">
        <v>45040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40">
        <f>COUNTA($E$3:E218)</f>
        <v>216</v>
      </c>
      <c r="B218" s="340" t="s">
        <v>5098</v>
      </c>
      <c r="C218" s="340" t="s">
        <v>37</v>
      </c>
      <c r="D218" s="340" t="s">
        <v>30</v>
      </c>
      <c r="E218" s="340" t="s">
        <v>5099</v>
      </c>
      <c r="F218" s="341">
        <v>45034.762278483795</v>
      </c>
      <c r="G218" s="341"/>
      <c r="H218" s="341"/>
      <c r="I218" s="341" t="s">
        <v>3</v>
      </c>
      <c r="J218" s="340"/>
      <c r="K218" s="340" t="s">
        <v>1287</v>
      </c>
      <c r="L218" s="170">
        <v>45047</v>
      </c>
      <c r="M218" s="177" t="s">
        <v>5147</v>
      </c>
      <c r="N218" s="179">
        <v>45041</v>
      </c>
      <c r="O218" s="178"/>
      <c r="Q218" t="s">
        <v>129</v>
      </c>
      <c r="R218">
        <v>12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40">
        <f>COUNTA($E$3:E219)</f>
        <v>217</v>
      </c>
      <c r="B219" s="340" t="s">
        <v>5097</v>
      </c>
      <c r="C219" s="340" t="s">
        <v>37</v>
      </c>
      <c r="D219" s="340" t="s">
        <v>30</v>
      </c>
      <c r="E219" s="340" t="s">
        <v>3371</v>
      </c>
      <c r="F219" s="341">
        <v>45034.761691412037</v>
      </c>
      <c r="G219" s="341"/>
      <c r="H219" s="341"/>
      <c r="I219" s="341" t="s">
        <v>3</v>
      </c>
      <c r="J219" s="340"/>
      <c r="K219" s="340" t="s">
        <v>1295</v>
      </c>
      <c r="L219" s="170">
        <v>45047</v>
      </c>
      <c r="M219" s="177" t="s">
        <v>5146</v>
      </c>
      <c r="N219" s="179">
        <v>45041</v>
      </c>
      <c r="O219" s="178"/>
      <c r="Q219" t="s">
        <v>129</v>
      </c>
      <c r="R219">
        <v>12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40">
        <f>COUNTA($E$3:E220)</f>
        <v>218</v>
      </c>
      <c r="B220" s="340" t="s">
        <v>5090</v>
      </c>
      <c r="C220" s="340" t="s">
        <v>21</v>
      </c>
      <c r="D220" s="340" t="s">
        <v>34</v>
      </c>
      <c r="E220" s="340" t="s">
        <v>5091</v>
      </c>
      <c r="F220" s="341">
        <v>45034.534218182867</v>
      </c>
      <c r="G220" s="341"/>
      <c r="H220" s="341"/>
      <c r="I220" s="341" t="s">
        <v>3</v>
      </c>
      <c r="J220" s="340"/>
      <c r="K220" s="340" t="s">
        <v>1296</v>
      </c>
      <c r="L220" s="170">
        <v>45047</v>
      </c>
      <c r="M220" s="177" t="s">
        <v>5131</v>
      </c>
      <c r="N220" s="179">
        <v>45064</v>
      </c>
      <c r="O220" s="178"/>
      <c r="Q220" t="s">
        <v>129</v>
      </c>
      <c r="R220">
        <v>12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40">
        <f>COUNTA($E$3:E221)</f>
        <v>219</v>
      </c>
      <c r="B221" s="340" t="s">
        <v>5055</v>
      </c>
      <c r="C221" s="340" t="s">
        <v>2315</v>
      </c>
      <c r="D221" s="340" t="s">
        <v>30</v>
      </c>
      <c r="E221" s="340" t="s">
        <v>2317</v>
      </c>
      <c r="F221" s="341">
        <v>45027.815383217596</v>
      </c>
      <c r="G221" s="341"/>
      <c r="H221" s="341"/>
      <c r="I221" s="341" t="s">
        <v>3</v>
      </c>
      <c r="J221" s="340"/>
      <c r="K221" s="340" t="s">
        <v>1296</v>
      </c>
      <c r="L221" s="170">
        <v>45047</v>
      </c>
      <c r="M221" s="177" t="s">
        <v>5132</v>
      </c>
      <c r="N221" s="179">
        <v>45050</v>
      </c>
      <c r="O221" s="178"/>
      <c r="Q221" t="s">
        <v>129</v>
      </c>
      <c r="R221">
        <v>19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40">
        <f>COUNTA($E$3:E222)</f>
        <v>220</v>
      </c>
      <c r="B222" s="340" t="s">
        <v>5015</v>
      </c>
      <c r="C222" s="340" t="s">
        <v>21</v>
      </c>
      <c r="D222" s="340" t="s">
        <v>30</v>
      </c>
      <c r="E222" s="340" t="s">
        <v>5016</v>
      </c>
      <c r="F222" s="341">
        <v>45019.717126597221</v>
      </c>
      <c r="G222" s="341"/>
      <c r="H222" s="341"/>
      <c r="I222" s="341" t="s">
        <v>3</v>
      </c>
      <c r="J222" s="340"/>
      <c r="K222" s="340" t="s">
        <v>1295</v>
      </c>
      <c r="L222" s="170">
        <v>45047</v>
      </c>
      <c r="M222" s="177" t="s">
        <v>5131</v>
      </c>
      <c r="N222" s="179">
        <v>45043</v>
      </c>
      <c r="O222" s="178"/>
      <c r="Q222" t="s">
        <v>129</v>
      </c>
      <c r="R222">
        <v>27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40">
        <f>COUNTA($E$3:E223)</f>
        <v>221</v>
      </c>
      <c r="B223" s="340" t="s">
        <v>5095</v>
      </c>
      <c r="C223" s="340" t="s">
        <v>37</v>
      </c>
      <c r="D223" s="340" t="s">
        <v>27</v>
      </c>
      <c r="E223" s="340" t="s">
        <v>2702</v>
      </c>
      <c r="F223" s="341">
        <v>45034.760385914349</v>
      </c>
      <c r="G223" s="341"/>
      <c r="H223" s="341"/>
      <c r="I223" s="341" t="s">
        <v>4</v>
      </c>
      <c r="J223" s="340"/>
      <c r="K223" s="340" t="s">
        <v>1287</v>
      </c>
      <c r="L223" s="170">
        <v>45047</v>
      </c>
      <c r="M223" s="177" t="s">
        <v>5145</v>
      </c>
      <c r="N223" s="179">
        <v>45041</v>
      </c>
      <c r="O223" s="178"/>
      <c r="Q223" t="s">
        <v>129</v>
      </c>
      <c r="R223">
        <v>12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40">
        <f>COUNTA($E$3:E224)</f>
        <v>222</v>
      </c>
      <c r="B224" s="340" t="s">
        <v>5093</v>
      </c>
      <c r="C224" s="340" t="s">
        <v>37</v>
      </c>
      <c r="D224" s="340" t="s">
        <v>27</v>
      </c>
      <c r="E224" s="340" t="s">
        <v>5094</v>
      </c>
      <c r="F224" s="341">
        <v>45034.759824351851</v>
      </c>
      <c r="G224" s="341"/>
      <c r="H224" s="341"/>
      <c r="I224" s="341" t="s">
        <v>4</v>
      </c>
      <c r="J224" s="340"/>
      <c r="K224" s="340" t="s">
        <v>1287</v>
      </c>
      <c r="L224" s="170">
        <v>45047</v>
      </c>
      <c r="M224" s="177" t="s">
        <v>5145</v>
      </c>
      <c r="N224" s="179">
        <v>45041</v>
      </c>
      <c r="O224" s="178"/>
      <c r="Q224" t="s">
        <v>129</v>
      </c>
      <c r="R224">
        <v>12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40">
        <f>COUNTA($E$3:E225)</f>
        <v>223</v>
      </c>
      <c r="B225" s="340" t="s">
        <v>5063</v>
      </c>
      <c r="C225" s="340" t="s">
        <v>41</v>
      </c>
      <c r="D225" s="340" t="s">
        <v>16</v>
      </c>
      <c r="E225" s="340" t="s">
        <v>1188</v>
      </c>
      <c r="F225" s="341">
        <v>45029.637663518515</v>
      </c>
      <c r="G225" s="341"/>
      <c r="H225" s="341"/>
      <c r="I225" s="341" t="s">
        <v>1110</v>
      </c>
      <c r="J225" s="340"/>
      <c r="K225" s="340" t="s">
        <v>1296</v>
      </c>
      <c r="L225" s="170">
        <v>45040</v>
      </c>
      <c r="M225" s="177" t="s">
        <v>5105</v>
      </c>
      <c r="N225" s="179">
        <v>45147</v>
      </c>
      <c r="O225" s="178"/>
      <c r="Q225" t="s">
        <v>129</v>
      </c>
      <c r="R225">
        <v>10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40">
        <f>COUNTA($E$3:E226)</f>
        <v>224</v>
      </c>
      <c r="B226" s="340" t="s">
        <v>5061</v>
      </c>
      <c r="C226" s="340" t="s">
        <v>41</v>
      </c>
      <c r="D226" s="340" t="s">
        <v>34</v>
      </c>
      <c r="E226" s="340" t="s">
        <v>5062</v>
      </c>
      <c r="F226" s="341">
        <v>45029.628496770834</v>
      </c>
      <c r="G226" s="341"/>
      <c r="H226" s="341"/>
      <c r="I226" s="341" t="s">
        <v>1110</v>
      </c>
      <c r="J226" s="340"/>
      <c r="K226" s="340" t="s">
        <v>1296</v>
      </c>
      <c r="L226" s="170">
        <v>45040</v>
      </c>
      <c r="M226" s="177" t="s">
        <v>5105</v>
      </c>
      <c r="N226" s="179">
        <v>45147</v>
      </c>
      <c r="O226" s="178"/>
      <c r="Q226" t="s">
        <v>129</v>
      </c>
      <c r="R226">
        <v>10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40">
        <f>COUNTA($E$3:E227)</f>
        <v>225</v>
      </c>
      <c r="B227" s="340" t="s">
        <v>5039</v>
      </c>
      <c r="C227" s="340" t="s">
        <v>1197</v>
      </c>
      <c r="D227" s="340" t="s">
        <v>38</v>
      </c>
      <c r="E227" s="340" t="s">
        <v>3526</v>
      </c>
      <c r="F227" s="341">
        <v>45023.722749988425</v>
      </c>
      <c r="G227" s="341"/>
      <c r="H227" s="341"/>
      <c r="I227" s="341" t="s">
        <v>2</v>
      </c>
      <c r="J227" s="340"/>
      <c r="K227" s="340" t="s">
        <v>1294</v>
      </c>
      <c r="L227" s="170">
        <v>45040</v>
      </c>
      <c r="M227" s="177" t="s">
        <v>5106</v>
      </c>
      <c r="N227" s="179">
        <v>45037</v>
      </c>
      <c r="O227" s="178"/>
      <c r="Q227" t="s">
        <v>22</v>
      </c>
      <c r="R227">
        <v>16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>
        <v>45037</v>
      </c>
    </row>
    <row r="228" spans="1:30">
      <c r="A228" s="340">
        <f>COUNTA($E$3:E228)</f>
        <v>226</v>
      </c>
      <c r="B228" s="340" t="s">
        <v>4820</v>
      </c>
      <c r="C228" s="340" t="s">
        <v>1119</v>
      </c>
      <c r="D228" s="340" t="s">
        <v>38</v>
      </c>
      <c r="E228" s="340" t="s">
        <v>2007</v>
      </c>
      <c r="F228" s="341">
        <v>44984</v>
      </c>
      <c r="G228" s="341">
        <v>45022</v>
      </c>
      <c r="H228" s="341">
        <v>44986</v>
      </c>
      <c r="I228" s="341" t="s">
        <v>2</v>
      </c>
      <c r="J228" s="340" t="s">
        <v>1724</v>
      </c>
      <c r="K228" s="340" t="s">
        <v>1296</v>
      </c>
      <c r="L228" s="170">
        <v>45040</v>
      </c>
      <c r="M228" s="177" t="s">
        <v>5086</v>
      </c>
      <c r="N228" s="179">
        <v>45036</v>
      </c>
      <c r="O228" s="178"/>
      <c r="Q228" t="s">
        <v>129</v>
      </c>
      <c r="R228">
        <v>56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>
      <c r="A229" s="340">
        <f>COUNTA($E$3:E229)</f>
        <v>227</v>
      </c>
      <c r="B229" s="340" t="s">
        <v>4933</v>
      </c>
      <c r="C229" s="340" t="s">
        <v>21</v>
      </c>
      <c r="D229" s="340" t="s">
        <v>23</v>
      </c>
      <c r="E229" s="340" t="s">
        <v>1925</v>
      </c>
      <c r="F229" s="341">
        <v>45007</v>
      </c>
      <c r="G229" s="341"/>
      <c r="H229" s="341"/>
      <c r="I229" s="341" t="s">
        <v>2</v>
      </c>
      <c r="J229" s="340"/>
      <c r="K229" s="340" t="s">
        <v>1287</v>
      </c>
      <c r="L229" s="170">
        <v>45040</v>
      </c>
      <c r="M229" s="177" t="s">
        <v>5087</v>
      </c>
      <c r="N229" s="179">
        <v>45034</v>
      </c>
      <c r="O229" s="178"/>
      <c r="Q229" t="s">
        <v>129</v>
      </c>
      <c r="R229">
        <v>33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40">
        <f>COUNTA($E$3:E230)</f>
        <v>228</v>
      </c>
      <c r="B230" s="340" t="s">
        <v>4967</v>
      </c>
      <c r="C230" s="340" t="s">
        <v>41</v>
      </c>
      <c r="D230" s="340" t="s">
        <v>30</v>
      </c>
      <c r="E230" s="340" t="s">
        <v>2970</v>
      </c>
      <c r="F230" s="341">
        <v>45014</v>
      </c>
      <c r="G230" s="341"/>
      <c r="H230" s="341" t="s">
        <v>66</v>
      </c>
      <c r="I230" s="341" t="s">
        <v>2</v>
      </c>
      <c r="J230" s="340" t="s">
        <v>4968</v>
      </c>
      <c r="K230" s="340" t="s">
        <v>1294</v>
      </c>
      <c r="L230" s="170">
        <v>45040</v>
      </c>
      <c r="M230" s="177" t="s">
        <v>5112</v>
      </c>
      <c r="N230" s="179">
        <v>45083</v>
      </c>
      <c r="O230" s="178"/>
      <c r="Q230" t="s">
        <v>22</v>
      </c>
      <c r="R230">
        <v>26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>
        <v>45083</v>
      </c>
    </row>
    <row r="231" spans="1:30">
      <c r="A231" s="340">
        <f>COUNTA($E$3:E231)</f>
        <v>229</v>
      </c>
      <c r="B231" s="340" t="s">
        <v>4757</v>
      </c>
      <c r="C231" s="340" t="s">
        <v>41</v>
      </c>
      <c r="D231" s="340" t="s">
        <v>1103</v>
      </c>
      <c r="E231" s="340" t="s">
        <v>4255</v>
      </c>
      <c r="F231" s="341">
        <v>44970</v>
      </c>
      <c r="G231" s="341"/>
      <c r="H231" s="341"/>
      <c r="I231" s="341" t="s">
        <v>2</v>
      </c>
      <c r="J231" s="340" t="s">
        <v>4830</v>
      </c>
      <c r="K231" s="340" t="s">
        <v>1295</v>
      </c>
      <c r="L231" s="170">
        <v>45040</v>
      </c>
      <c r="M231" s="177" t="s">
        <v>5107</v>
      </c>
      <c r="N231" s="179">
        <v>45020</v>
      </c>
      <c r="O231" s="178"/>
      <c r="Q231" t="s">
        <v>129</v>
      </c>
      <c r="R231">
        <v>70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>
        <v>45020</v>
      </c>
    </row>
    <row r="232" spans="1:30">
      <c r="A232" s="340">
        <f>COUNTA($E$3:E232)</f>
        <v>230</v>
      </c>
      <c r="B232" s="340" t="s">
        <v>4971</v>
      </c>
      <c r="C232" s="340" t="s">
        <v>37</v>
      </c>
      <c r="D232" s="340" t="s">
        <v>30</v>
      </c>
      <c r="E232" s="340" t="s">
        <v>1209</v>
      </c>
      <c r="F232" s="341">
        <v>45009</v>
      </c>
      <c r="G232" s="341"/>
      <c r="H232" s="341"/>
      <c r="I232" s="341" t="s">
        <v>3</v>
      </c>
      <c r="J232" s="340" t="s">
        <v>4972</v>
      </c>
      <c r="K232" s="340" t="s">
        <v>1295</v>
      </c>
      <c r="L232" s="170">
        <v>45040</v>
      </c>
      <c r="M232" s="177" t="s">
        <v>5104</v>
      </c>
      <c r="N232" s="179"/>
      <c r="O232" s="178"/>
      <c r="Q232" t="s">
        <v>129</v>
      </c>
      <c r="R232">
        <v>31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40">
        <f>COUNTA($E$3:E233)</f>
        <v>231</v>
      </c>
      <c r="B233" s="340" t="s">
        <v>5023</v>
      </c>
      <c r="C233" s="340" t="s">
        <v>37</v>
      </c>
      <c r="D233" s="340" t="s">
        <v>30</v>
      </c>
      <c r="E233" s="340" t="s">
        <v>3487</v>
      </c>
      <c r="F233" s="341">
        <v>45020.713293692126</v>
      </c>
      <c r="G233" s="341"/>
      <c r="H233" s="341"/>
      <c r="I233" s="341" t="s">
        <v>3</v>
      </c>
      <c r="J233" s="340"/>
      <c r="K233" s="340" t="s">
        <v>1295</v>
      </c>
      <c r="L233" s="170">
        <v>45040</v>
      </c>
      <c r="M233" s="177" t="s">
        <v>5113</v>
      </c>
      <c r="N233" s="179"/>
      <c r="O233" s="178"/>
      <c r="Q233" t="s">
        <v>129</v>
      </c>
      <c r="R233">
        <v>19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40">
        <f>COUNTA($E$3:E234)</f>
        <v>232</v>
      </c>
      <c r="B234" s="340" t="s">
        <v>5024</v>
      </c>
      <c r="C234" s="340" t="s">
        <v>37</v>
      </c>
      <c r="D234" s="340" t="s">
        <v>30</v>
      </c>
      <c r="E234" s="340" t="s">
        <v>3380</v>
      </c>
      <c r="F234" s="341">
        <v>45020.713823761573</v>
      </c>
      <c r="G234" s="341"/>
      <c r="H234" s="341"/>
      <c r="I234" s="341" t="s">
        <v>3</v>
      </c>
      <c r="J234" s="340"/>
      <c r="K234" s="340" t="s">
        <v>1295</v>
      </c>
      <c r="L234" s="170">
        <v>45040</v>
      </c>
      <c r="M234" s="177" t="s">
        <v>5114</v>
      </c>
      <c r="N234" s="179">
        <v>45092</v>
      </c>
      <c r="O234" s="178"/>
      <c r="Q234" t="s">
        <v>129</v>
      </c>
      <c r="R234">
        <v>19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40">
        <f>COUNTA($E$3:E235)</f>
        <v>233</v>
      </c>
      <c r="B235" s="340" t="s">
        <v>5054</v>
      </c>
      <c r="C235" s="340" t="s">
        <v>41</v>
      </c>
      <c r="D235" s="340" t="s">
        <v>49</v>
      </c>
      <c r="E235" s="340" t="s">
        <v>1088</v>
      </c>
      <c r="F235" s="341">
        <v>45027.656533379632</v>
      </c>
      <c r="G235" s="341"/>
      <c r="H235" s="341"/>
      <c r="I235" s="341" t="s">
        <v>3</v>
      </c>
      <c r="J235" s="340"/>
      <c r="K235" s="340" t="s">
        <v>1295</v>
      </c>
      <c r="L235" s="170">
        <v>45040</v>
      </c>
      <c r="M235" s="177" t="s">
        <v>5115</v>
      </c>
      <c r="N235" s="179">
        <v>45029</v>
      </c>
      <c r="O235" s="178"/>
      <c r="Q235" t="s">
        <v>129</v>
      </c>
      <c r="R235">
        <v>12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40">
        <f>COUNTA($E$3:E236)</f>
        <v>234</v>
      </c>
      <c r="B236" s="340" t="s">
        <v>5096</v>
      </c>
      <c r="C236" s="340" t="s">
        <v>37</v>
      </c>
      <c r="D236" s="340" t="s">
        <v>34</v>
      </c>
      <c r="E236" s="340" t="s">
        <v>3366</v>
      </c>
      <c r="F236" s="341">
        <v>45034.761204444447</v>
      </c>
      <c r="G236" s="341"/>
      <c r="H236" s="341"/>
      <c r="I236" s="341" t="s">
        <v>3</v>
      </c>
      <c r="J236" s="340"/>
      <c r="K236" s="340" t="s">
        <v>1296</v>
      </c>
      <c r="L236" s="170">
        <v>45040</v>
      </c>
      <c r="M236" s="177" t="s">
        <v>5109</v>
      </c>
      <c r="N236" s="179">
        <v>45042</v>
      </c>
      <c r="O236" s="178"/>
      <c r="Q236" t="s">
        <v>129</v>
      </c>
      <c r="R236">
        <v>5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40">
        <f>COUNTA($E$3:E237)</f>
        <v>235</v>
      </c>
      <c r="B237" s="340" t="s">
        <v>5056</v>
      </c>
      <c r="C237" s="340" t="s">
        <v>37</v>
      </c>
      <c r="D237" s="340" t="s">
        <v>30</v>
      </c>
      <c r="E237" s="340" t="s">
        <v>3368</v>
      </c>
      <c r="F237" s="341">
        <v>45028.768826631946</v>
      </c>
      <c r="G237" s="341"/>
      <c r="H237" s="341"/>
      <c r="I237" s="341" t="s">
        <v>3</v>
      </c>
      <c r="J237" s="340" t="s">
        <v>1212</v>
      </c>
      <c r="K237" s="340" t="s">
        <v>1287</v>
      </c>
      <c r="L237" s="170">
        <v>45040</v>
      </c>
      <c r="M237" s="177" t="s">
        <v>5088</v>
      </c>
      <c r="N237" s="179">
        <v>45030</v>
      </c>
      <c r="O237" s="178"/>
      <c r="Q237" t="s">
        <v>129</v>
      </c>
      <c r="R237">
        <v>11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40">
        <f>COUNTA($E$3:E238)</f>
        <v>236</v>
      </c>
      <c r="B238" s="340" t="s">
        <v>5073</v>
      </c>
      <c r="C238" s="340" t="s">
        <v>21</v>
      </c>
      <c r="D238" s="340" t="s">
        <v>34</v>
      </c>
      <c r="E238" s="340" t="s">
        <v>1682</v>
      </c>
      <c r="F238" s="341">
        <v>45030.560689479164</v>
      </c>
      <c r="G238" s="341"/>
      <c r="H238" s="341"/>
      <c r="I238" s="341" t="s">
        <v>3</v>
      </c>
      <c r="J238" s="340"/>
      <c r="K238" s="340" t="s">
        <v>1296</v>
      </c>
      <c r="L238" s="170">
        <v>45040</v>
      </c>
      <c r="M238" s="177" t="s">
        <v>5109</v>
      </c>
      <c r="N238" s="179">
        <v>45162</v>
      </c>
      <c r="O238" s="178"/>
      <c r="Q238" t="s">
        <v>129</v>
      </c>
      <c r="R238">
        <v>9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40">
        <f>COUNTA($E$3:E239)</f>
        <v>237</v>
      </c>
      <c r="B239" s="340" t="s">
        <v>5076</v>
      </c>
      <c r="C239" s="340" t="s">
        <v>41</v>
      </c>
      <c r="D239" s="340" t="s">
        <v>31</v>
      </c>
      <c r="E239" s="340" t="s">
        <v>3111</v>
      </c>
      <c r="F239" s="341">
        <v>45030.643825196756</v>
      </c>
      <c r="G239" s="341"/>
      <c r="H239" s="341"/>
      <c r="I239" s="341" t="s">
        <v>3</v>
      </c>
      <c r="J239" s="340"/>
      <c r="K239" s="340" t="s">
        <v>1295</v>
      </c>
      <c r="L239" s="170">
        <v>45040</v>
      </c>
      <c r="M239" s="177" t="s">
        <v>5104</v>
      </c>
      <c r="N239" s="179">
        <v>45147</v>
      </c>
      <c r="O239" s="178"/>
      <c r="Q239" t="s">
        <v>129</v>
      </c>
      <c r="R239">
        <v>9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40">
        <f>COUNTA($E$3:E240)</f>
        <v>238</v>
      </c>
      <c r="B240" s="340" t="s">
        <v>5092</v>
      </c>
      <c r="C240" s="340" t="s">
        <v>2675</v>
      </c>
      <c r="D240" s="340" t="s">
        <v>2683</v>
      </c>
      <c r="E240" s="340" t="s">
        <v>2684</v>
      </c>
      <c r="F240" s="341">
        <v>45034.758705300927</v>
      </c>
      <c r="G240" s="341"/>
      <c r="H240" s="341"/>
      <c r="I240" s="341" t="s">
        <v>3</v>
      </c>
      <c r="J240" s="340"/>
      <c r="K240" s="340" t="s">
        <v>1295</v>
      </c>
      <c r="L240" s="170">
        <v>45040</v>
      </c>
      <c r="M240" s="177" t="s">
        <v>5116</v>
      </c>
      <c r="N240" s="179">
        <v>45147</v>
      </c>
      <c r="O240" s="178"/>
      <c r="Q240" t="s">
        <v>129</v>
      </c>
      <c r="R240">
        <v>5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/>
    </row>
    <row r="241" spans="1:30">
      <c r="A241" s="340">
        <f>COUNTA($E$3:E241)</f>
        <v>239</v>
      </c>
      <c r="B241" s="340" t="s">
        <v>5050</v>
      </c>
      <c r="C241" s="340" t="s">
        <v>71</v>
      </c>
      <c r="D241" s="340" t="s">
        <v>49</v>
      </c>
      <c r="E241" s="340" t="s">
        <v>5051</v>
      </c>
      <c r="F241" s="341">
        <v>45027.699392650466</v>
      </c>
      <c r="G241" s="341"/>
      <c r="H241" s="341"/>
      <c r="I241" s="341" t="s">
        <v>3</v>
      </c>
      <c r="J241" s="340"/>
      <c r="K241" s="340" t="s">
        <v>1295</v>
      </c>
      <c r="L241" s="170">
        <v>45040</v>
      </c>
      <c r="M241" s="177" t="s">
        <v>5104</v>
      </c>
      <c r="N241" s="179">
        <v>45034</v>
      </c>
      <c r="O241" s="178"/>
      <c r="Q241" t="s">
        <v>129</v>
      </c>
      <c r="R241">
        <v>12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40">
        <f>COUNTA($E$3:E242)</f>
        <v>240</v>
      </c>
      <c r="B242" s="340" t="s">
        <v>5022</v>
      </c>
      <c r="C242" s="340" t="s">
        <v>37</v>
      </c>
      <c r="D242" s="340" t="s">
        <v>30</v>
      </c>
      <c r="E242" s="340" t="s">
        <v>2994</v>
      </c>
      <c r="F242" s="341">
        <v>45020.712262187502</v>
      </c>
      <c r="G242" s="341"/>
      <c r="H242" s="341"/>
      <c r="I242" s="341" t="s">
        <v>2</v>
      </c>
      <c r="J242" s="340"/>
      <c r="K242" s="340" t="s">
        <v>1296</v>
      </c>
      <c r="L242" s="170">
        <v>45033</v>
      </c>
      <c r="M242" s="177" t="s">
        <v>5080</v>
      </c>
      <c r="N242" s="179">
        <v>45051</v>
      </c>
      <c r="O242" s="178"/>
      <c r="Q242" t="s">
        <v>129</v>
      </c>
      <c r="R242">
        <v>12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>
        <v>45051</v>
      </c>
    </row>
    <row r="243" spans="1:30">
      <c r="A243" s="340">
        <f>COUNTA($E$3:E243)</f>
        <v>241</v>
      </c>
      <c r="B243" s="340" t="s">
        <v>4934</v>
      </c>
      <c r="C243" s="340" t="s">
        <v>21</v>
      </c>
      <c r="D243" s="340" t="s">
        <v>34</v>
      </c>
      <c r="E243" s="340" t="s">
        <v>4935</v>
      </c>
      <c r="F243" s="341">
        <v>45007</v>
      </c>
      <c r="G243" s="341"/>
      <c r="H243" s="341"/>
      <c r="I243" s="341" t="s">
        <v>2</v>
      </c>
      <c r="J243" s="340"/>
      <c r="K243" s="340" t="s">
        <v>1287</v>
      </c>
      <c r="L243" s="170">
        <v>45033</v>
      </c>
      <c r="M243" s="177" t="s">
        <v>2811</v>
      </c>
      <c r="N243" s="179">
        <v>45034</v>
      </c>
      <c r="O243" s="178"/>
      <c r="Q243" t="s">
        <v>129</v>
      </c>
      <c r="R243">
        <v>26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>
      <c r="A244" s="340">
        <f>COUNTA($E$3:E244)</f>
        <v>242</v>
      </c>
      <c r="B244" s="340" t="s">
        <v>4851</v>
      </c>
      <c r="C244" s="340" t="s">
        <v>41</v>
      </c>
      <c r="D244" s="340" t="s">
        <v>56</v>
      </c>
      <c r="E244" s="340" t="s">
        <v>1238</v>
      </c>
      <c r="F244" s="341">
        <v>44774</v>
      </c>
      <c r="G244" s="341"/>
      <c r="H244" s="341" t="s">
        <v>66</v>
      </c>
      <c r="I244" s="341" t="s">
        <v>2</v>
      </c>
      <c r="J244" s="340" t="s">
        <v>4852</v>
      </c>
      <c r="K244" s="340" t="s">
        <v>24</v>
      </c>
      <c r="L244" s="170">
        <v>45033</v>
      </c>
      <c r="M244" s="177" t="s">
        <v>5079</v>
      </c>
      <c r="N244" s="179">
        <v>45131</v>
      </c>
      <c r="O244" s="178"/>
      <c r="Q244" t="s">
        <v>22</v>
      </c>
      <c r="R244">
        <v>259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>
      <c r="A245" s="340">
        <f>COUNTA($E$3:E245)</f>
        <v>243</v>
      </c>
      <c r="B245" s="340" t="s">
        <v>5047</v>
      </c>
      <c r="C245" s="340" t="s">
        <v>37</v>
      </c>
      <c r="D245" s="340" t="s">
        <v>34</v>
      </c>
      <c r="E245" s="340" t="s">
        <v>4574</v>
      </c>
      <c r="F245" s="341">
        <v>45027.818645833337</v>
      </c>
      <c r="G245" s="341"/>
      <c r="H245" s="341"/>
      <c r="I245" s="341" t="s">
        <v>3</v>
      </c>
      <c r="J245" s="340" t="s">
        <v>1249</v>
      </c>
      <c r="K245" s="340" t="s">
        <v>1287</v>
      </c>
      <c r="L245" s="170">
        <v>45033</v>
      </c>
      <c r="M245" s="177" t="s">
        <v>5080</v>
      </c>
      <c r="N245" s="179">
        <v>45030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40">
        <f>COUNTA($E$3:E246)</f>
        <v>244</v>
      </c>
      <c r="B246" s="340" t="s">
        <v>5030</v>
      </c>
      <c r="C246" s="340" t="s">
        <v>41</v>
      </c>
      <c r="D246" s="340" t="s">
        <v>32</v>
      </c>
      <c r="E246" s="340" t="s">
        <v>1159</v>
      </c>
      <c r="F246" s="341">
        <v>45021.452931932872</v>
      </c>
      <c r="G246" s="341"/>
      <c r="H246" s="341"/>
      <c r="I246" s="341" t="s">
        <v>3</v>
      </c>
      <c r="J246" s="340"/>
      <c r="K246" s="340" t="s">
        <v>2032</v>
      </c>
      <c r="L246" s="170">
        <v>45033</v>
      </c>
      <c r="M246" s="177" t="s">
        <v>5059</v>
      </c>
      <c r="N246" s="179">
        <v>45051</v>
      </c>
      <c r="O246" s="178"/>
      <c r="Q246" t="s">
        <v>22</v>
      </c>
      <c r="R246">
        <v>12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>
        <v>45051</v>
      </c>
    </row>
    <row r="247" spans="1:30">
      <c r="A247" s="340">
        <f>COUNTA($E$3:E247)</f>
        <v>245</v>
      </c>
      <c r="B247" s="340" t="s">
        <v>5027</v>
      </c>
      <c r="C247" s="340" t="s">
        <v>41</v>
      </c>
      <c r="D247" s="340" t="s">
        <v>16</v>
      </c>
      <c r="E247" s="340" t="s">
        <v>3449</v>
      </c>
      <c r="F247" s="341">
        <v>45021.451466874998</v>
      </c>
      <c r="G247" s="341"/>
      <c r="H247" s="341"/>
      <c r="I247" s="341" t="s">
        <v>3</v>
      </c>
      <c r="J247" s="340"/>
      <c r="K247" s="340" t="s">
        <v>2032</v>
      </c>
      <c r="L247" s="170">
        <v>45033</v>
      </c>
      <c r="M247" s="177" t="s">
        <v>5059</v>
      </c>
      <c r="N247" s="179">
        <v>45083</v>
      </c>
      <c r="O247" s="178"/>
      <c r="Q247" t="s">
        <v>22</v>
      </c>
      <c r="R247">
        <v>12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>
        <v>45083</v>
      </c>
    </row>
    <row r="248" spans="1:30">
      <c r="A248" s="340">
        <f>COUNTA($E$3:E248)</f>
        <v>246</v>
      </c>
      <c r="B248" s="340" t="s">
        <v>5011</v>
      </c>
      <c r="C248" s="340" t="s">
        <v>41</v>
      </c>
      <c r="D248" s="340" t="s">
        <v>34</v>
      </c>
      <c r="E248" s="340" t="s">
        <v>1045</v>
      </c>
      <c r="F248" s="341">
        <v>45022</v>
      </c>
      <c r="G248" s="341"/>
      <c r="H248" s="341" t="s">
        <v>66</v>
      </c>
      <c r="I248" s="341" t="s">
        <v>3</v>
      </c>
      <c r="J248" s="340" t="s">
        <v>5012</v>
      </c>
      <c r="K248" s="340" t="s">
        <v>18</v>
      </c>
      <c r="L248" s="170">
        <v>45033</v>
      </c>
      <c r="M248" s="177"/>
      <c r="N248" s="179">
        <v>45083</v>
      </c>
      <c r="O248" s="178"/>
      <c r="Q248" t="s">
        <v>22</v>
      </c>
      <c r="R248">
        <v>11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>
        <v>45083</v>
      </c>
    </row>
    <row r="249" spans="1:30">
      <c r="A249" s="340">
        <f>COUNTA($E$3:E249)</f>
        <v>247</v>
      </c>
      <c r="B249" s="340" t="s">
        <v>5021</v>
      </c>
      <c r="C249" s="340" t="s">
        <v>37</v>
      </c>
      <c r="D249" s="340" t="s">
        <v>34</v>
      </c>
      <c r="E249" s="340" t="s">
        <v>3373</v>
      </c>
      <c r="F249" s="341">
        <v>45020.71172644676</v>
      </c>
      <c r="G249" s="341"/>
      <c r="H249" s="341"/>
      <c r="I249" s="341" t="s">
        <v>3</v>
      </c>
      <c r="J249" s="340"/>
      <c r="K249" s="340" t="s">
        <v>1296</v>
      </c>
      <c r="L249" s="170">
        <v>45033</v>
      </c>
      <c r="M249" s="177" t="s">
        <v>5080</v>
      </c>
      <c r="N249" s="179"/>
      <c r="O249" s="178"/>
      <c r="Q249" t="s">
        <v>129</v>
      </c>
      <c r="R249">
        <v>12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40">
        <f>COUNTA($E$3:E250)</f>
        <v>248</v>
      </c>
      <c r="B250" s="340" t="s">
        <v>5020</v>
      </c>
      <c r="C250" s="340" t="s">
        <v>37</v>
      </c>
      <c r="D250" s="340" t="s">
        <v>30</v>
      </c>
      <c r="E250" s="340" t="s">
        <v>1187</v>
      </c>
      <c r="F250" s="341">
        <v>45020.710970069442</v>
      </c>
      <c r="G250" s="341"/>
      <c r="H250" s="341"/>
      <c r="I250" s="341" t="s">
        <v>3</v>
      </c>
      <c r="J250" s="340"/>
      <c r="K250" s="340" t="s">
        <v>1287</v>
      </c>
      <c r="L250" s="170">
        <v>45033</v>
      </c>
      <c r="M250" s="177" t="s">
        <v>2811</v>
      </c>
      <c r="N250" s="179">
        <v>45030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40">
        <f>COUNTA($E$3:E251)</f>
        <v>249</v>
      </c>
      <c r="B251" s="340" t="s">
        <v>4978</v>
      </c>
      <c r="C251" s="340" t="s">
        <v>21</v>
      </c>
      <c r="D251" s="340" t="s">
        <v>34</v>
      </c>
      <c r="E251" s="340" t="s">
        <v>1784</v>
      </c>
      <c r="F251" s="341">
        <v>45015</v>
      </c>
      <c r="G251" s="341"/>
      <c r="H251" s="341" t="s">
        <v>55</v>
      </c>
      <c r="I251" s="341" t="s">
        <v>3</v>
      </c>
      <c r="J251" s="340" t="s">
        <v>4979</v>
      </c>
      <c r="K251" s="340" t="s">
        <v>1120</v>
      </c>
      <c r="L251" s="170">
        <v>45033</v>
      </c>
      <c r="M251" s="177" t="s">
        <v>5005</v>
      </c>
      <c r="N251" s="179">
        <v>45034</v>
      </c>
      <c r="O251" s="178"/>
      <c r="Q251" t="s">
        <v>129</v>
      </c>
      <c r="R251">
        <v>18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40">
        <f>COUNTA($E$3:E252)</f>
        <v>250</v>
      </c>
      <c r="B252" s="340" t="s">
        <v>4715</v>
      </c>
      <c r="C252" s="340" t="s">
        <v>44</v>
      </c>
      <c r="D252" s="340" t="s">
        <v>45</v>
      </c>
      <c r="E252" s="340" t="s">
        <v>173</v>
      </c>
      <c r="F252" s="341">
        <v>44959</v>
      </c>
      <c r="G252" s="341"/>
      <c r="H252" s="341" t="s">
        <v>66</v>
      </c>
      <c r="I252" s="341" t="s">
        <v>4</v>
      </c>
      <c r="J252" s="340" t="s">
        <v>1639</v>
      </c>
      <c r="K252" s="340" t="s">
        <v>1287</v>
      </c>
      <c r="L252" s="170">
        <v>45033</v>
      </c>
      <c r="M252" s="177" t="s">
        <v>5078</v>
      </c>
      <c r="N252" s="179">
        <v>45147</v>
      </c>
      <c r="O252" s="178"/>
      <c r="Q252" t="s">
        <v>129</v>
      </c>
      <c r="R252">
        <v>74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40">
        <f>COUNTA($E$3:E253)</f>
        <v>251</v>
      </c>
      <c r="B253" s="340" t="s">
        <v>4713</v>
      </c>
      <c r="C253" s="340" t="s">
        <v>44</v>
      </c>
      <c r="D253" s="340" t="s">
        <v>45</v>
      </c>
      <c r="E253" s="340" t="s">
        <v>178</v>
      </c>
      <c r="F253" s="341">
        <v>44959</v>
      </c>
      <c r="G253" s="341"/>
      <c r="H253" s="341" t="s">
        <v>66</v>
      </c>
      <c r="I253" s="341" t="s">
        <v>4</v>
      </c>
      <c r="J253" s="340" t="s">
        <v>1639</v>
      </c>
      <c r="K253" s="340" t="s">
        <v>1287</v>
      </c>
      <c r="L253" s="170">
        <v>45033</v>
      </c>
      <c r="M253" s="177" t="s">
        <v>2956</v>
      </c>
      <c r="N253" s="179">
        <v>45028</v>
      </c>
      <c r="O253" s="178"/>
      <c r="Q253" t="s">
        <v>129</v>
      </c>
      <c r="R253">
        <v>74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40">
        <f>COUNTA($E$3:E254)</f>
        <v>252</v>
      </c>
      <c r="B254" s="340" t="s">
        <v>4656</v>
      </c>
      <c r="C254" s="340" t="s">
        <v>41</v>
      </c>
      <c r="D254" s="340" t="s">
        <v>1098</v>
      </c>
      <c r="E254" s="340" t="s">
        <v>4657</v>
      </c>
      <c r="F254" s="341">
        <v>44936</v>
      </c>
      <c r="G254" s="341"/>
      <c r="H254" s="341" t="s">
        <v>66</v>
      </c>
      <c r="I254" s="341" t="s">
        <v>4</v>
      </c>
      <c r="J254" s="340" t="s">
        <v>3909</v>
      </c>
      <c r="K254" s="340" t="s">
        <v>1287</v>
      </c>
      <c r="L254" s="170">
        <v>45033</v>
      </c>
      <c r="M254" s="177" t="s">
        <v>5077</v>
      </c>
      <c r="N254" s="179"/>
      <c r="O254" s="178"/>
      <c r="Q254" t="s">
        <v>129</v>
      </c>
      <c r="R254">
        <v>97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40">
        <f>COUNTA($E$3:E255)</f>
        <v>253</v>
      </c>
      <c r="B255" s="340" t="s">
        <v>4983</v>
      </c>
      <c r="C255" s="340" t="s">
        <v>21</v>
      </c>
      <c r="D255" s="340" t="s">
        <v>30</v>
      </c>
      <c r="E255" s="340" t="s">
        <v>4984</v>
      </c>
      <c r="F255" s="341">
        <v>45015</v>
      </c>
      <c r="G255" s="341"/>
      <c r="H255" s="341"/>
      <c r="I255" s="341"/>
      <c r="J255" s="340"/>
      <c r="K255" s="340" t="s">
        <v>53</v>
      </c>
      <c r="L255" s="170">
        <v>45026</v>
      </c>
      <c r="M255" s="177"/>
      <c r="N255" s="179">
        <v>45147</v>
      </c>
      <c r="O255" s="178"/>
      <c r="Q255" t="s">
        <v>129</v>
      </c>
      <c r="R255">
        <v>11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/>
    </row>
    <row r="256" spans="1:30">
      <c r="A256" s="340">
        <f>COUNTA($E$3:E256)</f>
        <v>254</v>
      </c>
      <c r="B256" s="340" t="s">
        <v>4952</v>
      </c>
      <c r="C256" s="340" t="s">
        <v>4326</v>
      </c>
      <c r="D256" s="340" t="s">
        <v>38</v>
      </c>
      <c r="E256" s="340" t="s">
        <v>4337</v>
      </c>
      <c r="F256" s="341">
        <v>45016.581076388888</v>
      </c>
      <c r="G256" s="341"/>
      <c r="H256" s="341"/>
      <c r="I256" s="341" t="s">
        <v>2</v>
      </c>
      <c r="J256" s="340" t="s">
        <v>4953</v>
      </c>
      <c r="K256" s="340" t="s">
        <v>1287</v>
      </c>
      <c r="L256" s="170">
        <v>45026</v>
      </c>
      <c r="M256" s="177" t="s">
        <v>5045</v>
      </c>
      <c r="N256" s="179"/>
      <c r="O256" s="178"/>
      <c r="Q256" t="s">
        <v>129</v>
      </c>
      <c r="R256">
        <v>147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40">
        <f>COUNTA($E$3:E257)</f>
        <v>255</v>
      </c>
      <c r="B257" s="340" t="s">
        <v>4726</v>
      </c>
      <c r="C257" s="340" t="s">
        <v>1752</v>
      </c>
      <c r="D257" s="340" t="s">
        <v>1145</v>
      </c>
      <c r="E257" s="340" t="s">
        <v>4410</v>
      </c>
      <c r="F257" s="341">
        <v>44964</v>
      </c>
      <c r="G257" s="341"/>
      <c r="H257" s="341"/>
      <c r="I257" s="341" t="s">
        <v>2</v>
      </c>
      <c r="J257" s="340" t="s">
        <v>357</v>
      </c>
      <c r="K257" s="340" t="s">
        <v>1295</v>
      </c>
      <c r="L257" s="170">
        <v>45026</v>
      </c>
      <c r="M257" s="177" t="s">
        <v>5041</v>
      </c>
      <c r="N257" s="179">
        <v>45023</v>
      </c>
      <c r="O257" s="178"/>
      <c r="Q257" t="s">
        <v>129</v>
      </c>
      <c r="R257">
        <v>62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40">
        <f>COUNTA($E$3:E258)</f>
        <v>256</v>
      </c>
      <c r="B258" s="340" t="s">
        <v>5006</v>
      </c>
      <c r="C258" s="340" t="s">
        <v>1990</v>
      </c>
      <c r="D258" s="340" t="s">
        <v>16</v>
      </c>
      <c r="E258" s="340" t="s">
        <v>5007</v>
      </c>
      <c r="F258" s="341">
        <v>45021.550636574073</v>
      </c>
      <c r="G258" s="341"/>
      <c r="H258" s="341"/>
      <c r="I258" s="341" t="s">
        <v>3</v>
      </c>
      <c r="J258" s="340" t="s">
        <v>5008</v>
      </c>
      <c r="K258" s="340"/>
      <c r="L258" s="170">
        <v>45026</v>
      </c>
      <c r="M258" s="177" t="s">
        <v>3456</v>
      </c>
      <c r="N258" s="179">
        <v>45021</v>
      </c>
      <c r="O258" s="178"/>
      <c r="Q258" t="s">
        <v>129</v>
      </c>
      <c r="R258">
        <v>4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40">
        <f>COUNTA($E$3:E259)</f>
        <v>257</v>
      </c>
      <c r="B259" s="340" t="s">
        <v>4980</v>
      </c>
      <c r="C259" s="340" t="s">
        <v>41</v>
      </c>
      <c r="D259" s="340" t="s">
        <v>63</v>
      </c>
      <c r="E259" s="340" t="s">
        <v>4981</v>
      </c>
      <c r="F259" s="341">
        <v>45015.455003020834</v>
      </c>
      <c r="G259" s="341"/>
      <c r="H259" s="341"/>
      <c r="I259" s="341" t="s">
        <v>3</v>
      </c>
      <c r="J259" s="340"/>
      <c r="K259" s="340" t="s">
        <v>1296</v>
      </c>
      <c r="L259" s="170">
        <v>45026</v>
      </c>
      <c r="M259" s="177" t="s">
        <v>5034</v>
      </c>
      <c r="N259" s="179">
        <v>45147</v>
      </c>
      <c r="O259" s="178"/>
      <c r="Q259" t="s">
        <v>129</v>
      </c>
      <c r="R259">
        <v>11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40">
        <f>COUNTA($E$3:E260)</f>
        <v>258</v>
      </c>
      <c r="B260" s="340" t="s">
        <v>4956</v>
      </c>
      <c r="C260" s="340" t="s">
        <v>65</v>
      </c>
      <c r="D260" s="340" t="s">
        <v>1080</v>
      </c>
      <c r="E260" s="340" t="s">
        <v>4957</v>
      </c>
      <c r="F260" s="341">
        <v>45012</v>
      </c>
      <c r="G260" s="341"/>
      <c r="H260" s="341">
        <v>45019</v>
      </c>
      <c r="I260" s="341" t="s">
        <v>3</v>
      </c>
      <c r="J260" s="340" t="s">
        <v>514</v>
      </c>
      <c r="K260" s="340" t="s">
        <v>20</v>
      </c>
      <c r="L260" s="170">
        <v>45026</v>
      </c>
      <c r="M260" s="177"/>
      <c r="N260" s="179">
        <v>45028</v>
      </c>
      <c r="O260" s="178"/>
      <c r="Q260" t="s">
        <v>22</v>
      </c>
      <c r="R260">
        <v>14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>
        <v>45028</v>
      </c>
    </row>
    <row r="261" spans="1:30">
      <c r="A261" s="340">
        <f>COUNTA($E$3:E261)</f>
        <v>259</v>
      </c>
      <c r="B261" s="340" t="s">
        <v>4954</v>
      </c>
      <c r="C261" s="340" t="s">
        <v>41</v>
      </c>
      <c r="D261" s="340" t="s">
        <v>1080</v>
      </c>
      <c r="E261" s="340" t="s">
        <v>3422</v>
      </c>
      <c r="F261" s="341">
        <v>45012.44767361111</v>
      </c>
      <c r="G261" s="341"/>
      <c r="H261" s="341"/>
      <c r="I261" s="341" t="s">
        <v>3</v>
      </c>
      <c r="J261" s="340" t="s">
        <v>4955</v>
      </c>
      <c r="K261" s="340" t="s">
        <v>1294</v>
      </c>
      <c r="L261" s="170">
        <v>45026</v>
      </c>
      <c r="M261" s="177" t="s">
        <v>5043</v>
      </c>
      <c r="N261" s="179">
        <v>45124</v>
      </c>
      <c r="O261" s="178"/>
      <c r="Q261" t="s">
        <v>22</v>
      </c>
      <c r="R261">
        <v>14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40">
        <f>COUNTA($E$3:E262)</f>
        <v>260</v>
      </c>
      <c r="B262" s="340" t="s">
        <v>4973</v>
      </c>
      <c r="C262" s="340" t="s">
        <v>37</v>
      </c>
      <c r="D262" s="340" t="s">
        <v>30</v>
      </c>
      <c r="E262" s="340" t="s">
        <v>4974</v>
      </c>
      <c r="F262" s="341">
        <v>45009</v>
      </c>
      <c r="G262" s="341"/>
      <c r="H262" s="341"/>
      <c r="I262" s="341" t="s">
        <v>3</v>
      </c>
      <c r="J262" s="340" t="s">
        <v>4975</v>
      </c>
      <c r="K262" s="340" t="s">
        <v>1295</v>
      </c>
      <c r="L262" s="170">
        <v>45026</v>
      </c>
      <c r="M262" s="177" t="s">
        <v>5044</v>
      </c>
      <c r="N262" s="179"/>
      <c r="O262" s="178"/>
      <c r="Q262" t="s">
        <v>129</v>
      </c>
      <c r="R262">
        <v>17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40">
        <f>COUNTA($E$3:E263)</f>
        <v>261</v>
      </c>
      <c r="B263" s="340" t="s">
        <v>4916</v>
      </c>
      <c r="C263" s="340" t="s">
        <v>41</v>
      </c>
      <c r="D263" s="340" t="s">
        <v>49</v>
      </c>
      <c r="E263" s="340" t="s">
        <v>4917</v>
      </c>
      <c r="F263" s="341">
        <v>45008</v>
      </c>
      <c r="G263" s="341"/>
      <c r="H263" s="341" t="s">
        <v>66</v>
      </c>
      <c r="I263" s="341" t="s">
        <v>3</v>
      </c>
      <c r="J263" s="340" t="s">
        <v>4918</v>
      </c>
      <c r="K263" s="340" t="s">
        <v>2032</v>
      </c>
      <c r="L263" s="170">
        <v>45026</v>
      </c>
      <c r="M263" s="177" t="s">
        <v>5033</v>
      </c>
      <c r="N263" s="179">
        <v>45051</v>
      </c>
      <c r="O263" s="178"/>
      <c r="Q263" t="s">
        <v>22</v>
      </c>
      <c r="R263">
        <v>18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>
        <v>45051</v>
      </c>
    </row>
    <row r="264" spans="1:30">
      <c r="A264" s="340">
        <f>COUNTA($E$3:E264)</f>
        <v>262</v>
      </c>
      <c r="B264" s="340" t="s">
        <v>4940</v>
      </c>
      <c r="C264" s="340" t="s">
        <v>41</v>
      </c>
      <c r="D264" s="340" t="s">
        <v>16</v>
      </c>
      <c r="E264" s="340" t="s">
        <v>3962</v>
      </c>
      <c r="F264" s="341">
        <v>45006</v>
      </c>
      <c r="G264" s="341"/>
      <c r="H264" s="341"/>
      <c r="I264" s="341" t="s">
        <v>3</v>
      </c>
      <c r="J264" s="340"/>
      <c r="K264" s="340"/>
      <c r="L264" s="170">
        <v>45026</v>
      </c>
      <c r="M264" s="177" t="s">
        <v>4995</v>
      </c>
      <c r="N264" s="179">
        <v>45083</v>
      </c>
      <c r="O264" s="178"/>
      <c r="Q264" t="s">
        <v>22</v>
      </c>
      <c r="R264">
        <v>20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40">
        <f>COUNTA($E$3:E265)</f>
        <v>263</v>
      </c>
      <c r="B265" s="340" t="s">
        <v>4910</v>
      </c>
      <c r="C265" s="340" t="s">
        <v>4637</v>
      </c>
      <c r="D265" s="340" t="s">
        <v>1124</v>
      </c>
      <c r="E265" s="340" t="s">
        <v>4911</v>
      </c>
      <c r="F265" s="341">
        <v>45007</v>
      </c>
      <c r="G265" s="341">
        <v>45022</v>
      </c>
      <c r="H265" s="341">
        <v>45008</v>
      </c>
      <c r="I265" s="341" t="s">
        <v>3</v>
      </c>
      <c r="J265" s="340" t="s">
        <v>4912</v>
      </c>
      <c r="K265" s="340" t="s">
        <v>20</v>
      </c>
      <c r="L265" s="170">
        <v>45026</v>
      </c>
      <c r="M265" s="177" t="s">
        <v>5032</v>
      </c>
      <c r="N265" s="179">
        <v>45083</v>
      </c>
      <c r="O265" s="178"/>
      <c r="Q265" t="s">
        <v>22</v>
      </c>
      <c r="R265">
        <v>19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40">
        <f>COUNTA($E$3:E266)</f>
        <v>264</v>
      </c>
      <c r="B266" s="340" t="s">
        <v>4879</v>
      </c>
      <c r="C266" s="340" t="s">
        <v>37</v>
      </c>
      <c r="D266" s="340" t="s">
        <v>30</v>
      </c>
      <c r="E266" s="340" t="s">
        <v>4779</v>
      </c>
      <c r="F266" s="341">
        <v>45000</v>
      </c>
      <c r="G266" s="341"/>
      <c r="H266" s="341"/>
      <c r="I266" s="341" t="s">
        <v>3</v>
      </c>
      <c r="J266" s="340"/>
      <c r="K266" s="340" t="s">
        <v>1295</v>
      </c>
      <c r="L266" s="170">
        <v>45026</v>
      </c>
      <c r="M266" s="177" t="s">
        <v>5031</v>
      </c>
      <c r="N266" s="179">
        <v>45021</v>
      </c>
      <c r="O266" s="178"/>
      <c r="Q266" t="s">
        <v>129</v>
      </c>
      <c r="R266">
        <v>26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40">
        <f>COUNTA($E$3:E267)</f>
        <v>265</v>
      </c>
      <c r="B267" s="340" t="s">
        <v>4875</v>
      </c>
      <c r="C267" s="340" t="s">
        <v>37</v>
      </c>
      <c r="D267" s="340" t="s">
        <v>30</v>
      </c>
      <c r="E267" s="340" t="s">
        <v>3370</v>
      </c>
      <c r="F267" s="341">
        <v>45000</v>
      </c>
      <c r="G267" s="341"/>
      <c r="H267" s="341"/>
      <c r="I267" s="341" t="s">
        <v>3</v>
      </c>
      <c r="J267" s="340"/>
      <c r="K267" s="340" t="s">
        <v>1295</v>
      </c>
      <c r="L267" s="170">
        <v>45026</v>
      </c>
      <c r="M267" s="177" t="s">
        <v>5043</v>
      </c>
      <c r="N267" s="179">
        <v>45021</v>
      </c>
      <c r="O267" s="178"/>
      <c r="Q267" t="s">
        <v>129</v>
      </c>
      <c r="R267">
        <v>26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40">
        <f>COUNTA($E$3:E268)</f>
        <v>266</v>
      </c>
      <c r="B268" s="340" t="s">
        <v>4874</v>
      </c>
      <c r="C268" s="340" t="s">
        <v>37</v>
      </c>
      <c r="D268" s="340" t="s">
        <v>30</v>
      </c>
      <c r="E268" s="340" t="s">
        <v>4023</v>
      </c>
      <c r="F268" s="341">
        <v>45000</v>
      </c>
      <c r="G268" s="341"/>
      <c r="H268" s="341"/>
      <c r="I268" s="341" t="s">
        <v>3</v>
      </c>
      <c r="J268" s="340"/>
      <c r="K268" s="340" t="s">
        <v>1295</v>
      </c>
      <c r="L268" s="170">
        <v>45026</v>
      </c>
      <c r="M268" s="177" t="s">
        <v>5042</v>
      </c>
      <c r="N268" s="179">
        <v>45021</v>
      </c>
      <c r="O268" s="178"/>
      <c r="Q268" t="s">
        <v>129</v>
      </c>
      <c r="R268">
        <v>26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40">
        <f>COUNTA($E$3:E269)</f>
        <v>267</v>
      </c>
      <c r="B269" s="340" t="s">
        <v>4798</v>
      </c>
      <c r="C269" s="340" t="s">
        <v>105</v>
      </c>
      <c r="D269" s="340" t="s">
        <v>30</v>
      </c>
      <c r="E269" s="340" t="s">
        <v>1286</v>
      </c>
      <c r="F269" s="341">
        <v>44980</v>
      </c>
      <c r="G269" s="341"/>
      <c r="H269" s="341">
        <v>44987</v>
      </c>
      <c r="I269" s="341" t="s">
        <v>3</v>
      </c>
      <c r="J269" s="340" t="s">
        <v>1652</v>
      </c>
      <c r="K269" s="340" t="s">
        <v>103</v>
      </c>
      <c r="L269" s="170">
        <v>45026</v>
      </c>
      <c r="M269" s="177"/>
      <c r="N269" s="179">
        <v>45028</v>
      </c>
      <c r="O269" s="178"/>
      <c r="Q269" t="s">
        <v>22</v>
      </c>
      <c r="R269">
        <v>46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40">
        <f>COUNTA($E$3:E270)</f>
        <v>268</v>
      </c>
      <c r="B270" s="340" t="s">
        <v>4834</v>
      </c>
      <c r="C270" s="340" t="s">
        <v>1119</v>
      </c>
      <c r="D270" s="340" t="s">
        <v>64</v>
      </c>
      <c r="E270" s="340" t="s">
        <v>4835</v>
      </c>
      <c r="F270" s="341">
        <v>44987</v>
      </c>
      <c r="G270" s="341">
        <v>45002</v>
      </c>
      <c r="H270" s="341">
        <v>44994</v>
      </c>
      <c r="I270" s="341" t="s">
        <v>2</v>
      </c>
      <c r="J270" s="340"/>
      <c r="K270" s="340" t="s">
        <v>1295</v>
      </c>
      <c r="L270" s="170">
        <v>45020</v>
      </c>
      <c r="M270" s="177" t="s">
        <v>4990</v>
      </c>
      <c r="N270" s="179">
        <v>45020</v>
      </c>
      <c r="O270" s="178"/>
      <c r="Q270" t="s">
        <v>129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>
        <v>45020</v>
      </c>
    </row>
    <row r="271" spans="1:30">
      <c r="A271" s="340">
        <f>COUNTA($E$3:E271)</f>
        <v>269</v>
      </c>
      <c r="B271" s="340" t="s">
        <v>4950</v>
      </c>
      <c r="C271" s="340" t="s">
        <v>37</v>
      </c>
      <c r="D271" s="340" t="s">
        <v>30</v>
      </c>
      <c r="E271" s="340" t="s">
        <v>3725</v>
      </c>
      <c r="F271" s="341">
        <v>45013</v>
      </c>
      <c r="G271" s="341"/>
      <c r="H271" s="341"/>
      <c r="I271" s="341" t="s">
        <v>3</v>
      </c>
      <c r="J271" s="340" t="s">
        <v>1249</v>
      </c>
      <c r="K271" s="340" t="s">
        <v>1287</v>
      </c>
      <c r="L271" s="170">
        <v>45020</v>
      </c>
      <c r="M271" s="177"/>
      <c r="N271" s="179">
        <v>45042</v>
      </c>
      <c r="O271" s="178"/>
      <c r="Q271" t="s">
        <v>129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40">
        <f>COUNTA($E$3:E272)</f>
        <v>270</v>
      </c>
      <c r="B272" s="340" t="s">
        <v>4951</v>
      </c>
      <c r="C272" s="340" t="s">
        <v>37</v>
      </c>
      <c r="D272" s="340" t="s">
        <v>34</v>
      </c>
      <c r="E272" s="340" t="s">
        <v>3286</v>
      </c>
      <c r="F272" s="341">
        <v>45009.702245370368</v>
      </c>
      <c r="G272" s="341"/>
      <c r="H272" s="341"/>
      <c r="I272" s="341" t="s">
        <v>3</v>
      </c>
      <c r="J272" s="340" t="s">
        <v>1720</v>
      </c>
      <c r="K272" s="340" t="s">
        <v>1287</v>
      </c>
      <c r="L272" s="170">
        <v>45020</v>
      </c>
      <c r="M272" s="177"/>
      <c r="N272" s="179">
        <v>45021</v>
      </c>
      <c r="O272" s="178"/>
      <c r="Q272" t="s">
        <v>129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40">
        <f>COUNTA($E$3:E273)</f>
        <v>271</v>
      </c>
      <c r="B273" s="340" t="s">
        <v>4938</v>
      </c>
      <c r="C273" s="340" t="s">
        <v>1106</v>
      </c>
      <c r="D273" s="340" t="s">
        <v>16</v>
      </c>
      <c r="E273" s="340" t="s">
        <v>2844</v>
      </c>
      <c r="F273" s="341">
        <v>45008</v>
      </c>
      <c r="G273" s="341"/>
      <c r="H273" s="341"/>
      <c r="I273" s="341" t="s">
        <v>3</v>
      </c>
      <c r="J273" s="340"/>
      <c r="K273" s="340" t="s">
        <v>1180</v>
      </c>
      <c r="L273" s="170">
        <v>45020</v>
      </c>
      <c r="M273" s="177" t="s">
        <v>4999</v>
      </c>
      <c r="N273" s="179">
        <v>45021</v>
      </c>
      <c r="O273" s="178"/>
      <c r="Q273" t="s">
        <v>129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>
        <v>45021</v>
      </c>
    </row>
    <row r="274" spans="1:30">
      <c r="A274" s="340">
        <f>COUNTA($E$3:E274)</f>
        <v>272</v>
      </c>
      <c r="B274" s="340" t="s">
        <v>4928</v>
      </c>
      <c r="C274" s="340" t="s">
        <v>21</v>
      </c>
      <c r="D274" s="340" t="s">
        <v>25</v>
      </c>
      <c r="E274" s="340" t="s">
        <v>4929</v>
      </c>
      <c r="F274" s="341">
        <v>45006.505124444448</v>
      </c>
      <c r="G274" s="341"/>
      <c r="H274" s="341"/>
      <c r="I274" s="341" t="s">
        <v>3</v>
      </c>
      <c r="J274" s="340"/>
      <c r="K274" s="340" t="s">
        <v>1287</v>
      </c>
      <c r="L274" s="170">
        <v>45020</v>
      </c>
      <c r="M274" s="177" t="s">
        <v>4993</v>
      </c>
      <c r="N274" s="179">
        <v>45021</v>
      </c>
      <c r="O274" s="178"/>
      <c r="Q274" t="s">
        <v>129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40">
        <f>COUNTA($E$3:E275)</f>
        <v>273</v>
      </c>
      <c r="B275" s="340" t="s">
        <v>4926</v>
      </c>
      <c r="C275" s="340" t="s">
        <v>37</v>
      </c>
      <c r="D275" s="340" t="s">
        <v>30</v>
      </c>
      <c r="E275" s="340" t="s">
        <v>4927</v>
      </c>
      <c r="F275" s="341">
        <v>45006</v>
      </c>
      <c r="G275" s="341"/>
      <c r="H275" s="341"/>
      <c r="I275" s="341" t="s">
        <v>3</v>
      </c>
      <c r="J275" s="340"/>
      <c r="K275" s="340" t="s">
        <v>1295</v>
      </c>
      <c r="L275" s="170">
        <v>45020</v>
      </c>
      <c r="M275" s="177" t="s">
        <v>4991</v>
      </c>
      <c r="N275" s="179">
        <v>45051</v>
      </c>
      <c r="O275" s="178"/>
      <c r="Q275" t="s">
        <v>129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>
        <v>45051</v>
      </c>
    </row>
    <row r="276" spans="1:30">
      <c r="A276" s="340">
        <f>COUNTA($E$3:E276)</f>
        <v>274</v>
      </c>
      <c r="B276" s="340" t="s">
        <v>4880</v>
      </c>
      <c r="C276" s="340" t="s">
        <v>21</v>
      </c>
      <c r="D276" s="340" t="s">
        <v>30</v>
      </c>
      <c r="E276" s="340" t="s">
        <v>2565</v>
      </c>
      <c r="F276" s="341">
        <v>45001</v>
      </c>
      <c r="G276" s="341"/>
      <c r="H276" s="341"/>
      <c r="I276" s="341" t="s">
        <v>3</v>
      </c>
      <c r="J276" s="340"/>
      <c r="K276" s="340" t="s">
        <v>1295</v>
      </c>
      <c r="L276" s="170">
        <v>45020</v>
      </c>
      <c r="M276" s="177" t="s">
        <v>4991</v>
      </c>
      <c r="N276" s="179">
        <v>45051</v>
      </c>
      <c r="O276" s="178"/>
      <c r="Q276" t="s">
        <v>129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40">
        <f>COUNTA($E$3:E277)</f>
        <v>275</v>
      </c>
      <c r="B277" s="340" t="s">
        <v>4878</v>
      </c>
      <c r="C277" s="340" t="s">
        <v>37</v>
      </c>
      <c r="D277" s="340" t="s">
        <v>30</v>
      </c>
      <c r="E277" s="340" t="s">
        <v>1227</v>
      </c>
      <c r="F277" s="341">
        <v>45000</v>
      </c>
      <c r="G277" s="341"/>
      <c r="H277" s="341"/>
      <c r="I277" s="341" t="s">
        <v>3</v>
      </c>
      <c r="J277" s="340"/>
      <c r="K277" s="340" t="s">
        <v>1295</v>
      </c>
      <c r="L277" s="170">
        <v>45020</v>
      </c>
      <c r="M277" s="177" t="s">
        <v>4991</v>
      </c>
      <c r="N277" s="179">
        <v>45021</v>
      </c>
      <c r="O277" s="178"/>
      <c r="Q277" t="s">
        <v>129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40">
        <f>COUNTA($E$3:E278)</f>
        <v>276</v>
      </c>
      <c r="B278" s="340" t="s">
        <v>4876</v>
      </c>
      <c r="C278" s="340" t="s">
        <v>37</v>
      </c>
      <c r="D278" s="340" t="s">
        <v>30</v>
      </c>
      <c r="E278" s="340" t="s">
        <v>4877</v>
      </c>
      <c r="F278" s="341">
        <v>45000</v>
      </c>
      <c r="G278" s="341"/>
      <c r="H278" s="341"/>
      <c r="I278" s="341" t="s">
        <v>3</v>
      </c>
      <c r="J278" s="340"/>
      <c r="K278" s="340" t="s">
        <v>1295</v>
      </c>
      <c r="L278" s="170">
        <v>45020</v>
      </c>
      <c r="M278" s="177" t="s">
        <v>4992</v>
      </c>
      <c r="N278" s="179">
        <v>45021</v>
      </c>
      <c r="O278" s="178"/>
      <c r="Q278" t="s">
        <v>129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40">
        <f>COUNTA($E$3:E279)</f>
        <v>277</v>
      </c>
      <c r="B279" s="340" t="s">
        <v>4873</v>
      </c>
      <c r="C279" s="340" t="s">
        <v>37</v>
      </c>
      <c r="D279" s="340" t="s">
        <v>30</v>
      </c>
      <c r="E279" s="340" t="s">
        <v>3491</v>
      </c>
      <c r="F279" s="341">
        <v>45000</v>
      </c>
      <c r="G279" s="341"/>
      <c r="H279" s="341"/>
      <c r="I279" s="341" t="s">
        <v>3</v>
      </c>
      <c r="J279" s="340"/>
      <c r="K279" s="340" t="s">
        <v>1295</v>
      </c>
      <c r="L279" s="170">
        <v>45020</v>
      </c>
      <c r="M279" s="177" t="s">
        <v>4991</v>
      </c>
      <c r="N279" s="179">
        <v>45051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45051</v>
      </c>
    </row>
    <row r="280" spans="1:30">
      <c r="A280" s="340">
        <f>COUNTA($E$3:E280)</f>
        <v>278</v>
      </c>
      <c r="B280" s="340" t="s">
        <v>4902</v>
      </c>
      <c r="C280" s="340" t="s">
        <v>4326</v>
      </c>
      <c r="D280" s="340" t="s">
        <v>36</v>
      </c>
      <c r="E280" s="340" t="s">
        <v>4342</v>
      </c>
      <c r="F280" s="341">
        <v>45005</v>
      </c>
      <c r="G280" s="341"/>
      <c r="H280" s="341"/>
      <c r="I280" s="341" t="s">
        <v>2</v>
      </c>
      <c r="J280" s="340" t="s">
        <v>4903</v>
      </c>
      <c r="K280" s="340" t="s">
        <v>20</v>
      </c>
      <c r="L280" s="170">
        <v>45012</v>
      </c>
      <c r="M280" s="177" t="s">
        <v>4946</v>
      </c>
      <c r="N280" s="179">
        <v>45083</v>
      </c>
      <c r="O280" s="178"/>
      <c r="Q280" t="s">
        <v>22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40">
        <f>COUNTA($E$3:E281)</f>
        <v>279</v>
      </c>
      <c r="B281" s="340" t="s">
        <v>4904</v>
      </c>
      <c r="C281" s="340" t="s">
        <v>37</v>
      </c>
      <c r="D281" s="340" t="s">
        <v>30</v>
      </c>
      <c r="E281" s="340" t="s">
        <v>4905</v>
      </c>
      <c r="F281" s="341">
        <v>45006</v>
      </c>
      <c r="G281" s="341"/>
      <c r="H281" s="341"/>
      <c r="I281" s="341" t="s">
        <v>3</v>
      </c>
      <c r="J281" s="340" t="s">
        <v>1720</v>
      </c>
      <c r="K281" s="340" t="s">
        <v>33</v>
      </c>
      <c r="L281" s="170">
        <v>45012</v>
      </c>
      <c r="M281" s="177" t="s">
        <v>4944</v>
      </c>
      <c r="N281" s="179">
        <v>45019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40">
        <f>COUNTA($E$3:E282)</f>
        <v>280</v>
      </c>
      <c r="B282" s="340" t="s">
        <v>4899</v>
      </c>
      <c r="C282" s="340" t="s">
        <v>37</v>
      </c>
      <c r="D282" s="340" t="s">
        <v>34</v>
      </c>
      <c r="E282" s="340" t="s">
        <v>1646</v>
      </c>
      <c r="F282" s="341">
        <v>45006</v>
      </c>
      <c r="G282" s="341"/>
      <c r="H282" s="341"/>
      <c r="I282" s="341" t="s">
        <v>3</v>
      </c>
      <c r="J282" s="340" t="s">
        <v>2153</v>
      </c>
      <c r="K282" s="340" t="s">
        <v>1295</v>
      </c>
      <c r="L282" s="170">
        <v>45012</v>
      </c>
      <c r="M282" s="177" t="s">
        <v>4945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40">
        <f>COUNTA($E$3:E283)</f>
        <v>281</v>
      </c>
      <c r="B283" s="340" t="s">
        <v>4901</v>
      </c>
      <c r="C283" s="340" t="s">
        <v>37</v>
      </c>
      <c r="D283" s="340" t="s">
        <v>30</v>
      </c>
      <c r="E283" s="340" t="s">
        <v>4791</v>
      </c>
      <c r="F283" s="341">
        <v>45006</v>
      </c>
      <c r="G283" s="341"/>
      <c r="H283" s="341"/>
      <c r="I283" s="341" t="s">
        <v>3</v>
      </c>
      <c r="J283" s="340" t="s">
        <v>1720</v>
      </c>
      <c r="K283" s="340" t="s">
        <v>1295</v>
      </c>
      <c r="L283" s="170">
        <v>45012</v>
      </c>
      <c r="M283" s="177" t="s">
        <v>4945</v>
      </c>
      <c r="N283" s="179">
        <v>45019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40">
        <f>COUNTA($E$3:E284)</f>
        <v>282</v>
      </c>
      <c r="B284" s="340" t="s">
        <v>4900</v>
      </c>
      <c r="C284" s="340" t="s">
        <v>37</v>
      </c>
      <c r="D284" s="340" t="s">
        <v>30</v>
      </c>
      <c r="E284" s="340" t="s">
        <v>3493</v>
      </c>
      <c r="F284" s="341">
        <v>45006</v>
      </c>
      <c r="G284" s="341"/>
      <c r="H284" s="341"/>
      <c r="I284" s="341" t="s">
        <v>3</v>
      </c>
      <c r="J284" s="340" t="s">
        <v>1720</v>
      </c>
      <c r="K284" s="340" t="s">
        <v>1295</v>
      </c>
      <c r="L284" s="170">
        <v>45012</v>
      </c>
      <c r="M284" s="177" t="s">
        <v>4945</v>
      </c>
      <c r="N284" s="179">
        <v>45019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40">
        <f>COUNTA($E$3:E285)</f>
        <v>283</v>
      </c>
      <c r="B285" s="340" t="s">
        <v>4881</v>
      </c>
      <c r="C285" s="340" t="s">
        <v>41</v>
      </c>
      <c r="D285" s="340" t="s">
        <v>58</v>
      </c>
      <c r="E285" s="340" t="s">
        <v>1173</v>
      </c>
      <c r="F285" s="341">
        <v>45001</v>
      </c>
      <c r="G285" s="341"/>
      <c r="H285" s="341"/>
      <c r="I285" s="341" t="s">
        <v>3</v>
      </c>
      <c r="J285" s="340"/>
      <c r="K285" s="340" t="s">
        <v>1295</v>
      </c>
      <c r="L285" s="170">
        <v>45012</v>
      </c>
      <c r="M285" s="177" t="s">
        <v>5000</v>
      </c>
      <c r="N285" s="179">
        <v>45012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45012</v>
      </c>
    </row>
    <row r="286" spans="1:30">
      <c r="A286" s="340">
        <f>COUNTA($E$3:E286)</f>
        <v>284</v>
      </c>
      <c r="B286" s="340" t="s">
        <v>4870</v>
      </c>
      <c r="C286" s="340" t="s">
        <v>4871</v>
      </c>
      <c r="D286" s="340" t="s">
        <v>16</v>
      </c>
      <c r="E286" s="340" t="s">
        <v>2261</v>
      </c>
      <c r="F286" s="341">
        <v>45005</v>
      </c>
      <c r="G286" s="341"/>
      <c r="H286" s="341"/>
      <c r="I286" s="341" t="s">
        <v>3</v>
      </c>
      <c r="J286" s="340" t="s">
        <v>1652</v>
      </c>
      <c r="K286" s="340" t="s">
        <v>20</v>
      </c>
      <c r="L286" s="170">
        <v>45012</v>
      </c>
      <c r="M286" s="177" t="s">
        <v>4943</v>
      </c>
      <c r="N286" s="179">
        <v>45083</v>
      </c>
      <c r="O286" s="178"/>
      <c r="Q286" t="s">
        <v>22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>
      <c r="A287" s="340">
        <f>COUNTA($E$3:E287)</f>
        <v>285</v>
      </c>
      <c r="B287" s="340" t="s">
        <v>4857</v>
      </c>
      <c r="C287" s="340" t="s">
        <v>1279</v>
      </c>
      <c r="D287" s="340" t="s">
        <v>1103</v>
      </c>
      <c r="E287" s="340" t="s">
        <v>1281</v>
      </c>
      <c r="F287" s="341">
        <v>44999.413391203707</v>
      </c>
      <c r="G287" s="341"/>
      <c r="H287" s="341"/>
      <c r="I287" s="341" t="s">
        <v>2</v>
      </c>
      <c r="J287" s="340" t="s">
        <v>4858</v>
      </c>
      <c r="K287" s="340" t="s">
        <v>1294</v>
      </c>
      <c r="L287" s="170">
        <v>45006</v>
      </c>
      <c r="M287" s="177" t="s">
        <v>4856</v>
      </c>
      <c r="N287" s="179">
        <v>45083</v>
      </c>
      <c r="O287" s="178"/>
      <c r="Q287" t="s">
        <v>22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40">
        <f>COUNTA($E$3:E288)</f>
        <v>286</v>
      </c>
      <c r="B288" s="340" t="s">
        <v>4859</v>
      </c>
      <c r="C288" s="340" t="s">
        <v>41</v>
      </c>
      <c r="D288" s="340" t="s">
        <v>30</v>
      </c>
      <c r="E288" s="340" t="s">
        <v>1721</v>
      </c>
      <c r="F288" s="341">
        <v>45001.678668981483</v>
      </c>
      <c r="G288" s="341"/>
      <c r="H288" s="341"/>
      <c r="I288" s="341" t="s">
        <v>3</v>
      </c>
      <c r="J288" s="340" t="s">
        <v>4860</v>
      </c>
      <c r="K288" s="340" t="s">
        <v>1296</v>
      </c>
      <c r="L288" s="170">
        <v>45006</v>
      </c>
      <c r="M288" s="177"/>
      <c r="N288" s="179">
        <v>45076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/>
    </row>
    <row r="289" spans="1:30">
      <c r="A289" s="340">
        <f>COUNTA($E$3:E289)</f>
        <v>287</v>
      </c>
      <c r="B289" s="340" t="s">
        <v>4861</v>
      </c>
      <c r="C289" s="340" t="s">
        <v>4862</v>
      </c>
      <c r="D289" s="340" t="s">
        <v>45</v>
      </c>
      <c r="E289" s="340" t="s">
        <v>4863</v>
      </c>
      <c r="F289" s="341">
        <v>44998.414004629631</v>
      </c>
      <c r="G289" s="341"/>
      <c r="H289" s="341"/>
      <c r="I289" s="341" t="s">
        <v>4</v>
      </c>
      <c r="J289" s="340" t="s">
        <v>4864</v>
      </c>
      <c r="K289" s="340" t="s">
        <v>287</v>
      </c>
      <c r="L289" s="170">
        <v>45006</v>
      </c>
      <c r="M289" s="177" t="s">
        <v>2661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>
      <c r="A290" s="340">
        <f>COUNTA($E$3:E290)</f>
        <v>288</v>
      </c>
      <c r="B290" s="340" t="s">
        <v>4883</v>
      </c>
      <c r="C290" s="340" t="s">
        <v>2458</v>
      </c>
      <c r="D290" s="340" t="s">
        <v>16</v>
      </c>
      <c r="E290" s="340" t="s">
        <v>2459</v>
      </c>
      <c r="F290" s="341">
        <v>44994.764502314814</v>
      </c>
      <c r="G290" s="341"/>
      <c r="H290" s="341"/>
      <c r="I290" s="341" t="s">
        <v>2</v>
      </c>
      <c r="J290" s="340" t="s">
        <v>4882</v>
      </c>
      <c r="K290" s="340" t="s">
        <v>1287</v>
      </c>
      <c r="L290" s="170">
        <v>44998</v>
      </c>
      <c r="M290" s="177" t="s">
        <v>5001</v>
      </c>
      <c r="N290" s="179">
        <v>45000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>
        <v>45000</v>
      </c>
    </row>
    <row r="291" spans="1:30">
      <c r="A291" s="340">
        <f>COUNTA($E$3:E291)</f>
        <v>289</v>
      </c>
      <c r="B291" s="340" t="s">
        <v>4884</v>
      </c>
      <c r="C291" s="340" t="s">
        <v>41</v>
      </c>
      <c r="D291" s="340" t="s">
        <v>1201</v>
      </c>
      <c r="E291" s="340" t="s">
        <v>2296</v>
      </c>
      <c r="F291" s="341">
        <v>44994.769270833334</v>
      </c>
      <c r="G291" s="341"/>
      <c r="H291" s="341"/>
      <c r="I291" s="341" t="s">
        <v>3</v>
      </c>
      <c r="J291" s="340" t="s">
        <v>1485</v>
      </c>
      <c r="K291" s="340"/>
      <c r="L291" s="170">
        <v>44998</v>
      </c>
      <c r="M291" s="177" t="s">
        <v>2411</v>
      </c>
      <c r="N291" s="179">
        <v>45015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40">
        <f>COUNTA($E$3:E292)</f>
        <v>290</v>
      </c>
      <c r="B292" s="340" t="s">
        <v>4885</v>
      </c>
      <c r="C292" s="340" t="s">
        <v>41</v>
      </c>
      <c r="D292" s="340" t="s">
        <v>38</v>
      </c>
      <c r="E292" s="340" t="s">
        <v>2808</v>
      </c>
      <c r="F292" s="341">
        <v>44993.425300925926</v>
      </c>
      <c r="G292" s="341"/>
      <c r="H292" s="341"/>
      <c r="I292" s="341" t="s">
        <v>3</v>
      </c>
      <c r="J292" s="340" t="s">
        <v>1093</v>
      </c>
      <c r="K292" s="340" t="s">
        <v>1294</v>
      </c>
      <c r="L292" s="170">
        <v>44998</v>
      </c>
      <c r="M292" s="177" t="s">
        <v>2661</v>
      </c>
      <c r="N292" s="179">
        <v>45002</v>
      </c>
      <c r="O292" s="178"/>
      <c r="Q292" t="s">
        <v>22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>
      <c r="A293" s="340">
        <f>COUNTA($E$3:E293)</f>
        <v>291</v>
      </c>
      <c r="B293" s="340" t="s">
        <v>4887</v>
      </c>
      <c r="C293" s="340" t="s">
        <v>41</v>
      </c>
      <c r="D293" s="340" t="s">
        <v>16</v>
      </c>
      <c r="E293" s="340" t="s">
        <v>1153</v>
      </c>
      <c r="F293" s="341">
        <v>44993.422453703701</v>
      </c>
      <c r="G293" s="341"/>
      <c r="H293" s="341"/>
      <c r="I293" s="341" t="s">
        <v>3</v>
      </c>
      <c r="J293" s="340" t="s">
        <v>4886</v>
      </c>
      <c r="K293" s="340"/>
      <c r="L293" s="170">
        <v>44998</v>
      </c>
      <c r="M293" s="177" t="s">
        <v>2411</v>
      </c>
      <c r="N293" s="179">
        <v>45083</v>
      </c>
      <c r="O293" s="178"/>
      <c r="Q293" t="s">
        <v>22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40">
        <f>COUNTA($E$3:E294)</f>
        <v>292</v>
      </c>
      <c r="B294" s="340" t="s">
        <v>4889</v>
      </c>
      <c r="C294" s="340" t="s">
        <v>21</v>
      </c>
      <c r="D294" s="340" t="s">
        <v>58</v>
      </c>
      <c r="E294" s="340" t="s">
        <v>1258</v>
      </c>
      <c r="F294" s="341">
        <v>44992.704502314817</v>
      </c>
      <c r="G294" s="341"/>
      <c r="H294" s="341"/>
      <c r="I294" s="341" t="s">
        <v>3</v>
      </c>
      <c r="J294" s="340" t="s">
        <v>4888</v>
      </c>
      <c r="K294" s="340" t="s">
        <v>1296</v>
      </c>
      <c r="L294" s="170">
        <v>44998</v>
      </c>
      <c r="M294" s="177" t="s">
        <v>4856</v>
      </c>
      <c r="N294" s="179">
        <v>45034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40">
        <f>COUNTA($E$3:E295)</f>
        <v>293</v>
      </c>
      <c r="B295" s="340" t="s">
        <v>4890</v>
      </c>
      <c r="C295" s="340" t="s">
        <v>1106</v>
      </c>
      <c r="D295" s="340" t="s">
        <v>16</v>
      </c>
      <c r="E295" s="340" t="s">
        <v>2844</v>
      </c>
      <c r="F295" s="341">
        <v>44992.696805555555</v>
      </c>
      <c r="G295" s="341"/>
      <c r="H295" s="341"/>
      <c r="I295" s="341" t="s">
        <v>3</v>
      </c>
      <c r="J295" s="340" t="s">
        <v>1649</v>
      </c>
      <c r="K295" s="340" t="s">
        <v>1287</v>
      </c>
      <c r="L295" s="170">
        <v>44998</v>
      </c>
      <c r="M295" s="177" t="s">
        <v>4856</v>
      </c>
      <c r="N295" s="179">
        <v>45005</v>
      </c>
      <c r="O295" s="178"/>
      <c r="Q295" t="s">
        <v>129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>
        <v>45005</v>
      </c>
    </row>
    <row r="296" spans="1:30">
      <c r="A296" s="340">
        <f>COUNTA($E$3:E296)</f>
        <v>294</v>
      </c>
      <c r="B296" s="340" t="s">
        <v>4891</v>
      </c>
      <c r="C296" s="340" t="s">
        <v>21</v>
      </c>
      <c r="D296" s="340" t="s">
        <v>34</v>
      </c>
      <c r="E296" s="340" t="s">
        <v>1682</v>
      </c>
      <c r="F296" s="341">
        <v>44987.690070879631</v>
      </c>
      <c r="G296" s="341"/>
      <c r="H296" s="341"/>
      <c r="I296" s="341" t="s">
        <v>3</v>
      </c>
      <c r="J296" s="340"/>
      <c r="K296" s="340" t="s">
        <v>1296</v>
      </c>
      <c r="L296" s="170">
        <v>44998</v>
      </c>
      <c r="M296" s="177" t="s">
        <v>4856</v>
      </c>
      <c r="N296" s="179">
        <v>44998</v>
      </c>
      <c r="O296" s="178"/>
      <c r="Q296" t="s">
        <v>129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>
        <v>44998</v>
      </c>
    </row>
    <row r="297" spans="1:30">
      <c r="A297" s="340">
        <f>COUNTA($E$3:E297)</f>
        <v>295</v>
      </c>
      <c r="B297" s="340" t="s">
        <v>4893</v>
      </c>
      <c r="C297" s="340" t="s">
        <v>21</v>
      </c>
      <c r="D297" s="340" t="s">
        <v>34</v>
      </c>
      <c r="E297" s="340" t="s">
        <v>4892</v>
      </c>
      <c r="F297" s="341">
        <v>44987.689588043984</v>
      </c>
      <c r="G297" s="341"/>
      <c r="H297" s="341"/>
      <c r="I297" s="341" t="s">
        <v>3</v>
      </c>
      <c r="J297" s="340"/>
      <c r="K297" s="340" t="s">
        <v>1296</v>
      </c>
      <c r="L297" s="170">
        <v>44998</v>
      </c>
      <c r="M297" s="177" t="s">
        <v>4856</v>
      </c>
      <c r="N297" s="179">
        <v>44998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>
        <v>44998</v>
      </c>
    </row>
    <row r="298" spans="1:30">
      <c r="A298" s="340">
        <f>COUNTA($E$3:E298)</f>
        <v>296</v>
      </c>
      <c r="B298" s="340" t="s">
        <v>4490</v>
      </c>
      <c r="C298" s="340" t="s">
        <v>41</v>
      </c>
      <c r="D298" s="340" t="s">
        <v>1103</v>
      </c>
      <c r="E298" s="340" t="s">
        <v>1206</v>
      </c>
      <c r="F298" s="341">
        <v>44909</v>
      </c>
      <c r="G298" s="341"/>
      <c r="H298" s="341" t="s">
        <v>66</v>
      </c>
      <c r="I298" s="341" t="s">
        <v>3</v>
      </c>
      <c r="J298" s="340" t="s">
        <v>4894</v>
      </c>
      <c r="K298" s="340" t="s">
        <v>1294</v>
      </c>
      <c r="L298" s="170">
        <v>44998</v>
      </c>
      <c r="M298" s="177" t="s">
        <v>4895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>
      <c r="A299" s="340">
        <f>COUNTA($E$3:E299)</f>
        <v>297</v>
      </c>
      <c r="B299" s="340" t="s">
        <v>4898</v>
      </c>
      <c r="C299" s="340" t="s">
        <v>41</v>
      </c>
      <c r="D299" s="340" t="s">
        <v>52</v>
      </c>
      <c r="E299" s="340" t="s">
        <v>4896</v>
      </c>
      <c r="F299" s="341">
        <v>44980</v>
      </c>
      <c r="G299" s="341"/>
      <c r="H299" s="341" t="s">
        <v>66</v>
      </c>
      <c r="I299" s="341" t="s">
        <v>4</v>
      </c>
      <c r="J299" s="340"/>
      <c r="K299" s="340" t="s">
        <v>18</v>
      </c>
      <c r="L299" s="170">
        <v>44998</v>
      </c>
      <c r="M299" s="177" t="s">
        <v>4897</v>
      </c>
      <c r="N299" s="179">
        <v>45083</v>
      </c>
      <c r="O299" s="178"/>
      <c r="Q299" t="s">
        <v>22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40">
        <f>COUNTA($E$3:E300)</f>
        <v>298</v>
      </c>
      <c r="B300" s="340" t="s">
        <v>4821</v>
      </c>
      <c r="C300" s="340" t="s">
        <v>2340</v>
      </c>
      <c r="D300" s="340" t="s">
        <v>2341</v>
      </c>
      <c r="E300" s="340" t="s">
        <v>2910</v>
      </c>
      <c r="F300" s="341">
        <v>44984</v>
      </c>
      <c r="G300" s="341"/>
      <c r="H300" s="341"/>
      <c r="I300" s="341" t="s">
        <v>2</v>
      </c>
      <c r="J300" s="340" t="s">
        <v>1485</v>
      </c>
      <c r="K300" s="340" t="s">
        <v>20</v>
      </c>
      <c r="L300" s="170">
        <v>44991</v>
      </c>
      <c r="M300" s="177" t="s">
        <v>4838</v>
      </c>
      <c r="N300" s="179">
        <v>44985</v>
      </c>
      <c r="O300" s="178"/>
      <c r="Q300" t="s">
        <v>22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40">
        <f>COUNTA($E$3:E301)</f>
        <v>299</v>
      </c>
      <c r="B301" s="340" t="s">
        <v>4817</v>
      </c>
      <c r="C301" s="340" t="s">
        <v>21</v>
      </c>
      <c r="D301" s="340" t="s">
        <v>30</v>
      </c>
      <c r="E301" s="340" t="s">
        <v>4818</v>
      </c>
      <c r="F301" s="341">
        <v>44984</v>
      </c>
      <c r="G301" s="341"/>
      <c r="H301" s="341"/>
      <c r="I301" s="341" t="s">
        <v>2</v>
      </c>
      <c r="J301" s="340" t="s">
        <v>4819</v>
      </c>
      <c r="K301" s="340" t="s">
        <v>1287</v>
      </c>
      <c r="L301" s="170">
        <v>44991</v>
      </c>
      <c r="M301" s="177"/>
      <c r="N301" s="179"/>
      <c r="O301" s="178"/>
      <c r="Q301" t="s">
        <v>129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40">
        <f>COUNTA($E$3:E302)</f>
        <v>300</v>
      </c>
      <c r="B302" s="340" t="s">
        <v>4772</v>
      </c>
      <c r="C302" s="340" t="s">
        <v>4122</v>
      </c>
      <c r="D302" s="340" t="s">
        <v>16</v>
      </c>
      <c r="E302" s="340" t="s">
        <v>4773</v>
      </c>
      <c r="F302" s="341">
        <v>44973</v>
      </c>
      <c r="G302" s="341"/>
      <c r="H302" s="341" t="s">
        <v>55</v>
      </c>
      <c r="I302" s="341" t="s">
        <v>2</v>
      </c>
      <c r="J302" s="340" t="s">
        <v>1875</v>
      </c>
      <c r="K302" s="340" t="s">
        <v>103</v>
      </c>
      <c r="L302" s="170">
        <v>44991</v>
      </c>
      <c r="M302" s="177" t="s">
        <v>4836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40">
        <f>COUNTA($E$3:E303)</f>
        <v>301</v>
      </c>
      <c r="B303" s="340" t="s">
        <v>4647</v>
      </c>
      <c r="C303" s="340" t="s">
        <v>41</v>
      </c>
      <c r="D303" s="340" t="s">
        <v>56</v>
      </c>
      <c r="E303" s="340" t="s">
        <v>1229</v>
      </c>
      <c r="F303" s="341">
        <v>44931</v>
      </c>
      <c r="G303" s="341"/>
      <c r="H303" s="341" t="s">
        <v>66</v>
      </c>
      <c r="I303" s="341" t="s">
        <v>2</v>
      </c>
      <c r="J303" s="340" t="s">
        <v>4828</v>
      </c>
      <c r="K303" s="340" t="s">
        <v>287</v>
      </c>
      <c r="L303" s="170">
        <v>44991</v>
      </c>
      <c r="M303" s="177" t="s">
        <v>4842</v>
      </c>
      <c r="N303" s="179">
        <v>45083</v>
      </c>
      <c r="O303" s="178"/>
      <c r="Q303" t="s">
        <v>22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>
      <c r="A304" s="340">
        <f>COUNTA($E$3:E304)</f>
        <v>302</v>
      </c>
      <c r="B304" s="340" t="s">
        <v>4555</v>
      </c>
      <c r="C304" s="340" t="s">
        <v>1246</v>
      </c>
      <c r="D304" s="340" t="s">
        <v>31</v>
      </c>
      <c r="E304" s="340" t="s">
        <v>4556</v>
      </c>
      <c r="F304" s="341">
        <v>44917</v>
      </c>
      <c r="G304" s="341">
        <v>44942</v>
      </c>
      <c r="H304" s="341">
        <v>44932</v>
      </c>
      <c r="I304" s="341" t="s">
        <v>2</v>
      </c>
      <c r="J304" s="340" t="s">
        <v>17</v>
      </c>
      <c r="K304" s="340" t="s">
        <v>287</v>
      </c>
      <c r="L304" s="170">
        <v>44991</v>
      </c>
      <c r="M304" s="177" t="s">
        <v>4841</v>
      </c>
      <c r="N304" s="179">
        <v>44986</v>
      </c>
      <c r="O304" s="178"/>
      <c r="Q304" t="s">
        <v>22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40">
        <f>COUNTA($E$3:E305)</f>
        <v>303</v>
      </c>
      <c r="B305" s="340" t="s">
        <v>4816</v>
      </c>
      <c r="C305" s="340" t="s">
        <v>21</v>
      </c>
      <c r="D305" s="340" t="s">
        <v>30</v>
      </c>
      <c r="E305" s="340" t="s">
        <v>2565</v>
      </c>
      <c r="F305" s="341">
        <v>44984</v>
      </c>
      <c r="G305" s="341"/>
      <c r="H305" s="341"/>
      <c r="I305" s="341" t="s">
        <v>3</v>
      </c>
      <c r="J305" s="340"/>
      <c r="K305" s="340" t="s">
        <v>1102</v>
      </c>
      <c r="L305" s="170">
        <v>44991</v>
      </c>
      <c r="M305" s="177"/>
      <c r="N305" s="179">
        <v>44992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44992</v>
      </c>
    </row>
    <row r="306" spans="1:30">
      <c r="A306" s="340">
        <f>COUNTA($E$3:E306)</f>
        <v>304</v>
      </c>
      <c r="B306" s="340" t="s">
        <v>4811</v>
      </c>
      <c r="C306" s="340" t="s">
        <v>21</v>
      </c>
      <c r="D306" s="340" t="s">
        <v>30</v>
      </c>
      <c r="E306" s="340" t="s">
        <v>2786</v>
      </c>
      <c r="F306" s="341">
        <v>44984</v>
      </c>
      <c r="G306" s="341"/>
      <c r="H306" s="341"/>
      <c r="I306" s="341" t="s">
        <v>3</v>
      </c>
      <c r="J306" s="340" t="s">
        <v>1212</v>
      </c>
      <c r="K306" s="340" t="s">
        <v>1287</v>
      </c>
      <c r="L306" s="170">
        <v>44991</v>
      </c>
      <c r="M306" s="177" t="s">
        <v>4837</v>
      </c>
      <c r="N306" s="179">
        <v>44987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44987</v>
      </c>
    </row>
    <row r="307" spans="1:30">
      <c r="A307" s="340">
        <f>COUNTA($E$3:E307)</f>
        <v>305</v>
      </c>
      <c r="B307" s="340" t="s">
        <v>4809</v>
      </c>
      <c r="C307" s="340" t="s">
        <v>21</v>
      </c>
      <c r="D307" s="340" t="s">
        <v>25</v>
      </c>
      <c r="E307" s="340" t="s">
        <v>298</v>
      </c>
      <c r="F307" s="341">
        <v>44984</v>
      </c>
      <c r="G307" s="341"/>
      <c r="H307" s="341">
        <v>45005</v>
      </c>
      <c r="I307" s="341" t="s">
        <v>3</v>
      </c>
      <c r="J307" s="340" t="s">
        <v>1666</v>
      </c>
      <c r="K307" s="340" t="s">
        <v>1295</v>
      </c>
      <c r="L307" s="170">
        <v>44991</v>
      </c>
      <c r="M307" s="177"/>
      <c r="N307" s="179">
        <v>44992</v>
      </c>
      <c r="O307" s="178"/>
      <c r="Q307" t="s">
        <v>129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>
        <v>44992</v>
      </c>
    </row>
    <row r="308" spans="1:30">
      <c r="A308" s="340">
        <f>COUNTA($E$3:E308)</f>
        <v>306</v>
      </c>
      <c r="B308" s="340" t="s">
        <v>4792</v>
      </c>
      <c r="C308" s="340" t="s">
        <v>37</v>
      </c>
      <c r="D308" s="340" t="s">
        <v>30</v>
      </c>
      <c r="E308" s="340" t="s">
        <v>3371</v>
      </c>
      <c r="F308" s="341">
        <v>44978.567278553244</v>
      </c>
      <c r="G308" s="341"/>
      <c r="H308" s="341"/>
      <c r="I308" s="341" t="s">
        <v>3</v>
      </c>
      <c r="J308" s="340" t="s">
        <v>1485</v>
      </c>
      <c r="K308" s="340" t="s">
        <v>1296</v>
      </c>
      <c r="L308" s="170">
        <v>44991</v>
      </c>
      <c r="M308" s="177" t="s">
        <v>4831</v>
      </c>
      <c r="N308" s="179">
        <v>45019</v>
      </c>
      <c r="O308" s="178"/>
      <c r="Q308" t="s">
        <v>129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>
        <v>45019</v>
      </c>
    </row>
    <row r="309" spans="1:30">
      <c r="A309" s="340">
        <f>COUNTA($E$3:E309)</f>
        <v>307</v>
      </c>
      <c r="B309" s="340" t="s">
        <v>4770</v>
      </c>
      <c r="C309" s="340" t="s">
        <v>41</v>
      </c>
      <c r="D309" s="340" t="s">
        <v>1124</v>
      </c>
      <c r="E309" s="340" t="s">
        <v>1184</v>
      </c>
      <c r="F309" s="341">
        <v>44973</v>
      </c>
      <c r="G309" s="341"/>
      <c r="H309" s="341" t="s">
        <v>55</v>
      </c>
      <c r="I309" s="341" t="s">
        <v>2</v>
      </c>
      <c r="J309" s="340" t="s">
        <v>4771</v>
      </c>
      <c r="K309" s="340" t="s">
        <v>1294</v>
      </c>
      <c r="L309" s="170">
        <v>44984</v>
      </c>
      <c r="M309" s="177" t="s">
        <v>4804</v>
      </c>
      <c r="N309" s="179">
        <v>45083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>
      <c r="A310" s="340">
        <f>COUNTA($E$3:E310)</f>
        <v>308</v>
      </c>
      <c r="B310" s="340" t="s">
        <v>4691</v>
      </c>
      <c r="C310" s="340" t="s">
        <v>41</v>
      </c>
      <c r="D310" s="340" t="s">
        <v>49</v>
      </c>
      <c r="E310" s="340" t="s">
        <v>1088</v>
      </c>
      <c r="F310" s="341">
        <v>44957</v>
      </c>
      <c r="G310" s="341"/>
      <c r="H310" s="341" t="s">
        <v>66</v>
      </c>
      <c r="I310" s="341" t="s">
        <v>2</v>
      </c>
      <c r="J310" s="340" t="s">
        <v>4692</v>
      </c>
      <c r="K310" s="340" t="s">
        <v>1296</v>
      </c>
      <c r="L310" s="170">
        <v>44984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>
      <c r="A311" s="340">
        <f>COUNTA($E$3:E311)</f>
        <v>309</v>
      </c>
      <c r="B311" s="340" t="s">
        <v>4662</v>
      </c>
      <c r="C311" s="340" t="s">
        <v>2345</v>
      </c>
      <c r="D311" s="340" t="s">
        <v>16</v>
      </c>
      <c r="E311" s="340" t="s">
        <v>2377</v>
      </c>
      <c r="F311" s="341">
        <v>44936</v>
      </c>
      <c r="G311" s="341"/>
      <c r="H311" s="341" t="s">
        <v>55</v>
      </c>
      <c r="I311" s="341" t="s">
        <v>2</v>
      </c>
      <c r="J311" s="340"/>
      <c r="K311" s="340" t="s">
        <v>1287</v>
      </c>
      <c r="L311" s="170">
        <v>44984</v>
      </c>
      <c r="M311" s="177" t="s">
        <v>4799</v>
      </c>
      <c r="N311" s="179">
        <v>44977</v>
      </c>
      <c r="O311" s="178"/>
      <c r="Q311" t="s">
        <v>129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>
        <v>44977</v>
      </c>
    </row>
    <row r="312" spans="1:30">
      <c r="A312" s="340">
        <f>COUNTA($E$3:E312)</f>
        <v>310</v>
      </c>
      <c r="B312" s="340" t="s">
        <v>4797</v>
      </c>
      <c r="C312" s="340" t="s">
        <v>41</v>
      </c>
      <c r="D312" s="340" t="s">
        <v>16</v>
      </c>
      <c r="E312" s="340" t="s">
        <v>3449</v>
      </c>
      <c r="F312" s="341">
        <v>44980.806960289352</v>
      </c>
      <c r="G312" s="341"/>
      <c r="H312" s="341"/>
      <c r="I312" s="341" t="s">
        <v>3</v>
      </c>
      <c r="J312" s="340"/>
      <c r="K312" s="340" t="s">
        <v>2032</v>
      </c>
      <c r="L312" s="170">
        <v>44984</v>
      </c>
      <c r="M312" s="177" t="s">
        <v>4803</v>
      </c>
      <c r="N312" s="179">
        <v>45021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>
        <v>45021</v>
      </c>
    </row>
    <row r="313" spans="1:30">
      <c r="A313" s="340">
        <f>COUNTA($E$3:E313)</f>
        <v>311</v>
      </c>
      <c r="B313" s="340" t="s">
        <v>4796</v>
      </c>
      <c r="C313" s="340" t="s">
        <v>3766</v>
      </c>
      <c r="D313" s="340" t="s">
        <v>64</v>
      </c>
      <c r="E313" s="340" t="s">
        <v>4080</v>
      </c>
      <c r="F313" s="341">
        <v>44980</v>
      </c>
      <c r="G313" s="341"/>
      <c r="H313" s="341"/>
      <c r="I313" s="341" t="s">
        <v>3</v>
      </c>
      <c r="J313" s="340"/>
      <c r="K313" s="340" t="s">
        <v>103</v>
      </c>
      <c r="L313" s="170">
        <v>44984</v>
      </c>
      <c r="M313" s="177" t="s">
        <v>4803</v>
      </c>
      <c r="N313" s="179">
        <v>45083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40">
        <f>COUNTA($E$3:E314)</f>
        <v>312</v>
      </c>
      <c r="B314" s="340" t="s">
        <v>4793</v>
      </c>
      <c r="C314" s="340" t="s">
        <v>4794</v>
      </c>
      <c r="D314" s="340" t="s">
        <v>1125</v>
      </c>
      <c r="E314" s="340" t="s">
        <v>4795</v>
      </c>
      <c r="F314" s="341">
        <v>44980.757729942132</v>
      </c>
      <c r="G314" s="341"/>
      <c r="H314" s="341"/>
      <c r="I314" s="341" t="s">
        <v>3</v>
      </c>
      <c r="J314" s="340"/>
      <c r="K314" s="340" t="s">
        <v>1295</v>
      </c>
      <c r="L314" s="170">
        <v>44984</v>
      </c>
      <c r="M314" s="177" t="s">
        <v>4801</v>
      </c>
      <c r="N314" s="179">
        <v>44981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44981</v>
      </c>
    </row>
    <row r="315" spans="1:30">
      <c r="A315" s="340">
        <f>COUNTA($E$3:E315)</f>
        <v>313</v>
      </c>
      <c r="B315" s="340" t="s">
        <v>4777</v>
      </c>
      <c r="C315" s="340" t="s">
        <v>37</v>
      </c>
      <c r="D315" s="340" t="s">
        <v>30</v>
      </c>
      <c r="E315" s="340" t="s">
        <v>4023</v>
      </c>
      <c r="F315" s="341">
        <v>44978.565821759257</v>
      </c>
      <c r="G315" s="341"/>
      <c r="H315" s="341"/>
      <c r="I315" s="341" t="s">
        <v>3</v>
      </c>
      <c r="J315" s="340" t="s">
        <v>2153</v>
      </c>
      <c r="K315" s="340" t="s">
        <v>1296</v>
      </c>
      <c r="L315" s="170">
        <v>44984</v>
      </c>
      <c r="M315" s="177" t="s">
        <v>4801</v>
      </c>
      <c r="N315" s="179">
        <v>44985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44985</v>
      </c>
    </row>
    <row r="316" spans="1:30">
      <c r="A316" s="340">
        <f>COUNTA($E$3:E316)</f>
        <v>314</v>
      </c>
      <c r="B316" s="340" t="s">
        <v>4790</v>
      </c>
      <c r="C316" s="340" t="s">
        <v>37</v>
      </c>
      <c r="D316" s="340" t="s">
        <v>30</v>
      </c>
      <c r="E316" s="340" t="s">
        <v>4791</v>
      </c>
      <c r="F316" s="341">
        <v>44978.565375879632</v>
      </c>
      <c r="G316" s="341"/>
      <c r="H316" s="341"/>
      <c r="I316" s="341" t="s">
        <v>3</v>
      </c>
      <c r="J316" s="340"/>
      <c r="K316" s="340" t="s">
        <v>1295</v>
      </c>
      <c r="L316" s="170">
        <v>44984</v>
      </c>
      <c r="M316" s="177" t="s">
        <v>4801</v>
      </c>
      <c r="N316" s="179">
        <v>44985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44985</v>
      </c>
    </row>
    <row r="317" spans="1:30">
      <c r="A317" s="340">
        <f>COUNTA($E$3:E317)</f>
        <v>315</v>
      </c>
      <c r="B317" s="340" t="s">
        <v>4776</v>
      </c>
      <c r="C317" s="340" t="s">
        <v>37</v>
      </c>
      <c r="D317" s="340" t="s">
        <v>30</v>
      </c>
      <c r="E317" s="340" t="s">
        <v>1288</v>
      </c>
      <c r="F317" s="341">
        <v>44978.564872685187</v>
      </c>
      <c r="G317" s="341"/>
      <c r="H317" s="341"/>
      <c r="I317" s="341" t="s">
        <v>3</v>
      </c>
      <c r="J317" s="340" t="s">
        <v>1249</v>
      </c>
      <c r="K317" s="340" t="s">
        <v>1287</v>
      </c>
      <c r="L317" s="170">
        <v>44984</v>
      </c>
      <c r="M317" s="177" t="s">
        <v>4801</v>
      </c>
      <c r="N317" s="179">
        <v>44985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44985</v>
      </c>
    </row>
    <row r="318" spans="1:30">
      <c r="A318" s="340">
        <f>COUNTA($E$3:E318)</f>
        <v>316</v>
      </c>
      <c r="B318" s="340" t="s">
        <v>4775</v>
      </c>
      <c r="C318" s="340" t="s">
        <v>37</v>
      </c>
      <c r="D318" s="340" t="s">
        <v>30</v>
      </c>
      <c r="E318" s="340" t="s">
        <v>3491</v>
      </c>
      <c r="F318" s="341">
        <v>44978.563414351855</v>
      </c>
      <c r="G318" s="341"/>
      <c r="H318" s="341"/>
      <c r="I318" s="341" t="s">
        <v>3</v>
      </c>
      <c r="J318" s="340" t="s">
        <v>2153</v>
      </c>
      <c r="K318" s="340" t="s">
        <v>1296</v>
      </c>
      <c r="L318" s="170">
        <v>44984</v>
      </c>
      <c r="M318" s="177" t="s">
        <v>4801</v>
      </c>
      <c r="N318" s="179">
        <v>44985</v>
      </c>
      <c r="O318" s="178"/>
      <c r="Q318" t="s">
        <v>129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>
        <v>44985</v>
      </c>
    </row>
    <row r="319" spans="1:30">
      <c r="A319" s="340">
        <f>COUNTA($E$3:E319)</f>
        <v>317</v>
      </c>
      <c r="B319" s="340" t="s">
        <v>4789</v>
      </c>
      <c r="C319" s="340" t="s">
        <v>37</v>
      </c>
      <c r="D319" s="340" t="s">
        <v>30</v>
      </c>
      <c r="E319" s="340" t="s">
        <v>1122</v>
      </c>
      <c r="F319" s="341">
        <v>44978.562973425927</v>
      </c>
      <c r="G319" s="341"/>
      <c r="H319" s="341"/>
      <c r="I319" s="341" t="s">
        <v>3</v>
      </c>
      <c r="J319" s="340"/>
      <c r="K319" s="340" t="s">
        <v>1295</v>
      </c>
      <c r="L319" s="170">
        <v>44984</v>
      </c>
      <c r="M319" s="177" t="s">
        <v>4801</v>
      </c>
      <c r="N319" s="179">
        <v>44985</v>
      </c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>
        <v>44985</v>
      </c>
    </row>
    <row r="320" spans="1:30">
      <c r="A320" s="340">
        <f>COUNTA($E$3:E320)</f>
        <v>318</v>
      </c>
      <c r="B320" s="340" t="s">
        <v>4778</v>
      </c>
      <c r="C320" s="340" t="s">
        <v>37</v>
      </c>
      <c r="D320" s="340" t="s">
        <v>30</v>
      </c>
      <c r="E320" s="340" t="s">
        <v>4779</v>
      </c>
      <c r="F320" s="341">
        <v>44978.562407407408</v>
      </c>
      <c r="G320" s="341"/>
      <c r="H320" s="341"/>
      <c r="I320" s="341" t="s">
        <v>3</v>
      </c>
      <c r="J320" s="340" t="s">
        <v>1485</v>
      </c>
      <c r="K320" s="340" t="s">
        <v>1287</v>
      </c>
      <c r="L320" s="170">
        <v>44984</v>
      </c>
      <c r="M320" s="177" t="s">
        <v>4806</v>
      </c>
      <c r="N320" s="179">
        <v>44985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44985</v>
      </c>
    </row>
    <row r="321" spans="1:30">
      <c r="A321" s="340">
        <f>COUNTA($E$3:E321)</f>
        <v>319</v>
      </c>
      <c r="B321" s="340" t="s">
        <v>4752</v>
      </c>
      <c r="C321" s="340" t="s">
        <v>41</v>
      </c>
      <c r="D321" s="340" t="s">
        <v>32</v>
      </c>
      <c r="E321" s="340" t="s">
        <v>3595</v>
      </c>
      <c r="F321" s="341">
        <v>44970.680092592593</v>
      </c>
      <c r="G321" s="341"/>
      <c r="H321" s="341"/>
      <c r="I321" s="341" t="s">
        <v>3</v>
      </c>
      <c r="J321" s="340" t="s">
        <v>1485</v>
      </c>
      <c r="K321" s="340" t="s">
        <v>1287</v>
      </c>
      <c r="L321" s="170">
        <v>44984</v>
      </c>
      <c r="M321" s="177" t="s">
        <v>4800</v>
      </c>
      <c r="N321" s="179">
        <v>44984</v>
      </c>
      <c r="O321" s="178"/>
      <c r="Q321" t="s">
        <v>129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44984</v>
      </c>
    </row>
    <row r="322" spans="1:30">
      <c r="A322" s="340">
        <f>COUNTA($E$3:E322)</f>
        <v>320</v>
      </c>
      <c r="B322" s="340" t="s">
        <v>4719</v>
      </c>
      <c r="C322" s="340" t="s">
        <v>37</v>
      </c>
      <c r="D322" s="340" t="s">
        <v>27</v>
      </c>
      <c r="E322" s="340" t="s">
        <v>4720</v>
      </c>
      <c r="F322" s="341">
        <v>44960</v>
      </c>
      <c r="G322" s="341"/>
      <c r="H322" s="341"/>
      <c r="I322" s="341" t="s">
        <v>4</v>
      </c>
      <c r="J322" s="340"/>
      <c r="K322" s="340" t="s">
        <v>1295</v>
      </c>
      <c r="L322" s="170">
        <v>44984</v>
      </c>
      <c r="M322" s="177" t="s">
        <v>5002</v>
      </c>
      <c r="N322" s="179">
        <v>45001</v>
      </c>
      <c r="O322" s="178"/>
      <c r="Q322" t="s">
        <v>129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>
        <v>45001</v>
      </c>
    </row>
    <row r="323" spans="1:30">
      <c r="A323" s="340">
        <f>COUNTA($E$3:E323)</f>
        <v>321</v>
      </c>
      <c r="B323" s="340" t="s">
        <v>4750</v>
      </c>
      <c r="C323" s="340" t="s">
        <v>4165</v>
      </c>
      <c r="D323" s="340" t="s">
        <v>32</v>
      </c>
      <c r="E323" s="340" t="s">
        <v>4191</v>
      </c>
      <c r="F323" s="341">
        <v>44971.619085648148</v>
      </c>
      <c r="G323" s="341"/>
      <c r="H323" s="341"/>
      <c r="I323" s="341" t="s">
        <v>2</v>
      </c>
      <c r="J323" s="340" t="s">
        <v>4751</v>
      </c>
      <c r="K323" s="340" t="s">
        <v>287</v>
      </c>
      <c r="L323" s="170">
        <v>44977</v>
      </c>
      <c r="M323" s="177" t="s">
        <v>4762</v>
      </c>
      <c r="N323" s="179">
        <v>45083</v>
      </c>
      <c r="O323" s="178"/>
      <c r="Q323" t="s">
        <v>22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40">
        <f>COUNTA($E$3:E324)</f>
        <v>322</v>
      </c>
      <c r="B324" s="340" t="s">
        <v>4737</v>
      </c>
      <c r="C324" s="340" t="s">
        <v>3766</v>
      </c>
      <c r="D324" s="340" t="s">
        <v>64</v>
      </c>
      <c r="E324" s="340" t="s">
        <v>2283</v>
      </c>
      <c r="F324" s="341">
        <v>44966</v>
      </c>
      <c r="G324" s="341"/>
      <c r="H324" s="341"/>
      <c r="I324" s="341" t="s">
        <v>2</v>
      </c>
      <c r="J324" s="340" t="s">
        <v>4738</v>
      </c>
      <c r="K324" s="340" t="s">
        <v>20</v>
      </c>
      <c r="L324" s="170">
        <v>44977</v>
      </c>
      <c r="M324" s="177" t="s">
        <v>4744</v>
      </c>
      <c r="N324" s="179">
        <v>45083</v>
      </c>
      <c r="O324" s="178"/>
      <c r="Q324" t="s">
        <v>22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/>
    </row>
    <row r="325" spans="1:30">
      <c r="A325" s="340">
        <f>COUNTA($E$3:E325)</f>
        <v>323</v>
      </c>
      <c r="B325" s="340" t="s">
        <v>4767</v>
      </c>
      <c r="C325" s="340" t="s">
        <v>41</v>
      </c>
      <c r="D325" s="340" t="s">
        <v>1083</v>
      </c>
      <c r="E325" s="340" t="s">
        <v>4415</v>
      </c>
      <c r="F325" s="341">
        <v>44973.782187500001</v>
      </c>
      <c r="G325" s="341"/>
      <c r="H325" s="341"/>
      <c r="I325" s="341" t="s">
        <v>3</v>
      </c>
      <c r="J325" s="340" t="s">
        <v>4768</v>
      </c>
      <c r="K325" s="340"/>
      <c r="L325" s="170">
        <v>44977</v>
      </c>
      <c r="M325" s="177"/>
      <c r="N325" s="179">
        <v>45051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45051</v>
      </c>
    </row>
    <row r="326" spans="1:30">
      <c r="A326" s="340">
        <f>COUNTA($E$3:E326)</f>
        <v>324</v>
      </c>
      <c r="B326" s="340" t="s">
        <v>4747</v>
      </c>
      <c r="C326" s="340" t="s">
        <v>37</v>
      </c>
      <c r="D326" s="340" t="s">
        <v>34</v>
      </c>
      <c r="E326" s="340" t="s">
        <v>4600</v>
      </c>
      <c r="F326" s="341">
        <v>44967.430194039349</v>
      </c>
      <c r="G326" s="341"/>
      <c r="H326" s="341"/>
      <c r="I326" s="341" t="s">
        <v>3</v>
      </c>
      <c r="J326" s="340"/>
      <c r="K326" s="340" t="s">
        <v>1296</v>
      </c>
      <c r="L326" s="170">
        <v>44977</v>
      </c>
      <c r="M326" s="177" t="s">
        <v>4760</v>
      </c>
      <c r="N326" s="179">
        <v>44972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44972</v>
      </c>
    </row>
    <row r="327" spans="1:30">
      <c r="A327" s="340">
        <f>COUNTA($E$3:E327)</f>
        <v>325</v>
      </c>
      <c r="B327" s="340" t="s">
        <v>4745</v>
      </c>
      <c r="C327" s="340" t="s">
        <v>37</v>
      </c>
      <c r="D327" s="340" t="s">
        <v>30</v>
      </c>
      <c r="E327" s="340" t="s">
        <v>4746</v>
      </c>
      <c r="F327" s="341">
        <v>44967.42960797454</v>
      </c>
      <c r="G327" s="341"/>
      <c r="H327" s="341"/>
      <c r="I327" s="341" t="s">
        <v>3</v>
      </c>
      <c r="J327" s="340"/>
      <c r="K327" s="340" t="s">
        <v>1296</v>
      </c>
      <c r="L327" s="170">
        <v>44977</v>
      </c>
      <c r="M327" s="177" t="s">
        <v>4760</v>
      </c>
      <c r="N327" s="179">
        <v>44972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44972</v>
      </c>
    </row>
    <row r="328" spans="1:30">
      <c r="A328" s="340">
        <f>COUNTA($E$3:E328)</f>
        <v>326</v>
      </c>
      <c r="B328" s="340" t="s">
        <v>4736</v>
      </c>
      <c r="C328" s="340" t="s">
        <v>3828</v>
      </c>
      <c r="D328" s="340" t="s">
        <v>104</v>
      </c>
      <c r="E328" s="340" t="s">
        <v>1266</v>
      </c>
      <c r="F328" s="341">
        <v>44965</v>
      </c>
      <c r="G328" s="341"/>
      <c r="H328" s="341"/>
      <c r="I328" s="341" t="s">
        <v>3</v>
      </c>
      <c r="J328" s="340"/>
      <c r="K328" s="340" t="s">
        <v>33</v>
      </c>
      <c r="L328" s="170">
        <v>44977</v>
      </c>
      <c r="M328" s="177" t="s">
        <v>4761</v>
      </c>
      <c r="N328" s="179">
        <v>44977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44977</v>
      </c>
    </row>
    <row r="329" spans="1:30">
      <c r="A329" s="340">
        <f>COUNTA($E$3:E329)</f>
        <v>327</v>
      </c>
      <c r="B329" s="340" t="s">
        <v>4735</v>
      </c>
      <c r="C329" s="340" t="s">
        <v>41</v>
      </c>
      <c r="D329" s="340" t="s">
        <v>49</v>
      </c>
      <c r="E329" s="340" t="s">
        <v>1143</v>
      </c>
      <c r="F329" s="341">
        <v>44972.646851562502</v>
      </c>
      <c r="G329" s="341"/>
      <c r="H329" s="341"/>
      <c r="I329" s="341" t="s">
        <v>3</v>
      </c>
      <c r="J329" s="340"/>
      <c r="K329" s="340" t="s">
        <v>1296</v>
      </c>
      <c r="L329" s="170">
        <v>44977</v>
      </c>
      <c r="M329" s="177"/>
      <c r="N329" s="179">
        <v>45158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/>
    </row>
    <row r="330" spans="1:30">
      <c r="A330" s="340">
        <f>COUNTA($E$3:E330)</f>
        <v>328</v>
      </c>
      <c r="B330" s="340" t="s">
        <v>4730</v>
      </c>
      <c r="C330" s="340" t="s">
        <v>3828</v>
      </c>
      <c r="D330" s="340" t="s">
        <v>19</v>
      </c>
      <c r="E330" s="340" t="s">
        <v>3696</v>
      </c>
      <c r="F330" s="341">
        <v>44965.761384722224</v>
      </c>
      <c r="G330" s="341"/>
      <c r="H330" s="341"/>
      <c r="I330" s="341" t="s">
        <v>3</v>
      </c>
      <c r="J330" s="340"/>
      <c r="K330" s="340" t="s">
        <v>1295</v>
      </c>
      <c r="L330" s="170">
        <v>44977</v>
      </c>
      <c r="M330" s="177" t="s">
        <v>4760</v>
      </c>
      <c r="N330" s="179">
        <v>44973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44973</v>
      </c>
    </row>
    <row r="331" spans="1:30">
      <c r="A331" s="340">
        <f>COUNTA($E$3:E331)</f>
        <v>329</v>
      </c>
      <c r="B331" s="340" t="s">
        <v>4729</v>
      </c>
      <c r="C331" s="340" t="s">
        <v>1092</v>
      </c>
      <c r="D331" s="340" t="s">
        <v>1145</v>
      </c>
      <c r="E331" s="340" t="s">
        <v>4664</v>
      </c>
      <c r="F331" s="341">
        <v>44965.75728957176</v>
      </c>
      <c r="G331" s="341"/>
      <c r="H331" s="341"/>
      <c r="I331" s="341" t="s">
        <v>3</v>
      </c>
      <c r="J331" s="340"/>
      <c r="K331" s="340" t="s">
        <v>1296</v>
      </c>
      <c r="L331" s="170">
        <v>44977</v>
      </c>
      <c r="M331" s="177" t="s">
        <v>4760</v>
      </c>
      <c r="N331" s="179">
        <v>44936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44936</v>
      </c>
    </row>
    <row r="332" spans="1:30">
      <c r="A332" s="340">
        <f>COUNTA($E$3:E332)</f>
        <v>330</v>
      </c>
      <c r="B332" s="340" t="s">
        <v>4709</v>
      </c>
      <c r="C332" s="340" t="s">
        <v>21</v>
      </c>
      <c r="D332" s="340" t="s">
        <v>1124</v>
      </c>
      <c r="E332" s="340" t="s">
        <v>4710</v>
      </c>
      <c r="F332" s="341">
        <v>44959</v>
      </c>
      <c r="G332" s="341"/>
      <c r="H332" s="341"/>
      <c r="I332" s="341" t="s">
        <v>3</v>
      </c>
      <c r="J332" s="340"/>
      <c r="K332" s="340"/>
      <c r="L332" s="170">
        <v>44977</v>
      </c>
      <c r="M332" s="177" t="s">
        <v>4774</v>
      </c>
      <c r="N332" s="179">
        <v>45021</v>
      </c>
      <c r="O332" s="178"/>
      <c r="Q332" t="s">
        <v>129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>
        <v>45021</v>
      </c>
    </row>
    <row r="333" spans="1:30">
      <c r="A333" s="340">
        <f>COUNTA($E$3:E333)</f>
        <v>331</v>
      </c>
      <c r="B333" s="340" t="s">
        <v>4703</v>
      </c>
      <c r="C333" s="340" t="s">
        <v>41</v>
      </c>
      <c r="D333" s="340" t="s">
        <v>30</v>
      </c>
      <c r="E333" s="340" t="s">
        <v>4704</v>
      </c>
      <c r="F333" s="341">
        <v>44957</v>
      </c>
      <c r="G333" s="341"/>
      <c r="H333" s="341" t="s">
        <v>55</v>
      </c>
      <c r="I333" s="341" t="s">
        <v>2</v>
      </c>
      <c r="J333" s="340"/>
      <c r="K333" s="340" t="s">
        <v>1287</v>
      </c>
      <c r="L333" s="170">
        <v>44970</v>
      </c>
      <c r="M333" s="177"/>
      <c r="N333" s="179"/>
      <c r="O333" s="178"/>
      <c r="Q333" t="s">
        <v>129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>
      <c r="A334" s="340">
        <f>COUNTA($E$3:E334)</f>
        <v>332</v>
      </c>
      <c r="B334" s="340" t="s">
        <v>4665</v>
      </c>
      <c r="C334" s="340" t="s">
        <v>1092</v>
      </c>
      <c r="D334" s="340" t="s">
        <v>1123</v>
      </c>
      <c r="E334" s="340" t="s">
        <v>4666</v>
      </c>
      <c r="F334" s="341">
        <v>44938</v>
      </c>
      <c r="G334" s="341">
        <v>44963</v>
      </c>
      <c r="H334" s="341">
        <v>44942</v>
      </c>
      <c r="I334" s="341" t="s">
        <v>2</v>
      </c>
      <c r="J334" s="340"/>
      <c r="K334" s="340" t="s">
        <v>33</v>
      </c>
      <c r="L334" s="170">
        <v>44970</v>
      </c>
      <c r="M334" s="177" t="s">
        <v>4742</v>
      </c>
      <c r="N334" s="179">
        <v>44988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44988</v>
      </c>
    </row>
    <row r="335" spans="1:30">
      <c r="A335" s="340">
        <f>COUNTA($E$3:E335)</f>
        <v>333</v>
      </c>
      <c r="B335" s="340" t="s">
        <v>4646</v>
      </c>
      <c r="C335" s="340" t="s">
        <v>41</v>
      </c>
      <c r="D335" s="340" t="s">
        <v>34</v>
      </c>
      <c r="E335" s="340" t="s">
        <v>1045</v>
      </c>
      <c r="F335" s="341">
        <v>44932</v>
      </c>
      <c r="G335" s="341"/>
      <c r="H335" s="341" t="s">
        <v>55</v>
      </c>
      <c r="I335" s="341" t="s">
        <v>2</v>
      </c>
      <c r="J335" s="340"/>
      <c r="K335" s="340" t="s">
        <v>103</v>
      </c>
      <c r="L335" s="170">
        <v>44970</v>
      </c>
      <c r="M335" s="177" t="s">
        <v>4739</v>
      </c>
      <c r="N335" s="179">
        <v>44966</v>
      </c>
      <c r="O335" s="178"/>
      <c r="Q335" t="s">
        <v>22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44966</v>
      </c>
    </row>
    <row r="336" spans="1:30">
      <c r="A336" s="340">
        <f>COUNTA($E$3:E336)</f>
        <v>334</v>
      </c>
      <c r="B336" s="340" t="s">
        <v>4159</v>
      </c>
      <c r="C336" s="340" t="s">
        <v>1196</v>
      </c>
      <c r="D336" s="340" t="s">
        <v>36</v>
      </c>
      <c r="E336" s="340" t="s">
        <v>2579</v>
      </c>
      <c r="F336" s="341">
        <v>44852</v>
      </c>
      <c r="G336" s="341">
        <v>44963</v>
      </c>
      <c r="H336" s="341">
        <v>44858</v>
      </c>
      <c r="I336" s="341" t="s">
        <v>2</v>
      </c>
      <c r="J336" s="340" t="s">
        <v>2435</v>
      </c>
      <c r="K336" s="340" t="s">
        <v>24</v>
      </c>
      <c r="L336" s="170">
        <v>44970</v>
      </c>
      <c r="M336" s="177" t="s">
        <v>4740</v>
      </c>
      <c r="N336" s="179">
        <v>44970</v>
      </c>
      <c r="O336" s="178"/>
      <c r="Q336" t="s">
        <v>22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44970</v>
      </c>
    </row>
    <row r="337" spans="1:30">
      <c r="A337" s="340">
        <f>COUNTA($E$3:E337)</f>
        <v>335</v>
      </c>
      <c r="B337" s="340" t="s">
        <v>4712</v>
      </c>
      <c r="C337" s="340" t="s">
        <v>21</v>
      </c>
      <c r="D337" s="340" t="s">
        <v>34</v>
      </c>
      <c r="E337" s="340" t="s">
        <v>3873</v>
      </c>
      <c r="F337" s="341">
        <v>44959</v>
      </c>
      <c r="G337" s="341"/>
      <c r="H337" s="341"/>
      <c r="I337" s="341" t="s">
        <v>3</v>
      </c>
      <c r="J337" s="340"/>
      <c r="K337" s="340" t="s">
        <v>1089</v>
      </c>
      <c r="L337" s="170">
        <v>44970</v>
      </c>
      <c r="M337" s="177" t="s">
        <v>4743</v>
      </c>
      <c r="N337" s="179">
        <v>44965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44965</v>
      </c>
    </row>
    <row r="338" spans="1:30">
      <c r="A338" s="340">
        <f>COUNTA($E$3:E338)</f>
        <v>336</v>
      </c>
      <c r="B338" s="340" t="s">
        <v>4688</v>
      </c>
      <c r="C338" s="340" t="s">
        <v>37</v>
      </c>
      <c r="D338" s="340" t="s">
        <v>34</v>
      </c>
      <c r="E338" s="340" t="s">
        <v>1676</v>
      </c>
      <c r="F338" s="341">
        <v>44956.667164351849</v>
      </c>
      <c r="G338" s="341"/>
      <c r="H338" s="341"/>
      <c r="I338" s="341" t="s">
        <v>3</v>
      </c>
      <c r="J338" s="340" t="s">
        <v>1485</v>
      </c>
      <c r="K338" s="340" t="s">
        <v>1295</v>
      </c>
      <c r="L338" s="170">
        <v>44970</v>
      </c>
      <c r="M338" s="177" t="s">
        <v>4727</v>
      </c>
      <c r="N338" s="179">
        <v>44960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>
        <v>44960</v>
      </c>
    </row>
    <row r="339" spans="1:30">
      <c r="A339" s="340">
        <f>COUNTA($E$3:E339)</f>
        <v>337</v>
      </c>
      <c r="B339" s="340" t="s">
        <v>4686</v>
      </c>
      <c r="C339" s="340" t="s">
        <v>37</v>
      </c>
      <c r="D339" s="340" t="s">
        <v>34</v>
      </c>
      <c r="E339" s="340" t="s">
        <v>4687</v>
      </c>
      <c r="F339" s="341">
        <v>44956.660393518519</v>
      </c>
      <c r="G339" s="341"/>
      <c r="H339" s="341"/>
      <c r="I339" s="341" t="s">
        <v>3</v>
      </c>
      <c r="J339" s="340" t="s">
        <v>1485</v>
      </c>
      <c r="K339" s="340" t="s">
        <v>1287</v>
      </c>
      <c r="L339" s="170">
        <v>44970</v>
      </c>
      <c r="M339" s="177" t="s">
        <v>4727</v>
      </c>
      <c r="N339" s="179">
        <v>44963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44963</v>
      </c>
    </row>
    <row r="340" spans="1:30">
      <c r="A340" s="340">
        <f>COUNTA($E$3:E340)</f>
        <v>338</v>
      </c>
      <c r="B340" s="340" t="s">
        <v>4679</v>
      </c>
      <c r="C340" s="340" t="s">
        <v>1106</v>
      </c>
      <c r="D340" s="340" t="s">
        <v>58</v>
      </c>
      <c r="E340" s="340" t="s">
        <v>2621</v>
      </c>
      <c r="F340" s="341">
        <v>44943</v>
      </c>
      <c r="G340" s="341"/>
      <c r="H340" s="341"/>
      <c r="I340" s="341" t="s">
        <v>3</v>
      </c>
      <c r="J340" s="340" t="s">
        <v>1666</v>
      </c>
      <c r="K340" s="340" t="s">
        <v>1295</v>
      </c>
      <c r="L340" s="170">
        <v>44970</v>
      </c>
      <c r="M340" s="177">
        <v>44970</v>
      </c>
      <c r="N340" s="179">
        <v>44988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44988</v>
      </c>
    </row>
    <row r="341" spans="1:30">
      <c r="A341" s="340">
        <f>COUNTA($E$3:E341)</f>
        <v>339</v>
      </c>
      <c r="B341" s="340" t="s">
        <v>4636</v>
      </c>
      <c r="C341" s="340" t="s">
        <v>4637</v>
      </c>
      <c r="D341" s="340" t="s">
        <v>1139</v>
      </c>
      <c r="E341" s="340" t="s">
        <v>4626</v>
      </c>
      <c r="F341" s="341">
        <v>44931</v>
      </c>
      <c r="G341" s="341"/>
      <c r="H341" s="341">
        <v>44957</v>
      </c>
      <c r="I341" s="341" t="s">
        <v>3</v>
      </c>
      <c r="J341" s="340" t="s">
        <v>4624</v>
      </c>
      <c r="K341" s="340"/>
      <c r="L341" s="170">
        <v>44970</v>
      </c>
      <c r="M341" s="177" t="s">
        <v>4741</v>
      </c>
      <c r="N341" s="179">
        <v>44971</v>
      </c>
      <c r="O341" s="178"/>
      <c r="Q341" t="s">
        <v>22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44971</v>
      </c>
    </row>
    <row r="342" spans="1:30">
      <c r="A342" s="340">
        <f>COUNTA($E$3:E342)</f>
        <v>340</v>
      </c>
      <c r="B342" s="340" t="s">
        <v>4714</v>
      </c>
      <c r="C342" s="340" t="s">
        <v>41</v>
      </c>
      <c r="D342" s="340" t="s">
        <v>45</v>
      </c>
      <c r="E342" s="340" t="s">
        <v>1789</v>
      </c>
      <c r="F342" s="341">
        <v>44959</v>
      </c>
      <c r="G342" s="341"/>
      <c r="H342" s="341"/>
      <c r="I342" s="341" t="s">
        <v>4</v>
      </c>
      <c r="J342" s="340"/>
      <c r="K342" s="340" t="s">
        <v>1089</v>
      </c>
      <c r="L342" s="170">
        <v>44970</v>
      </c>
      <c r="M342" s="177" t="s">
        <v>4744</v>
      </c>
      <c r="N342" s="179">
        <v>44970</v>
      </c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>
        <v>44970</v>
      </c>
    </row>
    <row r="343" spans="1:30">
      <c r="A343" s="340">
        <f>COUNTA($E$3:E343)</f>
        <v>341</v>
      </c>
      <c r="B343" s="340" t="s">
        <v>4648</v>
      </c>
      <c r="C343" s="340" t="s">
        <v>41</v>
      </c>
      <c r="D343" s="340" t="s">
        <v>51</v>
      </c>
      <c r="E343" s="340" t="s">
        <v>3740</v>
      </c>
      <c r="F343" s="341">
        <v>44932.481659074074</v>
      </c>
      <c r="G343" s="341"/>
      <c r="H343" s="341"/>
      <c r="I343" s="341"/>
      <c r="J343" s="340"/>
      <c r="K343" s="340"/>
      <c r="L343" s="170">
        <v>44963</v>
      </c>
      <c r="M343" s="177" t="s">
        <v>2387</v>
      </c>
      <c r="N343" s="179">
        <v>44958</v>
      </c>
      <c r="O343" s="178"/>
      <c r="Q343" t="s">
        <v>22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44958</v>
      </c>
    </row>
    <row r="344" spans="1:30">
      <c r="A344" s="340">
        <f>COUNTA($E$3:E344)</f>
        <v>342</v>
      </c>
      <c r="B344" s="340" t="s">
        <v>4702</v>
      </c>
      <c r="C344" s="340" t="s">
        <v>37</v>
      </c>
      <c r="D344" s="340" t="s">
        <v>30</v>
      </c>
      <c r="E344" s="340" t="s">
        <v>3378</v>
      </c>
      <c r="F344" s="341">
        <v>44956</v>
      </c>
      <c r="G344" s="341"/>
      <c r="H344" s="341"/>
      <c r="I344" s="341" t="s">
        <v>3</v>
      </c>
      <c r="J344" s="340"/>
      <c r="K344" s="340" t="s">
        <v>1089</v>
      </c>
      <c r="L344" s="170">
        <v>44963</v>
      </c>
      <c r="M344" s="177" t="s">
        <v>4718</v>
      </c>
      <c r="N344" s="179">
        <v>45147</v>
      </c>
      <c r="O344" s="178"/>
      <c r="Q344" t="s">
        <v>129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/>
    </row>
    <row r="345" spans="1:30">
      <c r="A345" s="340">
        <f>COUNTA($E$3:E345)</f>
        <v>343</v>
      </c>
      <c r="B345" s="340" t="s">
        <v>4701</v>
      </c>
      <c r="C345" s="340" t="s">
        <v>37</v>
      </c>
      <c r="D345" s="340" t="s">
        <v>30</v>
      </c>
      <c r="E345" s="340" t="s">
        <v>1248</v>
      </c>
      <c r="F345" s="341">
        <v>44957.712957187498</v>
      </c>
      <c r="G345" s="341"/>
      <c r="H345" s="341"/>
      <c r="I345" s="341" t="s">
        <v>3</v>
      </c>
      <c r="J345" s="340"/>
      <c r="K345" s="340" t="s">
        <v>1295</v>
      </c>
      <c r="L345" s="170">
        <v>44963</v>
      </c>
      <c r="M345" s="177" t="s">
        <v>4716</v>
      </c>
      <c r="N345" s="179">
        <v>44960</v>
      </c>
      <c r="O345" s="178"/>
      <c r="Q345" t="s">
        <v>129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44960</v>
      </c>
    </row>
    <row r="346" spans="1:30">
      <c r="A346" s="340">
        <f>COUNTA($E$3:E346)</f>
        <v>344</v>
      </c>
      <c r="B346" s="340" t="s">
        <v>4700</v>
      </c>
      <c r="C346" s="340" t="s">
        <v>37</v>
      </c>
      <c r="D346" s="340" t="s">
        <v>30</v>
      </c>
      <c r="E346" s="340" t="s">
        <v>1288</v>
      </c>
      <c r="F346" s="341">
        <v>44957.726764629631</v>
      </c>
      <c r="G346" s="341"/>
      <c r="H346" s="341"/>
      <c r="I346" s="341" t="s">
        <v>3</v>
      </c>
      <c r="J346" s="340"/>
      <c r="K346" s="340" t="s">
        <v>1295</v>
      </c>
      <c r="L346" s="170">
        <v>44963</v>
      </c>
      <c r="M346" s="177" t="s">
        <v>4716</v>
      </c>
      <c r="N346" s="179">
        <v>44960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44960</v>
      </c>
    </row>
    <row r="347" spans="1:30">
      <c r="A347" s="340">
        <f>COUNTA($E$3:E347)</f>
        <v>345</v>
      </c>
      <c r="B347" s="340" t="s">
        <v>4693</v>
      </c>
      <c r="C347" s="340" t="s">
        <v>37</v>
      </c>
      <c r="D347" s="340" t="s">
        <v>30</v>
      </c>
      <c r="E347" s="340" t="s">
        <v>2634</v>
      </c>
      <c r="F347" s="341">
        <v>44956</v>
      </c>
      <c r="G347" s="341"/>
      <c r="H347" s="341"/>
      <c r="I347" s="341" t="s">
        <v>3</v>
      </c>
      <c r="J347" s="340" t="s">
        <v>4694</v>
      </c>
      <c r="K347" s="340" t="s">
        <v>1120</v>
      </c>
      <c r="L347" s="170">
        <v>44963</v>
      </c>
      <c r="M347" s="177" t="s">
        <v>4706</v>
      </c>
      <c r="N347" s="179">
        <v>44965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44965</v>
      </c>
    </row>
    <row r="348" spans="1:30">
      <c r="A348" s="340">
        <f>COUNTA($E$3:E348)</f>
        <v>346</v>
      </c>
      <c r="B348" s="340" t="s">
        <v>4685</v>
      </c>
      <c r="C348" s="340" t="s">
        <v>37</v>
      </c>
      <c r="D348" s="340" t="s">
        <v>30</v>
      </c>
      <c r="E348" s="340" t="s">
        <v>3871</v>
      </c>
      <c r="F348" s="341">
        <v>44956</v>
      </c>
      <c r="G348" s="341"/>
      <c r="H348" s="341"/>
      <c r="I348" s="341" t="s">
        <v>3</v>
      </c>
      <c r="J348" s="340" t="s">
        <v>1485</v>
      </c>
      <c r="K348" s="340" t="s">
        <v>1102</v>
      </c>
      <c r="L348" s="170">
        <v>44963</v>
      </c>
      <c r="M348" s="177" t="s">
        <v>4705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>
      <c r="A349" s="340">
        <f>COUNTA($E$3:E349)</f>
        <v>347</v>
      </c>
      <c r="B349" s="340" t="s">
        <v>4573</v>
      </c>
      <c r="C349" s="340" t="s">
        <v>37</v>
      </c>
      <c r="D349" s="340" t="s">
        <v>34</v>
      </c>
      <c r="E349" s="340" t="s">
        <v>4574</v>
      </c>
      <c r="F349" s="341">
        <v>44918</v>
      </c>
      <c r="G349" s="341"/>
      <c r="H349" s="341"/>
      <c r="I349" s="341" t="s">
        <v>3</v>
      </c>
      <c r="J349" s="340" t="s">
        <v>514</v>
      </c>
      <c r="K349" s="340" t="s">
        <v>1089</v>
      </c>
      <c r="L349" s="170">
        <v>44963</v>
      </c>
      <c r="M349" s="177"/>
      <c r="N349" s="179">
        <v>45051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45051</v>
      </c>
    </row>
    <row r="350" spans="1:30">
      <c r="A350" s="340">
        <f>COUNTA($E$3:E350)</f>
        <v>348</v>
      </c>
      <c r="B350" s="340" t="s">
        <v>4698</v>
      </c>
      <c r="C350" s="340" t="s">
        <v>41</v>
      </c>
      <c r="D350" s="340" t="s">
        <v>45</v>
      </c>
      <c r="E350" s="340" t="s">
        <v>4699</v>
      </c>
      <c r="F350" s="341">
        <v>44956</v>
      </c>
      <c r="G350" s="341"/>
      <c r="H350" s="341"/>
      <c r="I350" s="341" t="s">
        <v>4</v>
      </c>
      <c r="J350" s="340"/>
      <c r="K350" s="340" t="s">
        <v>125</v>
      </c>
      <c r="L350" s="170">
        <v>44963</v>
      </c>
      <c r="M350" s="177" t="s">
        <v>4717</v>
      </c>
      <c r="N350" s="179">
        <v>44963</v>
      </c>
      <c r="O350" s="178"/>
      <c r="Q350" t="s">
        <v>129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44963</v>
      </c>
    </row>
    <row r="351" spans="1:30">
      <c r="A351" s="340">
        <f>COUNTA($E$3:E351)</f>
        <v>349</v>
      </c>
      <c r="B351" s="340" t="s">
        <v>4696</v>
      </c>
      <c r="C351" s="340" t="s">
        <v>37</v>
      </c>
      <c r="D351" s="340" t="s">
        <v>45</v>
      </c>
      <c r="E351" s="340" t="s">
        <v>4697</v>
      </c>
      <c r="F351" s="341">
        <v>44956.66407353009</v>
      </c>
      <c r="G351" s="341"/>
      <c r="H351" s="341"/>
      <c r="I351" s="341" t="s">
        <v>4</v>
      </c>
      <c r="J351" s="340"/>
      <c r="K351" s="340" t="s">
        <v>1287</v>
      </c>
      <c r="L351" s="170">
        <v>44963</v>
      </c>
      <c r="M351" s="177" t="s">
        <v>4716</v>
      </c>
      <c r="N351" s="179">
        <v>44960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40">
        <f>COUNTA($E$3:E352)</f>
        <v>350</v>
      </c>
      <c r="B352" s="340" t="s">
        <v>4695</v>
      </c>
      <c r="C352" s="340" t="s">
        <v>41</v>
      </c>
      <c r="D352" s="340" t="s">
        <v>52</v>
      </c>
      <c r="E352" s="340" t="s">
        <v>2017</v>
      </c>
      <c r="F352" s="341">
        <v>44956.661552349535</v>
      </c>
      <c r="G352" s="341"/>
      <c r="H352" s="341"/>
      <c r="I352" s="341" t="s">
        <v>4</v>
      </c>
      <c r="J352" s="340"/>
      <c r="K352" s="340" t="s">
        <v>1287</v>
      </c>
      <c r="L352" s="170">
        <v>44963</v>
      </c>
      <c r="M352" s="177" t="s">
        <v>4716</v>
      </c>
      <c r="N352" s="179">
        <v>44963</v>
      </c>
      <c r="O352" s="178"/>
      <c r="Q352" t="s">
        <v>129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40">
        <f>COUNTA($E$3:E353)</f>
        <v>351</v>
      </c>
      <c r="B353" s="340" t="s">
        <v>4678</v>
      </c>
      <c r="C353" s="340" t="s">
        <v>41</v>
      </c>
      <c r="D353" s="340" t="s">
        <v>1125</v>
      </c>
      <c r="E353" s="340" t="s">
        <v>2648</v>
      </c>
      <c r="F353" s="341">
        <v>44943</v>
      </c>
      <c r="G353" s="341"/>
      <c r="H353" s="341"/>
      <c r="I353" s="341" t="s">
        <v>3</v>
      </c>
      <c r="J353" s="340" t="s">
        <v>1485</v>
      </c>
      <c r="K353" s="340" t="s">
        <v>33</v>
      </c>
      <c r="L353" s="170">
        <v>44956</v>
      </c>
      <c r="M353" s="177"/>
      <c r="N353" s="179">
        <v>45021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>
        <v>45021</v>
      </c>
    </row>
    <row r="354" spans="1:30">
      <c r="A354" s="340">
        <f>COUNTA($E$3:E354)</f>
        <v>352</v>
      </c>
      <c r="B354" s="340" t="s">
        <v>4681</v>
      </c>
      <c r="C354" s="340" t="s">
        <v>4682</v>
      </c>
      <c r="D354" s="340" t="s">
        <v>49</v>
      </c>
      <c r="E354" s="340" t="s">
        <v>4684</v>
      </c>
      <c r="F354" s="341">
        <v>44942</v>
      </c>
      <c r="G354" s="341"/>
      <c r="H354" s="341"/>
      <c r="I354" s="341" t="s">
        <v>3</v>
      </c>
      <c r="J354" s="340"/>
      <c r="K354" s="340" t="s">
        <v>20</v>
      </c>
      <c r="L354" s="170">
        <v>44956</v>
      </c>
      <c r="M354" s="177"/>
      <c r="N354" s="179">
        <v>44956</v>
      </c>
      <c r="O354" s="178"/>
      <c r="Q354" t="s">
        <v>4683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44956</v>
      </c>
    </row>
    <row r="355" spans="1:30">
      <c r="A355" s="340">
        <f>COUNTA($E$3:E355)</f>
        <v>353</v>
      </c>
      <c r="B355" s="340" t="s">
        <v>4663</v>
      </c>
      <c r="C355" s="340" t="s">
        <v>1092</v>
      </c>
      <c r="D355" s="340" t="s">
        <v>1145</v>
      </c>
      <c r="E355" s="340" t="s">
        <v>4664</v>
      </c>
      <c r="F355" s="341">
        <v>44937</v>
      </c>
      <c r="G355" s="341"/>
      <c r="H355" s="341"/>
      <c r="I355" s="341" t="s">
        <v>3</v>
      </c>
      <c r="J355" s="340"/>
      <c r="K355" s="340" t="s">
        <v>1295</v>
      </c>
      <c r="L355" s="170">
        <v>44956</v>
      </c>
      <c r="M355" s="177" t="s">
        <v>2447</v>
      </c>
      <c r="N355" s="179">
        <v>44967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44967</v>
      </c>
    </row>
    <row r="356" spans="1:30">
      <c r="A356" s="340">
        <f>COUNTA($E$3:E356)</f>
        <v>354</v>
      </c>
      <c r="B356" s="340" t="s">
        <v>4358</v>
      </c>
      <c r="C356" s="340" t="s">
        <v>2370</v>
      </c>
      <c r="D356" s="340" t="s">
        <v>56</v>
      </c>
      <c r="E356" s="340" t="s">
        <v>2697</v>
      </c>
      <c r="F356" s="341">
        <v>44880</v>
      </c>
      <c r="G356" s="341"/>
      <c r="H356" s="341"/>
      <c r="I356" s="341" t="s">
        <v>3</v>
      </c>
      <c r="J356" s="340"/>
      <c r="K356" s="340" t="s">
        <v>1295</v>
      </c>
      <c r="L356" s="170">
        <v>44956</v>
      </c>
      <c r="M356" s="177" t="s">
        <v>4680</v>
      </c>
      <c r="N356" s="179">
        <v>44967</v>
      </c>
      <c r="O356" s="178"/>
      <c r="Q356" t="s">
        <v>22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44967</v>
      </c>
    </row>
    <row r="357" spans="1:30">
      <c r="A357" s="340">
        <f>COUNTA($E$3:E357)</f>
        <v>355</v>
      </c>
      <c r="B357" s="340" t="s">
        <v>4608</v>
      </c>
      <c r="C357" s="340" t="s">
        <v>1246</v>
      </c>
      <c r="D357" s="340" t="s">
        <v>1145</v>
      </c>
      <c r="E357" s="340" t="s">
        <v>4609</v>
      </c>
      <c r="F357" s="341">
        <v>44924</v>
      </c>
      <c r="G357" s="341"/>
      <c r="H357" s="341"/>
      <c r="I357" s="341" t="s">
        <v>2</v>
      </c>
      <c r="J357" s="340" t="s">
        <v>3253</v>
      </c>
      <c r="K357" s="340" t="s">
        <v>1294</v>
      </c>
      <c r="L357" s="170">
        <v>44942</v>
      </c>
      <c r="M357" s="177" t="s">
        <v>4674</v>
      </c>
      <c r="N357" s="179">
        <v>44936</v>
      </c>
      <c r="O357" s="178"/>
      <c r="Q357" t="s">
        <v>22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44936</v>
      </c>
    </row>
    <row r="358" spans="1:30">
      <c r="A358" s="340">
        <f>COUNTA($E$3:E358)</f>
        <v>356</v>
      </c>
      <c r="B358" s="340" t="s">
        <v>4552</v>
      </c>
      <c r="C358" s="340" t="s">
        <v>4553</v>
      </c>
      <c r="D358" s="340" t="s">
        <v>64</v>
      </c>
      <c r="E358" s="340" t="s">
        <v>4554</v>
      </c>
      <c r="F358" s="341">
        <v>44916</v>
      </c>
      <c r="G358" s="341">
        <v>44942</v>
      </c>
      <c r="H358" s="341">
        <v>44923</v>
      </c>
      <c r="I358" s="341" t="s">
        <v>2</v>
      </c>
      <c r="J358" s="340" t="s">
        <v>4357</v>
      </c>
      <c r="K358" s="340" t="s">
        <v>1294</v>
      </c>
      <c r="L358" s="170">
        <v>44942</v>
      </c>
      <c r="M358" s="177" t="s">
        <v>4673</v>
      </c>
      <c r="N358" s="179">
        <v>44936</v>
      </c>
      <c r="O358" s="178"/>
      <c r="Q358" t="s">
        <v>22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44936</v>
      </c>
    </row>
    <row r="359" spans="1:30">
      <c r="A359" s="340">
        <f>COUNTA($E$3:E359)</f>
        <v>357</v>
      </c>
      <c r="B359" s="340" t="s">
        <v>4655</v>
      </c>
      <c r="C359" s="340" t="s">
        <v>41</v>
      </c>
      <c r="D359" s="340" t="s">
        <v>1115</v>
      </c>
      <c r="E359" s="340" t="s">
        <v>4029</v>
      </c>
      <c r="F359" s="341">
        <v>44935</v>
      </c>
      <c r="G359" s="341"/>
      <c r="H359" s="341"/>
      <c r="I359" s="341" t="s">
        <v>3</v>
      </c>
      <c r="J359" s="340" t="s">
        <v>1485</v>
      </c>
      <c r="K359" s="340" t="s">
        <v>33</v>
      </c>
      <c r="L359" s="170">
        <v>44942</v>
      </c>
      <c r="M359" s="177" t="s">
        <v>2411</v>
      </c>
      <c r="N359" s="179"/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/>
    </row>
    <row r="360" spans="1:30">
      <c r="A360" s="340">
        <f>COUNTA($E$3:E360)</f>
        <v>358</v>
      </c>
      <c r="B360" s="340" t="s">
        <v>4649</v>
      </c>
      <c r="C360" s="340" t="s">
        <v>109</v>
      </c>
      <c r="D360" s="340" t="s">
        <v>16</v>
      </c>
      <c r="E360" s="340" t="s">
        <v>4650</v>
      </c>
      <c r="F360" s="341">
        <v>44932.481659074074</v>
      </c>
      <c r="G360" s="341"/>
      <c r="H360" s="341"/>
      <c r="I360" s="341" t="s">
        <v>3</v>
      </c>
      <c r="J360" s="340"/>
      <c r="K360" s="340" t="s">
        <v>1295</v>
      </c>
      <c r="L360" s="170">
        <v>44942</v>
      </c>
      <c r="M360" s="177" t="s">
        <v>4669</v>
      </c>
      <c r="N360" s="179">
        <v>44937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44937</v>
      </c>
    </row>
    <row r="361" spans="1:30">
      <c r="A361" s="340">
        <f>COUNTA($E$3:E361)</f>
        <v>359</v>
      </c>
      <c r="B361" s="340" t="s">
        <v>4643</v>
      </c>
      <c r="C361" s="340" t="s">
        <v>71</v>
      </c>
      <c r="D361" s="340" t="s">
        <v>1080</v>
      </c>
      <c r="E361" s="340" t="s">
        <v>2833</v>
      </c>
      <c r="F361" s="341">
        <v>44929.578914305559</v>
      </c>
      <c r="G361" s="341"/>
      <c r="H361" s="341"/>
      <c r="I361" s="341" t="s">
        <v>3</v>
      </c>
      <c r="J361" s="340"/>
      <c r="K361" s="340" t="s">
        <v>1296</v>
      </c>
      <c r="L361" s="170">
        <v>44942</v>
      </c>
      <c r="M361" s="177" t="s">
        <v>4668</v>
      </c>
      <c r="N361" s="179">
        <v>44938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44938</v>
      </c>
    </row>
    <row r="362" spans="1:30">
      <c r="A362" s="340">
        <f>COUNTA($E$3:E362)</f>
        <v>360</v>
      </c>
      <c r="B362" s="340" t="s">
        <v>4521</v>
      </c>
      <c r="C362" s="340" t="s">
        <v>1092</v>
      </c>
      <c r="D362" s="340" t="s">
        <v>51</v>
      </c>
      <c r="E362" s="340" t="s">
        <v>4522</v>
      </c>
      <c r="F362" s="341">
        <v>44909</v>
      </c>
      <c r="G362" s="341"/>
      <c r="H362" s="341"/>
      <c r="I362" s="341" t="s">
        <v>3</v>
      </c>
      <c r="J362" s="340" t="s">
        <v>1649</v>
      </c>
      <c r="K362" s="340" t="s">
        <v>1295</v>
      </c>
      <c r="L362" s="170">
        <v>44942</v>
      </c>
      <c r="M362" s="177" t="s">
        <v>5003</v>
      </c>
      <c r="N362" s="179">
        <v>44942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44942</v>
      </c>
    </row>
    <row r="363" spans="1:30">
      <c r="A363" s="340">
        <f>COUNTA($E$3:E363)</f>
        <v>361</v>
      </c>
      <c r="B363" s="340" t="s">
        <v>4367</v>
      </c>
      <c r="C363" s="340" t="s">
        <v>41</v>
      </c>
      <c r="D363" s="340" t="s">
        <v>25</v>
      </c>
      <c r="E363" s="340" t="s">
        <v>3583</v>
      </c>
      <c r="F363" s="341">
        <v>44883</v>
      </c>
      <c r="G363" s="341"/>
      <c r="H363" s="341"/>
      <c r="I363" s="341" t="s">
        <v>3</v>
      </c>
      <c r="J363" s="340" t="s">
        <v>1666</v>
      </c>
      <c r="K363" s="340" t="s">
        <v>1295</v>
      </c>
      <c r="L363" s="170">
        <v>44942</v>
      </c>
      <c r="M363" s="177" t="s">
        <v>4391</v>
      </c>
      <c r="N363" s="179">
        <v>44942</v>
      </c>
      <c r="O363" s="178"/>
      <c r="Q363" t="s">
        <v>129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44942</v>
      </c>
    </row>
    <row r="364" spans="1:30">
      <c r="A364" s="340">
        <f>COUNTA($E$3:E364)</f>
        <v>362</v>
      </c>
      <c r="B364" s="340" t="s">
        <v>4638</v>
      </c>
      <c r="C364" s="340" t="s">
        <v>40</v>
      </c>
      <c r="D364" s="340" t="s">
        <v>27</v>
      </c>
      <c r="E364" s="340" t="s">
        <v>4627</v>
      </c>
      <c r="F364" s="341">
        <v>44930.701492858796</v>
      </c>
      <c r="G364" s="341"/>
      <c r="H364" s="341"/>
      <c r="I364" s="341" t="s">
        <v>4</v>
      </c>
      <c r="J364" s="340"/>
      <c r="K364" s="340" t="s">
        <v>1287</v>
      </c>
      <c r="L364" s="170">
        <v>44942</v>
      </c>
      <c r="M364" s="177" t="s">
        <v>4668</v>
      </c>
      <c r="N364" s="179">
        <v>44971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44971</v>
      </c>
    </row>
    <row r="365" spans="1:30">
      <c r="A365" s="340">
        <f>COUNTA($E$3:E365)</f>
        <v>363</v>
      </c>
      <c r="B365" s="340" t="s">
        <v>4645</v>
      </c>
      <c r="C365" s="340" t="s">
        <v>2776</v>
      </c>
      <c r="D365" s="340" t="s">
        <v>1139</v>
      </c>
      <c r="E365" s="340" t="s">
        <v>4630</v>
      </c>
      <c r="F365" s="341">
        <v>44931.652766203704</v>
      </c>
      <c r="G365" s="341"/>
      <c r="H365" s="341"/>
      <c r="I365" s="341" t="s">
        <v>3</v>
      </c>
      <c r="J365" s="340"/>
      <c r="K365" s="340" t="s">
        <v>103</v>
      </c>
      <c r="L365" s="170">
        <v>44935</v>
      </c>
      <c r="M365" s="177" t="s">
        <v>4653</v>
      </c>
      <c r="N365" s="179">
        <v>44936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44936</v>
      </c>
    </row>
    <row r="366" spans="1:30">
      <c r="A366" s="340">
        <f>COUNTA($E$3:E366)</f>
        <v>364</v>
      </c>
      <c r="B366" s="340" t="s">
        <v>4644</v>
      </c>
      <c r="C366" s="340" t="s">
        <v>41</v>
      </c>
      <c r="D366" s="340" t="s">
        <v>38</v>
      </c>
      <c r="E366" s="340" t="s">
        <v>2808</v>
      </c>
      <c r="F366" s="341">
        <v>44931.652766203704</v>
      </c>
      <c r="G366" s="341"/>
      <c r="H366" s="341"/>
      <c r="I366" s="341" t="s">
        <v>3</v>
      </c>
      <c r="J366" s="340"/>
      <c r="K366" s="340" t="s">
        <v>20</v>
      </c>
      <c r="L366" s="170">
        <v>44935</v>
      </c>
      <c r="M366" s="177" t="s">
        <v>2387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>
      <c r="A367" s="340">
        <f>COUNTA($E$3:E367)</f>
        <v>365</v>
      </c>
      <c r="B367" s="340" t="s">
        <v>4394</v>
      </c>
      <c r="C367" s="340" t="s">
        <v>1752</v>
      </c>
      <c r="D367" s="340" t="s">
        <v>49</v>
      </c>
      <c r="E367" s="340" t="s">
        <v>1753</v>
      </c>
      <c r="F367" s="341">
        <v>44894</v>
      </c>
      <c r="G367" s="341">
        <v>44929</v>
      </c>
      <c r="H367" s="341">
        <v>44896</v>
      </c>
      <c r="I367" s="341" t="s">
        <v>2</v>
      </c>
      <c r="J367" s="340" t="s">
        <v>1723</v>
      </c>
      <c r="K367" s="340" t="s">
        <v>24</v>
      </c>
      <c r="L367" s="170">
        <v>44935</v>
      </c>
      <c r="M367" s="177" t="s">
        <v>4652</v>
      </c>
      <c r="N367" s="179">
        <v>44935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44935</v>
      </c>
    </row>
    <row r="368" spans="1:30">
      <c r="A368" s="340">
        <f>COUNTA($E$3:E368)</f>
        <v>366</v>
      </c>
      <c r="B368" s="340" t="s">
        <v>4243</v>
      </c>
      <c r="C368" s="340" t="s">
        <v>41</v>
      </c>
      <c r="D368" s="340" t="s">
        <v>16</v>
      </c>
      <c r="E368" s="340" t="s">
        <v>1153</v>
      </c>
      <c r="F368" s="341">
        <v>44865</v>
      </c>
      <c r="G368" s="341"/>
      <c r="H368" s="341"/>
      <c r="I368" s="341" t="s">
        <v>2</v>
      </c>
      <c r="J368" s="340" t="s">
        <v>2061</v>
      </c>
      <c r="K368" s="340" t="s">
        <v>103</v>
      </c>
      <c r="L368" s="170">
        <v>44935</v>
      </c>
      <c r="M368" s="177" t="s">
        <v>2407</v>
      </c>
      <c r="N368" s="179">
        <v>44936</v>
      </c>
      <c r="O368" s="178"/>
      <c r="Q368" t="s">
        <v>22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>
        <v>44936</v>
      </c>
    </row>
    <row r="369" spans="1:30">
      <c r="A369" s="340">
        <f>COUNTA($E$3:E369)</f>
        <v>367</v>
      </c>
      <c r="B369" s="340" t="s">
        <v>4596</v>
      </c>
      <c r="C369" s="340" t="s">
        <v>2489</v>
      </c>
      <c r="D369" s="340" t="s">
        <v>1103</v>
      </c>
      <c r="E369" s="340" t="s">
        <v>1219</v>
      </c>
      <c r="F369" s="341">
        <v>44921</v>
      </c>
      <c r="G369" s="341"/>
      <c r="H369" s="341"/>
      <c r="I369" s="341" t="s">
        <v>3</v>
      </c>
      <c r="J369" s="340" t="s">
        <v>1485</v>
      </c>
      <c r="K369" s="340" t="s">
        <v>1296</v>
      </c>
      <c r="L369" s="170">
        <v>44935</v>
      </c>
      <c r="M369" s="177"/>
      <c r="N369" s="179"/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/>
    </row>
    <row r="370" spans="1:30">
      <c r="A370" s="340">
        <f>COUNTA($E$3:E370)</f>
        <v>368</v>
      </c>
      <c r="B370" s="340" t="s">
        <v>4595</v>
      </c>
      <c r="C370" s="340" t="s">
        <v>2489</v>
      </c>
      <c r="D370" s="340" t="s">
        <v>30</v>
      </c>
      <c r="E370" s="340" t="s">
        <v>1208</v>
      </c>
      <c r="F370" s="341">
        <v>44921</v>
      </c>
      <c r="G370" s="341"/>
      <c r="H370" s="341"/>
      <c r="I370" s="341" t="s">
        <v>3</v>
      </c>
      <c r="J370" s="340" t="s">
        <v>1485</v>
      </c>
      <c r="K370" s="340" t="s">
        <v>1296</v>
      </c>
      <c r="L370" s="170">
        <v>44935</v>
      </c>
      <c r="M370" s="177"/>
      <c r="N370" s="179"/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/>
    </row>
    <row r="371" spans="1:30">
      <c r="A371" s="340">
        <f>COUNTA($E$3:E371)</f>
        <v>369</v>
      </c>
      <c r="B371" s="340" t="s">
        <v>4585</v>
      </c>
      <c r="C371" s="340" t="s">
        <v>41</v>
      </c>
      <c r="D371" s="340" t="s">
        <v>23</v>
      </c>
      <c r="E371" s="340" t="s">
        <v>1044</v>
      </c>
      <c r="F371" s="341">
        <v>44918</v>
      </c>
      <c r="G371" s="341"/>
      <c r="H371" s="341"/>
      <c r="I371" s="341" t="s">
        <v>3</v>
      </c>
      <c r="J371" s="340" t="s">
        <v>2153</v>
      </c>
      <c r="K371" s="340" t="s">
        <v>1296</v>
      </c>
      <c r="L371" s="170">
        <v>44935</v>
      </c>
      <c r="M371" s="177"/>
      <c r="N371" s="179"/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/>
    </row>
    <row r="372" spans="1:30">
      <c r="A372" s="340">
        <f>COUNTA($E$3:E372)</f>
        <v>370</v>
      </c>
      <c r="B372" s="340" t="s">
        <v>4631</v>
      </c>
      <c r="C372" s="340" t="s">
        <v>44</v>
      </c>
      <c r="D372" s="340" t="s">
        <v>45</v>
      </c>
      <c r="E372" s="340" t="s">
        <v>173</v>
      </c>
      <c r="F372" s="341">
        <v>44929.575775462959</v>
      </c>
      <c r="G372" s="341"/>
      <c r="H372" s="341"/>
      <c r="I372" s="341" t="s">
        <v>4</v>
      </c>
      <c r="J372" s="340" t="s">
        <v>4624</v>
      </c>
      <c r="K372" s="340" t="s">
        <v>1287</v>
      </c>
      <c r="L372" s="170">
        <v>44935</v>
      </c>
      <c r="M372" s="177" t="s">
        <v>4654</v>
      </c>
      <c r="N372" s="179">
        <v>44937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44937</v>
      </c>
    </row>
    <row r="373" spans="1:30">
      <c r="A373" s="340">
        <f>COUNTA($E$3:E373)</f>
        <v>371</v>
      </c>
      <c r="B373" s="340" t="s">
        <v>4632</v>
      </c>
      <c r="C373" s="340" t="s">
        <v>41</v>
      </c>
      <c r="D373" s="340" t="s">
        <v>45</v>
      </c>
      <c r="E373" s="340" t="s">
        <v>1789</v>
      </c>
      <c r="F373" s="341">
        <v>44929.574803240743</v>
      </c>
      <c r="G373" s="341"/>
      <c r="H373" s="341"/>
      <c r="I373" s="341" t="s">
        <v>4</v>
      </c>
      <c r="J373" s="340" t="s">
        <v>4624</v>
      </c>
      <c r="K373" s="340" t="s">
        <v>1287</v>
      </c>
      <c r="L373" s="170">
        <v>44935</v>
      </c>
      <c r="M373" s="177" t="s">
        <v>4654</v>
      </c>
      <c r="N373" s="179">
        <v>44938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44938</v>
      </c>
    </row>
    <row r="374" spans="1:30">
      <c r="A374" s="340">
        <f>COUNTA($E$3:E374)</f>
        <v>372</v>
      </c>
      <c r="B374" s="340" t="s">
        <v>4543</v>
      </c>
      <c r="C374" s="340" t="s">
        <v>4541</v>
      </c>
      <c r="D374" s="340" t="s">
        <v>2859</v>
      </c>
      <c r="E374" s="340" t="s">
        <v>4544</v>
      </c>
      <c r="F374" s="341">
        <v>44911.689370057873</v>
      </c>
      <c r="G374" s="341"/>
      <c r="H374" s="341"/>
      <c r="I374" s="341" t="s">
        <v>4</v>
      </c>
      <c r="J374" s="340" t="s">
        <v>1093</v>
      </c>
      <c r="K374" s="340" t="s">
        <v>287</v>
      </c>
      <c r="L374" s="170">
        <v>44935</v>
      </c>
      <c r="M374" s="177" t="s">
        <v>2387</v>
      </c>
      <c r="N374" s="179">
        <v>44958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44958</v>
      </c>
    </row>
    <row r="375" spans="1:30">
      <c r="A375" s="340">
        <f>COUNTA($E$3:E375)</f>
        <v>373</v>
      </c>
      <c r="B375" s="340" t="s">
        <v>4540</v>
      </c>
      <c r="C375" s="340" t="s">
        <v>4541</v>
      </c>
      <c r="D375" s="340" t="s">
        <v>2862</v>
      </c>
      <c r="E375" s="340" t="s">
        <v>4542</v>
      </c>
      <c r="F375" s="341">
        <v>44911.688787581021</v>
      </c>
      <c r="G375" s="341"/>
      <c r="H375" s="341"/>
      <c r="I375" s="341" t="s">
        <v>4</v>
      </c>
      <c r="J375" s="340" t="s">
        <v>1093</v>
      </c>
      <c r="K375" s="340" t="s">
        <v>287</v>
      </c>
      <c r="L375" s="170">
        <v>44935</v>
      </c>
      <c r="M375" s="177" t="s">
        <v>2387</v>
      </c>
      <c r="N375" s="179">
        <v>44958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44958</v>
      </c>
    </row>
    <row r="376" spans="1:30">
      <c r="A376" s="340">
        <f>COUNTA($E$3:E376)</f>
        <v>374</v>
      </c>
      <c r="B376" s="340" t="s">
        <v>4171</v>
      </c>
      <c r="C376" s="340" t="s">
        <v>4172</v>
      </c>
      <c r="D376" s="340" t="s">
        <v>1083</v>
      </c>
      <c r="E376" s="340" t="s">
        <v>4173</v>
      </c>
      <c r="F376" s="341">
        <v>44852</v>
      </c>
      <c r="G376" s="341"/>
      <c r="H376" s="341" t="s">
        <v>55</v>
      </c>
      <c r="I376" s="341" t="s">
        <v>2</v>
      </c>
      <c r="J376" s="340" t="s">
        <v>1485</v>
      </c>
      <c r="K376" s="340" t="s">
        <v>1295</v>
      </c>
      <c r="L376" s="170">
        <v>44929</v>
      </c>
      <c r="M376" s="177" t="s">
        <v>4618</v>
      </c>
      <c r="N376" s="179">
        <v>44966</v>
      </c>
      <c r="O376" s="178"/>
      <c r="Q376" t="s">
        <v>129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44966</v>
      </c>
    </row>
    <row r="377" spans="1:30">
      <c r="A377" s="340">
        <f>COUNTA($E$3:E377)</f>
        <v>375</v>
      </c>
      <c r="B377" s="340" t="s">
        <v>4285</v>
      </c>
      <c r="C377" s="340" t="s">
        <v>41</v>
      </c>
      <c r="D377" s="340" t="s">
        <v>1115</v>
      </c>
      <c r="E377" s="340" t="s">
        <v>4316</v>
      </c>
      <c r="F377" s="341">
        <v>44876</v>
      </c>
      <c r="G377" s="341"/>
      <c r="H377" s="341" t="s">
        <v>66</v>
      </c>
      <c r="I377" s="341" t="s">
        <v>2</v>
      </c>
      <c r="J377" s="340" t="s">
        <v>2480</v>
      </c>
      <c r="K377" s="340" t="s">
        <v>287</v>
      </c>
      <c r="L377" s="170">
        <v>44929</v>
      </c>
      <c r="M377" s="177" t="s">
        <v>4620</v>
      </c>
      <c r="N377" s="179">
        <v>44929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44929</v>
      </c>
    </row>
    <row r="378" spans="1:30">
      <c r="A378" s="340">
        <f>COUNTA($E$3:E378)</f>
        <v>376</v>
      </c>
      <c r="B378" s="340" t="s">
        <v>4015</v>
      </c>
      <c r="C378" s="340" t="s">
        <v>41</v>
      </c>
      <c r="D378" s="340" t="s">
        <v>32</v>
      </c>
      <c r="E378" s="340" t="s">
        <v>4016</v>
      </c>
      <c r="F378" s="341">
        <v>44834</v>
      </c>
      <c r="G378" s="341"/>
      <c r="H378" s="341" t="s">
        <v>66</v>
      </c>
      <c r="I378" s="341" t="s">
        <v>2</v>
      </c>
      <c r="J378" s="340" t="s">
        <v>4093</v>
      </c>
      <c r="K378" s="340" t="s">
        <v>287</v>
      </c>
      <c r="L378" s="170">
        <v>44929</v>
      </c>
      <c r="M378" s="177" t="s">
        <v>4617</v>
      </c>
      <c r="N378" s="179">
        <v>44929</v>
      </c>
      <c r="O378" s="178"/>
      <c r="Q378" t="s">
        <v>22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>
        <v>44929</v>
      </c>
    </row>
    <row r="379" spans="1:30">
      <c r="A379" s="340">
        <f>COUNTA($E$3:E379)</f>
        <v>377</v>
      </c>
      <c r="B379" s="340" t="s">
        <v>4590</v>
      </c>
      <c r="C379" s="340" t="s">
        <v>41</v>
      </c>
      <c r="D379" s="340" t="s">
        <v>30</v>
      </c>
      <c r="E379" s="340" t="s">
        <v>2970</v>
      </c>
      <c r="F379" s="341">
        <v>44921</v>
      </c>
      <c r="G379" s="341"/>
      <c r="H379" s="341"/>
      <c r="I379" s="341" t="s">
        <v>2</v>
      </c>
      <c r="J379" s="340" t="s">
        <v>4591</v>
      </c>
      <c r="K379" s="340" t="s">
        <v>1294</v>
      </c>
      <c r="L379" s="170">
        <v>44929</v>
      </c>
      <c r="M379" s="177" t="s">
        <v>2367</v>
      </c>
      <c r="N379" s="179">
        <v>44929</v>
      </c>
      <c r="O379" s="178"/>
      <c r="Q379" t="s">
        <v>22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>
        <v>44929</v>
      </c>
    </row>
    <row r="380" spans="1:30">
      <c r="A380" s="340">
        <f>COUNTA($E$3:E380)</f>
        <v>378</v>
      </c>
      <c r="B380" s="340" t="s">
        <v>4582</v>
      </c>
      <c r="C380" s="340" t="s">
        <v>37</v>
      </c>
      <c r="D380" s="340" t="s">
        <v>34</v>
      </c>
      <c r="E380" s="340" t="s">
        <v>1107</v>
      </c>
      <c r="F380" s="341">
        <v>44918</v>
      </c>
      <c r="G380" s="341"/>
      <c r="H380" s="341"/>
      <c r="I380" s="341" t="s">
        <v>3</v>
      </c>
      <c r="J380" s="340" t="s">
        <v>1212</v>
      </c>
      <c r="K380" s="340" t="s">
        <v>1287</v>
      </c>
      <c r="L380" s="170">
        <v>44929</v>
      </c>
      <c r="M380" s="177" t="s">
        <v>4621</v>
      </c>
      <c r="N380" s="179">
        <v>44977</v>
      </c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>
        <v>44977</v>
      </c>
    </row>
    <row r="381" spans="1:30">
      <c r="A381" s="340">
        <f>COUNTA($E$3:E381)</f>
        <v>379</v>
      </c>
      <c r="B381" s="340" t="s">
        <v>4515</v>
      </c>
      <c r="C381" s="340" t="s">
        <v>41</v>
      </c>
      <c r="D381" s="340" t="s">
        <v>51</v>
      </c>
      <c r="E381" s="340" t="s">
        <v>4516</v>
      </c>
      <c r="F381" s="341">
        <v>44909.773326377297</v>
      </c>
      <c r="G381" s="341"/>
      <c r="H381" s="341"/>
      <c r="I381" s="341" t="s">
        <v>3</v>
      </c>
      <c r="J381" s="340" t="s">
        <v>1649</v>
      </c>
      <c r="K381" s="340" t="s">
        <v>1295</v>
      </c>
      <c r="L381" s="170">
        <v>44929</v>
      </c>
      <c r="M381" s="177"/>
      <c r="N381" s="179"/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/>
    </row>
    <row r="382" spans="1:30">
      <c r="A382" s="340">
        <f>COUNTA($E$3:E382)</f>
        <v>380</v>
      </c>
      <c r="B382" s="340" t="s">
        <v>4571</v>
      </c>
      <c r="C382" s="340" t="s">
        <v>37</v>
      </c>
      <c r="D382" s="340" t="s">
        <v>30</v>
      </c>
      <c r="E382" s="340" t="s">
        <v>3487</v>
      </c>
      <c r="F382" s="341">
        <v>44918.725987048601</v>
      </c>
      <c r="G382" s="341"/>
      <c r="H382" s="341"/>
      <c r="I382" s="341" t="s">
        <v>3</v>
      </c>
      <c r="J382" s="340" t="s">
        <v>2207</v>
      </c>
      <c r="K382" s="340" t="s">
        <v>1296</v>
      </c>
      <c r="L382" s="170">
        <v>44929</v>
      </c>
      <c r="M382" s="177" t="s">
        <v>2367</v>
      </c>
      <c r="N382" s="179">
        <v>45021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45021</v>
      </c>
    </row>
    <row r="383" spans="1:30">
      <c r="A383" s="340">
        <f>COUNTA($E$3:E383)</f>
        <v>381</v>
      </c>
      <c r="B383" s="340" t="s">
        <v>4578</v>
      </c>
      <c r="C383" s="340" t="s">
        <v>41</v>
      </c>
      <c r="D383" s="340" t="s">
        <v>1201</v>
      </c>
      <c r="E383" s="340" t="s">
        <v>3629</v>
      </c>
      <c r="F383" s="341">
        <v>44918.729610532399</v>
      </c>
      <c r="G383" s="341"/>
      <c r="H383" s="341"/>
      <c r="I383" s="341" t="s">
        <v>3</v>
      </c>
      <c r="J383" s="340" t="s">
        <v>1485</v>
      </c>
      <c r="K383" s="340" t="s">
        <v>1296</v>
      </c>
      <c r="L383" s="170">
        <v>44929</v>
      </c>
      <c r="M383" s="177"/>
      <c r="N383" s="179"/>
      <c r="O383" s="178"/>
      <c r="Q383" t="s">
        <v>129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40">
        <f>COUNTA($E$3:E384)</f>
        <v>382</v>
      </c>
      <c r="B384" s="340" t="s">
        <v>4592</v>
      </c>
      <c r="C384" s="340" t="s">
        <v>1106</v>
      </c>
      <c r="D384" s="340" t="s">
        <v>1098</v>
      </c>
      <c r="E384" s="340" t="s">
        <v>2826</v>
      </c>
      <c r="F384" s="341">
        <v>44921</v>
      </c>
      <c r="G384" s="341"/>
      <c r="H384" s="341"/>
      <c r="I384" s="341" t="s">
        <v>3</v>
      </c>
      <c r="J384" s="340" t="s">
        <v>1093</v>
      </c>
      <c r="K384" s="340" t="s">
        <v>1287</v>
      </c>
      <c r="L384" s="170">
        <v>44929</v>
      </c>
      <c r="M384" s="177"/>
      <c r="N384" s="179"/>
      <c r="O384" s="178"/>
      <c r="Q384" t="s">
        <v>129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40">
        <f>COUNTA($E$3:E385)</f>
        <v>383</v>
      </c>
      <c r="B385" s="340" t="s">
        <v>4593</v>
      </c>
      <c r="C385" s="340" t="s">
        <v>2484</v>
      </c>
      <c r="D385" s="340" t="s">
        <v>64</v>
      </c>
      <c r="E385" s="340" t="s">
        <v>4594</v>
      </c>
      <c r="F385" s="341">
        <v>44923</v>
      </c>
      <c r="G385" s="341"/>
      <c r="H385" s="341"/>
      <c r="I385" s="341" t="s">
        <v>3</v>
      </c>
      <c r="J385" s="340" t="s">
        <v>3076</v>
      </c>
      <c r="K385" s="340" t="s">
        <v>1294</v>
      </c>
      <c r="L385" s="170">
        <v>44929</v>
      </c>
      <c r="M385" s="177" t="s">
        <v>2366</v>
      </c>
      <c r="N385" s="179">
        <v>44930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44930</v>
      </c>
    </row>
    <row r="386" spans="1:30">
      <c r="A386" s="340">
        <f>COUNTA($E$3:E386)</f>
        <v>384</v>
      </c>
      <c r="B386" s="340" t="s">
        <v>4597</v>
      </c>
      <c r="C386" s="340" t="s">
        <v>37</v>
      </c>
      <c r="D386" s="340" t="s">
        <v>34</v>
      </c>
      <c r="E386" s="340" t="s">
        <v>4598</v>
      </c>
      <c r="F386" s="341">
        <v>44921</v>
      </c>
      <c r="G386" s="341"/>
      <c r="H386" s="341"/>
      <c r="I386" s="341" t="s">
        <v>3</v>
      </c>
      <c r="J386" s="340" t="s">
        <v>1649</v>
      </c>
      <c r="K386" s="340" t="s">
        <v>1287</v>
      </c>
      <c r="L386" s="170">
        <v>44929</v>
      </c>
      <c r="M386" s="177"/>
      <c r="N386" s="179"/>
      <c r="O386" s="178"/>
      <c r="Q386" t="s">
        <v>129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/>
    </row>
    <row r="387" spans="1:30">
      <c r="A387" s="340">
        <f>COUNTA($E$3:E387)</f>
        <v>385</v>
      </c>
      <c r="B387" s="340" t="s">
        <v>4599</v>
      </c>
      <c r="C387" s="340" t="s">
        <v>37</v>
      </c>
      <c r="D387" s="340" t="s">
        <v>34</v>
      </c>
      <c r="E387" s="340" t="s">
        <v>4600</v>
      </c>
      <c r="F387" s="341">
        <v>44921</v>
      </c>
      <c r="G387" s="341"/>
      <c r="H387" s="341"/>
      <c r="I387" s="341" t="s">
        <v>3</v>
      </c>
      <c r="J387" s="340" t="s">
        <v>1666</v>
      </c>
      <c r="K387" s="340" t="s">
        <v>1287</v>
      </c>
      <c r="L387" s="170">
        <v>44929</v>
      </c>
      <c r="M387" s="177" t="s">
        <v>2366</v>
      </c>
      <c r="N387" s="179">
        <v>44959</v>
      </c>
      <c r="O387" s="178"/>
      <c r="Q387" t="s">
        <v>129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44959</v>
      </c>
    </row>
    <row r="388" spans="1:30">
      <c r="A388" s="340">
        <f>COUNTA($E$3:E388)</f>
        <v>386</v>
      </c>
      <c r="B388" s="340" t="s">
        <v>4601</v>
      </c>
      <c r="C388" s="340" t="s">
        <v>37</v>
      </c>
      <c r="D388" s="340" t="s">
        <v>30</v>
      </c>
      <c r="E388" s="340" t="s">
        <v>4602</v>
      </c>
      <c r="F388" s="341">
        <v>44921</v>
      </c>
      <c r="G388" s="341"/>
      <c r="H388" s="341"/>
      <c r="I388" s="341" t="s">
        <v>3</v>
      </c>
      <c r="J388" s="340" t="s">
        <v>1485</v>
      </c>
      <c r="K388" s="340" t="s">
        <v>1287</v>
      </c>
      <c r="L388" s="170">
        <v>44929</v>
      </c>
      <c r="M388" s="177"/>
      <c r="N388" s="179"/>
      <c r="O388" s="178"/>
      <c r="Q388" t="s">
        <v>129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/>
    </row>
    <row r="389" spans="1:30">
      <c r="A389" s="340">
        <f>COUNTA($E$3:E389)</f>
        <v>387</v>
      </c>
      <c r="B389" s="340" t="s">
        <v>4572</v>
      </c>
      <c r="C389" s="340" t="s">
        <v>37</v>
      </c>
      <c r="D389" s="340" t="s">
        <v>34</v>
      </c>
      <c r="E389" s="340" t="s">
        <v>1844</v>
      </c>
      <c r="F389" s="341">
        <v>44918.726548969898</v>
      </c>
      <c r="G389" s="341"/>
      <c r="H389" s="341"/>
      <c r="I389" s="341" t="s">
        <v>3</v>
      </c>
      <c r="J389" s="340" t="s">
        <v>1212</v>
      </c>
      <c r="K389" s="340" t="s">
        <v>1295</v>
      </c>
      <c r="L389" s="170">
        <v>44929</v>
      </c>
      <c r="M389" s="177" t="s">
        <v>2366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>
      <c r="A390" s="340">
        <f>COUNTA($E$3:E390)</f>
        <v>388</v>
      </c>
      <c r="B390" s="340" t="s">
        <v>4610</v>
      </c>
      <c r="C390" s="340" t="s">
        <v>2726</v>
      </c>
      <c r="D390" s="340" t="s">
        <v>1264</v>
      </c>
      <c r="E390" s="340" t="s">
        <v>4611</v>
      </c>
      <c r="F390" s="341">
        <v>44923</v>
      </c>
      <c r="G390" s="341"/>
      <c r="H390" s="341"/>
      <c r="I390" s="341" t="s">
        <v>4</v>
      </c>
      <c r="J390" s="340" t="s">
        <v>2194</v>
      </c>
      <c r="K390" s="340" t="s">
        <v>2358</v>
      </c>
      <c r="L390" s="170">
        <v>44929</v>
      </c>
      <c r="M390" s="177" t="s">
        <v>2365</v>
      </c>
      <c r="N390" s="179">
        <v>45291</v>
      </c>
      <c r="O390" s="178"/>
      <c r="Q390" t="s">
        <v>22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>
        <v>45291</v>
      </c>
    </row>
    <row r="391" spans="1:30">
      <c r="A391" s="340">
        <f>COUNTA($E$3:E391)</f>
        <v>389</v>
      </c>
      <c r="B391" s="340" t="s">
        <v>4559</v>
      </c>
      <c r="C391" s="340" t="s">
        <v>4560</v>
      </c>
      <c r="D391" s="340" t="s">
        <v>52</v>
      </c>
      <c r="E391" s="340" t="s">
        <v>4561</v>
      </c>
      <c r="F391" s="341">
        <v>44917</v>
      </c>
      <c r="G391" s="341"/>
      <c r="H391" s="341"/>
      <c r="I391" s="341" t="s">
        <v>4</v>
      </c>
      <c r="J391" s="340" t="s">
        <v>1158</v>
      </c>
      <c r="K391" s="340" t="s">
        <v>1294</v>
      </c>
      <c r="L391" s="170">
        <v>44929</v>
      </c>
      <c r="M391" s="177" t="s">
        <v>4622</v>
      </c>
      <c r="N391" s="179">
        <v>45291</v>
      </c>
      <c r="O391" s="178"/>
      <c r="Q391" t="s">
        <v>22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45291</v>
      </c>
    </row>
    <row r="392" spans="1:30">
      <c r="A392" s="340">
        <f>COUNTA($E$3:E392)</f>
        <v>390</v>
      </c>
      <c r="B392" s="340" t="s">
        <v>4202</v>
      </c>
      <c r="C392" s="340" t="s">
        <v>1106</v>
      </c>
      <c r="D392" s="340" t="s">
        <v>1098</v>
      </c>
      <c r="E392" s="340" t="s">
        <v>4203</v>
      </c>
      <c r="F392" s="341">
        <v>44860</v>
      </c>
      <c r="G392" s="341"/>
      <c r="H392" s="341"/>
      <c r="I392" s="341" t="s">
        <v>4</v>
      </c>
      <c r="J392" s="340" t="s">
        <v>1093</v>
      </c>
      <c r="K392" s="340" t="s">
        <v>1287</v>
      </c>
      <c r="L392" s="170">
        <v>44929</v>
      </c>
      <c r="M392" s="177" t="s">
        <v>4619</v>
      </c>
      <c r="N392" s="179">
        <v>44943</v>
      </c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>
        <v>44943</v>
      </c>
    </row>
    <row r="393" spans="1:30">
      <c r="A393" s="340">
        <f>COUNTA($E$3:E393)</f>
        <v>391</v>
      </c>
      <c r="B393" s="340" t="s">
        <v>4605</v>
      </c>
      <c r="C393" s="340" t="s">
        <v>1106</v>
      </c>
      <c r="D393" s="340" t="s">
        <v>1098</v>
      </c>
      <c r="E393" s="340" t="s">
        <v>3841</v>
      </c>
      <c r="F393" s="341">
        <v>44923</v>
      </c>
      <c r="G393" s="341"/>
      <c r="H393" s="341"/>
      <c r="I393" s="341" t="s">
        <v>4</v>
      </c>
      <c r="J393" s="340" t="s">
        <v>1093</v>
      </c>
      <c r="K393" s="340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>
      <c r="A394" s="340">
        <f>COUNTA($E$3:E394)</f>
        <v>392</v>
      </c>
      <c r="B394" s="340" t="s">
        <v>4570</v>
      </c>
      <c r="C394" s="340" t="s">
        <v>1106</v>
      </c>
      <c r="D394" s="340" t="s">
        <v>16</v>
      </c>
      <c r="E394" s="340" t="s">
        <v>2842</v>
      </c>
      <c r="F394" s="341">
        <v>44918</v>
      </c>
      <c r="G394" s="341">
        <v>44921</v>
      </c>
      <c r="H394" s="341">
        <v>44921</v>
      </c>
      <c r="I394" s="341" t="s">
        <v>2</v>
      </c>
      <c r="J394" s="340" t="s">
        <v>1723</v>
      </c>
      <c r="K394" s="340" t="s">
        <v>1296</v>
      </c>
      <c r="L394" s="170">
        <v>44921</v>
      </c>
      <c r="M394" s="177"/>
      <c r="N394" s="179">
        <v>45021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45021</v>
      </c>
    </row>
    <row r="395" spans="1:30">
      <c r="A395" s="340">
        <f>COUNTA($E$3:E395)</f>
        <v>393</v>
      </c>
      <c r="B395" s="340" t="s">
        <v>4569</v>
      </c>
      <c r="C395" s="340" t="s">
        <v>41</v>
      </c>
      <c r="D395" s="340" t="s">
        <v>32</v>
      </c>
      <c r="E395" s="340" t="s">
        <v>3595</v>
      </c>
      <c r="F395" s="341">
        <v>44917</v>
      </c>
      <c r="G395" s="341"/>
      <c r="H395" s="341"/>
      <c r="I395" s="341" t="s">
        <v>2</v>
      </c>
      <c r="J395" s="340" t="s">
        <v>3754</v>
      </c>
      <c r="K395" s="340" t="s">
        <v>1295</v>
      </c>
      <c r="L395" s="170">
        <v>44921</v>
      </c>
      <c r="M395" s="177" t="s">
        <v>2321</v>
      </c>
      <c r="N395" s="179">
        <v>44959</v>
      </c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>
        <v>44959</v>
      </c>
    </row>
    <row r="396" spans="1:30">
      <c r="A396" s="340">
        <f>COUNTA($E$3:E396)</f>
        <v>394</v>
      </c>
      <c r="B396" s="340" t="s">
        <v>4551</v>
      </c>
      <c r="C396" s="340" t="s">
        <v>41</v>
      </c>
      <c r="D396" s="340" t="s">
        <v>1124</v>
      </c>
      <c r="E396" s="340" t="s">
        <v>1184</v>
      </c>
      <c r="F396" s="341">
        <v>44916</v>
      </c>
      <c r="G396" s="341"/>
      <c r="H396" s="341"/>
      <c r="I396" s="341" t="s">
        <v>2</v>
      </c>
      <c r="J396" s="340" t="s">
        <v>2665</v>
      </c>
      <c r="K396" s="340"/>
      <c r="L396" s="170">
        <v>44921</v>
      </c>
      <c r="M396" s="177" t="s">
        <v>4568</v>
      </c>
      <c r="N396" s="179">
        <v>44927</v>
      </c>
      <c r="O396" s="178"/>
      <c r="Q396" t="s">
        <v>22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44927</v>
      </c>
    </row>
    <row r="397" spans="1:30">
      <c r="A397" s="340">
        <f>COUNTA($E$3:E397)</f>
        <v>395</v>
      </c>
      <c r="B397" s="340" t="s">
        <v>4188</v>
      </c>
      <c r="C397" s="340" t="s">
        <v>4165</v>
      </c>
      <c r="D397" s="340" t="s">
        <v>16</v>
      </c>
      <c r="E397" s="340" t="s">
        <v>4189</v>
      </c>
      <c r="F397" s="341">
        <v>44860</v>
      </c>
      <c r="G397" s="341"/>
      <c r="H397" s="341">
        <v>44861</v>
      </c>
      <c r="I397" s="341" t="s">
        <v>2</v>
      </c>
      <c r="J397" s="340" t="s">
        <v>4190</v>
      </c>
      <c r="K397" s="340"/>
      <c r="L397" s="170">
        <v>44921</v>
      </c>
      <c r="M397" s="177" t="s">
        <v>4567</v>
      </c>
      <c r="N397" s="179">
        <v>44921</v>
      </c>
      <c r="O397" s="178"/>
      <c r="Q397" t="s">
        <v>22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>
        <v>44921</v>
      </c>
    </row>
    <row r="398" spans="1:30">
      <c r="A398" s="340">
        <f>COUNTA($E$3:E398)</f>
        <v>396</v>
      </c>
      <c r="B398" s="340" t="s">
        <v>4562</v>
      </c>
      <c r="C398" s="340" t="s">
        <v>37</v>
      </c>
      <c r="D398" s="340" t="s">
        <v>30</v>
      </c>
      <c r="E398" s="340" t="s">
        <v>4563</v>
      </c>
      <c r="F398" s="341">
        <v>44917</v>
      </c>
      <c r="G398" s="341"/>
      <c r="H398" s="341"/>
      <c r="I398" s="341" t="s">
        <v>3</v>
      </c>
      <c r="J398" s="340" t="s">
        <v>1485</v>
      </c>
      <c r="K398" s="340" t="s">
        <v>1287</v>
      </c>
      <c r="L398" s="170">
        <v>44921</v>
      </c>
      <c r="M398" s="177"/>
      <c r="N398" s="179"/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/>
    </row>
    <row r="399" spans="1:30">
      <c r="A399" s="340">
        <f>COUNTA($E$3:E399)</f>
        <v>397</v>
      </c>
      <c r="B399" s="340" t="s">
        <v>4523</v>
      </c>
      <c r="C399" s="340" t="s">
        <v>3828</v>
      </c>
      <c r="D399" s="340" t="s">
        <v>19</v>
      </c>
      <c r="E399" s="340" t="s">
        <v>3696</v>
      </c>
      <c r="F399" s="341">
        <v>44909.789760624997</v>
      </c>
      <c r="G399" s="341"/>
      <c r="H399" s="341"/>
      <c r="I399" s="341" t="s">
        <v>3</v>
      </c>
      <c r="J399" s="340" t="s">
        <v>17</v>
      </c>
      <c r="K399" s="340" t="s">
        <v>1295</v>
      </c>
      <c r="L399" s="170">
        <v>44921</v>
      </c>
      <c r="M399" s="177" t="s">
        <v>2321</v>
      </c>
      <c r="N399" s="179">
        <v>44937</v>
      </c>
      <c r="O399" s="178"/>
      <c r="Q399" t="s">
        <v>129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44937</v>
      </c>
    </row>
    <row r="400" spans="1:30">
      <c r="A400" s="340">
        <f>COUNTA($E$3:E400)</f>
        <v>398</v>
      </c>
      <c r="B400" s="340" t="s">
        <v>4498</v>
      </c>
      <c r="C400" s="340" t="s">
        <v>21</v>
      </c>
      <c r="D400" s="340" t="s">
        <v>2751</v>
      </c>
      <c r="E400" s="340" t="s">
        <v>4499</v>
      </c>
      <c r="F400" s="341">
        <v>44909</v>
      </c>
      <c r="G400" s="341"/>
      <c r="H400" s="341"/>
      <c r="I400" s="341" t="s">
        <v>3</v>
      </c>
      <c r="J400" s="340" t="s">
        <v>1750</v>
      </c>
      <c r="K400" s="340" t="s">
        <v>1295</v>
      </c>
      <c r="L400" s="170">
        <v>44921</v>
      </c>
      <c r="M400" s="177"/>
      <c r="N400" s="179"/>
      <c r="O400" s="178"/>
      <c r="Q400" t="s">
        <v>129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/>
    </row>
    <row r="401" spans="1:30">
      <c r="A401" s="340">
        <f>COUNTA($E$3:E401)</f>
        <v>399</v>
      </c>
      <c r="B401" s="340" t="s">
        <v>4429</v>
      </c>
      <c r="C401" s="340" t="s">
        <v>4430</v>
      </c>
      <c r="D401" s="340" t="s">
        <v>104</v>
      </c>
      <c r="E401" s="340" t="s">
        <v>4431</v>
      </c>
      <c r="F401" s="341">
        <v>44901</v>
      </c>
      <c r="G401" s="341">
        <v>44921</v>
      </c>
      <c r="H401" s="341">
        <v>44909</v>
      </c>
      <c r="I401" s="341" t="s">
        <v>3</v>
      </c>
      <c r="J401" s="340" t="s">
        <v>1934</v>
      </c>
      <c r="K401" s="340" t="s">
        <v>125</v>
      </c>
      <c r="L401" s="170">
        <v>44921</v>
      </c>
      <c r="M401" s="177"/>
      <c r="N401" s="179"/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40">
        <f>COUNTA($E$3:E402)</f>
        <v>400</v>
      </c>
      <c r="B402" s="340" t="s">
        <v>4300</v>
      </c>
      <c r="C402" s="340" t="s">
        <v>41</v>
      </c>
      <c r="D402" s="340" t="s">
        <v>51</v>
      </c>
      <c r="E402" s="340" t="s">
        <v>3024</v>
      </c>
      <c r="F402" s="341">
        <v>44875</v>
      </c>
      <c r="G402" s="341"/>
      <c r="H402" s="341" t="s">
        <v>66</v>
      </c>
      <c r="I402" s="341" t="s">
        <v>3</v>
      </c>
      <c r="J402" s="340" t="s">
        <v>1485</v>
      </c>
      <c r="K402" s="340" t="s">
        <v>1295</v>
      </c>
      <c r="L402" s="170">
        <v>44921</v>
      </c>
      <c r="M402" s="177" t="s">
        <v>4586</v>
      </c>
      <c r="N402" s="179">
        <v>44921</v>
      </c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>
        <v>44921</v>
      </c>
    </row>
    <row r="403" spans="1:30">
      <c r="A403" s="340">
        <f>COUNTA($E$3:E403)</f>
        <v>401</v>
      </c>
      <c r="B403" s="340" t="s">
        <v>4063</v>
      </c>
      <c r="C403" s="340" t="s">
        <v>41</v>
      </c>
      <c r="D403" s="340" t="s">
        <v>1115</v>
      </c>
      <c r="E403" s="340" t="s">
        <v>1228</v>
      </c>
      <c r="F403" s="341">
        <v>44838</v>
      </c>
      <c r="G403" s="341"/>
      <c r="H403" s="341" t="s">
        <v>66</v>
      </c>
      <c r="I403" s="341" t="s">
        <v>3</v>
      </c>
      <c r="J403" s="340" t="s">
        <v>1652</v>
      </c>
      <c r="K403" s="340" t="s">
        <v>1295</v>
      </c>
      <c r="L403" s="170">
        <v>44921</v>
      </c>
      <c r="M403" s="177"/>
      <c r="N403" s="179"/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/>
    </row>
    <row r="404" spans="1:30">
      <c r="A404" s="340">
        <f>COUNTA($E$3:E404)</f>
        <v>402</v>
      </c>
      <c r="B404" s="340" t="s">
        <v>4158</v>
      </c>
      <c r="C404" s="340" t="s">
        <v>2370</v>
      </c>
      <c r="D404" s="340" t="s">
        <v>1264</v>
      </c>
      <c r="E404" s="340" t="s">
        <v>4169</v>
      </c>
      <c r="F404" s="341">
        <v>44851</v>
      </c>
      <c r="G404" s="341"/>
      <c r="H404" s="341">
        <v>44858</v>
      </c>
      <c r="I404" s="341" t="s">
        <v>4</v>
      </c>
      <c r="J404" s="340" t="s">
        <v>1707</v>
      </c>
      <c r="K404" s="340" t="s">
        <v>24</v>
      </c>
      <c r="L404" s="170">
        <v>44921</v>
      </c>
      <c r="M404" s="177" t="s">
        <v>4566</v>
      </c>
      <c r="N404" s="179">
        <v>44927</v>
      </c>
      <c r="O404" s="178"/>
      <c r="Q404" t="s">
        <v>22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44927</v>
      </c>
    </row>
    <row r="405" spans="1:30">
      <c r="A405" s="340">
        <f>COUNTA($E$3:E405)</f>
        <v>403</v>
      </c>
      <c r="B405" s="340" t="s">
        <v>4469</v>
      </c>
      <c r="C405" s="340" t="s">
        <v>37</v>
      </c>
      <c r="D405" s="340" t="s">
        <v>30</v>
      </c>
      <c r="E405" s="340" t="s">
        <v>1669</v>
      </c>
      <c r="F405" s="341">
        <v>44907</v>
      </c>
      <c r="G405" s="341"/>
      <c r="H405" s="341"/>
      <c r="I405" s="341" t="s">
        <v>2</v>
      </c>
      <c r="J405" s="340" t="s">
        <v>17</v>
      </c>
      <c r="K405" s="340" t="s">
        <v>1120</v>
      </c>
      <c r="L405" s="170">
        <v>44914</v>
      </c>
      <c r="M405" s="177" t="s">
        <v>2301</v>
      </c>
      <c r="N405" s="179">
        <v>44907</v>
      </c>
      <c r="O405" s="178"/>
      <c r="Q405" t="s">
        <v>129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44907</v>
      </c>
    </row>
    <row r="406" spans="1:30">
      <c r="A406" s="340">
        <f>COUNTA($E$3:E406)</f>
        <v>404</v>
      </c>
      <c r="B406" s="340" t="s">
        <v>3829</v>
      </c>
      <c r="C406" s="340" t="s">
        <v>3830</v>
      </c>
      <c r="D406" s="340" t="s">
        <v>3831</v>
      </c>
      <c r="E406" s="340" t="s">
        <v>3832</v>
      </c>
      <c r="F406" s="341">
        <v>44803</v>
      </c>
      <c r="G406" s="341">
        <v>44803</v>
      </c>
      <c r="H406" s="341">
        <v>44803</v>
      </c>
      <c r="I406" s="341" t="s">
        <v>2</v>
      </c>
      <c r="J406" s="340" t="s">
        <v>3833</v>
      </c>
      <c r="K406" s="340" t="s">
        <v>1295</v>
      </c>
      <c r="L406" s="14">
        <v>44902</v>
      </c>
      <c r="N406" s="179">
        <v>44985</v>
      </c>
      <c r="O406" s="178"/>
      <c r="Q406" t="s">
        <v>129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44985</v>
      </c>
    </row>
    <row r="407" spans="1:30">
      <c r="A407" s="340">
        <f>COUNTA($E$3:E407)</f>
        <v>405</v>
      </c>
      <c r="B407" s="340" t="s">
        <v>4497</v>
      </c>
      <c r="C407" s="340" t="s">
        <v>41</v>
      </c>
      <c r="D407" s="340" t="s">
        <v>1103</v>
      </c>
      <c r="E407" s="340" t="s">
        <v>4255</v>
      </c>
      <c r="F407" s="341">
        <v>44909</v>
      </c>
      <c r="G407" s="341"/>
      <c r="H407" s="341"/>
      <c r="I407" s="341" t="s">
        <v>3</v>
      </c>
      <c r="J407" s="340" t="s">
        <v>1650</v>
      </c>
      <c r="K407" s="340" t="s">
        <v>1274</v>
      </c>
      <c r="L407" s="14">
        <v>44914</v>
      </c>
      <c r="M407" t="s">
        <v>4514</v>
      </c>
      <c r="N407" s="179">
        <v>44967</v>
      </c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>
        <v>44967</v>
      </c>
    </row>
    <row r="408" spans="1:30">
      <c r="A408" s="340">
        <f>COUNTA($E$3:E408)</f>
        <v>406</v>
      </c>
      <c r="B408" s="340" t="s">
        <v>4534</v>
      </c>
      <c r="C408" s="340" t="s">
        <v>1106</v>
      </c>
      <c r="D408" s="340" t="s">
        <v>16</v>
      </c>
      <c r="E408" s="340" t="s">
        <v>2844</v>
      </c>
      <c r="F408" s="341">
        <v>44910</v>
      </c>
      <c r="G408" s="341"/>
      <c r="H408" s="341"/>
      <c r="I408" s="341" t="s">
        <v>2</v>
      </c>
      <c r="J408" s="340" t="s">
        <v>1672</v>
      </c>
      <c r="K408" s="340" t="s">
        <v>1102</v>
      </c>
      <c r="L408" s="14">
        <v>44914</v>
      </c>
      <c r="M408" t="s">
        <v>2351</v>
      </c>
      <c r="N408" s="179">
        <v>45005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45005</v>
      </c>
    </row>
    <row r="409" spans="1:30">
      <c r="A409" s="340">
        <f>COUNTA($E$3:E409)</f>
        <v>407</v>
      </c>
      <c r="B409" s="340" t="s">
        <v>4459</v>
      </c>
      <c r="C409" s="340" t="s">
        <v>21</v>
      </c>
      <c r="D409" s="340" t="s">
        <v>30</v>
      </c>
      <c r="E409" s="340" t="s">
        <v>2644</v>
      </c>
      <c r="F409" s="341">
        <v>44904.746386990701</v>
      </c>
      <c r="G409" s="341"/>
      <c r="H409" s="341"/>
      <c r="I409" s="341" t="s">
        <v>2</v>
      </c>
      <c r="J409" s="340" t="s">
        <v>1662</v>
      </c>
      <c r="K409" s="340" t="s">
        <v>287</v>
      </c>
      <c r="L409" s="14">
        <v>44914</v>
      </c>
      <c r="M409" t="s">
        <v>4548</v>
      </c>
      <c r="N409" s="179">
        <v>44927</v>
      </c>
      <c r="O409" s="178"/>
      <c r="Q409" t="s">
        <v>22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40">
        <f>COUNTA($E$3:E410)</f>
        <v>408</v>
      </c>
      <c r="B410" s="340" t="s">
        <v>4457</v>
      </c>
      <c r="C410" s="340" t="s">
        <v>21</v>
      </c>
      <c r="D410" s="340" t="s">
        <v>1169</v>
      </c>
      <c r="E410" s="340" t="s">
        <v>3702</v>
      </c>
      <c r="F410" s="341">
        <v>44904.7452631829</v>
      </c>
      <c r="G410" s="341"/>
      <c r="H410" s="341"/>
      <c r="I410" s="341" t="s">
        <v>2</v>
      </c>
      <c r="J410" s="340" t="s">
        <v>4458</v>
      </c>
      <c r="K410" s="340"/>
      <c r="L410" s="14">
        <v>44914</v>
      </c>
      <c r="M410" t="s">
        <v>4548</v>
      </c>
      <c r="N410" s="179">
        <v>44927</v>
      </c>
      <c r="O410" s="178"/>
      <c r="Q410" t="s">
        <v>22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>
        <v>44927</v>
      </c>
    </row>
    <row r="411" spans="1:30">
      <c r="A411" s="340">
        <f>COUNTA($E$3:E411)</f>
        <v>409</v>
      </c>
      <c r="B411" s="340" t="s">
        <v>4433</v>
      </c>
      <c r="C411" s="340" t="s">
        <v>21</v>
      </c>
      <c r="D411" s="340" t="s">
        <v>30</v>
      </c>
      <c r="E411" s="340" t="s">
        <v>1888</v>
      </c>
      <c r="F411" s="341">
        <v>44901</v>
      </c>
      <c r="G411" s="341"/>
      <c r="H411" s="341"/>
      <c r="I411" s="341" t="s">
        <v>2</v>
      </c>
      <c r="J411" s="340" t="s">
        <v>1935</v>
      </c>
      <c r="K411" s="340"/>
      <c r="L411" s="14">
        <v>44914</v>
      </c>
      <c r="M411" t="s">
        <v>4548</v>
      </c>
      <c r="N411" s="179">
        <v>44927</v>
      </c>
      <c r="O411" s="178"/>
      <c r="Q411" t="s">
        <v>22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44927</v>
      </c>
    </row>
    <row r="412" spans="1:30">
      <c r="A412" s="340">
        <f>COUNTA($E$3:E412)</f>
        <v>410</v>
      </c>
      <c r="B412" s="340" t="s">
        <v>4381</v>
      </c>
      <c r="C412" s="340" t="s">
        <v>1171</v>
      </c>
      <c r="D412" s="340" t="s">
        <v>56</v>
      </c>
      <c r="E412" s="340" t="s">
        <v>4382</v>
      </c>
      <c r="F412" s="341">
        <v>44889</v>
      </c>
      <c r="G412" s="341"/>
      <c r="H412" s="341">
        <v>44893</v>
      </c>
      <c r="I412" s="341" t="s">
        <v>2</v>
      </c>
      <c r="J412" s="340" t="s">
        <v>4383</v>
      </c>
      <c r="K412" s="340" t="s">
        <v>1294</v>
      </c>
      <c r="L412" s="14">
        <v>44914</v>
      </c>
      <c r="M412" t="s">
        <v>1759</v>
      </c>
      <c r="N412" s="179">
        <v>44907</v>
      </c>
      <c r="O412" s="178"/>
      <c r="Q412" t="s">
        <v>22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>
        <v>44907</v>
      </c>
    </row>
    <row r="413" spans="1:30">
      <c r="A413" s="340">
        <f>COUNTA($E$3:E413)</f>
        <v>411</v>
      </c>
      <c r="B413" s="340" t="s">
        <v>4380</v>
      </c>
      <c r="C413" s="340" t="s">
        <v>37</v>
      </c>
      <c r="D413" s="340" t="s">
        <v>34</v>
      </c>
      <c r="E413" s="340" t="s">
        <v>3369</v>
      </c>
      <c r="F413" s="341">
        <v>44888</v>
      </c>
      <c r="G413" s="341"/>
      <c r="H413" s="341"/>
      <c r="I413" s="341" t="s">
        <v>2</v>
      </c>
      <c r="J413" s="340" t="s">
        <v>1657</v>
      </c>
      <c r="K413" s="340" t="s">
        <v>1294</v>
      </c>
      <c r="L413" s="14">
        <v>44914</v>
      </c>
      <c r="M413" t="s">
        <v>4533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>
      <c r="A414" s="340">
        <f>COUNTA($E$3:E414)</f>
        <v>412</v>
      </c>
      <c r="B414" s="340" t="s">
        <v>4470</v>
      </c>
      <c r="C414" s="340" t="s">
        <v>37</v>
      </c>
      <c r="D414" s="340" t="s">
        <v>30</v>
      </c>
      <c r="E414" s="340" t="s">
        <v>1289</v>
      </c>
      <c r="F414" s="341">
        <v>44907</v>
      </c>
      <c r="G414" s="341"/>
      <c r="H414" s="341"/>
      <c r="I414" s="341" t="s">
        <v>3</v>
      </c>
      <c r="J414" s="340" t="s">
        <v>1212</v>
      </c>
      <c r="K414" s="340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>
      <c r="A415" s="340">
        <f>COUNTA($E$3:E415)</f>
        <v>413</v>
      </c>
      <c r="B415" s="340" t="s">
        <v>4397</v>
      </c>
      <c r="C415" s="340" t="s">
        <v>21</v>
      </c>
      <c r="D415" s="340" t="s">
        <v>30</v>
      </c>
      <c r="E415" s="340" t="s">
        <v>2565</v>
      </c>
      <c r="F415" s="341">
        <v>44896</v>
      </c>
      <c r="G415" s="341"/>
      <c r="H415" s="341"/>
      <c r="I415" s="341" t="s">
        <v>3</v>
      </c>
      <c r="J415" s="340" t="s">
        <v>1723</v>
      </c>
      <c r="K415" s="340" t="s">
        <v>33</v>
      </c>
      <c r="L415" s="14">
        <v>44914</v>
      </c>
      <c r="M415" t="s">
        <v>4513</v>
      </c>
      <c r="N415" s="179">
        <v>44908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44908</v>
      </c>
    </row>
    <row r="416" spans="1:30">
      <c r="A416" s="340">
        <f>COUNTA($E$3:E416)</f>
        <v>414</v>
      </c>
      <c r="B416" s="340" t="s">
        <v>4442</v>
      </c>
      <c r="C416" s="340" t="s">
        <v>41</v>
      </c>
      <c r="D416" s="340" t="s">
        <v>2129</v>
      </c>
      <c r="E416" s="340" t="s">
        <v>2130</v>
      </c>
      <c r="F416" s="341">
        <v>44902.664705474497</v>
      </c>
      <c r="G416" s="341"/>
      <c r="H416" s="341"/>
      <c r="I416" s="341"/>
      <c r="J416" s="340"/>
      <c r="K416" s="340"/>
      <c r="L416" s="14">
        <v>44906</v>
      </c>
      <c r="M416" t="s">
        <v>2268</v>
      </c>
      <c r="N416" s="179">
        <v>44927</v>
      </c>
      <c r="O416" s="178"/>
      <c r="Q416" t="s">
        <v>22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44927</v>
      </c>
    </row>
    <row r="417" spans="1:30">
      <c r="A417" s="340">
        <f>COUNTA($E$3:E417)</f>
        <v>415</v>
      </c>
      <c r="B417" s="340" t="s">
        <v>4361</v>
      </c>
      <c r="C417" s="340" t="s">
        <v>105</v>
      </c>
      <c r="D417" s="340" t="s">
        <v>1124</v>
      </c>
      <c r="E417" s="340" t="s">
        <v>4362</v>
      </c>
      <c r="F417" s="341">
        <v>44880</v>
      </c>
      <c r="G417" s="341"/>
      <c r="H417" s="341">
        <v>44886</v>
      </c>
      <c r="I417" s="341" t="s">
        <v>2</v>
      </c>
      <c r="J417" s="340" t="s">
        <v>1679</v>
      </c>
      <c r="K417" s="340"/>
      <c r="L417" s="14">
        <v>44906</v>
      </c>
      <c r="M417" t="s">
        <v>4461</v>
      </c>
      <c r="N417" s="179">
        <v>44903</v>
      </c>
      <c r="O417" s="178"/>
      <c r="Q417" t="s">
        <v>22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44903</v>
      </c>
    </row>
    <row r="418" spans="1:30">
      <c r="A418" s="340">
        <f>COUNTA($E$3:E418)</f>
        <v>416</v>
      </c>
      <c r="B418" s="340" t="s">
        <v>4449</v>
      </c>
      <c r="C418" s="340" t="s">
        <v>41</v>
      </c>
      <c r="D418" s="340" t="s">
        <v>45</v>
      </c>
      <c r="E418" s="340" t="s">
        <v>4450</v>
      </c>
      <c r="F418" s="341"/>
      <c r="G418" s="341"/>
      <c r="H418" s="341"/>
      <c r="I418" s="341" t="s">
        <v>3</v>
      </c>
      <c r="J418" s="340" t="s">
        <v>1750</v>
      </c>
      <c r="K418" s="340" t="s">
        <v>1274</v>
      </c>
      <c r="L418" s="14">
        <v>44906</v>
      </c>
      <c r="N418" s="179"/>
      <c r="O418" s="178"/>
      <c r="Q418" t="s">
        <v>129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/>
    </row>
    <row r="419" spans="1:30">
      <c r="A419" s="340">
        <f>COUNTA($E$3:E419)</f>
        <v>417</v>
      </c>
      <c r="B419" s="340" t="s">
        <v>4448</v>
      </c>
      <c r="C419" s="340" t="s">
        <v>41</v>
      </c>
      <c r="D419" s="340" t="s">
        <v>45</v>
      </c>
      <c r="E419" s="340" t="s">
        <v>1955</v>
      </c>
      <c r="F419" s="341"/>
      <c r="G419" s="341"/>
      <c r="H419" s="341"/>
      <c r="I419" s="341" t="s">
        <v>3</v>
      </c>
      <c r="J419" s="340" t="s">
        <v>1750</v>
      </c>
      <c r="K419" s="340" t="s">
        <v>1274</v>
      </c>
      <c r="L419" s="14">
        <v>44906</v>
      </c>
      <c r="N419" s="179">
        <v>45148</v>
      </c>
      <c r="O419" s="178"/>
      <c r="Q419" t="s">
        <v>129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/>
    </row>
    <row r="420" spans="1:30">
      <c r="A420" s="340">
        <f>COUNTA($E$3:E420)</f>
        <v>418</v>
      </c>
      <c r="B420" s="340" t="s">
        <v>4408</v>
      </c>
      <c r="C420" s="340" t="s">
        <v>37</v>
      </c>
      <c r="D420" s="340" t="s">
        <v>30</v>
      </c>
      <c r="E420" s="340" t="s">
        <v>1187</v>
      </c>
      <c r="F420" s="341">
        <v>44895.566954236099</v>
      </c>
      <c r="G420" s="341"/>
      <c r="H420" s="341"/>
      <c r="I420" s="341" t="s">
        <v>3</v>
      </c>
      <c r="J420" s="340" t="s">
        <v>1720</v>
      </c>
      <c r="K420" s="340" t="s">
        <v>1295</v>
      </c>
      <c r="L420" s="14">
        <v>44906</v>
      </c>
      <c r="M420" t="s">
        <v>2267</v>
      </c>
      <c r="N420" s="179">
        <v>44960</v>
      </c>
      <c r="O420" s="178"/>
      <c r="Q420" t="s">
        <v>129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44960</v>
      </c>
    </row>
    <row r="421" spans="1:30">
      <c r="A421" s="340">
        <f>COUNTA($E$3:E421)</f>
        <v>419</v>
      </c>
      <c r="B421" s="340" t="s">
        <v>3861</v>
      </c>
      <c r="C421" s="340" t="s">
        <v>21</v>
      </c>
      <c r="D421" s="340" t="s">
        <v>1080</v>
      </c>
      <c r="E421" s="340" t="s">
        <v>1874</v>
      </c>
      <c r="F421" s="341">
        <v>44802</v>
      </c>
      <c r="G421" s="341"/>
      <c r="H421" s="341"/>
      <c r="I421" s="341" t="s">
        <v>3</v>
      </c>
      <c r="J421" s="340" t="s">
        <v>17</v>
      </c>
      <c r="K421" s="340"/>
      <c r="L421" s="14">
        <v>44900</v>
      </c>
      <c r="M421" t="s">
        <v>3943</v>
      </c>
      <c r="N421" s="179">
        <v>44818</v>
      </c>
      <c r="O421" s="178"/>
      <c r="Q421" t="s">
        <v>129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44818</v>
      </c>
    </row>
    <row r="422" spans="1:30">
      <c r="A422" s="340">
        <f>COUNTA($E$3:E422)</f>
        <v>420</v>
      </c>
      <c r="B422" s="340" t="s">
        <v>3741</v>
      </c>
      <c r="C422" s="340" t="s">
        <v>3766</v>
      </c>
      <c r="D422" s="340" t="s">
        <v>38</v>
      </c>
      <c r="E422" s="340" t="s">
        <v>3742</v>
      </c>
      <c r="F422" s="341">
        <v>44783</v>
      </c>
      <c r="G422" s="341"/>
      <c r="H422" s="341"/>
      <c r="I422" s="341" t="s">
        <v>2</v>
      </c>
      <c r="J422" s="340" t="s">
        <v>4396</v>
      </c>
      <c r="K422" s="340"/>
      <c r="L422" s="14">
        <v>44893</v>
      </c>
      <c r="N422" s="179">
        <v>44895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44895</v>
      </c>
    </row>
    <row r="423" spans="1:30">
      <c r="A423" s="340">
        <f>COUNTA($E$3:E423)</f>
        <v>421</v>
      </c>
      <c r="B423" s="340" t="s">
        <v>3980</v>
      </c>
      <c r="C423" s="340" t="s">
        <v>3766</v>
      </c>
      <c r="D423" s="340" t="s">
        <v>38</v>
      </c>
      <c r="E423" s="340" t="s">
        <v>3981</v>
      </c>
      <c r="F423" s="341">
        <v>44826</v>
      </c>
      <c r="G423" s="341">
        <v>44844</v>
      </c>
      <c r="H423" s="341">
        <v>44833</v>
      </c>
      <c r="I423" s="341" t="s">
        <v>2</v>
      </c>
      <c r="J423" s="340" t="s">
        <v>1647</v>
      </c>
      <c r="K423" s="340"/>
      <c r="L423" s="14">
        <v>44893</v>
      </c>
      <c r="M423" t="s">
        <v>4386</v>
      </c>
      <c r="N423" s="179">
        <v>44895</v>
      </c>
      <c r="O423" s="178"/>
      <c r="Q423" t="s">
        <v>22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44895</v>
      </c>
    </row>
    <row r="424" spans="1:30">
      <c r="A424" s="340">
        <f>COUNTA($E$3:E424)</f>
        <v>422</v>
      </c>
      <c r="B424" s="340" t="s">
        <v>3905</v>
      </c>
      <c r="C424" s="340" t="s">
        <v>40</v>
      </c>
      <c r="D424" s="340" t="s">
        <v>51</v>
      </c>
      <c r="E424" s="340" t="s">
        <v>3906</v>
      </c>
      <c r="F424" s="341">
        <v>44812</v>
      </c>
      <c r="G424" s="341"/>
      <c r="H424" s="341" t="s">
        <v>66</v>
      </c>
      <c r="I424" s="341" t="s">
        <v>2</v>
      </c>
      <c r="J424" s="340" t="s">
        <v>3916</v>
      </c>
      <c r="K424" s="340" t="s">
        <v>1295</v>
      </c>
      <c r="L424" s="14">
        <v>44893</v>
      </c>
      <c r="M424" t="s">
        <v>4385</v>
      </c>
      <c r="N424" s="179">
        <v>44972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44972</v>
      </c>
    </row>
    <row r="425" spans="1:30">
      <c r="A425" s="340">
        <f>COUNTA($E$3:E425)</f>
        <v>423</v>
      </c>
      <c r="B425" s="340" t="s">
        <v>4376</v>
      </c>
      <c r="C425" s="340" t="s">
        <v>1233</v>
      </c>
      <c r="D425" s="340" t="s">
        <v>58</v>
      </c>
      <c r="E425" s="340" t="s">
        <v>1234</v>
      </c>
      <c r="F425" s="341">
        <v>44888</v>
      </c>
      <c r="G425" s="341"/>
      <c r="H425" s="341"/>
      <c r="I425" s="341" t="s">
        <v>3</v>
      </c>
      <c r="J425" s="340" t="s">
        <v>1485</v>
      </c>
      <c r="K425" s="340" t="s">
        <v>2032</v>
      </c>
      <c r="L425" s="14">
        <v>44893</v>
      </c>
      <c r="M425" t="s">
        <v>4388</v>
      </c>
      <c r="N425" s="179">
        <v>44907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40">
        <f>COUNTA($E$3:E426)</f>
        <v>424</v>
      </c>
      <c r="B426" s="340" t="s">
        <v>4061</v>
      </c>
      <c r="C426" s="340" t="s">
        <v>21</v>
      </c>
      <c r="D426" s="340" t="s">
        <v>34</v>
      </c>
      <c r="E426" s="340" t="s">
        <v>2059</v>
      </c>
      <c r="F426" s="341">
        <v>44838</v>
      </c>
      <c r="G426" s="341"/>
      <c r="H426" s="341" t="s">
        <v>66</v>
      </c>
      <c r="I426" s="341" t="s">
        <v>3</v>
      </c>
      <c r="J426" s="340" t="s">
        <v>4062</v>
      </c>
      <c r="K426" s="340" t="s">
        <v>1295</v>
      </c>
      <c r="L426" s="14">
        <v>44893</v>
      </c>
      <c r="M426" t="s">
        <v>4387</v>
      </c>
      <c r="N426" s="179">
        <v>44907</v>
      </c>
      <c r="O426" s="178"/>
      <c r="Q426" t="s">
        <v>129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44907</v>
      </c>
    </row>
    <row r="427" spans="1:30">
      <c r="A427" s="340">
        <f>COUNTA($E$3:E427)</f>
        <v>425</v>
      </c>
      <c r="B427" s="340" t="s">
        <v>4322</v>
      </c>
      <c r="C427" s="340" t="s">
        <v>41</v>
      </c>
      <c r="D427" s="340" t="s">
        <v>32</v>
      </c>
      <c r="E427" s="340" t="s">
        <v>2695</v>
      </c>
      <c r="F427" s="341">
        <v>44880</v>
      </c>
      <c r="G427" s="341"/>
      <c r="H427" s="341"/>
      <c r="I427" s="341" t="s">
        <v>2</v>
      </c>
      <c r="J427" s="340" t="s">
        <v>4357</v>
      </c>
      <c r="K427" s="340" t="s">
        <v>287</v>
      </c>
      <c r="L427" s="14">
        <v>44886</v>
      </c>
      <c r="M427" t="s">
        <v>2218</v>
      </c>
      <c r="N427" s="179">
        <v>44927</v>
      </c>
      <c r="O427" s="178"/>
      <c r="Q427" t="s">
        <v>22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>
        <v>44927</v>
      </c>
    </row>
    <row r="428" spans="1:30">
      <c r="A428" s="340">
        <f>COUNTA($E$3:E428)</f>
        <v>426</v>
      </c>
      <c r="B428" s="340" t="s">
        <v>3746</v>
      </c>
      <c r="C428" s="340" t="s">
        <v>2370</v>
      </c>
      <c r="D428" s="340" t="s">
        <v>1145</v>
      </c>
      <c r="E428" s="340" t="s">
        <v>1163</v>
      </c>
      <c r="F428" s="341">
        <v>44782</v>
      </c>
      <c r="G428" s="341"/>
      <c r="H428" s="341">
        <v>44783</v>
      </c>
      <c r="I428" s="341" t="s">
        <v>2</v>
      </c>
      <c r="J428" s="340" t="s">
        <v>3747</v>
      </c>
      <c r="K428" s="340" t="s">
        <v>287</v>
      </c>
      <c r="L428" s="14">
        <v>44886</v>
      </c>
      <c r="M428" t="s">
        <v>4324</v>
      </c>
      <c r="N428" s="179">
        <v>44876</v>
      </c>
      <c r="O428" s="178"/>
      <c r="Q428" t="s">
        <v>22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>
        <v>44876</v>
      </c>
    </row>
    <row r="429" spans="1:30">
      <c r="A429" s="340">
        <f>COUNTA($E$3:E429)</f>
        <v>427</v>
      </c>
      <c r="B429" s="340" t="s">
        <v>4359</v>
      </c>
      <c r="C429" s="340" t="s">
        <v>41</v>
      </c>
      <c r="D429" s="340" t="s">
        <v>30</v>
      </c>
      <c r="E429" s="340" t="s">
        <v>4360</v>
      </c>
      <c r="F429" s="341">
        <v>44880</v>
      </c>
      <c r="G429" s="341"/>
      <c r="H429" s="341"/>
      <c r="I429" s="341" t="s">
        <v>3</v>
      </c>
      <c r="J429" s="340" t="s">
        <v>1650</v>
      </c>
      <c r="K429" s="340" t="s">
        <v>1296</v>
      </c>
      <c r="L429" s="14">
        <v>44886</v>
      </c>
      <c r="M429" t="s">
        <v>2218</v>
      </c>
      <c r="N429" s="179">
        <v>45051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45051</v>
      </c>
    </row>
    <row r="430" spans="1:30">
      <c r="A430" s="340">
        <f>COUNTA($E$3:E430)</f>
        <v>428</v>
      </c>
      <c r="B430" s="340" t="s">
        <v>4323</v>
      </c>
      <c r="C430" s="340" t="s">
        <v>44</v>
      </c>
      <c r="D430" s="340" t="s">
        <v>2941</v>
      </c>
      <c r="E430" s="340" t="s">
        <v>163</v>
      </c>
      <c r="F430" s="341">
        <v>44879</v>
      </c>
      <c r="G430" s="341"/>
      <c r="H430" s="341"/>
      <c r="I430" s="341" t="s">
        <v>3</v>
      </c>
      <c r="J430" s="340" t="s">
        <v>17</v>
      </c>
      <c r="K430" s="340" t="s">
        <v>1295</v>
      </c>
      <c r="L430" s="14">
        <v>44886</v>
      </c>
      <c r="M430" t="s">
        <v>2218</v>
      </c>
      <c r="N430" s="179">
        <v>45017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45017</v>
      </c>
    </row>
    <row r="431" spans="1:30">
      <c r="A431" s="340">
        <f>COUNTA($E$3:E431)</f>
        <v>429</v>
      </c>
      <c r="B431" s="340" t="s">
        <v>4244</v>
      </c>
      <c r="C431" s="340" t="s">
        <v>1231</v>
      </c>
      <c r="D431" s="340" t="s">
        <v>1805</v>
      </c>
      <c r="E431" s="340" t="s">
        <v>4258</v>
      </c>
      <c r="F431" s="341">
        <v>44865</v>
      </c>
      <c r="G431" s="341"/>
      <c r="H431" s="341">
        <v>44867</v>
      </c>
      <c r="I431" s="341" t="s">
        <v>3</v>
      </c>
      <c r="J431" s="340" t="s">
        <v>514</v>
      </c>
      <c r="K431" s="340" t="s">
        <v>1294</v>
      </c>
      <c r="L431" s="14">
        <v>44886</v>
      </c>
      <c r="M431" t="s">
        <v>2214</v>
      </c>
      <c r="N431" s="179">
        <v>44876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44876</v>
      </c>
    </row>
    <row r="432" spans="1:30">
      <c r="A432" s="340">
        <f>COUNTA($E$3:E432)</f>
        <v>430</v>
      </c>
      <c r="B432" s="340" t="s">
        <v>4309</v>
      </c>
      <c r="C432" s="340" t="s">
        <v>4301</v>
      </c>
      <c r="D432" s="340" t="s">
        <v>4310</v>
      </c>
      <c r="E432" s="340" t="s">
        <v>4311</v>
      </c>
      <c r="F432" s="341">
        <v>44874</v>
      </c>
      <c r="G432" s="341"/>
      <c r="H432" s="341"/>
      <c r="I432" s="341" t="s">
        <v>4</v>
      </c>
      <c r="J432" s="340" t="s">
        <v>3444</v>
      </c>
      <c r="K432" s="340"/>
      <c r="L432" s="14">
        <v>44886</v>
      </c>
      <c r="M432" t="s">
        <v>4366</v>
      </c>
      <c r="N432" s="179">
        <v>44876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44876</v>
      </c>
    </row>
    <row r="433" spans="1:30">
      <c r="A433" s="340">
        <f>COUNTA($E$3:E433)</f>
        <v>431</v>
      </c>
      <c r="B433" s="340" t="s">
        <v>4278</v>
      </c>
      <c r="C433" s="340" t="s">
        <v>21</v>
      </c>
      <c r="D433" s="340" t="s">
        <v>58</v>
      </c>
      <c r="E433" s="340" t="s">
        <v>1258</v>
      </c>
      <c r="F433" s="341">
        <v>44873</v>
      </c>
      <c r="G433" s="341"/>
      <c r="H433" s="341"/>
      <c r="I433" s="341" t="s">
        <v>2</v>
      </c>
      <c r="J433" s="340" t="s">
        <v>1657</v>
      </c>
      <c r="K433" s="340" t="s">
        <v>1287</v>
      </c>
      <c r="L433" s="14">
        <v>44879</v>
      </c>
      <c r="M433" t="s">
        <v>2167</v>
      </c>
      <c r="N433" s="179">
        <v>44988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44988</v>
      </c>
    </row>
    <row r="434" spans="1:30">
      <c r="A434" s="340">
        <f>COUNTA($E$3:E434)</f>
        <v>432</v>
      </c>
      <c r="B434" s="340" t="s">
        <v>4267</v>
      </c>
      <c r="C434" s="340" t="s">
        <v>41</v>
      </c>
      <c r="D434" s="340" t="s">
        <v>1103</v>
      </c>
      <c r="E434" s="340" t="s">
        <v>1108</v>
      </c>
      <c r="F434" s="341">
        <v>44872</v>
      </c>
      <c r="G434" s="341"/>
      <c r="H434" s="341"/>
      <c r="I434" s="341" t="s">
        <v>2</v>
      </c>
      <c r="J434" s="340" t="s">
        <v>1485</v>
      </c>
      <c r="K434" s="340"/>
      <c r="L434" s="14">
        <v>44879</v>
      </c>
      <c r="N434" s="179">
        <v>45130</v>
      </c>
      <c r="O434" s="178"/>
      <c r="Q434" t="s">
        <v>129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/>
    </row>
    <row r="435" spans="1:30">
      <c r="A435" s="340">
        <f>COUNTA($E$3:E435)</f>
        <v>433</v>
      </c>
      <c r="B435" s="340" t="s">
        <v>4264</v>
      </c>
      <c r="C435" s="340" t="s">
        <v>37</v>
      </c>
      <c r="D435" s="340" t="s">
        <v>30</v>
      </c>
      <c r="E435" s="340" t="s">
        <v>3380</v>
      </c>
      <c r="F435" s="341">
        <v>44867</v>
      </c>
      <c r="G435" s="341"/>
      <c r="H435" s="341"/>
      <c r="I435" s="341" t="s">
        <v>2</v>
      </c>
      <c r="J435" s="340" t="s">
        <v>4266</v>
      </c>
      <c r="K435" s="340" t="s">
        <v>1295</v>
      </c>
      <c r="L435" s="14">
        <v>44879</v>
      </c>
      <c r="M435" t="s">
        <v>2167</v>
      </c>
      <c r="N435" s="179">
        <v>45021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45021</v>
      </c>
    </row>
    <row r="436" spans="1:30">
      <c r="A436" s="340">
        <f>COUNTA($E$3:E436)</f>
        <v>434</v>
      </c>
      <c r="B436" s="340" t="s">
        <v>4291</v>
      </c>
      <c r="C436" s="340" t="s">
        <v>44</v>
      </c>
      <c r="D436" s="340" t="s">
        <v>45</v>
      </c>
      <c r="E436" s="340" t="s">
        <v>178</v>
      </c>
      <c r="F436" s="341">
        <v>44873</v>
      </c>
      <c r="G436" s="341"/>
      <c r="H436" s="341"/>
      <c r="I436" s="341" t="s">
        <v>3</v>
      </c>
      <c r="J436" s="340" t="s">
        <v>2194</v>
      </c>
      <c r="K436" s="340" t="s">
        <v>33</v>
      </c>
      <c r="L436" s="14">
        <v>44879</v>
      </c>
      <c r="M436" t="s">
        <v>4319</v>
      </c>
      <c r="N436" s="179">
        <v>44967</v>
      </c>
      <c r="O436" s="178"/>
      <c r="Q436" t="s">
        <v>129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44967</v>
      </c>
    </row>
    <row r="437" spans="1:30">
      <c r="A437" s="340">
        <f>COUNTA($E$3:E437)</f>
        <v>435</v>
      </c>
      <c r="B437" s="340" t="s">
        <v>4289</v>
      </c>
      <c r="C437" s="340" t="s">
        <v>44</v>
      </c>
      <c r="D437" s="340" t="s">
        <v>45</v>
      </c>
      <c r="E437" s="340" t="s">
        <v>176</v>
      </c>
      <c r="F437" s="341">
        <v>44873</v>
      </c>
      <c r="G437" s="341"/>
      <c r="H437" s="341"/>
      <c r="I437" s="341" t="s">
        <v>3</v>
      </c>
      <c r="J437" s="340" t="s">
        <v>1750</v>
      </c>
      <c r="K437" s="340" t="s">
        <v>1295</v>
      </c>
      <c r="L437" s="14">
        <v>44879</v>
      </c>
      <c r="M437" t="s">
        <v>2167</v>
      </c>
      <c r="N437" s="179">
        <v>44907</v>
      </c>
      <c r="O437" s="178"/>
      <c r="Q437" t="s">
        <v>129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44907</v>
      </c>
    </row>
    <row r="438" spans="1:30">
      <c r="A438" s="340">
        <f>COUNTA($E$3:E438)</f>
        <v>436</v>
      </c>
      <c r="B438" s="340" t="s">
        <v>4290</v>
      </c>
      <c r="C438" s="340" t="s">
        <v>2431</v>
      </c>
      <c r="D438" s="340" t="s">
        <v>30</v>
      </c>
      <c r="E438" s="340" t="s">
        <v>4298</v>
      </c>
      <c r="F438" s="341">
        <v>44872</v>
      </c>
      <c r="G438" s="341"/>
      <c r="H438" s="341"/>
      <c r="I438" s="341" t="s">
        <v>3</v>
      </c>
      <c r="J438" s="340" t="s">
        <v>4299</v>
      </c>
      <c r="K438" s="340"/>
      <c r="L438" s="14">
        <v>44879</v>
      </c>
      <c r="M438" t="s">
        <v>4321</v>
      </c>
      <c r="N438" s="179">
        <v>44909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44909</v>
      </c>
    </row>
    <row r="439" spans="1:30">
      <c r="A439" s="340">
        <f>COUNTA($E$3:E439)</f>
        <v>437</v>
      </c>
      <c r="B439" s="340" t="s">
        <v>4268</v>
      </c>
      <c r="C439" s="340" t="s">
        <v>2345</v>
      </c>
      <c r="D439" s="340" t="s">
        <v>16</v>
      </c>
      <c r="E439" s="340" t="s">
        <v>2377</v>
      </c>
      <c r="F439" s="341">
        <v>44872</v>
      </c>
      <c r="G439" s="341"/>
      <c r="H439" s="341"/>
      <c r="I439" s="341" t="s">
        <v>3</v>
      </c>
      <c r="J439" s="340" t="s">
        <v>1854</v>
      </c>
      <c r="K439" s="340"/>
      <c r="L439" s="14">
        <v>44879</v>
      </c>
      <c r="M439" t="s">
        <v>4321</v>
      </c>
      <c r="N439" s="179">
        <v>44881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44881</v>
      </c>
    </row>
    <row r="440" spans="1:30">
      <c r="A440" s="340">
        <f>COUNTA($E$3:E440)</f>
        <v>438</v>
      </c>
      <c r="B440" s="340" t="s">
        <v>4254</v>
      </c>
      <c r="C440" s="340" t="s">
        <v>21</v>
      </c>
      <c r="D440" s="340" t="s">
        <v>30</v>
      </c>
      <c r="E440" s="340" t="s">
        <v>3033</v>
      </c>
      <c r="F440" s="341">
        <v>44865.5704249884</v>
      </c>
      <c r="G440" s="341"/>
      <c r="H440" s="341"/>
      <c r="I440" s="341" t="s">
        <v>3</v>
      </c>
      <c r="J440" s="340" t="s">
        <v>3132</v>
      </c>
      <c r="K440" s="340" t="s">
        <v>1295</v>
      </c>
      <c r="L440" s="14">
        <v>44879</v>
      </c>
      <c r="M440" t="s">
        <v>4294</v>
      </c>
      <c r="N440" s="179">
        <v>44879</v>
      </c>
      <c r="O440" s="178"/>
      <c r="Q440" t="s">
        <v>129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44879</v>
      </c>
    </row>
    <row r="441" spans="1:30">
      <c r="A441" s="340">
        <f>COUNTA($E$3:E441)</f>
        <v>439</v>
      </c>
      <c r="B441" s="340" t="s">
        <v>4248</v>
      </c>
      <c r="C441" s="340" t="s">
        <v>4253</v>
      </c>
      <c r="D441" s="340" t="s">
        <v>38</v>
      </c>
      <c r="E441" s="340" t="s">
        <v>3750</v>
      </c>
      <c r="F441" s="341">
        <v>44865.755362916701</v>
      </c>
      <c r="G441" s="341"/>
      <c r="H441" s="341"/>
      <c r="I441" s="341" t="s">
        <v>3</v>
      </c>
      <c r="J441" s="340" t="s">
        <v>17</v>
      </c>
      <c r="K441" s="340" t="s">
        <v>1287</v>
      </c>
      <c r="L441" s="14">
        <v>44879</v>
      </c>
      <c r="M441" t="s">
        <v>4294</v>
      </c>
      <c r="N441" s="179">
        <v>44868</v>
      </c>
      <c r="O441" s="178"/>
      <c r="Q441" t="s">
        <v>129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44868</v>
      </c>
    </row>
    <row r="442" spans="1:30">
      <c r="A442" s="340">
        <f>COUNTA($E$3:E442)</f>
        <v>440</v>
      </c>
      <c r="B442" s="340" t="s">
        <v>4214</v>
      </c>
      <c r="C442" s="340" t="s">
        <v>3296</v>
      </c>
      <c r="D442" s="340" t="s">
        <v>36</v>
      </c>
      <c r="E442" s="340" t="s">
        <v>3525</v>
      </c>
      <c r="F442" s="341">
        <v>44861</v>
      </c>
      <c r="G442" s="341"/>
      <c r="H442" s="341"/>
      <c r="I442" s="341" t="s">
        <v>3</v>
      </c>
      <c r="J442" s="340" t="s">
        <v>17</v>
      </c>
      <c r="K442" s="340" t="s">
        <v>1287</v>
      </c>
      <c r="L442" s="14">
        <v>44879</v>
      </c>
      <c r="M442" t="s">
        <v>2167</v>
      </c>
      <c r="N442" s="179">
        <v>44879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44879</v>
      </c>
    </row>
    <row r="443" spans="1:30">
      <c r="A443" s="340">
        <f>COUNTA($E$3:E443)</f>
        <v>441</v>
      </c>
      <c r="B443" s="340" t="s">
        <v>4176</v>
      </c>
      <c r="C443" s="340" t="s">
        <v>21</v>
      </c>
      <c r="D443" s="340" t="s">
        <v>30</v>
      </c>
      <c r="E443" s="340" t="s">
        <v>2023</v>
      </c>
      <c r="F443" s="341">
        <v>44854.566905312502</v>
      </c>
      <c r="G443" s="341"/>
      <c r="H443" s="341"/>
      <c r="I443" s="341" t="s">
        <v>3</v>
      </c>
      <c r="J443" s="340" t="s">
        <v>2541</v>
      </c>
      <c r="K443" s="340"/>
      <c r="L443" s="14">
        <v>44879</v>
      </c>
      <c r="M443" t="s">
        <v>4320</v>
      </c>
      <c r="N443" s="179">
        <v>44872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>
        <v>44872</v>
      </c>
    </row>
    <row r="444" spans="1:30">
      <c r="A444" s="340">
        <f>COUNTA($E$3:E444)</f>
        <v>442</v>
      </c>
      <c r="B444" s="340" t="s">
        <v>4279</v>
      </c>
      <c r="C444" s="340" t="s">
        <v>1165</v>
      </c>
      <c r="D444" s="340" t="s">
        <v>1166</v>
      </c>
      <c r="E444" s="340" t="s">
        <v>1167</v>
      </c>
      <c r="F444" s="341">
        <v>44872</v>
      </c>
      <c r="G444" s="341"/>
      <c r="H444" s="341"/>
      <c r="I444" s="341" t="s">
        <v>4</v>
      </c>
      <c r="J444" s="340" t="s">
        <v>1779</v>
      </c>
      <c r="K444" s="340" t="s">
        <v>1295</v>
      </c>
      <c r="L444" s="14">
        <v>44879</v>
      </c>
      <c r="N444" s="179"/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/>
    </row>
    <row r="445" spans="1:30">
      <c r="A445" s="340">
        <f>COUNTA($E$3:E445)</f>
        <v>443</v>
      </c>
      <c r="B445" s="340" t="s">
        <v>4242</v>
      </c>
      <c r="C445" s="340" t="s">
        <v>1197</v>
      </c>
      <c r="D445" s="340" t="s">
        <v>38</v>
      </c>
      <c r="E445" s="340" t="s">
        <v>1222</v>
      </c>
      <c r="F445" s="341">
        <v>44866</v>
      </c>
      <c r="G445" s="341"/>
      <c r="H445" s="341"/>
      <c r="I445" s="341" t="s">
        <v>2</v>
      </c>
      <c r="J445" s="340" t="s">
        <v>2435</v>
      </c>
      <c r="K445" s="340" t="s">
        <v>20</v>
      </c>
      <c r="L445" s="14">
        <v>44872</v>
      </c>
      <c r="M445" t="s">
        <v>4265</v>
      </c>
      <c r="N445" s="179">
        <v>44866</v>
      </c>
      <c r="O445" s="178"/>
      <c r="Q445" t="s">
        <v>22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44866</v>
      </c>
    </row>
    <row r="446" spans="1:30">
      <c r="A446" s="340">
        <f>COUNTA($E$3:E446)</f>
        <v>444</v>
      </c>
      <c r="B446" s="340" t="s">
        <v>4246</v>
      </c>
      <c r="C446" s="340" t="s">
        <v>41</v>
      </c>
      <c r="D446" s="340" t="s">
        <v>16</v>
      </c>
      <c r="E446" s="340" t="s">
        <v>3962</v>
      </c>
      <c r="F446" s="341">
        <v>44867.484780092593</v>
      </c>
      <c r="G446" s="341"/>
      <c r="H446" s="341"/>
      <c r="I446" s="341" t="s">
        <v>2</v>
      </c>
      <c r="J446" s="340" t="s">
        <v>4261</v>
      </c>
      <c r="K446" s="340" t="s">
        <v>18</v>
      </c>
      <c r="L446" s="14">
        <v>44872</v>
      </c>
      <c r="M446" t="s">
        <v>2137</v>
      </c>
      <c r="N446" s="179">
        <v>44872</v>
      </c>
      <c r="O446" s="178"/>
      <c r="Q446" t="s">
        <v>22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44872</v>
      </c>
    </row>
    <row r="447" spans="1:30">
      <c r="A447" s="340">
        <f>COUNTA($E$3:E447)</f>
        <v>445</v>
      </c>
      <c r="B447" s="340" t="s">
        <v>4079</v>
      </c>
      <c r="C447" s="340" t="s">
        <v>3766</v>
      </c>
      <c r="D447" s="340" t="s">
        <v>64</v>
      </c>
      <c r="E447" s="340" t="s">
        <v>4080</v>
      </c>
      <c r="F447" s="341">
        <v>44841</v>
      </c>
      <c r="G447" s="341">
        <v>44872</v>
      </c>
      <c r="H447" s="341">
        <v>44848</v>
      </c>
      <c r="I447" s="341" t="s">
        <v>2</v>
      </c>
      <c r="J447" s="340" t="s">
        <v>3076</v>
      </c>
      <c r="K447" s="340" t="s">
        <v>1294</v>
      </c>
      <c r="L447" s="14">
        <v>44872</v>
      </c>
      <c r="M447" t="s">
        <v>4275</v>
      </c>
      <c r="N447" s="179">
        <v>44872</v>
      </c>
      <c r="O447" s="178"/>
      <c r="Q447" t="s">
        <v>22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44872</v>
      </c>
    </row>
    <row r="448" spans="1:30">
      <c r="A448" s="340">
        <f>COUNTA($E$3:E448)</f>
        <v>446</v>
      </c>
      <c r="B448" s="340" t="s">
        <v>4247</v>
      </c>
      <c r="C448" s="340" t="s">
        <v>41</v>
      </c>
      <c r="D448" s="340" t="s">
        <v>1103</v>
      </c>
      <c r="E448" s="340" t="s">
        <v>4255</v>
      </c>
      <c r="F448" s="341">
        <v>44867</v>
      </c>
      <c r="G448" s="341"/>
      <c r="H448" s="341"/>
      <c r="I448" s="341" t="s">
        <v>3</v>
      </c>
      <c r="J448" s="340" t="s">
        <v>3477</v>
      </c>
      <c r="K448" s="340" t="s">
        <v>20</v>
      </c>
      <c r="L448" s="14">
        <v>44872</v>
      </c>
      <c r="M448" t="s">
        <v>2134</v>
      </c>
      <c r="N448" s="179">
        <v>44872</v>
      </c>
      <c r="O448" s="178"/>
      <c r="Q448" t="s">
        <v>22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44872</v>
      </c>
    </row>
    <row r="449" spans="1:30">
      <c r="A449" s="340">
        <f>COUNTA($E$3:E449)</f>
        <v>447</v>
      </c>
      <c r="B449" s="340" t="s">
        <v>4221</v>
      </c>
      <c r="C449" s="340" t="s">
        <v>41</v>
      </c>
      <c r="D449" s="340" t="s">
        <v>1201</v>
      </c>
      <c r="E449" s="340" t="s">
        <v>3629</v>
      </c>
      <c r="F449" s="341">
        <v>44862</v>
      </c>
      <c r="G449" s="341"/>
      <c r="H449" s="341"/>
      <c r="I449" s="341" t="s">
        <v>3</v>
      </c>
      <c r="J449" s="340" t="s">
        <v>4222</v>
      </c>
      <c r="K449" s="340" t="s">
        <v>1287</v>
      </c>
      <c r="L449" s="14">
        <v>44872</v>
      </c>
      <c r="M449" t="s">
        <v>4252</v>
      </c>
      <c r="N449" s="179">
        <v>44907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44907</v>
      </c>
    </row>
    <row r="450" spans="1:30">
      <c r="A450" s="340">
        <f>COUNTA($E$3:E450)</f>
        <v>448</v>
      </c>
      <c r="B450" s="340" t="s">
        <v>4213</v>
      </c>
      <c r="C450" s="340" t="s">
        <v>3299</v>
      </c>
      <c r="D450" s="340" t="s">
        <v>1103</v>
      </c>
      <c r="E450" s="340" t="s">
        <v>3300</v>
      </c>
      <c r="F450" s="341">
        <v>44861</v>
      </c>
      <c r="G450" s="341"/>
      <c r="H450" s="341"/>
      <c r="I450" s="341" t="s">
        <v>3</v>
      </c>
      <c r="J450" s="340" t="s">
        <v>1485</v>
      </c>
      <c r="K450" s="340" t="s">
        <v>1296</v>
      </c>
      <c r="L450" s="14">
        <v>44872</v>
      </c>
      <c r="M450" t="s">
        <v>2134</v>
      </c>
      <c r="N450" s="179">
        <v>44872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44872</v>
      </c>
    </row>
    <row r="451" spans="1:30">
      <c r="A451" s="340">
        <f>COUNTA($E$3:E451)</f>
        <v>449</v>
      </c>
      <c r="B451" s="340" t="s">
        <v>4201</v>
      </c>
      <c r="C451" s="340" t="s">
        <v>41</v>
      </c>
      <c r="D451" s="340" t="s">
        <v>30</v>
      </c>
      <c r="E451" s="340" t="s">
        <v>1656</v>
      </c>
      <c r="F451" s="341">
        <v>44860</v>
      </c>
      <c r="G451" s="341"/>
      <c r="H451" s="341"/>
      <c r="I451" s="341" t="s">
        <v>3</v>
      </c>
      <c r="J451" s="340" t="s">
        <v>1723</v>
      </c>
      <c r="K451" s="340" t="s">
        <v>1180</v>
      </c>
      <c r="L451" s="14">
        <v>44872</v>
      </c>
      <c r="M451" t="s">
        <v>4271</v>
      </c>
      <c r="N451" s="179">
        <v>44867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44867</v>
      </c>
    </row>
    <row r="452" spans="1:30">
      <c r="A452" s="340">
        <f>COUNTA($E$3:E452)</f>
        <v>450</v>
      </c>
      <c r="B452" s="340" t="s">
        <v>4187</v>
      </c>
      <c r="C452" s="340" t="s">
        <v>1752</v>
      </c>
      <c r="D452" s="340" t="s">
        <v>49</v>
      </c>
      <c r="E452" s="340" t="s">
        <v>1753</v>
      </c>
      <c r="F452" s="341">
        <v>44858</v>
      </c>
      <c r="G452" s="341"/>
      <c r="H452" s="341"/>
      <c r="I452" s="341" t="s">
        <v>3</v>
      </c>
      <c r="J452" s="340" t="s">
        <v>2435</v>
      </c>
      <c r="K452" s="340" t="s">
        <v>20</v>
      </c>
      <c r="L452" s="14">
        <v>44872</v>
      </c>
      <c r="N452" s="179">
        <v>44858</v>
      </c>
      <c r="O452" s="178"/>
      <c r="Q452" t="s">
        <v>22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44858</v>
      </c>
    </row>
    <row r="453" spans="1:30">
      <c r="A453" s="340">
        <f>COUNTA($E$3:E453)</f>
        <v>451</v>
      </c>
      <c r="B453" s="340" t="s">
        <v>3930</v>
      </c>
      <c r="C453" s="340" t="s">
        <v>286</v>
      </c>
      <c r="D453" s="340" t="s">
        <v>34</v>
      </c>
      <c r="E453" s="340" t="s">
        <v>1250</v>
      </c>
      <c r="F453" s="341">
        <v>44818</v>
      </c>
      <c r="G453" s="341"/>
      <c r="H453" s="341" t="s">
        <v>66</v>
      </c>
      <c r="I453" s="341" t="s">
        <v>3</v>
      </c>
      <c r="J453" s="340" t="s">
        <v>4041</v>
      </c>
      <c r="K453" s="340" t="s">
        <v>24</v>
      </c>
      <c r="L453" s="14">
        <v>44872</v>
      </c>
      <c r="M453" t="s">
        <v>4274</v>
      </c>
      <c r="N453" s="179">
        <v>44883</v>
      </c>
      <c r="O453" s="178"/>
      <c r="Q453" t="s">
        <v>22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>
        <v>44883</v>
      </c>
    </row>
    <row r="454" spans="1:30">
      <c r="A454" s="340">
        <f>COUNTA($E$3:E454)</f>
        <v>452</v>
      </c>
      <c r="B454" s="340" t="s">
        <v>4182</v>
      </c>
      <c r="C454" s="340" t="s">
        <v>21</v>
      </c>
      <c r="D454" s="340" t="s">
        <v>30</v>
      </c>
      <c r="E454" s="340" t="s">
        <v>3317</v>
      </c>
      <c r="F454" s="341"/>
      <c r="G454" s="341">
        <v>44858</v>
      </c>
      <c r="H454" s="341" t="s">
        <v>1723</v>
      </c>
      <c r="I454" s="341" t="s">
        <v>2</v>
      </c>
      <c r="J454" s="340" t="s">
        <v>1723</v>
      </c>
      <c r="K454" s="340" t="s">
        <v>1295</v>
      </c>
      <c r="L454" s="14">
        <v>44865</v>
      </c>
      <c r="N454" s="179"/>
      <c r="O454" s="178"/>
      <c r="Q454" t="s">
        <v>129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/>
    </row>
    <row r="455" spans="1:30">
      <c r="A455" s="340">
        <f>COUNTA($E$3:E455)</f>
        <v>453</v>
      </c>
      <c r="B455" s="340" t="s">
        <v>4174</v>
      </c>
      <c r="C455" s="340" t="s">
        <v>21</v>
      </c>
      <c r="D455" s="340" t="s">
        <v>32</v>
      </c>
      <c r="E455" s="340" t="s">
        <v>1655</v>
      </c>
      <c r="F455" s="341">
        <v>44854</v>
      </c>
      <c r="G455" s="341"/>
      <c r="H455" s="341"/>
      <c r="I455" s="341" t="s">
        <v>2</v>
      </c>
      <c r="J455" s="340" t="s">
        <v>357</v>
      </c>
      <c r="K455" s="340" t="s">
        <v>1296</v>
      </c>
      <c r="L455" s="14">
        <v>44865</v>
      </c>
      <c r="M455" t="s">
        <v>4219</v>
      </c>
      <c r="N455" s="179">
        <v>44967</v>
      </c>
      <c r="O455" s="178"/>
      <c r="Q455" t="s">
        <v>129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44967</v>
      </c>
    </row>
    <row r="456" spans="1:30">
      <c r="A456" s="340">
        <f>COUNTA($E$3:E456)</f>
        <v>454</v>
      </c>
      <c r="B456" s="340" t="s">
        <v>4164</v>
      </c>
      <c r="C456" s="340" t="s">
        <v>21</v>
      </c>
      <c r="D456" s="340" t="s">
        <v>30</v>
      </c>
      <c r="E456" s="340" t="s">
        <v>2055</v>
      </c>
      <c r="F456" s="341">
        <v>44853</v>
      </c>
      <c r="G456" s="341"/>
      <c r="H456" s="341"/>
      <c r="I456" s="341" t="s">
        <v>2</v>
      </c>
      <c r="J456" s="340" t="s">
        <v>1671</v>
      </c>
      <c r="K456" s="340" t="s">
        <v>1296</v>
      </c>
      <c r="L456" s="14">
        <v>44865</v>
      </c>
      <c r="M456" t="s">
        <v>4218</v>
      </c>
      <c r="N456" s="179">
        <v>44959</v>
      </c>
      <c r="O456" s="178"/>
      <c r="Q456" t="s">
        <v>129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44959</v>
      </c>
    </row>
    <row r="457" spans="1:30">
      <c r="A457" s="340">
        <f>COUNTA($E$3:E457)</f>
        <v>455</v>
      </c>
      <c r="B457" s="340" t="s">
        <v>4057</v>
      </c>
      <c r="C457" s="340" t="s">
        <v>37</v>
      </c>
      <c r="D457" s="340" t="s">
        <v>30</v>
      </c>
      <c r="E457" s="340" t="s">
        <v>3381</v>
      </c>
      <c r="F457" s="341">
        <v>44837</v>
      </c>
      <c r="G457" s="341"/>
      <c r="H457" s="341"/>
      <c r="I457" s="341" t="s">
        <v>2</v>
      </c>
      <c r="J457" s="340" t="s">
        <v>3253</v>
      </c>
      <c r="K457" s="340" t="s">
        <v>1287</v>
      </c>
      <c r="L457" s="14">
        <v>44865</v>
      </c>
      <c r="M457" t="s">
        <v>4217</v>
      </c>
      <c r="N457" s="179">
        <v>44907</v>
      </c>
      <c r="O457" s="178"/>
      <c r="Q457" t="s">
        <v>129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44907</v>
      </c>
    </row>
    <row r="458" spans="1:30">
      <c r="A458" s="340">
        <f>COUNTA($E$3:E458)</f>
        <v>456</v>
      </c>
      <c r="B458" s="340" t="s">
        <v>4037</v>
      </c>
      <c r="C458" s="340" t="s">
        <v>2726</v>
      </c>
      <c r="D458" s="340" t="s">
        <v>31</v>
      </c>
      <c r="E458" s="340" t="s">
        <v>4038</v>
      </c>
      <c r="F458" s="341">
        <v>44833</v>
      </c>
      <c r="G458" s="341">
        <v>44852</v>
      </c>
      <c r="H458" s="341">
        <v>44852</v>
      </c>
      <c r="I458" s="341" t="s">
        <v>2</v>
      </c>
      <c r="J458" s="340" t="s">
        <v>2687</v>
      </c>
      <c r="K458" s="340" t="s">
        <v>287</v>
      </c>
      <c r="L458" s="14">
        <v>44865</v>
      </c>
      <c r="M458" t="s">
        <v>4216</v>
      </c>
      <c r="N458" s="179">
        <v>44872</v>
      </c>
      <c r="O458" s="178"/>
      <c r="Q458" t="s">
        <v>22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44872</v>
      </c>
    </row>
    <row r="459" spans="1:30">
      <c r="A459" s="340">
        <f>COUNTA($E$3:E459)</f>
        <v>457</v>
      </c>
      <c r="B459" s="340" t="s">
        <v>3870</v>
      </c>
      <c r="C459" s="340" t="s">
        <v>37</v>
      </c>
      <c r="D459" s="340" t="s">
        <v>30</v>
      </c>
      <c r="E459" s="340" t="s">
        <v>3871</v>
      </c>
      <c r="F459" s="341">
        <v>44804</v>
      </c>
      <c r="G459" s="341"/>
      <c r="H459" s="341" t="s">
        <v>55</v>
      </c>
      <c r="I459" s="341" t="s">
        <v>2</v>
      </c>
      <c r="J459" s="340" t="s">
        <v>1485</v>
      </c>
      <c r="K459" s="340" t="s">
        <v>1294</v>
      </c>
      <c r="L459" s="14">
        <v>44865</v>
      </c>
      <c r="M459" t="s">
        <v>4225</v>
      </c>
      <c r="N459" s="179">
        <v>44867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44867</v>
      </c>
    </row>
    <row r="460" spans="1:30">
      <c r="A460" s="340">
        <f>COUNTA($E$3:E460)</f>
        <v>458</v>
      </c>
      <c r="B460" s="340" t="s">
        <v>3724</v>
      </c>
      <c r="C460" s="340" t="s">
        <v>37</v>
      </c>
      <c r="D460" s="340" t="s">
        <v>30</v>
      </c>
      <c r="E460" s="340" t="s">
        <v>3725</v>
      </c>
      <c r="F460" s="341">
        <v>44777</v>
      </c>
      <c r="G460" s="341">
        <v>44783</v>
      </c>
      <c r="H460" s="341" t="s">
        <v>55</v>
      </c>
      <c r="I460" s="341" t="s">
        <v>2</v>
      </c>
      <c r="J460" s="340" t="s">
        <v>1485</v>
      </c>
      <c r="K460" s="340" t="s">
        <v>1294</v>
      </c>
      <c r="L460" s="14">
        <v>44865</v>
      </c>
      <c r="M460" t="s">
        <v>4224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>
      <c r="A461" s="340">
        <f>COUNTA($E$3:E461)</f>
        <v>459</v>
      </c>
      <c r="B461" s="340" t="s">
        <v>4215</v>
      </c>
      <c r="C461" s="340" t="s">
        <v>3828</v>
      </c>
      <c r="D461" s="340" t="s">
        <v>19</v>
      </c>
      <c r="E461" s="340" t="s">
        <v>3696</v>
      </c>
      <c r="F461" s="341">
        <v>44861</v>
      </c>
      <c r="G461" s="341"/>
      <c r="H461" s="341"/>
      <c r="I461" s="341" t="s">
        <v>3</v>
      </c>
      <c r="J461" s="340" t="s">
        <v>1212</v>
      </c>
      <c r="K461" s="340" t="s">
        <v>1287</v>
      </c>
      <c r="L461" s="14">
        <v>44865</v>
      </c>
      <c r="M461" t="s">
        <v>4227</v>
      </c>
      <c r="N461" s="179">
        <v>44907</v>
      </c>
      <c r="O461" s="178"/>
      <c r="Q461" t="s">
        <v>129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44907</v>
      </c>
    </row>
    <row r="462" spans="1:30">
      <c r="A462" s="340">
        <f>COUNTA($E$3:E462)</f>
        <v>460</v>
      </c>
      <c r="B462" s="340" t="s">
        <v>4186</v>
      </c>
      <c r="C462" s="340" t="s">
        <v>1171</v>
      </c>
      <c r="D462" s="340" t="s">
        <v>19</v>
      </c>
      <c r="E462" s="340" t="s">
        <v>3720</v>
      </c>
      <c r="F462" s="341">
        <v>44858</v>
      </c>
      <c r="G462" s="341"/>
      <c r="H462" s="341"/>
      <c r="I462" s="341" t="s">
        <v>3</v>
      </c>
      <c r="J462" s="340" t="s">
        <v>17</v>
      </c>
      <c r="K462" s="340"/>
      <c r="L462" s="14">
        <v>44865</v>
      </c>
      <c r="M462" t="s">
        <v>4226</v>
      </c>
      <c r="N462" s="179">
        <v>44864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44864</v>
      </c>
    </row>
    <row r="463" spans="1:30">
      <c r="A463" s="340">
        <f>COUNTA($E$3:E463)</f>
        <v>461</v>
      </c>
      <c r="B463" s="340" t="s">
        <v>4175</v>
      </c>
      <c r="C463" s="340" t="s">
        <v>21</v>
      </c>
      <c r="D463" s="340" t="s">
        <v>34</v>
      </c>
      <c r="E463" s="340" t="s">
        <v>2205</v>
      </c>
      <c r="F463" s="341">
        <v>44854.566400000003</v>
      </c>
      <c r="G463" s="341"/>
      <c r="H463" s="341"/>
      <c r="I463" s="341" t="s">
        <v>3</v>
      </c>
      <c r="J463" s="340" t="s">
        <v>1666</v>
      </c>
      <c r="K463" s="340" t="s">
        <v>1296</v>
      </c>
      <c r="L463" s="14">
        <v>44865</v>
      </c>
      <c r="M463" t="s">
        <v>4228</v>
      </c>
      <c r="N463" s="179">
        <v>44865</v>
      </c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>
        <v>44865</v>
      </c>
    </row>
    <row r="464" spans="1:30">
      <c r="A464" s="340">
        <f>COUNTA($E$3:E464)</f>
        <v>462</v>
      </c>
      <c r="B464" s="340" t="s">
        <v>3882</v>
      </c>
      <c r="C464" s="340" t="s">
        <v>41</v>
      </c>
      <c r="D464" s="340" t="s">
        <v>1181</v>
      </c>
      <c r="E464" s="340" t="s">
        <v>3883</v>
      </c>
      <c r="F464" s="341">
        <v>44809</v>
      </c>
      <c r="G464" s="341"/>
      <c r="H464" s="341" t="s">
        <v>55</v>
      </c>
      <c r="I464" s="341" t="s">
        <v>4</v>
      </c>
      <c r="J464" s="340" t="s">
        <v>1093</v>
      </c>
      <c r="K464" s="340" t="s">
        <v>287</v>
      </c>
      <c r="L464" s="14">
        <v>44865</v>
      </c>
      <c r="M464" t="s">
        <v>4217</v>
      </c>
      <c r="N464" s="179">
        <v>44861</v>
      </c>
      <c r="O464" s="178"/>
      <c r="Q464" t="s">
        <v>22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44861</v>
      </c>
    </row>
    <row r="465" spans="1:30">
      <c r="A465" s="340">
        <f>COUNTA($E$3:E465)</f>
        <v>463</v>
      </c>
      <c r="B465" s="340" t="s">
        <v>4135</v>
      </c>
      <c r="C465" s="340" t="s">
        <v>41</v>
      </c>
      <c r="D465" s="340" t="s">
        <v>1181</v>
      </c>
      <c r="E465" s="340" t="s">
        <v>1284</v>
      </c>
      <c r="F465" s="341">
        <v>44846.77511574074</v>
      </c>
      <c r="G465" s="341"/>
      <c r="H465" s="341"/>
      <c r="I465" s="341" t="s">
        <v>1110</v>
      </c>
      <c r="J465" s="340" t="s">
        <v>2194</v>
      </c>
      <c r="K465" s="340" t="s">
        <v>1295</v>
      </c>
      <c r="L465" s="14">
        <v>44858</v>
      </c>
      <c r="M465" t="s">
        <v>4180</v>
      </c>
      <c r="N465" s="179">
        <v>44865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44865</v>
      </c>
    </row>
    <row r="466" spans="1:30">
      <c r="A466" s="340">
        <f>COUNTA($E$3:E466)</f>
        <v>464</v>
      </c>
      <c r="B466" s="340" t="s">
        <v>4125</v>
      </c>
      <c r="C466" s="340" t="s">
        <v>41</v>
      </c>
      <c r="D466" s="340" t="s">
        <v>1139</v>
      </c>
      <c r="E466" s="340" t="s">
        <v>1140</v>
      </c>
      <c r="F466" s="341">
        <v>44846</v>
      </c>
      <c r="G466" s="341"/>
      <c r="H466" s="341"/>
      <c r="I466" s="341" t="s">
        <v>1110</v>
      </c>
      <c r="J466" s="340" t="s">
        <v>17</v>
      </c>
      <c r="K466" s="340" t="s">
        <v>1274</v>
      </c>
      <c r="L466" s="14">
        <v>44858</v>
      </c>
      <c r="N466" s="179"/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/>
    </row>
    <row r="467" spans="1:30">
      <c r="A467" s="340">
        <f>COUNTA($E$3:E467)</f>
        <v>465</v>
      </c>
      <c r="B467" s="340" t="s">
        <v>4124</v>
      </c>
      <c r="C467" s="340" t="s">
        <v>41</v>
      </c>
      <c r="D467" s="340" t="s">
        <v>1124</v>
      </c>
      <c r="E467" s="340" t="s">
        <v>4231</v>
      </c>
      <c r="F467" s="341">
        <v>44846</v>
      </c>
      <c r="G467" s="341"/>
      <c r="H467" s="341"/>
      <c r="I467" s="341" t="s">
        <v>1110</v>
      </c>
      <c r="J467" s="340" t="s">
        <v>1650</v>
      </c>
      <c r="K467" s="340" t="s">
        <v>1274</v>
      </c>
      <c r="L467" s="14">
        <v>44858</v>
      </c>
      <c r="N467" s="179"/>
      <c r="O467" s="178"/>
      <c r="Q467" t="s">
        <v>129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40">
        <f>COUNTA($E$3:E468)</f>
        <v>466</v>
      </c>
      <c r="B468" s="340" t="s">
        <v>4157</v>
      </c>
      <c r="C468" s="340" t="s">
        <v>21</v>
      </c>
      <c r="D468" s="340" t="s">
        <v>30</v>
      </c>
      <c r="E468" s="340" t="s">
        <v>2565</v>
      </c>
      <c r="F468" s="341"/>
      <c r="G468" s="341"/>
      <c r="H468" s="341"/>
      <c r="I468" s="341" t="s">
        <v>2</v>
      </c>
      <c r="J468" s="340" t="s">
        <v>357</v>
      </c>
      <c r="K468" s="340" t="s">
        <v>1287</v>
      </c>
      <c r="L468" s="14">
        <v>44858</v>
      </c>
      <c r="M468" t="s">
        <v>4180</v>
      </c>
      <c r="N468" s="179">
        <v>44907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44907</v>
      </c>
    </row>
    <row r="469" spans="1:30">
      <c r="A469" s="340">
        <f>COUNTA($E$3:E469)</f>
        <v>467</v>
      </c>
      <c r="B469" s="340" t="s">
        <v>4363</v>
      </c>
      <c r="C469" s="340" t="s">
        <v>41</v>
      </c>
      <c r="D469" s="340" t="s">
        <v>34</v>
      </c>
      <c r="E469" s="340" t="s">
        <v>1045</v>
      </c>
      <c r="F469" s="341">
        <v>44882</v>
      </c>
      <c r="G469" s="341"/>
      <c r="H469" s="341"/>
      <c r="I469" s="341" t="s">
        <v>2</v>
      </c>
      <c r="J469" s="340" t="s">
        <v>3253</v>
      </c>
      <c r="K469" s="340"/>
      <c r="L469" s="14">
        <v>44893</v>
      </c>
      <c r="M469" t="s">
        <v>4389</v>
      </c>
      <c r="N469" s="179">
        <v>44893</v>
      </c>
      <c r="O469" s="178"/>
      <c r="Q469" t="s">
        <v>22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44893</v>
      </c>
    </row>
    <row r="470" spans="1:30">
      <c r="A470" s="340">
        <f>COUNTA($E$3:E470)</f>
        <v>468</v>
      </c>
      <c r="B470" s="340" t="s">
        <v>4109</v>
      </c>
      <c r="C470" s="340" t="s">
        <v>41</v>
      </c>
      <c r="D470" s="340" t="s">
        <v>31</v>
      </c>
      <c r="E470" s="340" t="s">
        <v>3111</v>
      </c>
      <c r="F470" s="341">
        <v>44844</v>
      </c>
      <c r="G470" s="341"/>
      <c r="H470" s="341" t="s">
        <v>66</v>
      </c>
      <c r="I470" s="341" t="s">
        <v>2</v>
      </c>
      <c r="J470" s="340" t="s">
        <v>17</v>
      </c>
      <c r="K470" s="340" t="s">
        <v>287</v>
      </c>
      <c r="L470" s="14">
        <v>44858</v>
      </c>
      <c r="M470" t="s">
        <v>4232</v>
      </c>
      <c r="N470" s="179">
        <v>44851</v>
      </c>
      <c r="O470" s="178"/>
      <c r="Q470" t="s">
        <v>22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44851</v>
      </c>
    </row>
    <row r="471" spans="1:30">
      <c r="A471" s="340">
        <f>COUNTA($E$3:E471)</f>
        <v>469</v>
      </c>
      <c r="B471" s="340" t="s">
        <v>4065</v>
      </c>
      <c r="C471" s="340" t="s">
        <v>41</v>
      </c>
      <c r="D471" s="340" t="s">
        <v>30</v>
      </c>
      <c r="E471" s="340" t="s">
        <v>2982</v>
      </c>
      <c r="F471" s="341">
        <v>44839</v>
      </c>
      <c r="G471" s="341"/>
      <c r="H471" s="341" t="s">
        <v>66</v>
      </c>
      <c r="I471" s="341" t="s">
        <v>2</v>
      </c>
      <c r="J471" s="340" t="s">
        <v>17</v>
      </c>
      <c r="K471" s="340" t="s">
        <v>2032</v>
      </c>
      <c r="L471" s="14">
        <v>44858</v>
      </c>
      <c r="M471" t="s">
        <v>4233</v>
      </c>
      <c r="N471" s="179">
        <v>44844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44844</v>
      </c>
    </row>
    <row r="472" spans="1:30">
      <c r="A472" s="340">
        <f>COUNTA($E$3:E472)</f>
        <v>470</v>
      </c>
      <c r="B472" s="340" t="s">
        <v>4234</v>
      </c>
      <c r="C472" s="340" t="s">
        <v>41</v>
      </c>
      <c r="D472" s="340" t="s">
        <v>51</v>
      </c>
      <c r="E472" s="340" t="s">
        <v>3024</v>
      </c>
      <c r="F472" s="341">
        <v>44846.777743055558</v>
      </c>
      <c r="G472" s="341"/>
      <c r="H472" s="341"/>
      <c r="I472" s="341" t="s">
        <v>3</v>
      </c>
      <c r="J472" s="340" t="s">
        <v>1649</v>
      </c>
      <c r="K472" s="340" t="s">
        <v>1287</v>
      </c>
      <c r="L472" s="14">
        <v>44858</v>
      </c>
      <c r="M472" t="s">
        <v>4235</v>
      </c>
      <c r="N472" s="179">
        <v>44843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44843</v>
      </c>
    </row>
    <row r="473" spans="1:30">
      <c r="A473" s="340">
        <f>COUNTA($E$3:E473)</f>
        <v>471</v>
      </c>
      <c r="B473" s="340" t="s">
        <v>4129</v>
      </c>
      <c r="C473" s="340" t="s">
        <v>37</v>
      </c>
      <c r="D473" s="340" t="s">
        <v>30</v>
      </c>
      <c r="E473" s="340" t="s">
        <v>3487</v>
      </c>
      <c r="F473" s="341">
        <v>44846.770451388889</v>
      </c>
      <c r="G473" s="341"/>
      <c r="H473" s="341"/>
      <c r="I473" s="341" t="s">
        <v>3</v>
      </c>
      <c r="J473" s="340" t="s">
        <v>2209</v>
      </c>
      <c r="K473" s="340" t="s">
        <v>1296</v>
      </c>
      <c r="L473" s="14">
        <v>44858</v>
      </c>
      <c r="M473" t="s">
        <v>4236</v>
      </c>
      <c r="N473" s="179">
        <v>44866</v>
      </c>
      <c r="O473" s="178"/>
      <c r="Q473" t="s">
        <v>129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44866</v>
      </c>
    </row>
    <row r="474" spans="1:30">
      <c r="A474" s="340">
        <f>COUNTA($E$3:E474)</f>
        <v>472</v>
      </c>
      <c r="B474" s="340" t="s">
        <v>4128</v>
      </c>
      <c r="C474" s="340" t="s">
        <v>37</v>
      </c>
      <c r="D474" s="340" t="s">
        <v>30</v>
      </c>
      <c r="E474" s="340" t="s">
        <v>3491</v>
      </c>
      <c r="F474" s="341">
        <v>44846.769733796296</v>
      </c>
      <c r="G474" s="341"/>
      <c r="H474" s="341"/>
      <c r="I474" s="341" t="s">
        <v>3</v>
      </c>
      <c r="J474" s="340" t="s">
        <v>2209</v>
      </c>
      <c r="K474" s="340" t="s">
        <v>1295</v>
      </c>
      <c r="L474" s="14">
        <v>44858</v>
      </c>
      <c r="M474" t="s">
        <v>4163</v>
      </c>
      <c r="N474" s="179">
        <v>44866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44866</v>
      </c>
    </row>
    <row r="475" spans="1:30">
      <c r="A475" s="340">
        <f>COUNTA($E$3:E475)</f>
        <v>473</v>
      </c>
      <c r="B475" s="340" t="s">
        <v>4114</v>
      </c>
      <c r="C475" s="340" t="s">
        <v>41</v>
      </c>
      <c r="D475" s="340" t="s">
        <v>30</v>
      </c>
      <c r="E475" s="340" t="s">
        <v>1721</v>
      </c>
      <c r="F475" s="341">
        <v>44845.702280092592</v>
      </c>
      <c r="G475" s="341"/>
      <c r="H475" s="341"/>
      <c r="I475" s="341" t="s">
        <v>3</v>
      </c>
      <c r="J475" s="340" t="s">
        <v>2541</v>
      </c>
      <c r="K475" s="340" t="s">
        <v>1295</v>
      </c>
      <c r="L475" s="14">
        <v>44858</v>
      </c>
      <c r="M475" t="s">
        <v>4237</v>
      </c>
      <c r="N475" s="179">
        <v>44866</v>
      </c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>
        <v>44866</v>
      </c>
    </row>
    <row r="476" spans="1:30">
      <c r="A476" s="340">
        <f>COUNTA($E$3:E476)</f>
        <v>474</v>
      </c>
      <c r="B476" s="340" t="s">
        <v>4162</v>
      </c>
      <c r="C476" s="340" t="s">
        <v>2370</v>
      </c>
      <c r="D476" s="340" t="s">
        <v>1126</v>
      </c>
      <c r="E476" s="340" t="s">
        <v>4170</v>
      </c>
      <c r="F476" s="341"/>
      <c r="G476" s="341"/>
      <c r="H476" s="341"/>
      <c r="I476" s="341" t="s">
        <v>4</v>
      </c>
      <c r="J476" s="340" t="s">
        <v>1707</v>
      </c>
      <c r="K476" s="340" t="s">
        <v>287</v>
      </c>
      <c r="L476" s="14">
        <v>44858</v>
      </c>
      <c r="M476" t="s">
        <v>4163</v>
      </c>
      <c r="N476" s="179">
        <v>44876</v>
      </c>
      <c r="O476" s="178"/>
      <c r="Q476" t="s">
        <v>22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>
        <v>44876</v>
      </c>
    </row>
    <row r="477" spans="1:30">
      <c r="A477" s="340">
        <f>COUNTA($E$3:E477)</f>
        <v>475</v>
      </c>
      <c r="B477" s="340" t="s">
        <v>4092</v>
      </c>
      <c r="C477" s="340" t="s">
        <v>40</v>
      </c>
      <c r="D477" s="340" t="s">
        <v>30</v>
      </c>
      <c r="E477" s="340" t="s">
        <v>1645</v>
      </c>
      <c r="F477" s="341">
        <v>44841.474330543999</v>
      </c>
      <c r="G477" s="341"/>
      <c r="H477" s="341"/>
      <c r="I477" s="341"/>
      <c r="J477" s="340"/>
      <c r="K477" s="340"/>
      <c r="L477" s="14">
        <v>44851</v>
      </c>
      <c r="M477" t="s">
        <v>4151</v>
      </c>
      <c r="N477" s="179">
        <v>44840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44840</v>
      </c>
    </row>
    <row r="478" spans="1:30">
      <c r="A478" s="340">
        <f>COUNTA($E$3:E478)</f>
        <v>476</v>
      </c>
      <c r="B478" s="340" t="s">
        <v>4137</v>
      </c>
      <c r="C478" s="340" t="s">
        <v>41</v>
      </c>
      <c r="D478" s="340" t="s">
        <v>1126</v>
      </c>
      <c r="E478" s="340" t="s">
        <v>3103</v>
      </c>
      <c r="F478" s="341">
        <v>44846</v>
      </c>
      <c r="G478" s="341"/>
      <c r="H478" s="341" t="s">
        <v>66</v>
      </c>
      <c r="I478" s="341" t="s">
        <v>1110</v>
      </c>
      <c r="J478" s="340" t="s">
        <v>2194</v>
      </c>
      <c r="K478" s="340" t="s">
        <v>33</v>
      </c>
      <c r="L478" s="14">
        <v>44851</v>
      </c>
      <c r="M478" t="s">
        <v>4154</v>
      </c>
      <c r="N478" s="179">
        <v>44862</v>
      </c>
      <c r="O478" s="178"/>
      <c r="Q478" t="s">
        <v>129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44862</v>
      </c>
    </row>
    <row r="479" spans="1:30">
      <c r="A479" s="340">
        <f>COUNTA($E$3:E479)</f>
        <v>477</v>
      </c>
      <c r="B479" s="340" t="s">
        <v>4136</v>
      </c>
      <c r="C479" s="340" t="s">
        <v>41</v>
      </c>
      <c r="D479" s="340" t="s">
        <v>1264</v>
      </c>
      <c r="E479" s="340" t="s">
        <v>3109</v>
      </c>
      <c r="F479" s="341">
        <v>44846</v>
      </c>
      <c r="G479" s="341"/>
      <c r="H479" s="341" t="s">
        <v>66</v>
      </c>
      <c r="I479" s="341" t="s">
        <v>1110</v>
      </c>
      <c r="J479" s="340" t="s">
        <v>2194</v>
      </c>
      <c r="K479" s="340" t="s">
        <v>33</v>
      </c>
      <c r="L479" s="14">
        <v>44851</v>
      </c>
      <c r="M479" t="s">
        <v>4154</v>
      </c>
      <c r="N479" s="179">
        <v>44862</v>
      </c>
      <c r="O479" s="178"/>
      <c r="Q479" t="s">
        <v>129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44862</v>
      </c>
    </row>
    <row r="480" spans="1:30">
      <c r="A480" s="340">
        <f>COUNTA($E$3:E480)</f>
        <v>478</v>
      </c>
      <c r="B480" s="340" t="s">
        <v>4110</v>
      </c>
      <c r="C480" s="340" t="s">
        <v>3520</v>
      </c>
      <c r="D480" s="340" t="s">
        <v>31</v>
      </c>
      <c r="E480" s="340" t="s">
        <v>3521</v>
      </c>
      <c r="F480" s="341">
        <v>44844</v>
      </c>
      <c r="G480" s="341"/>
      <c r="H480" s="341"/>
      <c r="I480" s="341" t="s">
        <v>2</v>
      </c>
      <c r="J480" s="340" t="s">
        <v>17</v>
      </c>
      <c r="K480" s="340" t="s">
        <v>287</v>
      </c>
      <c r="L480" s="14">
        <v>44851</v>
      </c>
      <c r="M480" t="s">
        <v>4150</v>
      </c>
      <c r="N480" s="179">
        <v>44847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44847</v>
      </c>
    </row>
    <row r="481" spans="1:30">
      <c r="A481" s="340">
        <f>COUNTA($E$3:E481)</f>
        <v>479</v>
      </c>
      <c r="B481" s="340" t="s">
        <v>4075</v>
      </c>
      <c r="C481" s="340" t="s">
        <v>41</v>
      </c>
      <c r="D481" s="340" t="s">
        <v>1115</v>
      </c>
      <c r="E481" s="340" t="s">
        <v>4029</v>
      </c>
      <c r="F481" s="341">
        <v>44840</v>
      </c>
      <c r="G481" s="341"/>
      <c r="H481" s="341"/>
      <c r="I481" s="341" t="s">
        <v>2</v>
      </c>
      <c r="J481" s="340" t="s">
        <v>4076</v>
      </c>
      <c r="K481" s="340" t="s">
        <v>1287</v>
      </c>
      <c r="L481" s="14">
        <v>44851</v>
      </c>
      <c r="N481" s="179">
        <v>44858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44858</v>
      </c>
    </row>
    <row r="482" spans="1:30">
      <c r="A482" s="340">
        <f>COUNTA($E$3:E482)</f>
        <v>480</v>
      </c>
      <c r="B482" s="340" t="s">
        <v>4066</v>
      </c>
      <c r="C482" s="340" t="s">
        <v>41</v>
      </c>
      <c r="D482" s="340" t="s">
        <v>56</v>
      </c>
      <c r="E482" s="340" t="s">
        <v>3068</v>
      </c>
      <c r="F482" s="341">
        <v>44841</v>
      </c>
      <c r="G482" s="341"/>
      <c r="H482" s="341" t="s">
        <v>66</v>
      </c>
      <c r="I482" s="341" t="s">
        <v>2</v>
      </c>
      <c r="J482" s="340" t="s">
        <v>4067</v>
      </c>
      <c r="K482" s="340" t="s">
        <v>1287</v>
      </c>
      <c r="L482" s="14">
        <v>44851</v>
      </c>
      <c r="M482" t="s">
        <v>4153</v>
      </c>
      <c r="N482" s="179">
        <v>45051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45051</v>
      </c>
    </row>
    <row r="483" spans="1:30">
      <c r="A483" s="340">
        <f>COUNTA($E$3:E483)</f>
        <v>481</v>
      </c>
      <c r="B483" s="340" t="s">
        <v>4111</v>
      </c>
      <c r="C483" s="340" t="s">
        <v>41</v>
      </c>
      <c r="D483" s="340" t="s">
        <v>104</v>
      </c>
      <c r="E483" s="340" t="s">
        <v>4112</v>
      </c>
      <c r="F483" s="341">
        <v>44845</v>
      </c>
      <c r="G483" s="341"/>
      <c r="H483" s="341"/>
      <c r="I483" s="341" t="s">
        <v>3</v>
      </c>
      <c r="J483" s="340" t="s">
        <v>1485</v>
      </c>
      <c r="K483" s="340" t="s">
        <v>1287</v>
      </c>
      <c r="L483" s="14">
        <v>44851</v>
      </c>
      <c r="N483" s="179"/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/>
    </row>
    <row r="484" spans="1:30">
      <c r="A484" s="340">
        <f>COUNTA($E$3:E484)</f>
        <v>482</v>
      </c>
      <c r="B484" s="340" t="s">
        <v>4087</v>
      </c>
      <c r="C484" s="340" t="s">
        <v>21</v>
      </c>
      <c r="D484" s="340" t="s">
        <v>25</v>
      </c>
      <c r="E484" s="340" t="s">
        <v>298</v>
      </c>
      <c r="F484" s="341">
        <v>44841.470636388898</v>
      </c>
      <c r="G484" s="341"/>
      <c r="H484" s="341"/>
      <c r="I484" s="341" t="s">
        <v>3</v>
      </c>
      <c r="J484" s="340" t="s">
        <v>1720</v>
      </c>
      <c r="K484" s="340" t="s">
        <v>1296</v>
      </c>
      <c r="L484" s="14">
        <v>44851</v>
      </c>
      <c r="M484" t="s">
        <v>4148</v>
      </c>
      <c r="N484" s="179">
        <v>44854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44854</v>
      </c>
    </row>
    <row r="485" spans="1:30">
      <c r="A485" s="340">
        <f>COUNTA($E$3:E485)</f>
        <v>483</v>
      </c>
      <c r="B485" s="340" t="s">
        <v>4073</v>
      </c>
      <c r="C485" s="340" t="s">
        <v>41</v>
      </c>
      <c r="D485" s="340" t="s">
        <v>16</v>
      </c>
      <c r="E485" s="340" t="s">
        <v>1188</v>
      </c>
      <c r="F485" s="341">
        <v>44839</v>
      </c>
      <c r="G485" s="341"/>
      <c r="H485" s="341"/>
      <c r="I485" s="341" t="s">
        <v>3</v>
      </c>
      <c r="J485" s="340" t="s">
        <v>3132</v>
      </c>
      <c r="K485" s="340" t="s">
        <v>33</v>
      </c>
      <c r="L485" s="14">
        <v>44851</v>
      </c>
      <c r="M485" t="s">
        <v>4149</v>
      </c>
      <c r="N485" s="179">
        <v>44845</v>
      </c>
      <c r="O485" s="178"/>
      <c r="Q485" t="s">
        <v>129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44845</v>
      </c>
    </row>
    <row r="486" spans="1:30">
      <c r="A486" s="340">
        <f>COUNTA($E$3:E486)</f>
        <v>484</v>
      </c>
      <c r="B486" s="340" t="s">
        <v>4071</v>
      </c>
      <c r="C486" s="340" t="s">
        <v>3903</v>
      </c>
      <c r="D486" s="340" t="s">
        <v>56</v>
      </c>
      <c r="E486" s="340" t="s">
        <v>3904</v>
      </c>
      <c r="F486" s="341">
        <v>44839.811130439797</v>
      </c>
      <c r="G486" s="341"/>
      <c r="H486" s="341"/>
      <c r="I486" s="341" t="s">
        <v>3</v>
      </c>
      <c r="J486" s="340" t="s">
        <v>1643</v>
      </c>
      <c r="K486" s="340" t="s">
        <v>1295</v>
      </c>
      <c r="L486" s="14">
        <v>44851</v>
      </c>
      <c r="M486" t="s">
        <v>4148</v>
      </c>
      <c r="N486" s="179">
        <v>44846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44846</v>
      </c>
    </row>
    <row r="487" spans="1:30">
      <c r="A487" s="340">
        <f>COUNTA($E$3:E487)</f>
        <v>485</v>
      </c>
      <c r="B487" s="340" t="s">
        <v>3823</v>
      </c>
      <c r="C487" s="340" t="s">
        <v>40</v>
      </c>
      <c r="D487" s="340" t="s">
        <v>56</v>
      </c>
      <c r="E487" s="340" t="s">
        <v>3824</v>
      </c>
      <c r="F487" s="341">
        <v>44797</v>
      </c>
      <c r="G487" s="341"/>
      <c r="H487" s="341"/>
      <c r="I487" s="341" t="s">
        <v>3</v>
      </c>
      <c r="J487" s="340" t="s">
        <v>2153</v>
      </c>
      <c r="K487" s="340" t="s">
        <v>1274</v>
      </c>
      <c r="L487" s="14">
        <v>44851</v>
      </c>
      <c r="M487" t="s">
        <v>4146</v>
      </c>
      <c r="N487" s="179">
        <v>44861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44861</v>
      </c>
    </row>
    <row r="488" spans="1:30">
      <c r="A488" s="340">
        <f>COUNTA($E$3:E488)</f>
        <v>486</v>
      </c>
      <c r="B488" s="340" t="s">
        <v>4074</v>
      </c>
      <c r="C488" s="340" t="s">
        <v>37</v>
      </c>
      <c r="D488" s="340" t="s">
        <v>34</v>
      </c>
      <c r="E488" s="340" t="s">
        <v>3373</v>
      </c>
      <c r="F488" s="341">
        <v>44839</v>
      </c>
      <c r="G488" s="341"/>
      <c r="H488" s="341"/>
      <c r="I488" s="341" t="s">
        <v>2</v>
      </c>
      <c r="J488" s="340" t="s">
        <v>3572</v>
      </c>
      <c r="K488" s="340" t="s">
        <v>33</v>
      </c>
      <c r="L488" s="14">
        <v>44844</v>
      </c>
      <c r="N488" s="179">
        <v>44846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44846</v>
      </c>
    </row>
    <row r="489" spans="1:30">
      <c r="A489" s="340">
        <f>COUNTA($E$3:E489)</f>
        <v>487</v>
      </c>
      <c r="B489" s="340" t="s">
        <v>4064</v>
      </c>
      <c r="C489" s="340" t="s">
        <v>1168</v>
      </c>
      <c r="D489" s="340" t="s">
        <v>38</v>
      </c>
      <c r="E489" s="340" t="s">
        <v>2922</v>
      </c>
      <c r="F489" s="341">
        <v>44844</v>
      </c>
      <c r="G489" s="341"/>
      <c r="H489" s="341"/>
      <c r="I489" s="341" t="s">
        <v>2</v>
      </c>
      <c r="J489" s="340" t="s">
        <v>2923</v>
      </c>
      <c r="K489" s="340"/>
      <c r="L489" s="14">
        <v>44844</v>
      </c>
      <c r="M489" t="s">
        <v>4107</v>
      </c>
      <c r="N489" s="179">
        <v>44849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44849</v>
      </c>
    </row>
    <row r="490" spans="1:30">
      <c r="A490" s="340">
        <f>COUNTA($E$3:E490)</f>
        <v>488</v>
      </c>
      <c r="B490" s="340" t="s">
        <v>4055</v>
      </c>
      <c r="C490" s="340" t="s">
        <v>2422</v>
      </c>
      <c r="D490" s="340" t="s">
        <v>25</v>
      </c>
      <c r="E490" s="340" t="s">
        <v>2440</v>
      </c>
      <c r="F490" s="341">
        <v>44837</v>
      </c>
      <c r="G490" s="341"/>
      <c r="H490" s="341"/>
      <c r="I490" s="341" t="s">
        <v>2</v>
      </c>
      <c r="J490" s="340" t="s">
        <v>4056</v>
      </c>
      <c r="K490" s="340" t="s">
        <v>1294</v>
      </c>
      <c r="L490" s="14">
        <v>44844</v>
      </c>
      <c r="M490" t="s">
        <v>4100</v>
      </c>
      <c r="N490" s="179">
        <v>44844</v>
      </c>
      <c r="O490" s="178"/>
      <c r="Q490" t="s">
        <v>22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44844</v>
      </c>
    </row>
    <row r="491" spans="1:30">
      <c r="A491" s="340">
        <f>COUNTA($E$3:E491)</f>
        <v>489</v>
      </c>
      <c r="B491" s="340" t="s">
        <v>4028</v>
      </c>
      <c r="C491" s="340" t="s">
        <v>41</v>
      </c>
      <c r="D491" s="340" t="s">
        <v>1115</v>
      </c>
      <c r="E491" s="340" t="s">
        <v>4029</v>
      </c>
      <c r="F491" s="341">
        <v>44832.583428854203</v>
      </c>
      <c r="G491" s="341"/>
      <c r="H491" s="341"/>
      <c r="I491" s="341" t="s">
        <v>2</v>
      </c>
      <c r="J491" s="340" t="s">
        <v>4076</v>
      </c>
      <c r="K491" s="340"/>
      <c r="L491" s="14">
        <v>44844</v>
      </c>
      <c r="N491" s="179">
        <v>44844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44844</v>
      </c>
    </row>
    <row r="492" spans="1:30">
      <c r="A492" s="340">
        <f>COUNTA($E$3:E492)</f>
        <v>490</v>
      </c>
      <c r="B492" s="340" t="s">
        <v>3935</v>
      </c>
      <c r="C492" s="340" t="s">
        <v>41</v>
      </c>
      <c r="D492" s="340" t="s">
        <v>34</v>
      </c>
      <c r="E492" s="340" t="s">
        <v>3936</v>
      </c>
      <c r="F492" s="341">
        <v>44819</v>
      </c>
      <c r="G492" s="341"/>
      <c r="H492" s="341" t="s">
        <v>66</v>
      </c>
      <c r="I492" s="341" t="s">
        <v>2</v>
      </c>
      <c r="J492" s="340" t="s">
        <v>17</v>
      </c>
      <c r="K492" s="340" t="s">
        <v>287</v>
      </c>
      <c r="L492" s="14">
        <v>44844</v>
      </c>
      <c r="M492" t="s">
        <v>4099</v>
      </c>
      <c r="N492" s="179">
        <v>44833</v>
      </c>
      <c r="O492" s="178"/>
      <c r="Q492" t="s">
        <v>22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>
        <v>44833</v>
      </c>
    </row>
    <row r="493" spans="1:30">
      <c r="A493" s="340">
        <f>COUNTA($E$3:E493)</f>
        <v>491</v>
      </c>
      <c r="B493" s="340" t="s">
        <v>3714</v>
      </c>
      <c r="C493" s="340" t="s">
        <v>2933</v>
      </c>
      <c r="D493" s="340" t="s">
        <v>1145</v>
      </c>
      <c r="E493" s="340" t="s">
        <v>3715</v>
      </c>
      <c r="F493" s="341">
        <v>44777</v>
      </c>
      <c r="G493" s="341"/>
      <c r="H493" s="341">
        <v>44785</v>
      </c>
      <c r="I493" s="341" t="s">
        <v>2</v>
      </c>
      <c r="J493" s="340" t="s">
        <v>357</v>
      </c>
      <c r="K493" s="340" t="s">
        <v>1287</v>
      </c>
      <c r="L493" s="14">
        <v>44844</v>
      </c>
      <c r="M493" t="s">
        <v>4098</v>
      </c>
      <c r="N493" s="179"/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/>
    </row>
    <row r="494" spans="1:30">
      <c r="A494" s="340">
        <f>COUNTA($E$3:E494)</f>
        <v>492</v>
      </c>
      <c r="B494" s="340" t="s">
        <v>4070</v>
      </c>
      <c r="C494" s="340" t="s">
        <v>37</v>
      </c>
      <c r="D494" s="340" t="s">
        <v>30</v>
      </c>
      <c r="E494" s="340" t="s">
        <v>2558</v>
      </c>
      <c r="F494" s="341">
        <v>44839</v>
      </c>
      <c r="G494" s="341"/>
      <c r="H494" s="341"/>
      <c r="I494" s="341" t="s">
        <v>3</v>
      </c>
      <c r="J494" s="340" t="s">
        <v>1212</v>
      </c>
      <c r="K494" s="340" t="s">
        <v>33</v>
      </c>
      <c r="L494" s="14">
        <v>44844</v>
      </c>
      <c r="N494" s="179">
        <v>45158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/>
    </row>
    <row r="495" spans="1:30">
      <c r="A495" s="340">
        <f>COUNTA($E$3:E495)</f>
        <v>493</v>
      </c>
      <c r="B495" s="340" t="s">
        <v>4068</v>
      </c>
      <c r="C495" s="340" t="s">
        <v>3903</v>
      </c>
      <c r="D495" s="340" t="s">
        <v>1123</v>
      </c>
      <c r="E495" s="340" t="s">
        <v>4069</v>
      </c>
      <c r="F495" s="341">
        <v>44839</v>
      </c>
      <c r="G495" s="341">
        <v>44844</v>
      </c>
      <c r="H495" s="341">
        <v>44844</v>
      </c>
      <c r="I495" s="341" t="s">
        <v>3</v>
      </c>
      <c r="J495" s="340" t="s">
        <v>1643</v>
      </c>
      <c r="K495" s="340" t="s">
        <v>1295</v>
      </c>
      <c r="L495" s="14">
        <v>44844</v>
      </c>
      <c r="M495" t="s">
        <v>4102</v>
      </c>
      <c r="N495" s="179">
        <v>44844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44844</v>
      </c>
    </row>
    <row r="496" spans="1:30">
      <c r="A496" s="340">
        <f>COUNTA($E$3:E496)</f>
        <v>494</v>
      </c>
      <c r="B496" s="340" t="s">
        <v>4058</v>
      </c>
      <c r="C496" s="340" t="s">
        <v>4059</v>
      </c>
      <c r="D496" s="340" t="s">
        <v>30</v>
      </c>
      <c r="E496" s="340" t="s">
        <v>4060</v>
      </c>
      <c r="F496" s="341">
        <v>44838</v>
      </c>
      <c r="G496" s="341"/>
      <c r="H496" s="341"/>
      <c r="I496" s="341" t="s">
        <v>3</v>
      </c>
      <c r="J496" s="340" t="s">
        <v>3477</v>
      </c>
      <c r="K496" s="340" t="s">
        <v>1294</v>
      </c>
      <c r="L496" s="14">
        <v>44844</v>
      </c>
      <c r="M496" t="s">
        <v>4100</v>
      </c>
      <c r="N496" s="179">
        <v>44840</v>
      </c>
      <c r="O496" s="178"/>
      <c r="Q496" t="s">
        <v>22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44840</v>
      </c>
    </row>
    <row r="497" spans="1:30">
      <c r="A497" s="340">
        <f>COUNTA($E$3:E497)</f>
        <v>495</v>
      </c>
      <c r="B497" s="340" t="s">
        <v>3516</v>
      </c>
      <c r="C497" s="340" t="s">
        <v>2431</v>
      </c>
      <c r="D497" s="340" t="s">
        <v>19</v>
      </c>
      <c r="E497" s="340" t="s">
        <v>3523</v>
      </c>
      <c r="F497" s="341">
        <v>44754</v>
      </c>
      <c r="G497" s="341"/>
      <c r="H497" s="341">
        <v>44764</v>
      </c>
      <c r="I497" s="341" t="s">
        <v>3</v>
      </c>
      <c r="J497" s="340" t="s">
        <v>1720</v>
      </c>
      <c r="K497" s="340" t="s">
        <v>1287</v>
      </c>
      <c r="L497" s="14">
        <v>44844</v>
      </c>
      <c r="M497" t="s">
        <v>4097</v>
      </c>
      <c r="N497" s="179">
        <v>44841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44841</v>
      </c>
    </row>
    <row r="498" spans="1:30">
      <c r="A498" s="340">
        <f>COUNTA($E$3:E498)</f>
        <v>496</v>
      </c>
      <c r="B498" s="340" t="s">
        <v>3331</v>
      </c>
      <c r="C498" s="340" t="s">
        <v>3324</v>
      </c>
      <c r="D498" s="340" t="s">
        <v>27</v>
      </c>
      <c r="E498" s="340" t="s">
        <v>3332</v>
      </c>
      <c r="F498" s="341">
        <v>44735</v>
      </c>
      <c r="G498" s="341"/>
      <c r="H498" s="341">
        <v>44741</v>
      </c>
      <c r="I498" s="341" t="s">
        <v>4</v>
      </c>
      <c r="J498" s="340" t="s">
        <v>1093</v>
      </c>
      <c r="K498" s="340" t="s">
        <v>287</v>
      </c>
      <c r="L498" s="14">
        <v>44844</v>
      </c>
      <c r="M498" t="s">
        <v>4096</v>
      </c>
      <c r="N498" s="179">
        <v>44827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44827</v>
      </c>
    </row>
    <row r="499" spans="1:30">
      <c r="A499" s="340">
        <f>COUNTA($E$3:E499)</f>
        <v>497</v>
      </c>
      <c r="B499" s="340" t="s">
        <v>3329</v>
      </c>
      <c r="C499" s="340" t="s">
        <v>3324</v>
      </c>
      <c r="D499" s="340" t="s">
        <v>45</v>
      </c>
      <c r="E499" s="340" t="s">
        <v>3330</v>
      </c>
      <c r="F499" s="341">
        <v>44735</v>
      </c>
      <c r="G499" s="341">
        <v>44783</v>
      </c>
      <c r="H499" s="341">
        <v>44741</v>
      </c>
      <c r="I499" s="341" t="s">
        <v>4</v>
      </c>
      <c r="J499" s="340" t="s">
        <v>3344</v>
      </c>
      <c r="K499" s="340" t="s">
        <v>24</v>
      </c>
      <c r="L499" s="14">
        <v>44844</v>
      </c>
      <c r="M499" t="s">
        <v>4095</v>
      </c>
      <c r="N499" s="179">
        <v>44827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44827</v>
      </c>
    </row>
    <row r="500" spans="1:30">
      <c r="A500" s="340">
        <f>COUNTA($E$3:E500)</f>
        <v>498</v>
      </c>
      <c r="B500" s="340" t="s">
        <v>4006</v>
      </c>
      <c r="C500" s="340" t="s">
        <v>37</v>
      </c>
      <c r="D500" s="340" t="s">
        <v>30</v>
      </c>
      <c r="E500" s="340" t="s">
        <v>3377</v>
      </c>
      <c r="F500" s="341">
        <v>44827</v>
      </c>
      <c r="G500" s="341"/>
      <c r="H500" s="341"/>
      <c r="I500" s="341" t="s">
        <v>2</v>
      </c>
      <c r="J500" s="340" t="s">
        <v>4007</v>
      </c>
      <c r="K500" s="340" t="s">
        <v>1296</v>
      </c>
      <c r="L500" s="14">
        <v>44837</v>
      </c>
      <c r="M500" t="s">
        <v>4050</v>
      </c>
      <c r="N500" s="179">
        <v>44907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44907</v>
      </c>
    </row>
    <row r="501" spans="1:30">
      <c r="A501" s="340">
        <f>COUNTA($E$3:E501)</f>
        <v>499</v>
      </c>
      <c r="B501" s="340" t="s">
        <v>3992</v>
      </c>
      <c r="C501" s="340" t="s">
        <v>37</v>
      </c>
      <c r="D501" s="340" t="s">
        <v>30</v>
      </c>
      <c r="E501" s="340" t="s">
        <v>3378</v>
      </c>
      <c r="F501" s="341">
        <v>44826</v>
      </c>
      <c r="G501" s="341"/>
      <c r="H501" s="341"/>
      <c r="I501" s="341" t="s">
        <v>2</v>
      </c>
      <c r="J501" s="340" t="s">
        <v>1671</v>
      </c>
      <c r="K501" s="340" t="s">
        <v>1287</v>
      </c>
      <c r="L501" s="14">
        <v>44837</v>
      </c>
      <c r="M501" t="s">
        <v>4048</v>
      </c>
      <c r="N501" s="179">
        <v>44967</v>
      </c>
      <c r="O501" s="178"/>
      <c r="Q501" t="s">
        <v>129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44967</v>
      </c>
    </row>
    <row r="502" spans="1:30">
      <c r="A502" s="340">
        <f>COUNTA($E$3:E502)</f>
        <v>500</v>
      </c>
      <c r="B502" s="340" t="s">
        <v>3902</v>
      </c>
      <c r="C502" s="340" t="s">
        <v>3903</v>
      </c>
      <c r="D502" s="340" t="s">
        <v>56</v>
      </c>
      <c r="E502" s="340" t="s">
        <v>3904</v>
      </c>
      <c r="F502" s="341">
        <v>44812</v>
      </c>
      <c r="G502" s="341"/>
      <c r="H502" s="341" t="s">
        <v>55</v>
      </c>
      <c r="I502" s="341" t="s">
        <v>2</v>
      </c>
      <c r="J502" s="340" t="s">
        <v>3938</v>
      </c>
      <c r="K502" s="340"/>
      <c r="L502" s="14">
        <v>44837</v>
      </c>
      <c r="M502" t="s">
        <v>4049</v>
      </c>
      <c r="N502" s="179">
        <v>44844</v>
      </c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>
        <v>44844</v>
      </c>
    </row>
    <row r="503" spans="1:30">
      <c r="A503" s="340">
        <f>COUNTA($E$3:E503)</f>
        <v>501</v>
      </c>
      <c r="B503" s="340" t="s">
        <v>3889</v>
      </c>
      <c r="C503" s="340" t="s">
        <v>1119</v>
      </c>
      <c r="D503" s="340" t="s">
        <v>64</v>
      </c>
      <c r="E503" s="340" t="s">
        <v>3684</v>
      </c>
      <c r="F503" s="341">
        <v>44810</v>
      </c>
      <c r="G503" s="341"/>
      <c r="H503" s="341">
        <v>44816</v>
      </c>
      <c r="I503" s="341" t="s">
        <v>2</v>
      </c>
      <c r="J503" s="340" t="s">
        <v>1747</v>
      </c>
      <c r="K503" s="340" t="s">
        <v>1295</v>
      </c>
      <c r="L503" s="14">
        <v>44837</v>
      </c>
      <c r="M503" t="s">
        <v>4047</v>
      </c>
      <c r="N503" s="179">
        <v>44832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>
        <v>44832</v>
      </c>
    </row>
    <row r="504" spans="1:30">
      <c r="A504" s="340">
        <f>COUNTA($E$3:E504)</f>
        <v>502</v>
      </c>
      <c r="B504" s="340" t="s">
        <v>3553</v>
      </c>
      <c r="C504" s="340" t="s">
        <v>3466</v>
      </c>
      <c r="D504" s="340" t="s">
        <v>3538</v>
      </c>
      <c r="E504" s="340" t="s">
        <v>3554</v>
      </c>
      <c r="F504" s="341">
        <v>44762</v>
      </c>
      <c r="G504" s="341"/>
      <c r="H504" s="341">
        <v>44769</v>
      </c>
      <c r="I504" s="341" t="s">
        <v>2</v>
      </c>
      <c r="J504" s="340" t="s">
        <v>1934</v>
      </c>
      <c r="K504" s="340"/>
      <c r="L504" s="14">
        <v>44837</v>
      </c>
      <c r="M504" t="s">
        <v>4054</v>
      </c>
      <c r="N504" s="179">
        <v>44762</v>
      </c>
      <c r="O504" s="178"/>
      <c r="Q504" t="s">
        <v>22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44762</v>
      </c>
    </row>
    <row r="505" spans="1:30">
      <c r="A505" s="340">
        <f>COUNTA($E$3:E505)</f>
        <v>503</v>
      </c>
      <c r="B505" s="340" t="s">
        <v>4040</v>
      </c>
      <c r="C505" s="340" t="s">
        <v>3828</v>
      </c>
      <c r="D505" s="340" t="s">
        <v>19</v>
      </c>
      <c r="E505" s="340" t="s">
        <v>3696</v>
      </c>
      <c r="F505" s="341">
        <v>44833</v>
      </c>
      <c r="G505" s="341"/>
      <c r="H505" s="341"/>
      <c r="I505" s="341" t="s">
        <v>3</v>
      </c>
      <c r="J505" s="340" t="s">
        <v>1212</v>
      </c>
      <c r="K505" s="340"/>
      <c r="L505" s="14">
        <v>44837</v>
      </c>
      <c r="M505" t="s">
        <v>4052</v>
      </c>
      <c r="N505" s="179">
        <v>44833</v>
      </c>
      <c r="O505" s="178"/>
      <c r="Q505" t="s">
        <v>129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40">
        <f>COUNTA($E$3:E506)</f>
        <v>504</v>
      </c>
      <c r="B506" s="340" t="s">
        <v>4039</v>
      </c>
      <c r="C506" s="340" t="s">
        <v>3828</v>
      </c>
      <c r="D506" s="340" t="s">
        <v>104</v>
      </c>
      <c r="E506" s="340" t="s">
        <v>1266</v>
      </c>
      <c r="F506" s="341">
        <v>44833</v>
      </c>
      <c r="G506" s="341"/>
      <c r="H506" s="341"/>
      <c r="I506" s="341" t="s">
        <v>3</v>
      </c>
      <c r="J506" s="340" t="s">
        <v>1212</v>
      </c>
      <c r="K506" s="340"/>
      <c r="L506" s="14">
        <v>44837</v>
      </c>
      <c r="M506" t="s">
        <v>4052</v>
      </c>
      <c r="N506" s="179">
        <v>44833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44833</v>
      </c>
    </row>
    <row r="507" spans="1:30">
      <c r="A507" s="340">
        <f>COUNTA($E$3:E507)</f>
        <v>505</v>
      </c>
      <c r="B507" s="340" t="s">
        <v>4022</v>
      </c>
      <c r="C507" s="340" t="s">
        <v>37</v>
      </c>
      <c r="D507" s="340" t="s">
        <v>30</v>
      </c>
      <c r="E507" s="340" t="s">
        <v>4023</v>
      </c>
      <c r="F507" s="341">
        <v>44832.467793645803</v>
      </c>
      <c r="G507" s="341"/>
      <c r="H507" s="341"/>
      <c r="I507" s="341" t="s">
        <v>3</v>
      </c>
      <c r="J507" s="340" t="s">
        <v>2480</v>
      </c>
      <c r="K507" s="340"/>
      <c r="L507" s="14">
        <v>44837</v>
      </c>
      <c r="M507" t="s">
        <v>4049</v>
      </c>
      <c r="N507" s="179">
        <v>44844</v>
      </c>
      <c r="O507" s="178"/>
      <c r="Q507" t="s">
        <v>129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44844</v>
      </c>
    </row>
    <row r="508" spans="1:30">
      <c r="A508" s="340">
        <f>COUNTA($E$3:E508)</f>
        <v>506</v>
      </c>
      <c r="B508" s="340" t="s">
        <v>4019</v>
      </c>
      <c r="C508" s="340" t="s">
        <v>41</v>
      </c>
      <c r="D508" s="340" t="s">
        <v>1139</v>
      </c>
      <c r="E508" s="340" t="s">
        <v>1140</v>
      </c>
      <c r="F508" s="341">
        <v>44831.782583090302</v>
      </c>
      <c r="G508" s="341"/>
      <c r="H508" s="341"/>
      <c r="I508" s="341" t="s">
        <v>3</v>
      </c>
      <c r="J508" s="340" t="s">
        <v>1485</v>
      </c>
      <c r="K508" s="340" t="s">
        <v>1295</v>
      </c>
      <c r="L508" s="14">
        <v>44837</v>
      </c>
      <c r="M508" t="s">
        <v>4043</v>
      </c>
      <c r="N508" s="179">
        <v>44831</v>
      </c>
      <c r="O508" s="178"/>
      <c r="Q508" t="s">
        <v>129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44831</v>
      </c>
    </row>
    <row r="509" spans="1:30">
      <c r="A509" s="340">
        <f>COUNTA($E$3:E509)</f>
        <v>507</v>
      </c>
      <c r="B509" s="340" t="s">
        <v>4018</v>
      </c>
      <c r="C509" s="340" t="s">
        <v>40</v>
      </c>
      <c r="D509" s="340" t="s">
        <v>51</v>
      </c>
      <c r="E509" s="340" t="s">
        <v>1694</v>
      </c>
      <c r="F509" s="341">
        <v>44831.782280983804</v>
      </c>
      <c r="G509" s="341"/>
      <c r="H509" s="341"/>
      <c r="I509" s="341" t="s">
        <v>3</v>
      </c>
      <c r="J509" s="340" t="s">
        <v>1485</v>
      </c>
      <c r="K509" s="340" t="s">
        <v>1295</v>
      </c>
      <c r="L509" s="14">
        <v>44837</v>
      </c>
      <c r="M509" t="s">
        <v>4043</v>
      </c>
      <c r="N509" s="179">
        <v>44831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44831</v>
      </c>
    </row>
    <row r="510" spans="1:30">
      <c r="A510" s="340">
        <f>COUNTA($E$3:E510)</f>
        <v>508</v>
      </c>
      <c r="B510" s="340" t="s">
        <v>4017</v>
      </c>
      <c r="C510" s="340" t="s">
        <v>41</v>
      </c>
      <c r="D510" s="340" t="s">
        <v>51</v>
      </c>
      <c r="E510" s="340" t="s">
        <v>3024</v>
      </c>
      <c r="F510" s="341">
        <v>44831</v>
      </c>
      <c r="G510" s="341"/>
      <c r="H510" s="341"/>
      <c r="I510" s="341" t="s">
        <v>3</v>
      </c>
      <c r="J510" s="340" t="s">
        <v>1485</v>
      </c>
      <c r="K510" s="340"/>
      <c r="L510" s="14">
        <v>44837</v>
      </c>
      <c r="M510" t="s">
        <v>4051</v>
      </c>
      <c r="N510" s="179">
        <v>44831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44831</v>
      </c>
    </row>
    <row r="511" spans="1:30">
      <c r="A511" s="340">
        <f>COUNTA($E$3:E511)</f>
        <v>509</v>
      </c>
      <c r="B511" s="340" t="s">
        <v>3993</v>
      </c>
      <c r="C511" s="340" t="s">
        <v>3296</v>
      </c>
      <c r="D511" s="340" t="s">
        <v>36</v>
      </c>
      <c r="E511" s="340" t="s">
        <v>3525</v>
      </c>
      <c r="F511" s="341">
        <v>44826.541712812497</v>
      </c>
      <c r="G511" s="341"/>
      <c r="H511" s="341"/>
      <c r="I511" s="341" t="s">
        <v>3</v>
      </c>
      <c r="J511" s="340" t="s">
        <v>17</v>
      </c>
      <c r="K511" s="340" t="s">
        <v>1287</v>
      </c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>
      <c r="A512" s="340">
        <f>COUNTA($E$3:E512)</f>
        <v>510</v>
      </c>
      <c r="B512" s="340" t="s">
        <v>3929</v>
      </c>
      <c r="C512" s="340" t="s">
        <v>41</v>
      </c>
      <c r="D512" s="340" t="s">
        <v>34</v>
      </c>
      <c r="E512" s="340" t="s">
        <v>1045</v>
      </c>
      <c r="F512" s="341">
        <v>44820</v>
      </c>
      <c r="G512" s="341"/>
      <c r="H512" s="341" t="s">
        <v>66</v>
      </c>
      <c r="I512" s="341" t="s">
        <v>3</v>
      </c>
      <c r="J512" s="340" t="s">
        <v>1720</v>
      </c>
      <c r="K512" s="340" t="s">
        <v>18</v>
      </c>
      <c r="L512" s="14">
        <v>44837</v>
      </c>
      <c r="M512" t="s">
        <v>4014</v>
      </c>
      <c r="N512" s="179">
        <v>44841</v>
      </c>
      <c r="O512" s="178"/>
      <c r="Q512" t="s">
        <v>22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44841</v>
      </c>
    </row>
    <row r="513" spans="1:30">
      <c r="A513" s="340">
        <f>COUNTA($E$3:E513)</f>
        <v>511</v>
      </c>
      <c r="B513" s="340" t="s">
        <v>3442</v>
      </c>
      <c r="C513" s="340" t="s">
        <v>2422</v>
      </c>
      <c r="D513" s="340" t="s">
        <v>45</v>
      </c>
      <c r="E513" s="340" t="s">
        <v>3443</v>
      </c>
      <c r="F513" s="341">
        <v>44743</v>
      </c>
      <c r="G513" s="341">
        <v>44830</v>
      </c>
      <c r="H513" s="341">
        <v>44755</v>
      </c>
      <c r="I513" s="341" t="s">
        <v>4</v>
      </c>
      <c r="J513" s="340" t="s">
        <v>3444</v>
      </c>
      <c r="K513" s="340" t="s">
        <v>287</v>
      </c>
      <c r="L513" s="14">
        <v>44837</v>
      </c>
      <c r="M513" t="s">
        <v>4053</v>
      </c>
      <c r="N513" s="179">
        <v>44844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44844</v>
      </c>
    </row>
    <row r="514" spans="1:30">
      <c r="A514" s="340">
        <f>COUNTA($E$3:E514)</f>
        <v>512</v>
      </c>
      <c r="B514" s="340" t="s">
        <v>3924</v>
      </c>
      <c r="C514" s="340" t="s">
        <v>41</v>
      </c>
      <c r="D514" s="340" t="s">
        <v>16</v>
      </c>
      <c r="E514" s="340" t="s">
        <v>1188</v>
      </c>
      <c r="F514" s="341">
        <v>44817.452291666668</v>
      </c>
      <c r="G514" s="341"/>
      <c r="H514" s="341"/>
      <c r="I514" s="341" t="s">
        <v>1110</v>
      </c>
      <c r="J514" s="340"/>
      <c r="K514" s="340"/>
      <c r="L514" s="14">
        <v>44830</v>
      </c>
      <c r="M514" t="s">
        <v>3942</v>
      </c>
      <c r="N514" s="179">
        <v>44827</v>
      </c>
      <c r="O514" s="178"/>
      <c r="Q514" t="s">
        <v>22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44827</v>
      </c>
    </row>
    <row r="515" spans="1:30">
      <c r="A515" s="340">
        <f>COUNTA($E$3:E515)</f>
        <v>513</v>
      </c>
      <c r="B515" s="340" t="s">
        <v>4003</v>
      </c>
      <c r="C515" s="340" t="s">
        <v>37</v>
      </c>
      <c r="D515" s="340" t="s">
        <v>30</v>
      </c>
      <c r="E515" s="340" t="s">
        <v>3368</v>
      </c>
      <c r="F515" s="341">
        <v>44826</v>
      </c>
      <c r="G515" s="341"/>
      <c r="H515" s="341"/>
      <c r="I515" s="341" t="s">
        <v>2</v>
      </c>
      <c r="J515" s="340" t="s">
        <v>4004</v>
      </c>
      <c r="K515" s="340" t="s">
        <v>33</v>
      </c>
      <c r="L515" s="14">
        <v>44830</v>
      </c>
      <c r="N515" s="179">
        <v>45051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45051</v>
      </c>
    </row>
    <row r="516" spans="1:30">
      <c r="A516" s="340">
        <f>COUNTA($E$3:E516)</f>
        <v>514</v>
      </c>
      <c r="B516" s="340" t="s">
        <v>3926</v>
      </c>
      <c r="C516" s="340" t="s">
        <v>21</v>
      </c>
      <c r="D516" s="340" t="s">
        <v>23</v>
      </c>
      <c r="E516" s="340" t="s">
        <v>1925</v>
      </c>
      <c r="F516" s="341">
        <v>44819</v>
      </c>
      <c r="G516" s="341"/>
      <c r="H516" s="341"/>
      <c r="I516" s="341" t="s">
        <v>2</v>
      </c>
      <c r="J516" s="340" t="s">
        <v>2063</v>
      </c>
      <c r="K516" s="340" t="s">
        <v>287</v>
      </c>
      <c r="L516" s="14">
        <v>44830</v>
      </c>
      <c r="M516" t="s">
        <v>3999</v>
      </c>
      <c r="N516" s="179">
        <v>44988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44988</v>
      </c>
    </row>
    <row r="517" spans="1:30">
      <c r="A517" s="340">
        <f>COUNTA($E$3:E517)</f>
        <v>515</v>
      </c>
      <c r="B517" s="340" t="s">
        <v>3923</v>
      </c>
      <c r="C517" s="340" t="s">
        <v>65</v>
      </c>
      <c r="D517" s="340" t="s">
        <v>1103</v>
      </c>
      <c r="E517" s="340" t="s">
        <v>2420</v>
      </c>
      <c r="F517" s="341">
        <v>44817</v>
      </c>
      <c r="G517" s="341"/>
      <c r="H517" s="341"/>
      <c r="I517" s="341" t="s">
        <v>2</v>
      </c>
      <c r="J517" s="340" t="s">
        <v>1485</v>
      </c>
      <c r="K517" s="340"/>
      <c r="L517" s="14">
        <v>44830</v>
      </c>
      <c r="M517" t="s">
        <v>3947</v>
      </c>
      <c r="N517" s="179">
        <v>44827</v>
      </c>
      <c r="O517" s="178"/>
      <c r="Q517" t="s">
        <v>22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44827</v>
      </c>
    </row>
    <row r="518" spans="1:30">
      <c r="A518" s="340">
        <f>COUNTA($E$3:E518)</f>
        <v>516</v>
      </c>
      <c r="B518" s="340" t="s">
        <v>3986</v>
      </c>
      <c r="C518" s="340" t="s">
        <v>44</v>
      </c>
      <c r="D518" s="340" t="s">
        <v>45</v>
      </c>
      <c r="E518" s="340" t="s">
        <v>173</v>
      </c>
      <c r="F518" s="341">
        <v>44826</v>
      </c>
      <c r="G518" s="341"/>
      <c r="H518" s="341" t="s">
        <v>66</v>
      </c>
      <c r="I518" s="341" t="s">
        <v>3</v>
      </c>
      <c r="J518" s="340" t="s">
        <v>1639</v>
      </c>
      <c r="K518" s="340" t="s">
        <v>125</v>
      </c>
      <c r="L518" s="14">
        <v>44830</v>
      </c>
      <c r="M518" t="s">
        <v>4010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>
      <c r="A519" s="340">
        <f>COUNTA($E$3:E519)</f>
        <v>517</v>
      </c>
      <c r="B519" s="340" t="s">
        <v>3982</v>
      </c>
      <c r="C519" s="340" t="s">
        <v>1752</v>
      </c>
      <c r="D519" s="340" t="s">
        <v>49</v>
      </c>
      <c r="E519" s="340" t="s">
        <v>1753</v>
      </c>
      <c r="F519" s="341">
        <v>44824</v>
      </c>
      <c r="G519" s="341"/>
      <c r="H519" s="341"/>
      <c r="I519" s="341" t="s">
        <v>3</v>
      </c>
      <c r="J519" s="340" t="s">
        <v>1652</v>
      </c>
      <c r="K519" s="340" t="s">
        <v>20</v>
      </c>
      <c r="L519" s="14">
        <v>44830</v>
      </c>
      <c r="M519" t="s">
        <v>4001</v>
      </c>
      <c r="N519" s="179">
        <v>44827</v>
      </c>
      <c r="O519" s="178"/>
      <c r="Q519" t="s">
        <v>22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44827</v>
      </c>
    </row>
    <row r="520" spans="1:30">
      <c r="A520" s="340">
        <f>COUNTA($E$3:E520)</f>
        <v>518</v>
      </c>
      <c r="B520" s="340" t="s">
        <v>3970</v>
      </c>
      <c r="C520" s="340" t="s">
        <v>2726</v>
      </c>
      <c r="D520" s="340" t="s">
        <v>56</v>
      </c>
      <c r="E520" s="340" t="s">
        <v>3971</v>
      </c>
      <c r="F520" s="341">
        <v>44823</v>
      </c>
      <c r="G520" s="341"/>
      <c r="H520" s="341"/>
      <c r="I520" s="341" t="s">
        <v>3</v>
      </c>
      <c r="J520" s="340" t="s">
        <v>1485</v>
      </c>
      <c r="K520" s="340" t="s">
        <v>18</v>
      </c>
      <c r="L520" s="14">
        <v>44830</v>
      </c>
      <c r="M520" t="s">
        <v>4009</v>
      </c>
      <c r="N520" s="179">
        <v>44824</v>
      </c>
      <c r="O520" s="178"/>
      <c r="Q520" t="s">
        <v>22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44824</v>
      </c>
    </row>
    <row r="521" spans="1:30">
      <c r="A521" s="340">
        <f>COUNTA($E$3:E521)</f>
        <v>519</v>
      </c>
      <c r="B521" s="340" t="s">
        <v>3932</v>
      </c>
      <c r="C521" s="340" t="s">
        <v>41</v>
      </c>
      <c r="D521" s="340" t="s">
        <v>1201</v>
      </c>
      <c r="E521" s="340" t="s">
        <v>2296</v>
      </c>
      <c r="F521" s="341">
        <v>44818.693276099497</v>
      </c>
      <c r="G521" s="341"/>
      <c r="H521" s="341"/>
      <c r="I521" s="341" t="s">
        <v>3</v>
      </c>
      <c r="J521" s="340" t="s">
        <v>1666</v>
      </c>
      <c r="K521" s="340" t="s">
        <v>1294</v>
      </c>
      <c r="L521" s="14">
        <v>44830</v>
      </c>
      <c r="M521" t="s">
        <v>4000</v>
      </c>
      <c r="N521" s="179">
        <v>44825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44825</v>
      </c>
    </row>
    <row r="522" spans="1:30">
      <c r="A522" s="340">
        <f>COUNTA($E$3:E522)</f>
        <v>520</v>
      </c>
      <c r="B522" s="340" t="s">
        <v>3914</v>
      </c>
      <c r="C522" s="340" t="s">
        <v>1279</v>
      </c>
      <c r="D522" s="340" t="s">
        <v>16</v>
      </c>
      <c r="E522" s="340" t="s">
        <v>2772</v>
      </c>
      <c r="F522" s="341">
        <v>44813.515660543999</v>
      </c>
      <c r="G522" s="341"/>
      <c r="H522" s="341"/>
      <c r="I522" s="341" t="s">
        <v>3</v>
      </c>
      <c r="J522" s="340" t="s">
        <v>1485</v>
      </c>
      <c r="K522" s="340" t="s">
        <v>1295</v>
      </c>
      <c r="L522" s="14">
        <v>44830</v>
      </c>
      <c r="M522" t="s">
        <v>4008</v>
      </c>
      <c r="N522" s="173">
        <v>44824</v>
      </c>
      <c r="O522" s="178"/>
      <c r="Q522" t="s">
        <v>129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44824</v>
      </c>
    </row>
    <row r="523" spans="1:30">
      <c r="A523" s="340">
        <f>COUNTA($E$3:E523)</f>
        <v>521</v>
      </c>
      <c r="B523" s="340" t="s">
        <v>3872</v>
      </c>
      <c r="C523" s="340" t="s">
        <v>21</v>
      </c>
      <c r="D523" s="340" t="s">
        <v>34</v>
      </c>
      <c r="E523" s="340" t="s">
        <v>3873</v>
      </c>
      <c r="F523" s="341">
        <v>44804</v>
      </c>
      <c r="G523" s="341"/>
      <c r="H523" s="341" t="s">
        <v>55</v>
      </c>
      <c r="I523" s="341" t="s">
        <v>3</v>
      </c>
      <c r="J523" s="340" t="s">
        <v>514</v>
      </c>
      <c r="K523" s="340" t="s">
        <v>1295</v>
      </c>
      <c r="L523" s="14">
        <v>44830</v>
      </c>
      <c r="M523" t="s">
        <v>3998</v>
      </c>
      <c r="N523" s="173">
        <v>44834</v>
      </c>
      <c r="O523" s="178"/>
      <c r="Q523" t="s">
        <v>129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44834</v>
      </c>
    </row>
    <row r="524" spans="1:30">
      <c r="A524" s="340">
        <f>COUNTA($E$3:E524)</f>
        <v>522</v>
      </c>
      <c r="B524" s="340" t="s">
        <v>3547</v>
      </c>
      <c r="C524" s="340" t="s">
        <v>3548</v>
      </c>
      <c r="D524" s="340" t="s">
        <v>52</v>
      </c>
      <c r="E524" s="340" t="s">
        <v>3549</v>
      </c>
      <c r="F524" s="341">
        <v>44760</v>
      </c>
      <c r="G524" s="341"/>
      <c r="H524" s="341">
        <v>44764</v>
      </c>
      <c r="I524" s="341" t="s">
        <v>4</v>
      </c>
      <c r="J524" s="340" t="s">
        <v>3550</v>
      </c>
      <c r="K524" s="340" t="s">
        <v>287</v>
      </c>
      <c r="L524" s="14">
        <v>44830</v>
      </c>
      <c r="M524" t="s">
        <v>3997</v>
      </c>
      <c r="N524" s="173">
        <v>44830</v>
      </c>
      <c r="O524" s="178"/>
      <c r="Q524" t="s">
        <v>22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44830</v>
      </c>
    </row>
    <row r="525" spans="1:30">
      <c r="A525" s="340">
        <f>COUNTA($E$3:E525)</f>
        <v>523</v>
      </c>
      <c r="B525" s="340" t="s">
        <v>3519</v>
      </c>
      <c r="C525" s="340" t="s">
        <v>3520</v>
      </c>
      <c r="D525" s="340" t="s">
        <v>31</v>
      </c>
      <c r="E525" s="340" t="s">
        <v>3521</v>
      </c>
      <c r="F525" s="341">
        <v>44756</v>
      </c>
      <c r="G525" s="341"/>
      <c r="H525" s="341">
        <v>44764</v>
      </c>
      <c r="I525" s="341" t="s">
        <v>2</v>
      </c>
      <c r="J525" s="340" t="s">
        <v>3560</v>
      </c>
      <c r="K525" s="340" t="s">
        <v>24</v>
      </c>
      <c r="L525" s="14">
        <v>44824</v>
      </c>
      <c r="M525" t="s">
        <v>3940</v>
      </c>
      <c r="N525" s="173">
        <v>44802</v>
      </c>
      <c r="O525" s="178"/>
      <c r="Q525" t="s">
        <v>22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44802</v>
      </c>
    </row>
    <row r="526" spans="1:30">
      <c r="A526" s="340">
        <f>COUNTA($E$3:E526)</f>
        <v>524</v>
      </c>
      <c r="B526" s="340" t="s">
        <v>3234</v>
      </c>
      <c r="C526" s="340" t="s">
        <v>299</v>
      </c>
      <c r="D526" s="340" t="s">
        <v>16</v>
      </c>
      <c r="E526" s="340" t="s">
        <v>1049</v>
      </c>
      <c r="F526" s="341">
        <v>44721</v>
      </c>
      <c r="G526" s="341"/>
      <c r="H526" s="341">
        <v>42908</v>
      </c>
      <c r="I526" s="341" t="s">
        <v>2</v>
      </c>
      <c r="J526" s="340" t="s">
        <v>3267</v>
      </c>
      <c r="K526" s="340" t="s">
        <v>1294</v>
      </c>
      <c r="L526" s="14">
        <v>44823</v>
      </c>
      <c r="M526" t="s">
        <v>3939</v>
      </c>
      <c r="N526" s="173">
        <v>44811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44811</v>
      </c>
    </row>
    <row r="527" spans="1:30">
      <c r="A527" s="340">
        <f>COUNTA($E$3:E527)</f>
        <v>525</v>
      </c>
      <c r="B527" s="340" t="s">
        <v>3933</v>
      </c>
      <c r="C527" s="340" t="s">
        <v>2370</v>
      </c>
      <c r="D527" s="340" t="s">
        <v>49</v>
      </c>
      <c r="E527" s="340" t="s">
        <v>1175</v>
      </c>
      <c r="F527" s="341">
        <v>44819.725578078702</v>
      </c>
      <c r="G527" s="341"/>
      <c r="H527" s="341"/>
      <c r="I527" s="341" t="s">
        <v>3</v>
      </c>
      <c r="J527" s="340" t="s">
        <v>3946</v>
      </c>
      <c r="K527" s="340" t="s">
        <v>20</v>
      </c>
      <c r="L527" s="14">
        <v>44823</v>
      </c>
      <c r="M527" t="s">
        <v>3943</v>
      </c>
      <c r="N527" s="173">
        <v>44819</v>
      </c>
      <c r="O527" s="178"/>
      <c r="Q527" t="s">
        <v>22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44819</v>
      </c>
    </row>
    <row r="528" spans="1:30">
      <c r="A528" s="340">
        <f>COUNTA($E$3:E528)</f>
        <v>526</v>
      </c>
      <c r="B528" s="340" t="s">
        <v>3928</v>
      </c>
      <c r="C528" s="340" t="s">
        <v>41</v>
      </c>
      <c r="D528" s="340" t="s">
        <v>30</v>
      </c>
      <c r="E528" s="340" t="s">
        <v>1722</v>
      </c>
      <c r="F528" s="341">
        <v>44819</v>
      </c>
      <c r="G528" s="341"/>
      <c r="H528" s="341"/>
      <c r="I528" s="341" t="s">
        <v>3</v>
      </c>
      <c r="J528" s="340" t="s">
        <v>1649</v>
      </c>
      <c r="K528" s="340" t="s">
        <v>1287</v>
      </c>
      <c r="L528" s="14">
        <v>44823</v>
      </c>
      <c r="M528" t="s">
        <v>3947</v>
      </c>
      <c r="O528" s="178"/>
      <c r="Q528" t="s">
        <v>129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/>
    </row>
    <row r="529" spans="1:30">
      <c r="A529" s="340">
        <f>COUNTA($E$3:E529)</f>
        <v>527</v>
      </c>
      <c r="B529" s="340" t="s">
        <v>3927</v>
      </c>
      <c r="C529" s="340" t="s">
        <v>57</v>
      </c>
      <c r="D529" s="340" t="s">
        <v>1103</v>
      </c>
      <c r="E529" s="340" t="s">
        <v>2899</v>
      </c>
      <c r="F529" s="341">
        <v>44818</v>
      </c>
      <c r="G529" s="341"/>
      <c r="H529" s="341"/>
      <c r="I529" s="341" t="s">
        <v>3</v>
      </c>
      <c r="J529" s="340" t="s">
        <v>1666</v>
      </c>
      <c r="K529" s="340" t="s">
        <v>287</v>
      </c>
      <c r="L529" s="14">
        <v>44823</v>
      </c>
      <c r="M529" t="s">
        <v>3944</v>
      </c>
      <c r="N529" s="173">
        <v>44820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44820</v>
      </c>
    </row>
    <row r="530" spans="1:30">
      <c r="A530" s="340">
        <f>COUNTA($E$3:E530)</f>
        <v>528</v>
      </c>
      <c r="B530" s="340" t="s">
        <v>3925</v>
      </c>
      <c r="C530" s="340" t="s">
        <v>21</v>
      </c>
      <c r="D530" s="340" t="s">
        <v>34</v>
      </c>
      <c r="E530" s="340" t="s">
        <v>1784</v>
      </c>
      <c r="F530" s="341">
        <v>44819</v>
      </c>
      <c r="G530" s="341"/>
      <c r="H530" s="341"/>
      <c r="I530" s="341" t="s">
        <v>3</v>
      </c>
      <c r="J530" s="340" t="s">
        <v>1643</v>
      </c>
      <c r="K530" s="340" t="s">
        <v>2032</v>
      </c>
      <c r="L530" s="14">
        <v>44823</v>
      </c>
      <c r="M530" t="s">
        <v>3943</v>
      </c>
      <c r="N530" s="173">
        <v>45021</v>
      </c>
      <c r="O530" s="178"/>
      <c r="Q530" t="s">
        <v>129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45021</v>
      </c>
    </row>
    <row r="531" spans="1:30">
      <c r="A531" s="340">
        <f>COUNTA($E$3:E531)</f>
        <v>529</v>
      </c>
      <c r="B531" s="340" t="s">
        <v>3901</v>
      </c>
      <c r="C531" s="340" t="s">
        <v>37</v>
      </c>
      <c r="D531" s="340" t="s">
        <v>30</v>
      </c>
      <c r="E531" s="340" t="s">
        <v>3039</v>
      </c>
      <c r="F531" s="341">
        <v>44812.5459670255</v>
      </c>
      <c r="G531" s="341"/>
      <c r="H531" s="341"/>
      <c r="I531" s="341" t="s">
        <v>3</v>
      </c>
      <c r="J531" s="340" t="s">
        <v>1485</v>
      </c>
      <c r="K531" s="340" t="s">
        <v>1296</v>
      </c>
      <c r="L531" s="14">
        <v>44823</v>
      </c>
      <c r="M531" t="s">
        <v>3942</v>
      </c>
      <c r="N531" s="173">
        <v>44827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44827</v>
      </c>
    </row>
    <row r="532" spans="1:30">
      <c r="A532" s="340">
        <f>COUNTA($E$3:E532)</f>
        <v>530</v>
      </c>
      <c r="B532" s="340" t="s">
        <v>3900</v>
      </c>
      <c r="C532" s="340" t="s">
        <v>37</v>
      </c>
      <c r="D532" s="340" t="s">
        <v>30</v>
      </c>
      <c r="E532" s="340" t="s">
        <v>3487</v>
      </c>
      <c r="F532" s="341">
        <v>44812.5447856713</v>
      </c>
      <c r="G532" s="341"/>
      <c r="H532" s="341"/>
      <c r="I532" s="341" t="s">
        <v>3</v>
      </c>
      <c r="J532" s="340" t="s">
        <v>1720</v>
      </c>
      <c r="K532" s="340" t="s">
        <v>1296</v>
      </c>
      <c r="L532" s="14">
        <v>44823</v>
      </c>
      <c r="M532" t="s">
        <v>3942</v>
      </c>
      <c r="N532" s="173">
        <v>44827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40">
        <f>COUNTA($E$3:E533)</f>
        <v>531</v>
      </c>
      <c r="B533" s="340" t="s">
        <v>3891</v>
      </c>
      <c r="C533" s="340" t="s">
        <v>37</v>
      </c>
      <c r="D533" s="340" t="s">
        <v>30</v>
      </c>
      <c r="E533" s="340" t="s">
        <v>2558</v>
      </c>
      <c r="F533" s="341">
        <v>44811</v>
      </c>
      <c r="G533" s="341"/>
      <c r="H533" s="341">
        <v>44813</v>
      </c>
      <c r="I533" s="341" t="s">
        <v>3</v>
      </c>
      <c r="J533" s="340" t="s">
        <v>3915</v>
      </c>
      <c r="K533" s="340" t="s">
        <v>1089</v>
      </c>
      <c r="L533" s="14">
        <v>44823</v>
      </c>
      <c r="N533" s="173">
        <v>44844</v>
      </c>
      <c r="O533" s="178"/>
      <c r="Q533" t="s">
        <v>129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44844</v>
      </c>
    </row>
    <row r="534" spans="1:30">
      <c r="A534" s="340">
        <f>COUNTA($E$3:E534)</f>
        <v>532</v>
      </c>
      <c r="B534" s="340" t="s">
        <v>3867</v>
      </c>
      <c r="C534" s="340" t="s">
        <v>2370</v>
      </c>
      <c r="D534" s="340" t="s">
        <v>34</v>
      </c>
      <c r="E534" s="340" t="s">
        <v>2650</v>
      </c>
      <c r="F534" s="341">
        <v>44802.833935185183</v>
      </c>
      <c r="G534" s="341"/>
      <c r="H534" s="341"/>
      <c r="I534" s="341" t="s">
        <v>3</v>
      </c>
      <c r="J534" s="340" t="s">
        <v>3937</v>
      </c>
      <c r="K534" s="340" t="s">
        <v>2032</v>
      </c>
      <c r="L534" s="14">
        <v>44823</v>
      </c>
      <c r="M534" t="s">
        <v>3944</v>
      </c>
      <c r="N534" s="173">
        <v>44824</v>
      </c>
      <c r="O534" s="178"/>
      <c r="Q534" t="s">
        <v>129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44824</v>
      </c>
    </row>
    <row r="535" spans="1:30">
      <c r="A535" s="340">
        <f>COUNTA($E$3:E535)</f>
        <v>533</v>
      </c>
      <c r="B535" s="340" t="s">
        <v>3799</v>
      </c>
      <c r="C535" s="340" t="s">
        <v>105</v>
      </c>
      <c r="D535" s="340" t="s">
        <v>31</v>
      </c>
      <c r="E535" s="340" t="s">
        <v>3800</v>
      </c>
      <c r="F535" s="341">
        <v>44792</v>
      </c>
      <c r="G535" s="341"/>
      <c r="H535" s="341">
        <v>44795</v>
      </c>
      <c r="I535" s="341" t="s">
        <v>3</v>
      </c>
      <c r="J535" s="340" t="s">
        <v>1720</v>
      </c>
      <c r="K535" s="340" t="s">
        <v>1294</v>
      </c>
      <c r="L535" s="14">
        <v>44823</v>
      </c>
      <c r="M535" t="s">
        <v>3941</v>
      </c>
      <c r="N535" s="173">
        <v>44819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44819</v>
      </c>
    </row>
    <row r="536" spans="1:30">
      <c r="A536" s="340">
        <f>COUNTA($E$3:E536)</f>
        <v>534</v>
      </c>
      <c r="B536" s="340" t="s">
        <v>3862</v>
      </c>
      <c r="C536" s="340" t="s">
        <v>41</v>
      </c>
      <c r="D536" s="340" t="s">
        <v>1124</v>
      </c>
      <c r="E536" s="340" t="s">
        <v>1185</v>
      </c>
      <c r="F536" s="341">
        <v>44802</v>
      </c>
      <c r="G536" s="341"/>
      <c r="H536" s="341"/>
      <c r="I536" s="341" t="s">
        <v>1110</v>
      </c>
      <c r="J536" s="340" t="s">
        <v>1650</v>
      </c>
      <c r="K536" s="340"/>
      <c r="L536" s="14">
        <v>44816</v>
      </c>
      <c r="M536" t="s">
        <v>3913</v>
      </c>
      <c r="N536" s="173">
        <v>44812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44812</v>
      </c>
    </row>
    <row r="537" spans="1:30">
      <c r="A537" s="340">
        <f>COUNTA($E$3:E537)</f>
        <v>535</v>
      </c>
      <c r="B537" s="340" t="s">
        <v>3890</v>
      </c>
      <c r="C537" s="340" t="s">
        <v>41</v>
      </c>
      <c r="D537" s="340" t="s">
        <v>49</v>
      </c>
      <c r="E537" s="340" t="s">
        <v>1088</v>
      </c>
      <c r="F537" s="341">
        <v>44811</v>
      </c>
      <c r="G537" s="341"/>
      <c r="H537" s="341"/>
      <c r="I537" s="341" t="s">
        <v>2</v>
      </c>
      <c r="J537" s="340" t="s">
        <v>1662</v>
      </c>
      <c r="K537" s="340"/>
      <c r="L537" s="14">
        <v>44816</v>
      </c>
      <c r="M537" t="s">
        <v>3919</v>
      </c>
      <c r="N537" s="173">
        <v>44811</v>
      </c>
      <c r="O537" s="178"/>
      <c r="Q537" t="s">
        <v>22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>
        <v>44811</v>
      </c>
    </row>
    <row r="538" spans="1:30">
      <c r="A538" s="340">
        <f>COUNTA($E$3:E538)</f>
        <v>536</v>
      </c>
      <c r="B538" s="340" t="s">
        <v>3749</v>
      </c>
      <c r="C538" s="340" t="s">
        <v>3791</v>
      </c>
      <c r="D538" s="340" t="s">
        <v>38</v>
      </c>
      <c r="E538" s="340" t="s">
        <v>3750</v>
      </c>
      <c r="F538" s="341">
        <v>44783</v>
      </c>
      <c r="G538" s="341"/>
      <c r="H538" s="341">
        <v>44792</v>
      </c>
      <c r="I538" s="341" t="s">
        <v>2</v>
      </c>
      <c r="J538" s="340" t="s">
        <v>3790</v>
      </c>
      <c r="K538" s="340" t="s">
        <v>1287</v>
      </c>
      <c r="L538" s="14">
        <v>44816</v>
      </c>
      <c r="M538" t="s">
        <v>3911</v>
      </c>
      <c r="N538" s="173">
        <v>44817</v>
      </c>
      <c r="O538" s="178"/>
      <c r="Q538" t="s">
        <v>129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44817</v>
      </c>
    </row>
    <row r="539" spans="1:30">
      <c r="A539" s="340">
        <f>COUNTA($E$3:E539)</f>
        <v>537</v>
      </c>
      <c r="B539" s="340" t="s">
        <v>3276</v>
      </c>
      <c r="C539" s="340" t="s">
        <v>2767</v>
      </c>
      <c r="D539" s="340" t="s">
        <v>16</v>
      </c>
      <c r="E539" s="340" t="s">
        <v>3277</v>
      </c>
      <c r="F539" s="341">
        <v>44729</v>
      </c>
      <c r="G539" s="341">
        <v>44792</v>
      </c>
      <c r="H539" s="341">
        <v>44753</v>
      </c>
      <c r="I539" s="341" t="s">
        <v>2</v>
      </c>
      <c r="J539" s="340" t="s">
        <v>3333</v>
      </c>
      <c r="K539" s="340" t="s">
        <v>1295</v>
      </c>
      <c r="L539" s="14">
        <v>44816</v>
      </c>
      <c r="M539" t="s">
        <v>3910</v>
      </c>
      <c r="N539" s="173">
        <v>44817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44817</v>
      </c>
    </row>
    <row r="540" spans="1:30">
      <c r="A540" s="340">
        <f>COUNTA($E$3:E540)</f>
        <v>538</v>
      </c>
      <c r="B540" s="340" t="s">
        <v>3146</v>
      </c>
      <c r="C540" s="340" t="s">
        <v>41</v>
      </c>
      <c r="D540" s="340" t="s">
        <v>1169</v>
      </c>
      <c r="E540" s="340" t="s">
        <v>3147</v>
      </c>
      <c r="F540" s="341">
        <v>44711</v>
      </c>
      <c r="G540" s="341"/>
      <c r="H540" s="341" t="s">
        <v>66</v>
      </c>
      <c r="I540" s="341" t="s">
        <v>2</v>
      </c>
      <c r="J540" s="340" t="s">
        <v>3241</v>
      </c>
      <c r="K540" s="340"/>
      <c r="L540" s="14">
        <v>44816</v>
      </c>
      <c r="M540" t="s">
        <v>3920</v>
      </c>
      <c r="N540" s="173">
        <v>44813</v>
      </c>
      <c r="O540" s="178"/>
      <c r="Q540" t="s">
        <v>22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44813</v>
      </c>
    </row>
    <row r="541" spans="1:30">
      <c r="A541" s="340">
        <f>COUNTA($E$3:E541)</f>
        <v>539</v>
      </c>
      <c r="B541" s="340" t="s">
        <v>3117</v>
      </c>
      <c r="C541" s="340" t="s">
        <v>2370</v>
      </c>
      <c r="D541" s="340" t="s">
        <v>30</v>
      </c>
      <c r="E541" s="340" t="s">
        <v>2106</v>
      </c>
      <c r="F541" s="341">
        <v>44704</v>
      </c>
      <c r="G541" s="341"/>
      <c r="H541" s="341">
        <v>44714</v>
      </c>
      <c r="I541" s="341" t="s">
        <v>2</v>
      </c>
      <c r="J541" s="340" t="s">
        <v>2665</v>
      </c>
      <c r="K541" s="340"/>
      <c r="L541" s="14">
        <v>44816</v>
      </c>
      <c r="M541" t="s">
        <v>3921</v>
      </c>
      <c r="N541" s="173">
        <v>44816</v>
      </c>
      <c r="O541" s="178"/>
      <c r="Q541" t="s">
        <v>22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44816</v>
      </c>
    </row>
    <row r="542" spans="1:30">
      <c r="A542" s="340">
        <f>COUNTA($E$3:E542)</f>
        <v>540</v>
      </c>
      <c r="B542" s="340" t="s">
        <v>3096</v>
      </c>
      <c r="C542" s="340" t="s">
        <v>1764</v>
      </c>
      <c r="D542" s="340" t="s">
        <v>19</v>
      </c>
      <c r="E542" s="340" t="s">
        <v>1765</v>
      </c>
      <c r="F542" s="341">
        <v>44704</v>
      </c>
      <c r="G542" s="341"/>
      <c r="H542" s="341">
        <v>44714</v>
      </c>
      <c r="I542" s="341" t="s">
        <v>2</v>
      </c>
      <c r="J542" s="340" t="s">
        <v>3097</v>
      </c>
      <c r="K542" s="340"/>
      <c r="L542" s="14">
        <v>44816</v>
      </c>
      <c r="M542" t="s">
        <v>3921</v>
      </c>
      <c r="N542" s="173">
        <v>44816</v>
      </c>
      <c r="O542" s="178"/>
      <c r="Q542" t="s">
        <v>22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44816</v>
      </c>
    </row>
    <row r="543" spans="1:30">
      <c r="A543" s="340">
        <f>COUNTA($E$3:E543)</f>
        <v>541</v>
      </c>
      <c r="B543" s="340" t="s">
        <v>3888</v>
      </c>
      <c r="C543" s="340" t="s">
        <v>41</v>
      </c>
      <c r="D543" s="340" t="s">
        <v>1139</v>
      </c>
      <c r="E543" s="340" t="s">
        <v>3116</v>
      </c>
      <c r="F543" s="341">
        <v>44810</v>
      </c>
      <c r="G543" s="341"/>
      <c r="H543" s="341"/>
      <c r="I543" s="341" t="s">
        <v>3</v>
      </c>
      <c r="J543" s="340" t="s">
        <v>1649</v>
      </c>
      <c r="K543" s="340" t="s">
        <v>287</v>
      </c>
      <c r="L543" s="14">
        <v>44816</v>
      </c>
      <c r="M543" t="s">
        <v>3913</v>
      </c>
      <c r="N543" s="173">
        <v>44812</v>
      </c>
      <c r="O543" s="178"/>
      <c r="Q543" t="s">
        <v>22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44812</v>
      </c>
    </row>
    <row r="544" spans="1:30">
      <c r="A544" s="340">
        <f>COUNTA($E$3:E544)</f>
        <v>542</v>
      </c>
      <c r="B544" s="340" t="s">
        <v>3881</v>
      </c>
      <c r="C544" s="340" t="s">
        <v>21</v>
      </c>
      <c r="D544" s="340" t="s">
        <v>34</v>
      </c>
      <c r="E544" s="340" t="s">
        <v>1682</v>
      </c>
      <c r="F544" s="341">
        <v>44809</v>
      </c>
      <c r="G544" s="341"/>
      <c r="H544" s="341"/>
      <c r="I544" s="341" t="s">
        <v>3</v>
      </c>
      <c r="J544" s="340" t="s">
        <v>1720</v>
      </c>
      <c r="K544" s="340" t="s">
        <v>1287</v>
      </c>
      <c r="L544" s="14">
        <v>44816</v>
      </c>
      <c r="M544" t="s">
        <v>3913</v>
      </c>
      <c r="N544" s="173">
        <v>44818</v>
      </c>
      <c r="O544" s="178"/>
      <c r="Q544" t="s">
        <v>129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44818</v>
      </c>
    </row>
    <row r="545" spans="1:30">
      <c r="A545" s="340">
        <f>COUNTA($E$3:E545)</f>
        <v>543</v>
      </c>
      <c r="B545" s="340" t="s">
        <v>3855</v>
      </c>
      <c r="C545" s="340" t="s">
        <v>41</v>
      </c>
      <c r="D545" s="340" t="s">
        <v>2539</v>
      </c>
      <c r="E545" s="340" t="s">
        <v>3864</v>
      </c>
      <c r="F545" s="341">
        <v>44802</v>
      </c>
      <c r="G545" s="341"/>
      <c r="H545" s="341"/>
      <c r="I545" s="341" t="s">
        <v>1110</v>
      </c>
      <c r="J545" s="340" t="s">
        <v>1650</v>
      </c>
      <c r="K545" s="340" t="s">
        <v>2032</v>
      </c>
      <c r="L545" s="14">
        <v>44809</v>
      </c>
      <c r="M545" t="s">
        <v>3858</v>
      </c>
      <c r="N545" s="173">
        <v>44804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44804</v>
      </c>
    </row>
    <row r="546" spans="1:30">
      <c r="A546" s="340">
        <f>COUNTA($E$3:E546)</f>
        <v>544</v>
      </c>
      <c r="B546" s="340" t="s">
        <v>3857</v>
      </c>
      <c r="C546" s="340" t="s">
        <v>3868</v>
      </c>
      <c r="D546" s="340" t="s">
        <v>38</v>
      </c>
      <c r="E546" s="340" t="s">
        <v>3869</v>
      </c>
      <c r="F546" s="341">
        <v>44802</v>
      </c>
      <c r="G546" s="341"/>
      <c r="H546" s="341"/>
      <c r="I546" s="341" t="s">
        <v>3</v>
      </c>
      <c r="J546" s="340" t="s">
        <v>17</v>
      </c>
      <c r="K546" s="340" t="s">
        <v>33</v>
      </c>
      <c r="L546" s="14">
        <v>44809</v>
      </c>
      <c r="M546" t="s">
        <v>3879</v>
      </c>
      <c r="N546" s="173">
        <v>44809</v>
      </c>
      <c r="O546" s="178"/>
      <c r="Q546" t="s">
        <v>129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44809</v>
      </c>
    </row>
    <row r="547" spans="1:30">
      <c r="A547" s="340">
        <f>COUNTA($E$3:E547)</f>
        <v>545</v>
      </c>
      <c r="B547" s="340" t="s">
        <v>3852</v>
      </c>
      <c r="C547" s="340" t="s">
        <v>2370</v>
      </c>
      <c r="D547" s="340" t="s">
        <v>56</v>
      </c>
      <c r="E547" s="340" t="s">
        <v>2697</v>
      </c>
      <c r="F547" s="341">
        <v>44802</v>
      </c>
      <c r="G547" s="341"/>
      <c r="H547" s="341"/>
      <c r="I547" s="341" t="s">
        <v>3</v>
      </c>
      <c r="J547" s="340" t="s">
        <v>1649</v>
      </c>
      <c r="K547" s="340" t="s">
        <v>1294</v>
      </c>
      <c r="L547" s="14">
        <v>44809</v>
      </c>
      <c r="M547" t="s">
        <v>3878</v>
      </c>
      <c r="N547" s="173">
        <v>44802</v>
      </c>
      <c r="O547" s="178"/>
      <c r="Q547" t="s">
        <v>22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44802</v>
      </c>
    </row>
    <row r="548" spans="1:30">
      <c r="A548" s="340">
        <f>COUNTA($E$3:E548)</f>
        <v>546</v>
      </c>
      <c r="B548" s="340" t="s">
        <v>3856</v>
      </c>
      <c r="C548" s="340" t="s">
        <v>41</v>
      </c>
      <c r="D548" s="340" t="s">
        <v>56</v>
      </c>
      <c r="E548" s="340" t="s">
        <v>3865</v>
      </c>
      <c r="F548" s="341">
        <v>44802</v>
      </c>
      <c r="G548" s="341"/>
      <c r="H548" s="341"/>
      <c r="I548" s="341" t="s">
        <v>3</v>
      </c>
      <c r="J548" s="340" t="s">
        <v>1649</v>
      </c>
      <c r="K548" s="340" t="s">
        <v>287</v>
      </c>
      <c r="L548" s="14">
        <v>44809</v>
      </c>
      <c r="M548" t="s">
        <v>3858</v>
      </c>
      <c r="N548" s="173">
        <v>44804</v>
      </c>
      <c r="O548" s="178"/>
      <c r="Q548" t="s">
        <v>22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44804</v>
      </c>
    </row>
    <row r="549" spans="1:30">
      <c r="A549" s="340">
        <f>COUNTA($E$3:E549)</f>
        <v>547</v>
      </c>
      <c r="B549" s="340" t="s">
        <v>3825</v>
      </c>
      <c r="C549" s="340" t="s">
        <v>40</v>
      </c>
      <c r="D549" s="340" t="s">
        <v>30</v>
      </c>
      <c r="E549" s="340" t="s">
        <v>1645</v>
      </c>
      <c r="F549" s="341">
        <v>44797.684392000003</v>
      </c>
      <c r="G549" s="341"/>
      <c r="H549" s="341"/>
      <c r="I549" s="341" t="s">
        <v>3</v>
      </c>
      <c r="J549" s="340" t="s">
        <v>1485</v>
      </c>
      <c r="K549" s="340" t="s">
        <v>1295</v>
      </c>
      <c r="L549" s="14">
        <v>44809</v>
      </c>
      <c r="M549" t="s">
        <v>3858</v>
      </c>
      <c r="N549" s="173">
        <v>44844</v>
      </c>
      <c r="O549" s="178"/>
      <c r="Q549" t="s">
        <v>129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44844</v>
      </c>
    </row>
    <row r="550" spans="1:30">
      <c r="A550" s="340">
        <f>COUNTA($E$3:E550)</f>
        <v>548</v>
      </c>
      <c r="B550" s="340" t="s">
        <v>3819</v>
      </c>
      <c r="C550" s="340" t="s">
        <v>1865</v>
      </c>
      <c r="D550" s="340" t="s">
        <v>16</v>
      </c>
      <c r="E550" s="340" t="s">
        <v>1866</v>
      </c>
      <c r="F550" s="341">
        <v>44797.580871999999</v>
      </c>
      <c r="G550" s="341"/>
      <c r="H550" s="341"/>
      <c r="I550" s="341" t="s">
        <v>3</v>
      </c>
      <c r="J550" s="340" t="s">
        <v>1485</v>
      </c>
      <c r="K550" s="340" t="s">
        <v>1295</v>
      </c>
      <c r="L550" s="14">
        <v>44809</v>
      </c>
      <c r="M550" t="s">
        <v>3858</v>
      </c>
      <c r="N550" s="173">
        <v>44839</v>
      </c>
      <c r="O550" s="178"/>
      <c r="Q550" t="s">
        <v>129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44839</v>
      </c>
    </row>
    <row r="551" spans="1:30">
      <c r="A551" s="340">
        <f>COUNTA($E$3:E551)</f>
        <v>549</v>
      </c>
      <c r="B551" s="340" t="s">
        <v>3815</v>
      </c>
      <c r="C551" s="340" t="s">
        <v>41</v>
      </c>
      <c r="D551" s="340" t="s">
        <v>3816</v>
      </c>
      <c r="E551" s="340" t="s">
        <v>3817</v>
      </c>
      <c r="F551" s="341">
        <v>44795</v>
      </c>
      <c r="G551" s="341"/>
      <c r="H551" s="341"/>
      <c r="I551" s="341" t="s">
        <v>3</v>
      </c>
      <c r="J551" s="340" t="s">
        <v>3850</v>
      </c>
      <c r="K551" s="340" t="s">
        <v>1180</v>
      </c>
      <c r="L551" s="14">
        <v>44809</v>
      </c>
      <c r="M551" t="s">
        <v>3859</v>
      </c>
      <c r="N551" s="173">
        <v>44809</v>
      </c>
      <c r="O551" s="178"/>
      <c r="Q551" t="s">
        <v>129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44809</v>
      </c>
    </row>
    <row r="552" spans="1:30">
      <c r="A552" s="340">
        <f>COUNTA($E$3:E552)</f>
        <v>550</v>
      </c>
      <c r="B552" s="340" t="s">
        <v>3820</v>
      </c>
      <c r="C552" s="340" t="s">
        <v>1106</v>
      </c>
      <c r="D552" s="340" t="s">
        <v>45</v>
      </c>
      <c r="E552" s="340" t="s">
        <v>2828</v>
      </c>
      <c r="F552" s="341">
        <v>44797</v>
      </c>
      <c r="G552" s="341"/>
      <c r="H552" s="341"/>
      <c r="I552" s="341" t="s">
        <v>4</v>
      </c>
      <c r="J552" s="340" t="s">
        <v>1093</v>
      </c>
      <c r="K552" s="340" t="s">
        <v>1296</v>
      </c>
      <c r="L552" s="14">
        <v>44802</v>
      </c>
      <c r="M552" t="s">
        <v>3836</v>
      </c>
      <c r="N552" s="173">
        <v>44839</v>
      </c>
      <c r="O552" s="178"/>
      <c r="Q552" t="s">
        <v>129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44839</v>
      </c>
    </row>
    <row r="553" spans="1:30">
      <c r="A553" s="340">
        <f>COUNTA($E$3:E553)</f>
        <v>551</v>
      </c>
      <c r="B553" s="340" t="s">
        <v>3827</v>
      </c>
      <c r="C553" s="340" t="s">
        <v>3828</v>
      </c>
      <c r="D553" s="340" t="s">
        <v>19</v>
      </c>
      <c r="E553" s="340" t="s">
        <v>3696</v>
      </c>
      <c r="F553" s="341">
        <v>44797</v>
      </c>
      <c r="G553" s="341"/>
      <c r="H553" s="341"/>
      <c r="I553" s="341" t="s">
        <v>2</v>
      </c>
      <c r="J553" s="340" t="s">
        <v>1664</v>
      </c>
      <c r="K553" s="340"/>
      <c r="L553" s="14">
        <v>44802</v>
      </c>
      <c r="M553" t="s">
        <v>3848</v>
      </c>
      <c r="N553" s="173">
        <v>44797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44797</v>
      </c>
    </row>
    <row r="554" spans="1:30">
      <c r="A554" s="340">
        <f>COUNTA($E$3:E554)</f>
        <v>552</v>
      </c>
      <c r="B554" s="340" t="s">
        <v>3793</v>
      </c>
      <c r="C554" s="340" t="s">
        <v>1279</v>
      </c>
      <c r="D554" s="340" t="s">
        <v>16</v>
      </c>
      <c r="E554" s="340" t="s">
        <v>3794</v>
      </c>
      <c r="F554" s="341">
        <v>44792.4600310069</v>
      </c>
      <c r="G554" s="341"/>
      <c r="H554" s="341"/>
      <c r="I554" s="341" t="s">
        <v>2</v>
      </c>
      <c r="J554" s="340" t="s">
        <v>3835</v>
      </c>
      <c r="K554" s="340"/>
      <c r="L554" s="14">
        <v>44802</v>
      </c>
      <c r="M554" t="s">
        <v>2954</v>
      </c>
      <c r="N554" s="173">
        <v>44809</v>
      </c>
      <c r="O554" s="178"/>
      <c r="Q554" t="s">
        <v>129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44809</v>
      </c>
    </row>
    <row r="555" spans="1:30">
      <c r="A555" s="340">
        <f>COUNTA($E$3:E555)</f>
        <v>553</v>
      </c>
      <c r="B555" s="340" t="s">
        <v>3748</v>
      </c>
      <c r="C555" s="340" t="s">
        <v>41</v>
      </c>
      <c r="D555" s="340" t="s">
        <v>49</v>
      </c>
      <c r="E555" s="340" t="s">
        <v>2719</v>
      </c>
      <c r="F555" s="341">
        <v>44783</v>
      </c>
      <c r="G555" s="341"/>
      <c r="H555" s="341" t="s">
        <v>66</v>
      </c>
      <c r="I555" s="341" t="s">
        <v>2</v>
      </c>
      <c r="J555" s="340" t="s">
        <v>1664</v>
      </c>
      <c r="K555" s="340"/>
      <c r="L555" s="14">
        <v>44802</v>
      </c>
      <c r="M555" t="s">
        <v>3836</v>
      </c>
      <c r="N555" s="173">
        <v>44798</v>
      </c>
      <c r="O555" s="178"/>
      <c r="Q555" t="s">
        <v>22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44798</v>
      </c>
    </row>
    <row r="556" spans="1:30">
      <c r="A556" s="340">
        <f>COUNTA($E$3:E556)</f>
        <v>554</v>
      </c>
      <c r="B556" s="340" t="s">
        <v>3582</v>
      </c>
      <c r="C556" s="340" t="s">
        <v>41</v>
      </c>
      <c r="D556" s="340" t="s">
        <v>25</v>
      </c>
      <c r="E556" s="340" t="s">
        <v>3583</v>
      </c>
      <c r="F556" s="341">
        <v>44768</v>
      </c>
      <c r="G556" s="341">
        <v>44784</v>
      </c>
      <c r="H556" s="341" t="s">
        <v>66</v>
      </c>
      <c r="I556" s="341" t="s">
        <v>2</v>
      </c>
      <c r="J556" s="340" t="s">
        <v>3634</v>
      </c>
      <c r="K556" s="340"/>
      <c r="L556" s="14">
        <v>44802</v>
      </c>
      <c r="M556" t="s">
        <v>3838</v>
      </c>
      <c r="N556" s="173">
        <v>44797</v>
      </c>
      <c r="O556" s="178"/>
      <c r="Q556" t="s">
        <v>129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44797</v>
      </c>
    </row>
    <row r="557" spans="1:30">
      <c r="A557" s="340">
        <f>COUNTA($E$3:E557)</f>
        <v>555</v>
      </c>
      <c r="B557" s="340" t="s">
        <v>3514</v>
      </c>
      <c r="C557" s="340" t="s">
        <v>1197</v>
      </c>
      <c r="D557" s="340" t="s">
        <v>38</v>
      </c>
      <c r="E557" s="340" t="s">
        <v>3526</v>
      </c>
      <c r="F557" s="341">
        <v>44755</v>
      </c>
      <c r="G557" s="341">
        <v>44792</v>
      </c>
      <c r="H557" s="341">
        <v>44760</v>
      </c>
      <c r="I557" s="341" t="s">
        <v>2</v>
      </c>
      <c r="J557" s="340" t="s">
        <v>3527</v>
      </c>
      <c r="K557" s="340"/>
      <c r="L557" s="14">
        <v>44802</v>
      </c>
      <c r="M557" t="s">
        <v>3845</v>
      </c>
      <c r="N557" s="173">
        <v>44803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44803</v>
      </c>
    </row>
    <row r="558" spans="1:30">
      <c r="A558" s="340">
        <f>COUNTA($E$3:E558)</f>
        <v>556</v>
      </c>
      <c r="B558" s="340" t="s">
        <v>3524</v>
      </c>
      <c r="C558" s="340" t="s">
        <v>3296</v>
      </c>
      <c r="D558" s="340" t="s">
        <v>36</v>
      </c>
      <c r="E558" s="340" t="s">
        <v>3525</v>
      </c>
      <c r="F558" s="341">
        <v>44754</v>
      </c>
      <c r="G558" s="341">
        <v>44792</v>
      </c>
      <c r="H558" s="341">
        <v>44768</v>
      </c>
      <c r="I558" s="341" t="s">
        <v>2</v>
      </c>
      <c r="J558" s="340" t="s">
        <v>1671</v>
      </c>
      <c r="K558" s="340"/>
      <c r="L558" s="14">
        <v>44802</v>
      </c>
      <c r="M558" t="s">
        <v>3844</v>
      </c>
      <c r="N558" s="173">
        <v>44813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44813</v>
      </c>
    </row>
    <row r="559" spans="1:30">
      <c r="A559" s="340">
        <f>COUNTA($E$3:E559)</f>
        <v>557</v>
      </c>
      <c r="B559" s="340" t="s">
        <v>3811</v>
      </c>
      <c r="C559" s="340" t="s">
        <v>21</v>
      </c>
      <c r="D559" s="340" t="s">
        <v>23</v>
      </c>
      <c r="E559" s="340" t="s">
        <v>1653</v>
      </c>
      <c r="F559" s="341">
        <v>44795</v>
      </c>
      <c r="G559" s="341"/>
      <c r="H559" s="341"/>
      <c r="I559" s="341" t="s">
        <v>3</v>
      </c>
      <c r="J559" s="340" t="s">
        <v>1485</v>
      </c>
      <c r="K559" s="340" t="s">
        <v>1296</v>
      </c>
      <c r="L559" s="14">
        <v>44802</v>
      </c>
      <c r="M559" t="s">
        <v>3838</v>
      </c>
      <c r="N559" s="173">
        <v>44797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44797</v>
      </c>
    </row>
    <row r="560" spans="1:30">
      <c r="A560" s="340">
        <f>COUNTA($E$3:E560)</f>
        <v>558</v>
      </c>
      <c r="B560" s="340" t="s">
        <v>3807</v>
      </c>
      <c r="C560" s="340" t="s">
        <v>41</v>
      </c>
      <c r="D560" s="340" t="s">
        <v>30</v>
      </c>
      <c r="E560" s="340" t="s">
        <v>2982</v>
      </c>
      <c r="F560" s="341">
        <v>44795</v>
      </c>
      <c r="G560" s="341"/>
      <c r="H560" s="341"/>
      <c r="I560" s="341" t="s">
        <v>3</v>
      </c>
      <c r="J560" s="340" t="s">
        <v>1485</v>
      </c>
      <c r="K560" s="340" t="s">
        <v>1294</v>
      </c>
      <c r="L560" s="14">
        <v>44802</v>
      </c>
      <c r="M560" t="s">
        <v>3837</v>
      </c>
      <c r="N560" s="173">
        <v>44844</v>
      </c>
      <c r="O560" s="178"/>
      <c r="Q560" t="s">
        <v>22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44844</v>
      </c>
    </row>
    <row r="561" spans="1:30">
      <c r="A561" s="340">
        <f>COUNTA($E$3:E561)</f>
        <v>559</v>
      </c>
      <c r="B561" s="340" t="s">
        <v>3806</v>
      </c>
      <c r="C561" s="340" t="s">
        <v>41</v>
      </c>
      <c r="D561" s="340" t="s">
        <v>1103</v>
      </c>
      <c r="E561" s="340" t="s">
        <v>1206</v>
      </c>
      <c r="F561" s="341">
        <v>44795</v>
      </c>
      <c r="G561" s="341"/>
      <c r="H561" s="341"/>
      <c r="I561" s="341" t="s">
        <v>3</v>
      </c>
      <c r="J561" s="340" t="s">
        <v>1212</v>
      </c>
      <c r="K561" s="340" t="s">
        <v>103</v>
      </c>
      <c r="L561" s="14">
        <v>44802</v>
      </c>
      <c r="M561" t="s">
        <v>3836</v>
      </c>
      <c r="N561" s="173">
        <v>44798</v>
      </c>
      <c r="O561" s="178"/>
      <c r="Q561" t="s">
        <v>22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44798</v>
      </c>
    </row>
    <row r="562" spans="1:30">
      <c r="A562" s="340">
        <f>COUNTA($E$3:E562)</f>
        <v>560</v>
      </c>
      <c r="B562" s="340" t="s">
        <v>3798</v>
      </c>
      <c r="C562" s="340" t="s">
        <v>1752</v>
      </c>
      <c r="D562" s="340" t="s">
        <v>49</v>
      </c>
      <c r="E562" s="340" t="s">
        <v>1753</v>
      </c>
      <c r="F562" s="341">
        <v>44792.689569398099</v>
      </c>
      <c r="G562" s="341"/>
      <c r="H562" s="341"/>
      <c r="I562" s="341" t="s">
        <v>3</v>
      </c>
      <c r="J562" s="340" t="s">
        <v>3842</v>
      </c>
      <c r="K562" s="340"/>
      <c r="L562" s="14">
        <v>44802</v>
      </c>
      <c r="M562" t="s">
        <v>3847</v>
      </c>
      <c r="N562" s="173">
        <v>44832</v>
      </c>
      <c r="O562" s="178"/>
      <c r="Q562" t="s">
        <v>22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44832</v>
      </c>
    </row>
    <row r="563" spans="1:30">
      <c r="A563" s="340">
        <f>COUNTA($E$3:E563)</f>
        <v>561</v>
      </c>
      <c r="B563" s="340" t="s">
        <v>3783</v>
      </c>
      <c r="C563" s="340" t="s">
        <v>21</v>
      </c>
      <c r="D563" s="340" t="s">
        <v>30</v>
      </c>
      <c r="E563" s="340" t="s">
        <v>2640</v>
      </c>
      <c r="F563" s="341">
        <v>44790.8249084954</v>
      </c>
      <c r="G563" s="341"/>
      <c r="H563" s="341"/>
      <c r="I563" s="341" t="s">
        <v>3</v>
      </c>
      <c r="J563" s="340" t="s">
        <v>3834</v>
      </c>
      <c r="K563" s="340"/>
      <c r="L563" s="14">
        <v>44802</v>
      </c>
      <c r="M563" t="s">
        <v>3836</v>
      </c>
      <c r="N563" s="173">
        <v>44802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44802</v>
      </c>
    </row>
    <row r="564" spans="1:30">
      <c r="A564" s="340">
        <f>COUNTA($E$3:E564)</f>
        <v>562</v>
      </c>
      <c r="B564" s="340" t="s">
        <v>3782</v>
      </c>
      <c r="C564" s="340" t="s">
        <v>21</v>
      </c>
      <c r="D564" s="340" t="s">
        <v>30</v>
      </c>
      <c r="E564" s="340" t="s">
        <v>2023</v>
      </c>
      <c r="F564" s="341">
        <v>44790.4673330324</v>
      </c>
      <c r="G564" s="341"/>
      <c r="H564" s="341"/>
      <c r="I564" s="341" t="s">
        <v>3</v>
      </c>
      <c r="J564" s="340" t="s">
        <v>2435</v>
      </c>
      <c r="K564" s="340" t="s">
        <v>1295</v>
      </c>
      <c r="L564" s="14">
        <v>44802</v>
      </c>
      <c r="M564" t="s">
        <v>3836</v>
      </c>
      <c r="N564" s="173">
        <v>44802</v>
      </c>
      <c r="O564" s="178"/>
      <c r="Q564" t="s">
        <v>129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44802</v>
      </c>
    </row>
    <row r="565" spans="1:30">
      <c r="A565" s="340">
        <f>COUNTA($E$3:E565)</f>
        <v>563</v>
      </c>
      <c r="B565" s="340" t="s">
        <v>3632</v>
      </c>
      <c r="C565" s="340" t="s">
        <v>1253</v>
      </c>
      <c r="D565" s="340" t="s">
        <v>124</v>
      </c>
      <c r="E565" s="340" t="s">
        <v>123</v>
      </c>
      <c r="F565" s="341">
        <v>44775</v>
      </c>
      <c r="G565" s="341">
        <v>44784</v>
      </c>
      <c r="H565" s="341"/>
      <c r="I565" s="341" t="s">
        <v>3</v>
      </c>
      <c r="J565" s="340" t="s">
        <v>1666</v>
      </c>
      <c r="K565" s="340"/>
      <c r="L565" s="14">
        <v>44802</v>
      </c>
      <c r="M565" t="s">
        <v>3846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>
      <c r="A566" s="340">
        <f>COUNTA($E$3:E566)</f>
        <v>564</v>
      </c>
      <c r="B566" s="340" t="s">
        <v>3789</v>
      </c>
      <c r="C566" s="340" t="s">
        <v>41</v>
      </c>
      <c r="D566" s="340" t="s">
        <v>56</v>
      </c>
      <c r="E566" s="340" t="s">
        <v>3068</v>
      </c>
      <c r="F566" s="341">
        <v>44790</v>
      </c>
      <c r="G566" s="341"/>
      <c r="H566" s="341"/>
      <c r="I566" s="341"/>
      <c r="J566" s="340"/>
      <c r="K566" s="340"/>
      <c r="L566" s="14">
        <v>44795</v>
      </c>
      <c r="M566" t="s">
        <v>3805</v>
      </c>
      <c r="N566" s="173">
        <v>44795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44795</v>
      </c>
    </row>
    <row r="567" spans="1:30">
      <c r="A567" s="340">
        <f>COUNTA($E$3:E567)</f>
        <v>565</v>
      </c>
      <c r="B567" s="340" t="s">
        <v>3788</v>
      </c>
      <c r="C567" s="340" t="s">
        <v>41</v>
      </c>
      <c r="D567" s="340" t="s">
        <v>1124</v>
      </c>
      <c r="E567" s="340" t="s">
        <v>1138</v>
      </c>
      <c r="F567" s="341">
        <v>44790</v>
      </c>
      <c r="G567" s="341"/>
      <c r="H567" s="341"/>
      <c r="I567" s="341" t="s">
        <v>1110</v>
      </c>
      <c r="J567" s="340" t="s">
        <v>1650</v>
      </c>
      <c r="K567" s="340"/>
      <c r="L567" s="14">
        <v>44795</v>
      </c>
      <c r="M567" t="s">
        <v>3804</v>
      </c>
      <c r="N567" s="173">
        <v>44795</v>
      </c>
      <c r="O567" s="178"/>
      <c r="Q567" t="s">
        <v>22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44795</v>
      </c>
    </row>
    <row r="568" spans="1:30">
      <c r="A568" s="340">
        <f>COUNTA($E$3:E568)</f>
        <v>566</v>
      </c>
      <c r="B568" s="340" t="s">
        <v>3726</v>
      </c>
      <c r="C568" s="340" t="s">
        <v>41</v>
      </c>
      <c r="D568" s="340" t="s">
        <v>1125</v>
      </c>
      <c r="E568" s="340" t="s">
        <v>3002</v>
      </c>
      <c r="F568" s="341">
        <v>44778.4730280324</v>
      </c>
      <c r="G568" s="341"/>
      <c r="H568" s="341"/>
      <c r="I568" s="341" t="s">
        <v>2</v>
      </c>
      <c r="J568" s="340" t="s">
        <v>2435</v>
      </c>
      <c r="K568" s="340" t="s">
        <v>20</v>
      </c>
      <c r="L568" s="14">
        <v>44795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/>
    </row>
    <row r="569" spans="1:30">
      <c r="A569" s="340">
        <f>COUNTA($E$3:E569)</f>
        <v>567</v>
      </c>
      <c r="B569" s="340" t="s">
        <v>3615</v>
      </c>
      <c r="C569" s="340" t="s">
        <v>3616</v>
      </c>
      <c r="D569" s="340" t="s">
        <v>51</v>
      </c>
      <c r="E569" s="340" t="s">
        <v>3617</v>
      </c>
      <c r="F569" s="341">
        <v>44764</v>
      </c>
      <c r="G569" s="341"/>
      <c r="H569" s="341">
        <v>44781</v>
      </c>
      <c r="I569" s="341" t="s">
        <v>2</v>
      </c>
      <c r="J569" s="340" t="s">
        <v>1930</v>
      </c>
      <c r="K569" s="340" t="s">
        <v>287</v>
      </c>
      <c r="L569" s="14">
        <v>44795</v>
      </c>
      <c r="M569" t="s">
        <v>3801</v>
      </c>
      <c r="N569" s="173">
        <v>44795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44795</v>
      </c>
    </row>
    <row r="570" spans="1:30">
      <c r="A570" s="340">
        <f>COUNTA($E$3:E570)</f>
        <v>568</v>
      </c>
      <c r="B570" s="340" t="s">
        <v>3795</v>
      </c>
      <c r="C570" s="340" t="s">
        <v>41</v>
      </c>
      <c r="D570" s="340" t="s">
        <v>31</v>
      </c>
      <c r="E570" s="340" t="s">
        <v>3111</v>
      </c>
      <c r="F570" s="341">
        <v>44792</v>
      </c>
      <c r="G570" s="341"/>
      <c r="H570" s="341"/>
      <c r="I570" s="341" t="s">
        <v>3</v>
      </c>
      <c r="J570" s="340" t="s">
        <v>1093</v>
      </c>
      <c r="K570" s="340" t="s">
        <v>2032</v>
      </c>
      <c r="L570" s="14">
        <v>44795</v>
      </c>
      <c r="M570" t="s">
        <v>3802</v>
      </c>
      <c r="N570" s="173">
        <v>44844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44844</v>
      </c>
    </row>
    <row r="571" spans="1:30">
      <c r="A571" s="340">
        <f>COUNTA($E$3:E571)</f>
        <v>569</v>
      </c>
      <c r="B571" s="340" t="s">
        <v>3772</v>
      </c>
      <c r="C571" s="340" t="s">
        <v>1197</v>
      </c>
      <c r="D571" s="340" t="s">
        <v>38</v>
      </c>
      <c r="E571" s="340" t="s">
        <v>1222</v>
      </c>
      <c r="F571" s="341">
        <v>44785</v>
      </c>
      <c r="G571" s="341"/>
      <c r="H571" s="341"/>
      <c r="I571" s="341" t="s">
        <v>3</v>
      </c>
      <c r="J571" s="340" t="s">
        <v>3773</v>
      </c>
      <c r="K571" s="340"/>
      <c r="L571" s="14">
        <v>44795</v>
      </c>
      <c r="M571" t="s">
        <v>3803</v>
      </c>
      <c r="N571" s="173">
        <v>44803</v>
      </c>
      <c r="O571" s="178"/>
      <c r="Q571" t="s">
        <v>129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44803</v>
      </c>
    </row>
    <row r="572" spans="1:30">
      <c r="A572" s="340">
        <f>COUNTA($E$3:E572)</f>
        <v>570</v>
      </c>
      <c r="B572" s="340" t="s">
        <v>3736</v>
      </c>
      <c r="C572" s="340" t="s">
        <v>37</v>
      </c>
      <c r="D572" s="340" t="s">
        <v>34</v>
      </c>
      <c r="E572" s="340" t="s">
        <v>1807</v>
      </c>
      <c r="F572" s="341">
        <v>44781</v>
      </c>
      <c r="G572" s="341"/>
      <c r="H572" s="341"/>
      <c r="I572" s="341" t="s">
        <v>2</v>
      </c>
      <c r="J572" s="340" t="s">
        <v>17</v>
      </c>
      <c r="K572" s="340" t="s">
        <v>125</v>
      </c>
      <c r="L572" s="14">
        <v>44788</v>
      </c>
      <c r="N572" s="173">
        <v>45051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45051</v>
      </c>
    </row>
    <row r="573" spans="1:30">
      <c r="A573" s="340">
        <f>COUNTA($E$3:E573)</f>
        <v>571</v>
      </c>
      <c r="B573" s="340" t="s">
        <v>3592</v>
      </c>
      <c r="C573" s="340" t="s">
        <v>41</v>
      </c>
      <c r="D573" s="340" t="s">
        <v>32</v>
      </c>
      <c r="E573" s="340" t="s">
        <v>2695</v>
      </c>
      <c r="F573" s="341">
        <v>44769</v>
      </c>
      <c r="G573" s="341"/>
      <c r="H573" s="341" t="s">
        <v>66</v>
      </c>
      <c r="I573" s="341" t="s">
        <v>2</v>
      </c>
      <c r="J573" s="340" t="s">
        <v>3593</v>
      </c>
      <c r="K573" s="340" t="s">
        <v>287</v>
      </c>
      <c r="L573" s="14">
        <v>44788</v>
      </c>
      <c r="M573" t="s">
        <v>3755</v>
      </c>
      <c r="N573" s="173">
        <v>44788</v>
      </c>
      <c r="O573" s="178"/>
      <c r="Q573" t="s">
        <v>22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44788</v>
      </c>
    </row>
    <row r="574" spans="1:30">
      <c r="A574" s="340">
        <f>COUNTA($E$3:E574)</f>
        <v>572</v>
      </c>
      <c r="B574" s="340" t="s">
        <v>3568</v>
      </c>
      <c r="C574" s="340" t="s">
        <v>1113</v>
      </c>
      <c r="D574" s="340" t="s">
        <v>16</v>
      </c>
      <c r="E574" s="340" t="s">
        <v>3569</v>
      </c>
      <c r="F574" s="341">
        <v>44764</v>
      </c>
      <c r="G574" s="341"/>
      <c r="H574" s="341" t="s">
        <v>55</v>
      </c>
      <c r="I574" s="341" t="s">
        <v>2</v>
      </c>
      <c r="J574" s="340" t="s">
        <v>17</v>
      </c>
      <c r="K574" s="340" t="s">
        <v>287</v>
      </c>
      <c r="L574" s="14">
        <v>44788</v>
      </c>
      <c r="M574" t="s">
        <v>3758</v>
      </c>
      <c r="N574" s="173">
        <v>44788</v>
      </c>
      <c r="O574" s="178"/>
      <c r="Q574" t="s">
        <v>22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44788</v>
      </c>
    </row>
    <row r="575" spans="1:30">
      <c r="A575" s="340">
        <f>COUNTA($E$3:E575)</f>
        <v>573</v>
      </c>
      <c r="B575" s="340" t="s">
        <v>3494</v>
      </c>
      <c r="C575" s="340" t="s">
        <v>37</v>
      </c>
      <c r="D575" s="340" t="s">
        <v>34</v>
      </c>
      <c r="E575" s="340" t="s">
        <v>1107</v>
      </c>
      <c r="F575" s="341">
        <v>44754.6527670949</v>
      </c>
      <c r="G575" s="341"/>
      <c r="H575" s="341"/>
      <c r="I575" s="341" t="s">
        <v>2</v>
      </c>
      <c r="J575" s="340" t="s">
        <v>17</v>
      </c>
      <c r="K575" s="340" t="s">
        <v>1274</v>
      </c>
      <c r="L575" s="14">
        <v>44788</v>
      </c>
      <c r="M575" t="s">
        <v>3757</v>
      </c>
      <c r="N575" s="173">
        <v>44827</v>
      </c>
      <c r="O575" s="178"/>
      <c r="Q575" t="s">
        <v>129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44827</v>
      </c>
    </row>
    <row r="576" spans="1:30">
      <c r="A576" s="340">
        <f>COUNTA($E$3:E576)</f>
        <v>574</v>
      </c>
      <c r="B576" s="340" t="s">
        <v>3155</v>
      </c>
      <c r="C576" s="340" t="s">
        <v>21</v>
      </c>
      <c r="D576" s="340" t="s">
        <v>34</v>
      </c>
      <c r="E576" s="340" t="s">
        <v>3156</v>
      </c>
      <c r="F576" s="341">
        <v>44713</v>
      </c>
      <c r="G576" s="341"/>
      <c r="H576" s="341" t="s">
        <v>55</v>
      </c>
      <c r="I576" s="341" t="s">
        <v>2</v>
      </c>
      <c r="J576" s="340" t="s">
        <v>1657</v>
      </c>
      <c r="K576" s="340" t="s">
        <v>1296</v>
      </c>
      <c r="L576" s="14">
        <v>44788</v>
      </c>
      <c r="M576" t="s">
        <v>3764</v>
      </c>
      <c r="N576" s="173">
        <v>44795</v>
      </c>
      <c r="O576" s="178"/>
      <c r="Q576" t="s">
        <v>129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>
      <c r="A577" s="340">
        <f>COUNTA($E$3:E577)</f>
        <v>575</v>
      </c>
      <c r="B577" s="340" t="s">
        <v>3745</v>
      </c>
      <c r="C577" s="340" t="s">
        <v>2370</v>
      </c>
      <c r="D577" s="340" t="s">
        <v>1123</v>
      </c>
      <c r="E577" s="340" t="s">
        <v>1638</v>
      </c>
      <c r="F577" s="341">
        <v>44782</v>
      </c>
      <c r="G577" s="341"/>
      <c r="H577" s="341"/>
      <c r="I577" s="341" t="s">
        <v>3</v>
      </c>
      <c r="J577" s="340" t="s">
        <v>3477</v>
      </c>
      <c r="K577" s="340" t="s">
        <v>1294</v>
      </c>
      <c r="L577" s="14">
        <v>44788</v>
      </c>
      <c r="M577" t="s">
        <v>3758</v>
      </c>
      <c r="N577" s="173">
        <v>44784</v>
      </c>
      <c r="O577" s="178"/>
      <c r="Q577" t="s">
        <v>22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>
        <v>44784</v>
      </c>
    </row>
    <row r="578" spans="1:30">
      <c r="A578" s="340">
        <f>COUNTA($E$3:E578)</f>
        <v>576</v>
      </c>
      <c r="B578" s="340" t="s">
        <v>3739</v>
      </c>
      <c r="C578" s="340" t="s">
        <v>41</v>
      </c>
      <c r="D578" s="340" t="s">
        <v>51</v>
      </c>
      <c r="E578" s="340" t="s">
        <v>3740</v>
      </c>
      <c r="F578" s="341">
        <v>44782</v>
      </c>
      <c r="G578" s="341"/>
      <c r="H578" s="341"/>
      <c r="I578" s="341" t="s">
        <v>3</v>
      </c>
      <c r="J578" s="340" t="s">
        <v>459</v>
      </c>
      <c r="K578" s="340" t="s">
        <v>2032</v>
      </c>
      <c r="L578" s="14">
        <v>44788</v>
      </c>
      <c r="M578" t="s">
        <v>3758</v>
      </c>
      <c r="N578" s="173">
        <v>44788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44788</v>
      </c>
    </row>
    <row r="579" spans="1:30">
      <c r="A579" s="340">
        <f>COUNTA($E$3:E579)</f>
        <v>577</v>
      </c>
      <c r="B579" s="340" t="s">
        <v>3737</v>
      </c>
      <c r="C579" s="340" t="s">
        <v>2767</v>
      </c>
      <c r="D579" s="340" t="s">
        <v>30</v>
      </c>
      <c r="E579" s="340" t="s">
        <v>3738</v>
      </c>
      <c r="F579" s="341">
        <v>44781</v>
      </c>
      <c r="G579" s="341"/>
      <c r="H579" s="341"/>
      <c r="I579" s="341" t="s">
        <v>3</v>
      </c>
      <c r="J579" s="340" t="s">
        <v>2153</v>
      </c>
      <c r="K579" s="340" t="s">
        <v>125</v>
      </c>
      <c r="L579" s="14">
        <v>44788</v>
      </c>
      <c r="M579" t="s">
        <v>3880</v>
      </c>
      <c r="N579" s="173">
        <v>44789</v>
      </c>
      <c r="O579" s="178"/>
      <c r="Q579" t="s">
        <v>129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44789</v>
      </c>
    </row>
    <row r="580" spans="1:30">
      <c r="A580" s="340">
        <f>COUNTA($E$3:E580)</f>
        <v>578</v>
      </c>
      <c r="B580" s="340" t="s">
        <v>3723</v>
      </c>
      <c r="C580" s="340" t="s">
        <v>41</v>
      </c>
      <c r="D580" s="340" t="s">
        <v>51</v>
      </c>
      <c r="E580" s="340" t="s">
        <v>3024</v>
      </c>
      <c r="F580" s="341">
        <v>44777.755847685199</v>
      </c>
      <c r="G580" s="341"/>
      <c r="H580" s="341"/>
      <c r="I580" s="341" t="s">
        <v>3</v>
      </c>
      <c r="J580" s="340" t="s">
        <v>1677</v>
      </c>
      <c r="K580" s="340" t="s">
        <v>1295</v>
      </c>
      <c r="L580" s="14">
        <v>44788</v>
      </c>
      <c r="M580" t="s">
        <v>3755</v>
      </c>
      <c r="N580" s="173">
        <v>44788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44788</v>
      </c>
    </row>
    <row r="581" spans="1:30">
      <c r="A581" s="340">
        <f>COUNTA($E$3:E581)</f>
        <v>579</v>
      </c>
      <c r="B581" s="340" t="s">
        <v>3722</v>
      </c>
      <c r="C581" s="340" t="s">
        <v>40</v>
      </c>
      <c r="D581" s="340" t="s">
        <v>51</v>
      </c>
      <c r="E581" s="340" t="s">
        <v>1694</v>
      </c>
      <c r="F581" s="341">
        <v>44777</v>
      </c>
      <c r="G581" s="341"/>
      <c r="H581" s="341"/>
      <c r="I581" s="341" t="s">
        <v>3</v>
      </c>
      <c r="J581" s="340" t="s">
        <v>1649</v>
      </c>
      <c r="K581" s="340" t="s">
        <v>33</v>
      </c>
      <c r="L581" s="14">
        <v>44788</v>
      </c>
      <c r="M581" t="s">
        <v>3759</v>
      </c>
      <c r="N581" s="173">
        <v>44788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44788</v>
      </c>
    </row>
    <row r="582" spans="1:30">
      <c r="A582" s="340">
        <f>COUNTA($E$3:E582)</f>
        <v>580</v>
      </c>
      <c r="B582" s="340" t="s">
        <v>3719</v>
      </c>
      <c r="C582" s="340" t="s">
        <v>1171</v>
      </c>
      <c r="D582" s="340" t="s">
        <v>19</v>
      </c>
      <c r="E582" s="340" t="s">
        <v>3720</v>
      </c>
      <c r="F582" s="341">
        <v>44777</v>
      </c>
      <c r="G582" s="341"/>
      <c r="H582" s="341">
        <v>44777</v>
      </c>
      <c r="I582" s="341" t="s">
        <v>3</v>
      </c>
      <c r="J582" s="340" t="s">
        <v>1934</v>
      </c>
      <c r="K582" s="340" t="s">
        <v>1294</v>
      </c>
      <c r="L582" s="14">
        <v>44788</v>
      </c>
      <c r="M582" t="s">
        <v>3760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>
      <c r="A583" s="340">
        <f>COUNTA($E$3:E583)</f>
        <v>581</v>
      </c>
      <c r="B583" s="340" t="s">
        <v>3716</v>
      </c>
      <c r="C583" s="340" t="s">
        <v>41</v>
      </c>
      <c r="D583" s="340" t="s">
        <v>1103</v>
      </c>
      <c r="E583" s="340" t="s">
        <v>3717</v>
      </c>
      <c r="F583" s="341">
        <v>44784.675908969897</v>
      </c>
      <c r="G583" s="341"/>
      <c r="H583" s="341"/>
      <c r="I583" s="341" t="s">
        <v>3</v>
      </c>
      <c r="J583" s="340" t="s">
        <v>3718</v>
      </c>
      <c r="K583" s="340" t="s">
        <v>1294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>
      <c r="A584" s="340">
        <f>COUNTA($E$3:E584)</f>
        <v>582</v>
      </c>
      <c r="B584" s="340" t="s">
        <v>3633</v>
      </c>
      <c r="C584" s="340" t="s">
        <v>21</v>
      </c>
      <c r="D584" s="340" t="s">
        <v>34</v>
      </c>
      <c r="E584" s="340" t="s">
        <v>2059</v>
      </c>
      <c r="F584" s="341">
        <v>44776</v>
      </c>
      <c r="G584" s="341"/>
      <c r="H584" s="341"/>
      <c r="I584" s="341" t="s">
        <v>3</v>
      </c>
      <c r="J584" s="340" t="s">
        <v>17</v>
      </c>
      <c r="K584" s="340" t="s">
        <v>101</v>
      </c>
      <c r="L584" s="14">
        <v>44788</v>
      </c>
      <c r="M584" t="s">
        <v>3728</v>
      </c>
      <c r="N584" s="173">
        <v>44782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44782</v>
      </c>
    </row>
    <row r="585" spans="1:30">
      <c r="A585" s="340">
        <f>COUNTA($E$3:E585)</f>
        <v>583</v>
      </c>
      <c r="B585" s="340" t="s">
        <v>3628</v>
      </c>
      <c r="C585" s="340" t="s">
        <v>41</v>
      </c>
      <c r="D585" s="340" t="s">
        <v>1201</v>
      </c>
      <c r="E585" s="340" t="s">
        <v>3629</v>
      </c>
      <c r="F585" s="341">
        <v>44774</v>
      </c>
      <c r="G585" s="341"/>
      <c r="H585" s="341" t="s">
        <v>66</v>
      </c>
      <c r="I585" s="341" t="s">
        <v>3</v>
      </c>
      <c r="J585" s="340" t="s">
        <v>1666</v>
      </c>
      <c r="K585" s="340" t="s">
        <v>1295</v>
      </c>
      <c r="L585" s="14">
        <v>44788</v>
      </c>
      <c r="M585" t="s">
        <v>3756</v>
      </c>
      <c r="N585" s="173">
        <v>44819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44819</v>
      </c>
    </row>
    <row r="586" spans="1:30">
      <c r="A586" s="340">
        <f>COUNTA($E$3:E586)</f>
        <v>584</v>
      </c>
      <c r="B586" s="340" t="s">
        <v>3721</v>
      </c>
      <c r="C586" s="340" t="s">
        <v>37</v>
      </c>
      <c r="D586" s="340" t="s">
        <v>30</v>
      </c>
      <c r="E586" s="340" t="s">
        <v>1289</v>
      </c>
      <c r="F586" s="341">
        <v>44777</v>
      </c>
      <c r="G586" s="341"/>
      <c r="H586" s="341"/>
      <c r="I586" s="341" t="s">
        <v>2</v>
      </c>
      <c r="J586" s="340" t="s">
        <v>2656</v>
      </c>
      <c r="K586" s="340" t="s">
        <v>1120</v>
      </c>
      <c r="L586" s="14">
        <v>44781</v>
      </c>
      <c r="M586" t="s">
        <v>3732</v>
      </c>
      <c r="N586" s="173">
        <v>44782</v>
      </c>
      <c r="O586" s="178"/>
      <c r="Q586" t="s">
        <v>129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44782</v>
      </c>
    </row>
    <row r="587" spans="1:30">
      <c r="A587" s="340">
        <f>COUNTA($E$3:E587)</f>
        <v>585</v>
      </c>
      <c r="B587" s="340" t="s">
        <v>3631</v>
      </c>
      <c r="C587" s="340" t="s">
        <v>41</v>
      </c>
      <c r="D587" s="340" t="s">
        <v>16</v>
      </c>
      <c r="E587" s="340" t="s">
        <v>1203</v>
      </c>
      <c r="F587" s="341">
        <v>44775</v>
      </c>
      <c r="G587" s="341"/>
      <c r="H587" s="341"/>
      <c r="I587" s="341" t="s">
        <v>2</v>
      </c>
      <c r="J587" s="340" t="s">
        <v>1664</v>
      </c>
      <c r="K587" s="340" t="s">
        <v>1287</v>
      </c>
      <c r="L587" s="14">
        <v>44781</v>
      </c>
      <c r="N587" s="173">
        <v>44781</v>
      </c>
      <c r="O587" s="178"/>
      <c r="Q587" t="s">
        <v>129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44781</v>
      </c>
    </row>
    <row r="588" spans="1:30">
      <c r="A588" s="340">
        <f>COUNTA($E$3:E588)</f>
        <v>586</v>
      </c>
      <c r="B588" s="340" t="s">
        <v>3570</v>
      </c>
      <c r="C588" s="340" t="s">
        <v>1113</v>
      </c>
      <c r="D588" s="340" t="s">
        <v>58</v>
      </c>
      <c r="E588" s="340" t="s">
        <v>3571</v>
      </c>
      <c r="F588" s="341">
        <v>44764</v>
      </c>
      <c r="G588" s="341"/>
      <c r="H588" s="341"/>
      <c r="I588" s="341" t="s">
        <v>2</v>
      </c>
      <c r="J588" s="340" t="s">
        <v>17</v>
      </c>
      <c r="K588" s="340" t="s">
        <v>1294</v>
      </c>
      <c r="L588" s="14">
        <v>44781</v>
      </c>
      <c r="M588" t="s">
        <v>3727</v>
      </c>
      <c r="N588" s="173">
        <v>44781</v>
      </c>
      <c r="O588" s="178"/>
      <c r="Q588" t="s">
        <v>22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44781</v>
      </c>
    </row>
    <row r="589" spans="1:30">
      <c r="A589" s="340">
        <f>COUNTA($E$3:E589)</f>
        <v>587</v>
      </c>
      <c r="B589" s="340" t="s">
        <v>3484</v>
      </c>
      <c r="C589" s="340" t="s">
        <v>41</v>
      </c>
      <c r="D589" s="340" t="s">
        <v>32</v>
      </c>
      <c r="E589" s="340" t="s">
        <v>1282</v>
      </c>
      <c r="F589" s="341">
        <v>44749</v>
      </c>
      <c r="G589" s="341"/>
      <c r="H589" s="341" t="s">
        <v>66</v>
      </c>
      <c r="I589" s="341" t="s">
        <v>2</v>
      </c>
      <c r="J589" s="340" t="s">
        <v>17</v>
      </c>
      <c r="K589" s="340" t="s">
        <v>2032</v>
      </c>
      <c r="L589" s="14">
        <v>44781</v>
      </c>
      <c r="M589" t="s">
        <v>3734</v>
      </c>
      <c r="N589" s="173">
        <v>44785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44785</v>
      </c>
    </row>
    <row r="590" spans="1:30">
      <c r="A590" s="340">
        <f>COUNTA($E$3:E590)</f>
        <v>588</v>
      </c>
      <c r="B590" s="340" t="s">
        <v>3448</v>
      </c>
      <c r="C590" s="340" t="s">
        <v>41</v>
      </c>
      <c r="D590" s="340" t="s">
        <v>16</v>
      </c>
      <c r="E590" s="340" t="s">
        <v>3449</v>
      </c>
      <c r="F590" s="341">
        <v>44743</v>
      </c>
      <c r="G590" s="341"/>
      <c r="H590" s="341" t="s">
        <v>66</v>
      </c>
      <c r="I590" s="341" t="s">
        <v>2</v>
      </c>
      <c r="J590" s="340" t="s">
        <v>1875</v>
      </c>
      <c r="K590" s="340" t="s">
        <v>1295</v>
      </c>
      <c r="L590" s="14">
        <v>44781</v>
      </c>
      <c r="M590" t="s">
        <v>3733</v>
      </c>
      <c r="N590" s="173">
        <v>44785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44785</v>
      </c>
    </row>
    <row r="591" spans="1:30">
      <c r="A591" s="340">
        <f>COUNTA($E$3:E591)</f>
        <v>589</v>
      </c>
      <c r="B591" s="340" t="s">
        <v>3630</v>
      </c>
      <c r="C591" s="340" t="s">
        <v>2370</v>
      </c>
      <c r="D591" s="340" t="s">
        <v>1220</v>
      </c>
      <c r="E591" s="340" t="s">
        <v>1221</v>
      </c>
      <c r="F591" s="341">
        <v>44774</v>
      </c>
      <c r="G591" s="341"/>
      <c r="H591" s="341"/>
      <c r="I591" s="341" t="s">
        <v>3</v>
      </c>
      <c r="J591" s="340" t="s">
        <v>1649</v>
      </c>
      <c r="K591" s="340" t="s">
        <v>2032</v>
      </c>
      <c r="L591" s="14">
        <v>44781</v>
      </c>
      <c r="M591" t="s">
        <v>3731</v>
      </c>
      <c r="N591" s="173">
        <v>44781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44781</v>
      </c>
    </row>
    <row r="592" spans="1:30">
      <c r="A592" s="340">
        <f>COUNTA($E$3:E592)</f>
        <v>590</v>
      </c>
      <c r="B592" s="340" t="s">
        <v>3600</v>
      </c>
      <c r="C592" s="340" t="s">
        <v>21</v>
      </c>
      <c r="D592" s="340" t="s">
        <v>34</v>
      </c>
      <c r="E592" s="340" t="s">
        <v>1682</v>
      </c>
      <c r="F592" s="341">
        <v>44769</v>
      </c>
      <c r="G592" s="341"/>
      <c r="H592" s="341"/>
      <c r="I592" s="341" t="s">
        <v>3</v>
      </c>
      <c r="J592" s="340" t="s">
        <v>1760</v>
      </c>
      <c r="K592" s="340" t="s">
        <v>1089</v>
      </c>
      <c r="L592" s="14">
        <v>44781</v>
      </c>
      <c r="M592" t="s">
        <v>3613</v>
      </c>
      <c r="N592" s="173">
        <v>44795</v>
      </c>
      <c r="O592" s="178"/>
      <c r="Q592" t="s">
        <v>129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44795</v>
      </c>
    </row>
    <row r="593" spans="1:30">
      <c r="A593" s="340">
        <f>COUNTA($E$3:E593)</f>
        <v>591</v>
      </c>
      <c r="B593" s="340" t="s">
        <v>3598</v>
      </c>
      <c r="C593" s="340" t="s">
        <v>44</v>
      </c>
      <c r="D593" s="340" t="s">
        <v>1129</v>
      </c>
      <c r="E593" s="340" t="s">
        <v>1812</v>
      </c>
      <c r="F593" s="341">
        <v>44769.734977</v>
      </c>
      <c r="G593" s="341"/>
      <c r="H593" s="341"/>
      <c r="I593" s="341" t="s">
        <v>3</v>
      </c>
      <c r="J593" s="340" t="s">
        <v>1485</v>
      </c>
      <c r="K593" s="340" t="s">
        <v>1295</v>
      </c>
      <c r="L593" s="14">
        <v>44781</v>
      </c>
      <c r="M593" t="s">
        <v>3730</v>
      </c>
      <c r="N593" s="173">
        <v>44781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44781</v>
      </c>
    </row>
    <row r="594" spans="1:30">
      <c r="A594" s="340">
        <f>COUNTA($E$3:E594)</f>
        <v>592</v>
      </c>
      <c r="B594" s="340" t="s">
        <v>3596</v>
      </c>
      <c r="C594" s="340" t="s">
        <v>41</v>
      </c>
      <c r="D594" s="340" t="s">
        <v>3179</v>
      </c>
      <c r="E594" s="340" t="s">
        <v>3597</v>
      </c>
      <c r="F594" s="341">
        <v>44769.734281999998</v>
      </c>
      <c r="G594" s="341"/>
      <c r="H594" s="341"/>
      <c r="I594" s="341" t="s">
        <v>3</v>
      </c>
      <c r="J594" s="340" t="s">
        <v>1485</v>
      </c>
      <c r="K594" s="340" t="s">
        <v>1274</v>
      </c>
      <c r="L594" s="14">
        <v>44781</v>
      </c>
      <c r="M594" t="s">
        <v>3729</v>
      </c>
      <c r="N594" s="173">
        <v>44781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44781</v>
      </c>
    </row>
    <row r="595" spans="1:30">
      <c r="A595" s="340">
        <f>COUNTA($E$3:E595)</f>
        <v>593</v>
      </c>
      <c r="B595" s="340" t="s">
        <v>3577</v>
      </c>
      <c r="C595" s="340" t="s">
        <v>109</v>
      </c>
      <c r="D595" s="340" t="s">
        <v>58</v>
      </c>
      <c r="E595" s="340" t="s">
        <v>3578</v>
      </c>
      <c r="F595" s="341">
        <v>44769</v>
      </c>
      <c r="G595" s="341"/>
      <c r="H595" s="341"/>
      <c r="I595" s="341" t="s">
        <v>3</v>
      </c>
      <c r="J595" s="340" t="s">
        <v>2570</v>
      </c>
      <c r="K595" s="340" t="s">
        <v>33</v>
      </c>
      <c r="L595" s="14">
        <v>44781</v>
      </c>
      <c r="M595" t="s">
        <v>3728</v>
      </c>
      <c r="N595" s="173">
        <v>44781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44781</v>
      </c>
    </row>
    <row r="596" spans="1:30">
      <c r="A596" s="340">
        <f>COUNTA($E$3:E596)</f>
        <v>594</v>
      </c>
      <c r="B596" s="340" t="s">
        <v>2940</v>
      </c>
      <c r="C596" s="340" t="s">
        <v>44</v>
      </c>
      <c r="D596" s="340" t="s">
        <v>2941</v>
      </c>
      <c r="E596" s="340" t="s">
        <v>163</v>
      </c>
      <c r="F596" s="341">
        <v>44676</v>
      </c>
      <c r="G596" s="341"/>
      <c r="H596" s="341" t="s">
        <v>66</v>
      </c>
      <c r="I596" s="341" t="s">
        <v>3</v>
      </c>
      <c r="J596" s="340" t="s">
        <v>1664</v>
      </c>
      <c r="K596" s="340" t="s">
        <v>20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>
      <c r="A597" s="340">
        <f>COUNTA($E$3:E597)</f>
        <v>595</v>
      </c>
      <c r="B597" s="340" t="s">
        <v>3590</v>
      </c>
      <c r="C597" s="340" t="s">
        <v>41</v>
      </c>
      <c r="D597" s="340" t="s">
        <v>49</v>
      </c>
      <c r="E597" s="340" t="s">
        <v>1143</v>
      </c>
      <c r="F597" s="341">
        <v>44769</v>
      </c>
      <c r="G597" s="341"/>
      <c r="H597" s="341"/>
      <c r="I597" s="341" t="s">
        <v>1110</v>
      </c>
      <c r="J597" s="340" t="s">
        <v>1485</v>
      </c>
      <c r="K597" s="340" t="s">
        <v>53</v>
      </c>
      <c r="L597" s="14">
        <v>44774</v>
      </c>
      <c r="M597" t="s">
        <v>3608</v>
      </c>
      <c r="N597" s="173">
        <v>44785</v>
      </c>
      <c r="O597" s="178"/>
      <c r="Q597" t="s">
        <v>129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44785</v>
      </c>
    </row>
    <row r="598" spans="1:30">
      <c r="A598" s="340">
        <f>COUNTA($E$3:E598)</f>
        <v>596</v>
      </c>
      <c r="B598" s="340" t="s">
        <v>3601</v>
      </c>
      <c r="C598" s="340" t="s">
        <v>57</v>
      </c>
      <c r="D598" s="340" t="s">
        <v>16</v>
      </c>
      <c r="E598" s="340" t="s">
        <v>2893</v>
      </c>
      <c r="F598" s="341">
        <v>44769</v>
      </c>
      <c r="G598" s="341"/>
      <c r="H598" s="341"/>
      <c r="I598" s="341" t="s">
        <v>2</v>
      </c>
      <c r="J598" s="340" t="s">
        <v>2894</v>
      </c>
      <c r="K598" s="340" t="s">
        <v>24</v>
      </c>
      <c r="L598" s="14">
        <v>44774</v>
      </c>
      <c r="M598" t="s">
        <v>3606</v>
      </c>
      <c r="N598" s="173">
        <v>44774</v>
      </c>
      <c r="O598" s="178"/>
      <c r="Q598" t="s">
        <v>22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44774</v>
      </c>
    </row>
    <row r="599" spans="1:30">
      <c r="A599" s="340">
        <f>COUNTA($E$3:E599)</f>
        <v>597</v>
      </c>
      <c r="B599" s="340" t="s">
        <v>3574</v>
      </c>
      <c r="C599" s="340" t="s">
        <v>57</v>
      </c>
      <c r="D599" s="340" t="s">
        <v>34</v>
      </c>
      <c r="E599" s="340" t="s">
        <v>2902</v>
      </c>
      <c r="F599" s="341">
        <v>44767</v>
      </c>
      <c r="G599" s="341"/>
      <c r="H599" s="341"/>
      <c r="I599" s="341" t="s">
        <v>2</v>
      </c>
      <c r="J599" s="340" t="s">
        <v>2903</v>
      </c>
      <c r="K599" s="340" t="s">
        <v>1294</v>
      </c>
      <c r="L599" s="14">
        <v>44774</v>
      </c>
      <c r="M599" t="s">
        <v>3604</v>
      </c>
      <c r="N599" s="173">
        <v>44774</v>
      </c>
      <c r="O599" s="178"/>
      <c r="Q599" t="s">
        <v>22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44774</v>
      </c>
    </row>
    <row r="600" spans="1:30">
      <c r="A600" s="340">
        <f>COUNTA($E$3:E600)</f>
        <v>598</v>
      </c>
      <c r="B600" s="340" t="s">
        <v>3555</v>
      </c>
      <c r="C600" s="340" t="s">
        <v>37</v>
      </c>
      <c r="D600" s="340" t="s">
        <v>30</v>
      </c>
      <c r="E600" s="340" t="s">
        <v>3367</v>
      </c>
      <c r="F600" s="341">
        <v>44762.540179189797</v>
      </c>
      <c r="G600" s="341"/>
      <c r="H600" s="341"/>
      <c r="I600" s="341" t="s">
        <v>2</v>
      </c>
      <c r="J600" s="340" t="s">
        <v>1659</v>
      </c>
      <c r="K600" s="340"/>
      <c r="L600" s="14">
        <v>44774</v>
      </c>
      <c r="M600" t="s">
        <v>3621</v>
      </c>
      <c r="N600" s="173">
        <v>44782</v>
      </c>
      <c r="O600" s="178"/>
      <c r="Q600" t="s">
        <v>129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44782</v>
      </c>
    </row>
    <row r="601" spans="1:30">
      <c r="A601" s="340">
        <f>COUNTA($E$3:E601)</f>
        <v>599</v>
      </c>
      <c r="B601" s="340" t="s">
        <v>2748</v>
      </c>
      <c r="C601" s="340" t="s">
        <v>37</v>
      </c>
      <c r="D601" s="340" t="s">
        <v>30</v>
      </c>
      <c r="E601" s="340" t="s">
        <v>2749</v>
      </c>
      <c r="F601" s="341">
        <v>44651</v>
      </c>
      <c r="G601" s="341"/>
      <c r="H601" s="341">
        <v>44691</v>
      </c>
      <c r="I601" s="341" t="s">
        <v>2</v>
      </c>
      <c r="J601" s="340" t="s">
        <v>1662</v>
      </c>
      <c r="K601" s="340" t="s">
        <v>1274</v>
      </c>
      <c r="L601" s="14">
        <v>44774</v>
      </c>
      <c r="N601" s="173">
        <v>45021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45021</v>
      </c>
    </row>
    <row r="602" spans="1:30">
      <c r="A602" s="340">
        <f>COUNTA($E$3:E602)</f>
        <v>600</v>
      </c>
      <c r="B602" s="340" t="s">
        <v>2633</v>
      </c>
      <c r="C602" s="340" t="s">
        <v>37</v>
      </c>
      <c r="D602" s="340" t="s">
        <v>30</v>
      </c>
      <c r="E602" s="340" t="s">
        <v>2634</v>
      </c>
      <c r="F602" s="341">
        <v>44636</v>
      </c>
      <c r="G602" s="341"/>
      <c r="H602" s="341">
        <v>44658</v>
      </c>
      <c r="I602" s="341" t="s">
        <v>2</v>
      </c>
      <c r="J602" s="340" t="s">
        <v>2705</v>
      </c>
      <c r="K602" s="340" t="s">
        <v>1296</v>
      </c>
      <c r="L602" s="14">
        <v>44774</v>
      </c>
      <c r="M602" t="s">
        <v>3604</v>
      </c>
      <c r="N602" s="173">
        <v>44774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44774</v>
      </c>
    </row>
    <row r="603" spans="1:30">
      <c r="A603" s="340">
        <f>COUNTA($E$3:E603)</f>
        <v>601</v>
      </c>
      <c r="B603" s="340" t="s">
        <v>2620</v>
      </c>
      <c r="C603" s="340" t="s">
        <v>1106</v>
      </c>
      <c r="D603" s="340" t="s">
        <v>58</v>
      </c>
      <c r="E603" s="340" t="s">
        <v>2621</v>
      </c>
      <c r="F603" s="341">
        <v>44634</v>
      </c>
      <c r="G603" s="341"/>
      <c r="H603" s="341">
        <v>44636</v>
      </c>
      <c r="I603" s="341" t="s">
        <v>2</v>
      </c>
      <c r="J603" s="340" t="s">
        <v>2622</v>
      </c>
      <c r="K603" s="340" t="s">
        <v>1295</v>
      </c>
      <c r="L603" s="14">
        <v>44774</v>
      </c>
      <c r="M603" t="s">
        <v>3603</v>
      </c>
      <c r="N603" s="173">
        <v>44760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44760</v>
      </c>
    </row>
    <row r="604" spans="1:30">
      <c r="A604" s="340">
        <f>COUNTA($E$3:E604)</f>
        <v>602</v>
      </c>
      <c r="B604" s="340" t="s">
        <v>2479</v>
      </c>
      <c r="C604" s="340" t="s">
        <v>2370</v>
      </c>
      <c r="D604" s="340" t="s">
        <v>1207</v>
      </c>
      <c r="E604" s="340" t="s">
        <v>1269</v>
      </c>
      <c r="F604" s="341">
        <v>44599</v>
      </c>
      <c r="G604" s="341"/>
      <c r="H604" s="341">
        <v>44603</v>
      </c>
      <c r="I604" s="341" t="s">
        <v>2</v>
      </c>
      <c r="J604" s="340" t="s">
        <v>2480</v>
      </c>
      <c r="K604" s="340" t="s">
        <v>287</v>
      </c>
      <c r="L604" s="14">
        <v>44774</v>
      </c>
      <c r="M604" t="s">
        <v>3602</v>
      </c>
      <c r="N604" s="173">
        <v>44774</v>
      </c>
      <c r="O604" s="178"/>
      <c r="Q604" t="s">
        <v>22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44774</v>
      </c>
    </row>
    <row r="605" spans="1:30">
      <c r="A605" s="340">
        <f>COUNTA($E$3:E605)</f>
        <v>603</v>
      </c>
      <c r="B605" s="340" t="s">
        <v>3558</v>
      </c>
      <c r="C605" s="340" t="s">
        <v>21</v>
      </c>
      <c r="D605" s="340" t="s">
        <v>30</v>
      </c>
      <c r="E605" s="340" t="s">
        <v>3033</v>
      </c>
      <c r="F605" s="341">
        <v>44763.76489583333</v>
      </c>
      <c r="G605" s="341"/>
      <c r="H605" s="341"/>
      <c r="I605" s="341" t="s">
        <v>3</v>
      </c>
      <c r="J605" s="340" t="s">
        <v>1485</v>
      </c>
      <c r="K605" s="340" t="s">
        <v>1296</v>
      </c>
      <c r="L605" s="14">
        <v>44774</v>
      </c>
      <c r="M605" t="s">
        <v>3604</v>
      </c>
      <c r="N605" s="173">
        <v>44769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44769</v>
      </c>
    </row>
    <row r="606" spans="1:30">
      <c r="A606" s="340">
        <f>COUNTA($E$3:E606)</f>
        <v>604</v>
      </c>
      <c r="B606" s="340" t="s">
        <v>3274</v>
      </c>
      <c r="C606" s="340" t="s">
        <v>41</v>
      </c>
      <c r="D606" s="340" t="s">
        <v>1115</v>
      </c>
      <c r="E606" s="340" t="s">
        <v>3275</v>
      </c>
      <c r="F606" s="341">
        <v>44729</v>
      </c>
      <c r="G606" s="341"/>
      <c r="H606" s="341"/>
      <c r="I606" s="341" t="s">
        <v>3</v>
      </c>
      <c r="J606" s="340" t="s">
        <v>1666</v>
      </c>
      <c r="K606" s="340" t="s">
        <v>1295</v>
      </c>
      <c r="L606" s="14">
        <v>44774</v>
      </c>
      <c r="M606" t="s">
        <v>3604</v>
      </c>
      <c r="N606" s="173">
        <v>44774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44774</v>
      </c>
    </row>
    <row r="607" spans="1:30">
      <c r="A607" s="340">
        <f>COUNTA($E$3:E607)</f>
        <v>605</v>
      </c>
      <c r="B607" s="340" t="s">
        <v>3588</v>
      </c>
      <c r="C607" s="340" t="s">
        <v>41</v>
      </c>
      <c r="D607" s="340" t="s">
        <v>1181</v>
      </c>
      <c r="E607" s="340" t="s">
        <v>3589</v>
      </c>
      <c r="F607" s="341">
        <v>44769</v>
      </c>
      <c r="G607" s="341"/>
      <c r="H607" s="341"/>
      <c r="I607" s="341" t="s">
        <v>4</v>
      </c>
      <c r="J607" s="340" t="s">
        <v>2281</v>
      </c>
      <c r="K607" s="340" t="s">
        <v>53</v>
      </c>
      <c r="L607" s="14">
        <v>44774</v>
      </c>
      <c r="M607" t="s">
        <v>3608</v>
      </c>
      <c r="N607" s="173">
        <v>44774</v>
      </c>
      <c r="O607" s="178"/>
      <c r="Q607" t="s">
        <v>129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>
      <c r="A608" s="340">
        <f>COUNTA($E$3:E608)</f>
        <v>606</v>
      </c>
      <c r="B608" s="340" t="s">
        <v>3561</v>
      </c>
      <c r="C608" s="340" t="s">
        <v>37</v>
      </c>
      <c r="D608" s="340" t="s">
        <v>34</v>
      </c>
      <c r="E608" s="340" t="s">
        <v>3286</v>
      </c>
      <c r="F608" s="341">
        <v>44768</v>
      </c>
      <c r="G608" s="341"/>
      <c r="H608" s="341">
        <v>44748</v>
      </c>
      <c r="I608" s="341" t="s">
        <v>4</v>
      </c>
      <c r="J608" s="340" t="s">
        <v>1093</v>
      </c>
      <c r="K608" s="340"/>
      <c r="L608" s="14">
        <v>44774</v>
      </c>
      <c r="M608" t="s">
        <v>3605</v>
      </c>
      <c r="N608" s="173">
        <v>45000</v>
      </c>
      <c r="O608" s="178"/>
      <c r="Q608" t="s">
        <v>129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45000</v>
      </c>
    </row>
    <row r="609" spans="1:30">
      <c r="A609" s="340">
        <f>COUNTA($E$3:E609)</f>
        <v>607</v>
      </c>
      <c r="B609" s="340" t="s">
        <v>3575</v>
      </c>
      <c r="C609" s="340" t="s">
        <v>37</v>
      </c>
      <c r="D609" s="340" t="s">
        <v>30</v>
      </c>
      <c r="E609" s="340" t="s">
        <v>3372</v>
      </c>
      <c r="F609" s="341">
        <v>44768</v>
      </c>
      <c r="G609" s="341"/>
      <c r="H609" s="341"/>
      <c r="I609" s="341" t="s">
        <v>2</v>
      </c>
      <c r="J609" s="340" t="s">
        <v>1659</v>
      </c>
      <c r="K609" s="340"/>
      <c r="L609" s="14">
        <v>44774</v>
      </c>
      <c r="M609" t="s">
        <v>3607</v>
      </c>
      <c r="N609" s="173">
        <v>45021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45021</v>
      </c>
    </row>
    <row r="610" spans="1:30">
      <c r="A610" s="340">
        <f>COUNTA($E$3:E610)</f>
        <v>608</v>
      </c>
      <c r="B610" s="340" t="s">
        <v>3557</v>
      </c>
      <c r="C610" s="340" t="s">
        <v>37</v>
      </c>
      <c r="D610" s="340" t="s">
        <v>34</v>
      </c>
      <c r="E610" s="340" t="s">
        <v>3374</v>
      </c>
      <c r="F610" s="341">
        <v>44762</v>
      </c>
      <c r="G610" s="341"/>
      <c r="H610" s="341"/>
      <c r="I610" s="341" t="s">
        <v>2</v>
      </c>
      <c r="J610" s="340" t="s">
        <v>1667</v>
      </c>
      <c r="K610" s="340" t="s">
        <v>20</v>
      </c>
      <c r="L610" s="14">
        <v>44765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/>
    </row>
    <row r="611" spans="1:30">
      <c r="A611" s="340">
        <f>COUNTA($E$3:E611)</f>
        <v>609</v>
      </c>
      <c r="B611" s="340" t="s">
        <v>3556</v>
      </c>
      <c r="C611" s="340" t="s">
        <v>37</v>
      </c>
      <c r="D611" s="340" t="s">
        <v>34</v>
      </c>
      <c r="E611" s="340" t="s">
        <v>1263</v>
      </c>
      <c r="F611" s="341">
        <v>44762.540179189797</v>
      </c>
      <c r="G611" s="341"/>
      <c r="H611" s="341"/>
      <c r="I611" s="341" t="s">
        <v>2</v>
      </c>
      <c r="J611" s="340" t="s">
        <v>1485</v>
      </c>
      <c r="K611" s="340" t="s">
        <v>103</v>
      </c>
      <c r="L611" s="14">
        <v>44765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/>
    </row>
    <row r="612" spans="1:30">
      <c r="A612" s="340">
        <f>COUNTA($E$3:E612)</f>
        <v>610</v>
      </c>
      <c r="B612" s="340" t="s">
        <v>3544</v>
      </c>
      <c r="C612" s="340" t="s">
        <v>37</v>
      </c>
      <c r="D612" s="340" t="s">
        <v>30</v>
      </c>
      <c r="E612" s="340" t="s">
        <v>1122</v>
      </c>
      <c r="F612" s="341">
        <v>44760</v>
      </c>
      <c r="G612" s="341"/>
      <c r="H612" s="341"/>
      <c r="I612" s="341" t="s">
        <v>2</v>
      </c>
      <c r="J612" s="340" t="s">
        <v>3545</v>
      </c>
      <c r="K612" s="340" t="s">
        <v>125</v>
      </c>
      <c r="L612" s="14">
        <v>44765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/>
    </row>
    <row r="613" spans="1:30">
      <c r="A613" s="340">
        <f>COUNTA($E$3:E613)</f>
        <v>611</v>
      </c>
      <c r="B613" s="340" t="s">
        <v>3266</v>
      </c>
      <c r="C613" s="340" t="s">
        <v>57</v>
      </c>
      <c r="D613" s="340" t="s">
        <v>1103</v>
      </c>
      <c r="E613" s="340" t="s">
        <v>2899</v>
      </c>
      <c r="F613" s="341">
        <v>44763.559566631899</v>
      </c>
      <c r="G613" s="341"/>
      <c r="H613" s="341">
        <v>44676</v>
      </c>
      <c r="I613" s="341" t="s">
        <v>2</v>
      </c>
      <c r="J613" s="340" t="s">
        <v>2900</v>
      </c>
      <c r="K613" s="340" t="s">
        <v>1294</v>
      </c>
      <c r="L613" s="14">
        <v>44765</v>
      </c>
      <c r="M613" t="s">
        <v>3565</v>
      </c>
      <c r="N613" s="173">
        <v>44765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44765</v>
      </c>
    </row>
    <row r="614" spans="1:30">
      <c r="A614" s="340">
        <f>COUNTA($E$3:E614)</f>
        <v>612</v>
      </c>
      <c r="B614" s="340" t="s">
        <v>3173</v>
      </c>
      <c r="C614" s="340" t="s">
        <v>3041</v>
      </c>
      <c r="D614" s="340" t="s">
        <v>16</v>
      </c>
      <c r="E614" s="340" t="s">
        <v>3174</v>
      </c>
      <c r="F614" s="341">
        <v>44714</v>
      </c>
      <c r="G614" s="341"/>
      <c r="H614" s="341"/>
      <c r="I614" s="341" t="s">
        <v>2</v>
      </c>
      <c r="J614" s="340" t="s">
        <v>1724</v>
      </c>
      <c r="K614" s="340" t="s">
        <v>1296</v>
      </c>
      <c r="L614" s="14">
        <v>44765</v>
      </c>
      <c r="M614" t="s">
        <v>3564</v>
      </c>
      <c r="N614" s="173">
        <v>44768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44768</v>
      </c>
    </row>
    <row r="615" spans="1:30">
      <c r="A615" s="340">
        <f>COUNTA($E$3:E615)</f>
        <v>613</v>
      </c>
      <c r="B615" s="340" t="s">
        <v>3171</v>
      </c>
      <c r="C615" s="340" t="s">
        <v>3041</v>
      </c>
      <c r="D615" s="340" t="s">
        <v>16</v>
      </c>
      <c r="E615" s="340" t="s">
        <v>3172</v>
      </c>
      <c r="F615" s="341">
        <v>44714</v>
      </c>
      <c r="G615" s="341"/>
      <c r="H615" s="341"/>
      <c r="I615" s="341" t="s">
        <v>2</v>
      </c>
      <c r="J615" s="340" t="s">
        <v>1724</v>
      </c>
      <c r="K615" s="340" t="s">
        <v>1287</v>
      </c>
      <c r="L615" s="14">
        <v>44765</v>
      </c>
      <c r="M615" t="s">
        <v>3619</v>
      </c>
      <c r="N615" s="173">
        <v>44768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44768</v>
      </c>
    </row>
    <row r="616" spans="1:30">
      <c r="A616" s="340">
        <f>COUNTA($E$3:E616)</f>
        <v>614</v>
      </c>
      <c r="B616" s="340" t="s">
        <v>3104</v>
      </c>
      <c r="C616" s="340" t="s">
        <v>297</v>
      </c>
      <c r="D616" s="340" t="s">
        <v>3105</v>
      </c>
      <c r="E616" s="340" t="s">
        <v>3106</v>
      </c>
      <c r="F616" s="341">
        <v>44704</v>
      </c>
      <c r="G616" s="341"/>
      <c r="H616" s="341">
        <v>44711</v>
      </c>
      <c r="I616" s="341" t="s">
        <v>2</v>
      </c>
      <c r="J616" s="340" t="s">
        <v>3107</v>
      </c>
      <c r="K616" s="340" t="s">
        <v>24</v>
      </c>
      <c r="L616" s="14">
        <v>44765</v>
      </c>
      <c r="M616" t="s">
        <v>1761</v>
      </c>
      <c r="N616" s="173">
        <v>44765</v>
      </c>
      <c r="O616" s="178"/>
      <c r="Q616" t="s">
        <v>22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44765</v>
      </c>
    </row>
    <row r="617" spans="1:30">
      <c r="A617" s="340">
        <f>COUNTA($E$3:E617)</f>
        <v>615</v>
      </c>
      <c r="B617" s="340" t="s">
        <v>2832</v>
      </c>
      <c r="C617" s="340" t="s">
        <v>71</v>
      </c>
      <c r="D617" s="340" t="s">
        <v>1080</v>
      </c>
      <c r="E617" s="340" t="s">
        <v>2833</v>
      </c>
      <c r="F617" s="341">
        <v>44666</v>
      </c>
      <c r="G617" s="341"/>
      <c r="H617" s="341"/>
      <c r="I617" s="341" t="s">
        <v>2</v>
      </c>
      <c r="J617" s="340" t="s">
        <v>17</v>
      </c>
      <c r="K617" s="340" t="s">
        <v>287</v>
      </c>
      <c r="L617" s="14">
        <v>44765</v>
      </c>
      <c r="M617" t="s">
        <v>3562</v>
      </c>
      <c r="N617" s="173">
        <v>44771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44771</v>
      </c>
    </row>
    <row r="618" spans="1:30">
      <c r="A618" s="340">
        <f>COUNTA($E$3:E618)</f>
        <v>616</v>
      </c>
      <c r="B618" s="340" t="s">
        <v>3551</v>
      </c>
      <c r="C618" s="340" t="s">
        <v>1171</v>
      </c>
      <c r="D618" s="340" t="s">
        <v>31</v>
      </c>
      <c r="E618" s="340" t="s">
        <v>3552</v>
      </c>
      <c r="F618" s="341">
        <v>44762</v>
      </c>
      <c r="G618" s="341"/>
      <c r="H618" s="341"/>
      <c r="I618" s="341" t="s">
        <v>3</v>
      </c>
      <c r="J618" s="340" t="s">
        <v>1485</v>
      </c>
      <c r="K618" s="340" t="s">
        <v>24</v>
      </c>
      <c r="L618" s="14">
        <v>44765</v>
      </c>
      <c r="M618" t="s">
        <v>3567</v>
      </c>
      <c r="N618" s="173">
        <v>44765</v>
      </c>
      <c r="O618" s="178"/>
      <c r="Q618" t="s">
        <v>22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44765</v>
      </c>
    </row>
    <row r="619" spans="1:30">
      <c r="A619" s="340">
        <f>COUNTA($E$3:E619)</f>
        <v>617</v>
      </c>
      <c r="B619" s="340" t="s">
        <v>3546</v>
      </c>
      <c r="C619" s="340" t="s">
        <v>41</v>
      </c>
      <c r="D619" s="340" t="s">
        <v>30</v>
      </c>
      <c r="E619" s="340" t="s">
        <v>2970</v>
      </c>
      <c r="F619" s="341">
        <v>44760</v>
      </c>
      <c r="G619" s="341"/>
      <c r="H619" s="341"/>
      <c r="I619" s="341" t="s">
        <v>3</v>
      </c>
      <c r="J619" s="340" t="s">
        <v>1485</v>
      </c>
      <c r="K619" s="340" t="s">
        <v>1294</v>
      </c>
      <c r="L619" s="14">
        <v>44765</v>
      </c>
      <c r="M619" t="s">
        <v>3566</v>
      </c>
      <c r="N619" s="173">
        <v>44765</v>
      </c>
      <c r="O619" s="178"/>
      <c r="Q619" t="s">
        <v>22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>
        <v>44765</v>
      </c>
    </row>
    <row r="620" spans="1:30">
      <c r="A620" s="340">
        <f>COUNTA($E$3:E620)</f>
        <v>618</v>
      </c>
      <c r="B620" s="340" t="s">
        <v>3543</v>
      </c>
      <c r="C620" s="340" t="s">
        <v>41</v>
      </c>
      <c r="D620" s="340" t="s">
        <v>30</v>
      </c>
      <c r="E620" s="340" t="s">
        <v>2982</v>
      </c>
      <c r="F620" s="341">
        <v>44760</v>
      </c>
      <c r="G620" s="341"/>
      <c r="H620" s="341"/>
      <c r="I620" s="341" t="s">
        <v>3</v>
      </c>
      <c r="J620" s="340" t="s">
        <v>1485</v>
      </c>
      <c r="K620" s="340" t="s">
        <v>1294</v>
      </c>
      <c r="L620" s="14">
        <v>44765</v>
      </c>
      <c r="M620" t="s">
        <v>3566</v>
      </c>
      <c r="N620" s="173">
        <v>44765</v>
      </c>
      <c r="O620" s="178"/>
      <c r="Q620" t="s">
        <v>22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>
        <v>44765</v>
      </c>
    </row>
    <row r="621" spans="1:30">
      <c r="A621" s="340">
        <f>COUNTA($E$3:E621)</f>
        <v>619</v>
      </c>
      <c r="B621" s="340" t="s">
        <v>3026</v>
      </c>
      <c r="C621" s="340" t="s">
        <v>21</v>
      </c>
      <c r="D621" s="340" t="s">
        <v>30</v>
      </c>
      <c r="E621" s="340" t="s">
        <v>2023</v>
      </c>
      <c r="F621" s="341">
        <v>44692</v>
      </c>
      <c r="G621" s="341"/>
      <c r="H621" s="341">
        <v>44701</v>
      </c>
      <c r="I621" s="341" t="s">
        <v>3</v>
      </c>
      <c r="J621" s="340" t="s">
        <v>1723</v>
      </c>
      <c r="K621" s="340" t="s">
        <v>1296</v>
      </c>
      <c r="L621" s="14">
        <v>44765</v>
      </c>
      <c r="M621" t="s">
        <v>3562</v>
      </c>
      <c r="N621" s="173">
        <v>44742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>
        <v>44742</v>
      </c>
    </row>
    <row r="622" spans="1:30">
      <c r="A622" s="340">
        <f>COUNTA($E$3:E622)</f>
        <v>620</v>
      </c>
      <c r="B622" s="340" t="s">
        <v>3495</v>
      </c>
      <c r="C622" s="340" t="s">
        <v>37</v>
      </c>
      <c r="D622" s="340" t="s">
        <v>34</v>
      </c>
      <c r="E622" s="340" t="s">
        <v>1844</v>
      </c>
      <c r="F622" s="341">
        <v>44749.543322858801</v>
      </c>
      <c r="G622" s="341"/>
      <c r="H622" s="341"/>
      <c r="I622" s="341"/>
      <c r="J622" s="340" t="s">
        <v>1212</v>
      </c>
      <c r="K622" s="340" t="s">
        <v>1274</v>
      </c>
      <c r="L622" s="14">
        <v>44757</v>
      </c>
      <c r="M622" t="s">
        <v>3534</v>
      </c>
      <c r="N622" s="173">
        <v>44760</v>
      </c>
      <c r="O622" s="178"/>
      <c r="Q622" t="s">
        <v>129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44760</v>
      </c>
    </row>
    <row r="623" spans="1:30">
      <c r="A623" s="340">
        <f>COUNTA($E$3:E623)</f>
        <v>621</v>
      </c>
      <c r="B623" s="340" t="s">
        <v>3020</v>
      </c>
      <c r="C623" s="340" t="s">
        <v>3021</v>
      </c>
      <c r="D623" s="340" t="s">
        <v>1080</v>
      </c>
      <c r="E623" s="340" t="s">
        <v>3022</v>
      </c>
      <c r="F623" s="341">
        <v>44691</v>
      </c>
      <c r="G623" s="341"/>
      <c r="H623" s="341"/>
      <c r="I623" s="341" t="s">
        <v>2</v>
      </c>
      <c r="J623" s="340" t="s">
        <v>17</v>
      </c>
      <c r="K623" s="340" t="s">
        <v>24</v>
      </c>
      <c r="L623" s="14">
        <v>44757</v>
      </c>
      <c r="M623" t="s">
        <v>3056</v>
      </c>
      <c r="N623" s="173">
        <v>44764</v>
      </c>
      <c r="O623" s="178"/>
      <c r="Q623" t="s">
        <v>22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44764</v>
      </c>
    </row>
    <row r="624" spans="1:30">
      <c r="A624" s="340">
        <f>COUNTA($E$3:E624)</f>
        <v>622</v>
      </c>
      <c r="B624" s="340" t="s">
        <v>3508</v>
      </c>
      <c r="C624" s="340" t="s">
        <v>37</v>
      </c>
      <c r="D624" s="340" t="s">
        <v>30</v>
      </c>
      <c r="E624" s="340" t="s">
        <v>3370</v>
      </c>
      <c r="F624" s="341">
        <v>44754</v>
      </c>
      <c r="G624" s="341"/>
      <c r="H624" s="341"/>
      <c r="I624" s="341" t="s">
        <v>2</v>
      </c>
      <c r="J624" s="340" t="s">
        <v>2234</v>
      </c>
      <c r="K624" s="340" t="s">
        <v>20</v>
      </c>
      <c r="L624" s="14">
        <v>44757</v>
      </c>
      <c r="M624" t="s">
        <v>3535</v>
      </c>
      <c r="N624" s="173">
        <v>44760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44760</v>
      </c>
    </row>
    <row r="625" spans="1:30">
      <c r="A625" s="340">
        <f>COUNTA($E$3:E625)</f>
        <v>623</v>
      </c>
      <c r="B625" s="340" t="s">
        <v>3509</v>
      </c>
      <c r="C625" s="340" t="s">
        <v>37</v>
      </c>
      <c r="D625" s="340" t="s">
        <v>30</v>
      </c>
      <c r="E625" s="340" t="s">
        <v>3371</v>
      </c>
      <c r="F625" s="341">
        <v>44754</v>
      </c>
      <c r="G625" s="341"/>
      <c r="H625" s="341"/>
      <c r="I625" s="341" t="s">
        <v>2</v>
      </c>
      <c r="J625" s="340" t="s">
        <v>2234</v>
      </c>
      <c r="K625" s="340" t="s">
        <v>20</v>
      </c>
      <c r="L625" s="14">
        <v>44757</v>
      </c>
      <c r="M625" t="s">
        <v>3535</v>
      </c>
      <c r="N625" s="173">
        <v>45021</v>
      </c>
      <c r="O625" s="178"/>
      <c r="Q625" t="s">
        <v>129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45021</v>
      </c>
    </row>
    <row r="626" spans="1:30">
      <c r="A626" s="340">
        <f>COUNTA($E$3:E626)</f>
        <v>624</v>
      </c>
      <c r="B626" s="340" t="s">
        <v>3429</v>
      </c>
      <c r="C626" s="340" t="s">
        <v>41</v>
      </c>
      <c r="D626" s="340" t="s">
        <v>58</v>
      </c>
      <c r="E626" s="340" t="s">
        <v>1173</v>
      </c>
      <c r="F626" s="341">
        <v>44741</v>
      </c>
      <c r="G626" s="341"/>
      <c r="H626" s="341"/>
      <c r="I626" s="341" t="s">
        <v>2</v>
      </c>
      <c r="J626" s="340" t="s">
        <v>1485</v>
      </c>
      <c r="K626" s="340" t="s">
        <v>1296</v>
      </c>
      <c r="L626" s="14">
        <v>44757</v>
      </c>
      <c r="M626" t="s">
        <v>3541</v>
      </c>
      <c r="N626" s="173">
        <v>44757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44757</v>
      </c>
    </row>
    <row r="627" spans="1:30">
      <c r="A627" s="340">
        <f>COUNTA($E$3:E627)</f>
        <v>625</v>
      </c>
      <c r="B627" s="340" t="s">
        <v>3510</v>
      </c>
      <c r="C627" s="340" t="s">
        <v>37</v>
      </c>
      <c r="D627" s="340" t="s">
        <v>34</v>
      </c>
      <c r="E627" s="340" t="s">
        <v>3379</v>
      </c>
      <c r="F627" s="341">
        <v>44753</v>
      </c>
      <c r="G627" s="341"/>
      <c r="H627" s="341"/>
      <c r="I627" s="341" t="s">
        <v>2</v>
      </c>
      <c r="J627" s="340" t="s">
        <v>3522</v>
      </c>
      <c r="K627" s="340" t="s">
        <v>103</v>
      </c>
      <c r="L627" s="14">
        <v>44757</v>
      </c>
      <c r="O627" s="178"/>
      <c r="Q627" t="s">
        <v>129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/>
    </row>
    <row r="628" spans="1:30">
      <c r="A628" s="340">
        <f>COUNTA($E$3:E628)</f>
        <v>626</v>
      </c>
      <c r="B628" s="340" t="s">
        <v>3518</v>
      </c>
      <c r="C628" s="340" t="s">
        <v>37</v>
      </c>
      <c r="D628" s="340" t="s">
        <v>30</v>
      </c>
      <c r="E628" s="340" t="s">
        <v>1109</v>
      </c>
      <c r="F628" s="341">
        <v>44755</v>
      </c>
      <c r="G628" s="341"/>
      <c r="H628" s="341"/>
      <c r="I628" s="341" t="s">
        <v>2</v>
      </c>
      <c r="J628" s="340" t="s">
        <v>1702</v>
      </c>
      <c r="K628" s="340" t="s">
        <v>24</v>
      </c>
      <c r="L628" s="14">
        <v>44757</v>
      </c>
      <c r="O628" s="178"/>
      <c r="Q628" t="s">
        <v>129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/>
    </row>
    <row r="629" spans="1:30">
      <c r="A629" s="340">
        <f>COUNTA($E$3:E629)</f>
        <v>627</v>
      </c>
      <c r="B629" s="340" t="s">
        <v>2747</v>
      </c>
      <c r="C629" s="340" t="s">
        <v>37</v>
      </c>
      <c r="D629" s="340" t="s">
        <v>34</v>
      </c>
      <c r="E629" s="340" t="s">
        <v>1646</v>
      </c>
      <c r="F629" s="341">
        <v>44651</v>
      </c>
      <c r="G629" s="341"/>
      <c r="H629" s="341">
        <v>44656</v>
      </c>
      <c r="I629" s="341" t="s">
        <v>2</v>
      </c>
      <c r="J629" s="340" t="s">
        <v>1485</v>
      </c>
      <c r="K629" s="340" t="s">
        <v>1287</v>
      </c>
      <c r="L629" s="14">
        <v>44757</v>
      </c>
      <c r="M629" t="s">
        <v>3540</v>
      </c>
      <c r="N629" s="173">
        <v>45021</v>
      </c>
      <c r="O629" s="178"/>
      <c r="Q629" t="s">
        <v>129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45021</v>
      </c>
    </row>
    <row r="630" spans="1:30">
      <c r="A630" s="340">
        <f>COUNTA($E$3:E630)</f>
        <v>628</v>
      </c>
      <c r="B630" s="340" t="s">
        <v>3492</v>
      </c>
      <c r="C630" s="340" t="s">
        <v>37</v>
      </c>
      <c r="D630" s="340" t="s">
        <v>30</v>
      </c>
      <c r="E630" s="340" t="s">
        <v>3493</v>
      </c>
      <c r="F630" s="341">
        <v>44749.541262615698</v>
      </c>
      <c r="G630" s="341"/>
      <c r="H630" s="341"/>
      <c r="I630" s="341" t="s">
        <v>3</v>
      </c>
      <c r="J630" s="340" t="s">
        <v>1720</v>
      </c>
      <c r="K630" s="340" t="s">
        <v>1295</v>
      </c>
      <c r="L630" s="14">
        <v>44757</v>
      </c>
      <c r="M630" t="s">
        <v>3534</v>
      </c>
      <c r="N630" s="173">
        <v>44760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44760</v>
      </c>
    </row>
    <row r="631" spans="1:30">
      <c r="A631" s="340">
        <f>COUNTA($E$3:E631)</f>
        <v>629</v>
      </c>
      <c r="B631" s="340" t="s">
        <v>3480</v>
      </c>
      <c r="C631" s="340" t="s">
        <v>21</v>
      </c>
      <c r="D631" s="340" t="s">
        <v>30</v>
      </c>
      <c r="E631" s="340" t="s">
        <v>1252</v>
      </c>
      <c r="F631" s="341">
        <v>44748.802232523201</v>
      </c>
      <c r="G631" s="341"/>
      <c r="H631" s="341"/>
      <c r="I631" s="341" t="s">
        <v>3</v>
      </c>
      <c r="J631" s="340" t="s">
        <v>1720</v>
      </c>
      <c r="K631" s="340" t="s">
        <v>1295</v>
      </c>
      <c r="L631" s="14">
        <v>44757</v>
      </c>
      <c r="M631" t="s">
        <v>3534</v>
      </c>
      <c r="N631" s="173">
        <v>44769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44769</v>
      </c>
    </row>
    <row r="632" spans="1:30">
      <c r="A632" s="340">
        <f>COUNTA($E$3:E632)</f>
        <v>630</v>
      </c>
      <c r="B632" s="340" t="s">
        <v>3481</v>
      </c>
      <c r="C632" s="340" t="s">
        <v>21</v>
      </c>
      <c r="D632" s="340" t="s">
        <v>1169</v>
      </c>
      <c r="E632" s="340" t="s">
        <v>1170</v>
      </c>
      <c r="F632" s="341">
        <v>44748</v>
      </c>
      <c r="G632" s="341"/>
      <c r="H632" s="341"/>
      <c r="I632" s="341" t="s">
        <v>3</v>
      </c>
      <c r="J632" s="340" t="s">
        <v>1666</v>
      </c>
      <c r="K632" s="340" t="s">
        <v>1296</v>
      </c>
      <c r="L632" s="14">
        <v>44757</v>
      </c>
      <c r="M632" t="s">
        <v>3534</v>
      </c>
      <c r="N632" s="173">
        <v>44754</v>
      </c>
      <c r="O632" s="178"/>
      <c r="Q632" t="s">
        <v>129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44754</v>
      </c>
    </row>
    <row r="633" spans="1:30">
      <c r="A633" s="340">
        <f>COUNTA($E$3:E633)</f>
        <v>631</v>
      </c>
      <c r="B633" s="340" t="s">
        <v>3483</v>
      </c>
      <c r="C633" s="340" t="s">
        <v>41</v>
      </c>
      <c r="D633" s="340" t="s">
        <v>34</v>
      </c>
      <c r="E633" s="340" t="s">
        <v>2461</v>
      </c>
      <c r="F633" s="341">
        <v>44749.503326539401</v>
      </c>
      <c r="G633" s="341"/>
      <c r="H633" s="341"/>
      <c r="I633" s="341" t="s">
        <v>3</v>
      </c>
      <c r="J633" s="340" t="s">
        <v>1720</v>
      </c>
      <c r="K633" s="340" t="s">
        <v>1295</v>
      </c>
      <c r="L633" s="14">
        <v>44757</v>
      </c>
      <c r="M633" t="s">
        <v>3534</v>
      </c>
      <c r="N633" s="173">
        <v>44757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44757</v>
      </c>
    </row>
    <row r="634" spans="1:30">
      <c r="A634" s="340">
        <f>COUNTA($E$3:E634)</f>
        <v>632</v>
      </c>
      <c r="B634" s="340" t="s">
        <v>3485</v>
      </c>
      <c r="C634" s="340" t="s">
        <v>37</v>
      </c>
      <c r="D634" s="340" t="s">
        <v>34</v>
      </c>
      <c r="E634" s="340" t="s">
        <v>3237</v>
      </c>
      <c r="F634" s="341">
        <v>44749.529483206003</v>
      </c>
      <c r="G634" s="341"/>
      <c r="H634" s="341"/>
      <c r="I634" s="341" t="s">
        <v>3</v>
      </c>
      <c r="J634" s="340" t="s">
        <v>1779</v>
      </c>
      <c r="K634" s="340" t="s">
        <v>1295</v>
      </c>
      <c r="L634" s="14">
        <v>44757</v>
      </c>
      <c r="M634" t="s">
        <v>3534</v>
      </c>
      <c r="N634" s="173">
        <v>44760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44760</v>
      </c>
    </row>
    <row r="635" spans="1:30">
      <c r="A635" s="340">
        <f>COUNTA($E$3:E635)</f>
        <v>633</v>
      </c>
      <c r="B635" s="340" t="s">
        <v>3486</v>
      </c>
      <c r="C635" s="340" t="s">
        <v>37</v>
      </c>
      <c r="D635" s="340" t="s">
        <v>30</v>
      </c>
      <c r="E635" s="340" t="s">
        <v>3487</v>
      </c>
      <c r="F635" s="341">
        <v>44749.531642222202</v>
      </c>
      <c r="G635" s="341"/>
      <c r="H635" s="341"/>
      <c r="I635" s="341" t="s">
        <v>3</v>
      </c>
      <c r="J635" s="340" t="s">
        <v>3531</v>
      </c>
      <c r="K635" s="340" t="s">
        <v>1295</v>
      </c>
      <c r="L635" s="14">
        <v>44757</v>
      </c>
      <c r="M635" t="s">
        <v>3534</v>
      </c>
      <c r="N635" s="173">
        <v>44760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40">
        <f>COUNTA($E$3:E636)</f>
        <v>634</v>
      </c>
      <c r="B636" s="340" t="s">
        <v>3507</v>
      </c>
      <c r="C636" s="340" t="s">
        <v>37</v>
      </c>
      <c r="D636" s="340" t="s">
        <v>1704</v>
      </c>
      <c r="E636" s="340" t="s">
        <v>1705</v>
      </c>
      <c r="F636" s="341">
        <v>44753</v>
      </c>
      <c r="G636" s="341"/>
      <c r="H636" s="341"/>
      <c r="I636" s="341" t="s">
        <v>4</v>
      </c>
      <c r="J636" s="340" t="s">
        <v>1708</v>
      </c>
      <c r="K636" s="340" t="s">
        <v>1287</v>
      </c>
      <c r="L636" s="14">
        <v>44757</v>
      </c>
      <c r="M636" t="s">
        <v>3534</v>
      </c>
      <c r="N636" s="173">
        <v>44760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>
        <v>44760</v>
      </c>
    </row>
    <row r="637" spans="1:30">
      <c r="A637" s="340">
        <f>COUNTA($E$3:E637)</f>
        <v>635</v>
      </c>
      <c r="B637" s="340" t="s">
        <v>3511</v>
      </c>
      <c r="C637" s="340" t="s">
        <v>37</v>
      </c>
      <c r="D637" s="340" t="s">
        <v>27</v>
      </c>
      <c r="E637" s="340" t="s">
        <v>1947</v>
      </c>
      <c r="F637" s="341">
        <v>44754</v>
      </c>
      <c r="G637" s="341"/>
      <c r="H637" s="341"/>
      <c r="I637" s="341" t="s">
        <v>4</v>
      </c>
      <c r="J637" s="340" t="s">
        <v>1093</v>
      </c>
      <c r="K637" s="340" t="s">
        <v>1287</v>
      </c>
      <c r="L637" s="14">
        <v>44757</v>
      </c>
      <c r="M637" t="s">
        <v>3534</v>
      </c>
      <c r="N637" s="173">
        <v>44760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40">
        <f>COUNTA($E$3:E638)</f>
        <v>636</v>
      </c>
      <c r="B638" s="340" t="s">
        <v>3490</v>
      </c>
      <c r="C638" s="340" t="s">
        <v>37</v>
      </c>
      <c r="D638" s="340" t="s">
        <v>30</v>
      </c>
      <c r="E638" s="340" t="s">
        <v>3491</v>
      </c>
      <c r="F638" s="341">
        <v>44749.540311712997</v>
      </c>
      <c r="G638" s="341"/>
      <c r="H638" s="341"/>
      <c r="I638" s="341" t="s">
        <v>4</v>
      </c>
      <c r="J638" s="340" t="s">
        <v>459</v>
      </c>
      <c r="K638" s="340" t="s">
        <v>1295</v>
      </c>
      <c r="L638" s="14">
        <v>44757</v>
      </c>
      <c r="M638" t="s">
        <v>3534</v>
      </c>
      <c r="N638" s="173">
        <v>44760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44760</v>
      </c>
    </row>
    <row r="639" spans="1:30">
      <c r="A639" s="340">
        <f>COUNTA($E$3:E639)</f>
        <v>637</v>
      </c>
      <c r="B639" s="340" t="s">
        <v>3461</v>
      </c>
      <c r="C639" s="340" t="s">
        <v>37</v>
      </c>
      <c r="D639" s="340" t="s">
        <v>30</v>
      </c>
      <c r="E639" s="340" t="s">
        <v>1248</v>
      </c>
      <c r="F639" s="341">
        <v>44747</v>
      </c>
      <c r="G639" s="341"/>
      <c r="H639" s="341"/>
      <c r="I639" s="341"/>
      <c r="J639" s="340" t="s">
        <v>3465</v>
      </c>
      <c r="K639" s="340" t="s">
        <v>1287</v>
      </c>
      <c r="L639" s="14">
        <v>44753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/>
    </row>
    <row r="640" spans="1:30">
      <c r="A640" s="340">
        <f>COUNTA($E$3:E640)</f>
        <v>638</v>
      </c>
      <c r="B640" s="340" t="s">
        <v>3435</v>
      </c>
      <c r="C640" s="340" t="s">
        <v>37</v>
      </c>
      <c r="D640" s="340" t="s">
        <v>30</v>
      </c>
      <c r="E640" s="340" t="s">
        <v>1227</v>
      </c>
      <c r="F640" s="341">
        <v>44742</v>
      </c>
      <c r="G640" s="341"/>
      <c r="H640" s="341"/>
      <c r="I640" s="341" t="s">
        <v>2</v>
      </c>
      <c r="J640" s="340" t="s">
        <v>2234</v>
      </c>
      <c r="K640" s="340" t="s">
        <v>24</v>
      </c>
      <c r="L640" s="14">
        <v>44753</v>
      </c>
      <c r="M640" t="s">
        <v>3498</v>
      </c>
      <c r="N640" s="173">
        <v>44760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44760</v>
      </c>
    </row>
    <row r="641" spans="1:30">
      <c r="A641" s="340">
        <f>COUNTA($E$3:E641)</f>
        <v>639</v>
      </c>
      <c r="B641" s="340" t="s">
        <v>3130</v>
      </c>
      <c r="C641" s="340" t="s">
        <v>1119</v>
      </c>
      <c r="D641" s="340" t="s">
        <v>38</v>
      </c>
      <c r="E641" s="340" t="s">
        <v>3131</v>
      </c>
      <c r="F641" s="341">
        <v>44707</v>
      </c>
      <c r="G641" s="341">
        <v>44728</v>
      </c>
      <c r="H641" s="341">
        <v>44718</v>
      </c>
      <c r="I641" s="341" t="s">
        <v>2</v>
      </c>
      <c r="J641" s="340" t="s">
        <v>1679</v>
      </c>
      <c r="K641" s="340" t="s">
        <v>33</v>
      </c>
      <c r="L641" s="14">
        <v>44753</v>
      </c>
      <c r="M641" t="s">
        <v>3470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>
      <c r="A642" s="340">
        <f>COUNTA($E$3:E642)</f>
        <v>640</v>
      </c>
      <c r="B642" s="340" t="s">
        <v>3424</v>
      </c>
      <c r="C642" s="340" t="s">
        <v>37</v>
      </c>
      <c r="D642" s="340" t="s">
        <v>30</v>
      </c>
      <c r="E642" s="340" t="s">
        <v>1669</v>
      </c>
      <c r="F642" s="341">
        <v>44739</v>
      </c>
      <c r="G642" s="341"/>
      <c r="H642" s="341"/>
      <c r="I642" s="341" t="s">
        <v>2</v>
      </c>
      <c r="J642" s="340" t="s">
        <v>1485</v>
      </c>
      <c r="K642" s="340" t="s">
        <v>3504</v>
      </c>
      <c r="L642" s="14">
        <v>44753</v>
      </c>
      <c r="M642" t="s">
        <v>3473</v>
      </c>
      <c r="N642" s="173">
        <v>44907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44907</v>
      </c>
    </row>
    <row r="643" spans="1:30">
      <c r="A643" s="340">
        <f>COUNTA($E$3:E643)</f>
        <v>641</v>
      </c>
      <c r="B643" s="340" t="s">
        <v>3432</v>
      </c>
      <c r="C643" s="340" t="s">
        <v>1113</v>
      </c>
      <c r="D643" s="340" t="s">
        <v>64</v>
      </c>
      <c r="E643" s="340" t="s">
        <v>3093</v>
      </c>
      <c r="F643" s="341">
        <v>44742</v>
      </c>
      <c r="G643" s="341"/>
      <c r="H643" s="341"/>
      <c r="I643" s="341" t="s">
        <v>2</v>
      </c>
      <c r="J643" s="340" t="s">
        <v>17</v>
      </c>
      <c r="K643" s="340" t="s">
        <v>24</v>
      </c>
      <c r="L643" s="14">
        <v>44753</v>
      </c>
      <c r="M643" t="s">
        <v>3498</v>
      </c>
      <c r="N643" s="173">
        <v>44769</v>
      </c>
      <c r="O643" s="178"/>
      <c r="Q643" t="s">
        <v>22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44769</v>
      </c>
    </row>
    <row r="644" spans="1:30">
      <c r="A644" s="340">
        <f>COUNTA($E$3:E644)</f>
        <v>642</v>
      </c>
      <c r="B644" s="340" t="s">
        <v>3433</v>
      </c>
      <c r="C644" s="340" t="s">
        <v>1113</v>
      </c>
      <c r="D644" s="340" t="s">
        <v>64</v>
      </c>
      <c r="E644" s="340" t="s">
        <v>1728</v>
      </c>
      <c r="F644" s="341">
        <v>44742</v>
      </c>
      <c r="G644" s="341"/>
      <c r="H644" s="341"/>
      <c r="I644" s="341" t="s">
        <v>2</v>
      </c>
      <c r="J644" s="340" t="s">
        <v>1747</v>
      </c>
      <c r="K644" s="340" t="s">
        <v>20</v>
      </c>
      <c r="L644" s="14">
        <v>44753</v>
      </c>
      <c r="M644" t="s">
        <v>3497</v>
      </c>
      <c r="N644" s="173">
        <v>44769</v>
      </c>
      <c r="O644" s="178"/>
      <c r="Q644" t="s">
        <v>22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40">
        <f>COUNTA($E$3:E645)</f>
        <v>643</v>
      </c>
      <c r="B645" s="340" t="s">
        <v>3434</v>
      </c>
      <c r="C645" s="340" t="s">
        <v>37</v>
      </c>
      <c r="D645" s="340" t="s">
        <v>30</v>
      </c>
      <c r="E645" s="340" t="s">
        <v>3365</v>
      </c>
      <c r="F645" s="341">
        <v>44742.557962962965</v>
      </c>
      <c r="G645" s="341"/>
      <c r="H645" s="341"/>
      <c r="I645" s="341" t="s">
        <v>2</v>
      </c>
      <c r="J645" s="340" t="s">
        <v>1670</v>
      </c>
      <c r="K645" s="340" t="s">
        <v>20</v>
      </c>
      <c r="L645" s="14">
        <v>44753</v>
      </c>
      <c r="N645" s="173">
        <v>45122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/>
    </row>
    <row r="646" spans="1:30">
      <c r="A646" s="340">
        <f>COUNTA($E$3:E646)</f>
        <v>644</v>
      </c>
      <c r="B646" s="340" t="s">
        <v>3458</v>
      </c>
      <c r="C646" s="340" t="s">
        <v>37</v>
      </c>
      <c r="D646" s="340" t="s">
        <v>34</v>
      </c>
      <c r="E646" s="340" t="s">
        <v>1676</v>
      </c>
      <c r="F646" s="341">
        <v>44747</v>
      </c>
      <c r="G646" s="341"/>
      <c r="H646" s="341"/>
      <c r="I646" s="341" t="s">
        <v>2</v>
      </c>
      <c r="J646" s="340" t="s">
        <v>1485</v>
      </c>
      <c r="K646" s="340" t="s">
        <v>1089</v>
      </c>
      <c r="L646" s="14">
        <v>44753</v>
      </c>
      <c r="N646" s="173">
        <v>45158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/>
    </row>
    <row r="647" spans="1:30">
      <c r="A647" s="340">
        <f>COUNTA($E$3:E647)</f>
        <v>645</v>
      </c>
      <c r="B647" s="340" t="s">
        <v>3502</v>
      </c>
      <c r="C647" s="340" t="s">
        <v>37</v>
      </c>
      <c r="D647" s="340" t="s">
        <v>34</v>
      </c>
      <c r="E647" s="340" t="s">
        <v>1963</v>
      </c>
      <c r="F647" s="341">
        <v>44750</v>
      </c>
      <c r="G647" s="341"/>
      <c r="H647" s="341"/>
      <c r="I647" s="341" t="s">
        <v>3</v>
      </c>
      <c r="J647" s="340" t="s">
        <v>2070</v>
      </c>
      <c r="K647" s="340" t="s">
        <v>33</v>
      </c>
      <c r="L647" s="14">
        <v>44753</v>
      </c>
      <c r="N647" s="173">
        <v>45051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45051</v>
      </c>
    </row>
    <row r="648" spans="1:30">
      <c r="A648" s="340">
        <f>COUNTA($E$3:E648)</f>
        <v>646</v>
      </c>
      <c r="B648" s="340" t="s">
        <v>3014</v>
      </c>
      <c r="C648" s="340" t="s">
        <v>41</v>
      </c>
      <c r="D648" s="340" t="s">
        <v>32</v>
      </c>
      <c r="E648" s="340" t="s">
        <v>1159</v>
      </c>
      <c r="F648" s="341">
        <v>44690</v>
      </c>
      <c r="G648" s="341"/>
      <c r="H648" s="341"/>
      <c r="I648" s="341" t="s">
        <v>3</v>
      </c>
      <c r="J648" s="340" t="s">
        <v>3015</v>
      </c>
      <c r="K648" s="340"/>
      <c r="L648" s="14">
        <v>44753</v>
      </c>
      <c r="M648" t="s">
        <v>3505</v>
      </c>
      <c r="N648" s="173">
        <v>44770</v>
      </c>
      <c r="O648" s="178"/>
      <c r="Q648" t="s">
        <v>22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>
        <v>44770</v>
      </c>
    </row>
    <row r="649" spans="1:30">
      <c r="A649" s="340">
        <f>COUNTA($E$3:E649)</f>
        <v>647</v>
      </c>
      <c r="B649" s="340" t="s">
        <v>4238</v>
      </c>
      <c r="C649" s="340" t="s">
        <v>21</v>
      </c>
      <c r="D649" s="340" t="s">
        <v>30</v>
      </c>
      <c r="E649" s="340" t="s">
        <v>2786</v>
      </c>
      <c r="F649" s="341">
        <v>44746</v>
      </c>
      <c r="G649" s="341"/>
      <c r="H649" s="341"/>
      <c r="I649" s="341" t="s">
        <v>3</v>
      </c>
      <c r="J649" s="340" t="s">
        <v>1212</v>
      </c>
      <c r="K649" s="340" t="s">
        <v>101</v>
      </c>
      <c r="L649" s="14">
        <v>44753</v>
      </c>
      <c r="M649" t="s">
        <v>4239</v>
      </c>
      <c r="N649" s="173">
        <v>44756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44756</v>
      </c>
    </row>
    <row r="650" spans="1:30">
      <c r="A650" s="340">
        <f>COUNTA($E$3:E650)</f>
        <v>648</v>
      </c>
      <c r="B650" s="340" t="s">
        <v>3460</v>
      </c>
      <c r="C650" s="340" t="s">
        <v>3466</v>
      </c>
      <c r="D650" s="340" t="s">
        <v>30</v>
      </c>
      <c r="E650" s="340" t="s">
        <v>3467</v>
      </c>
      <c r="F650" s="341">
        <v>44747</v>
      </c>
      <c r="G650" s="341"/>
      <c r="H650" s="341"/>
      <c r="I650" s="341" t="s">
        <v>3</v>
      </c>
      <c r="J650" s="340" t="s">
        <v>1643</v>
      </c>
      <c r="K650" s="340"/>
      <c r="L650" s="14">
        <v>44753</v>
      </c>
      <c r="M650" t="s">
        <v>3472</v>
      </c>
      <c r="N650" s="173">
        <v>44753</v>
      </c>
      <c r="O650" s="178"/>
      <c r="Q650" t="s">
        <v>22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44753</v>
      </c>
    </row>
    <row r="651" spans="1:30">
      <c r="A651" s="340">
        <f>COUNTA($E$3:E651)</f>
        <v>649</v>
      </c>
      <c r="B651" s="340" t="s">
        <v>3475</v>
      </c>
      <c r="C651" s="340" t="s">
        <v>297</v>
      </c>
      <c r="D651" s="340" t="s">
        <v>3105</v>
      </c>
      <c r="E651" s="340" t="s">
        <v>3476</v>
      </c>
      <c r="F651" s="341">
        <v>44748</v>
      </c>
      <c r="G651" s="341"/>
      <c r="H651" s="341"/>
      <c r="I651" s="341" t="s">
        <v>3</v>
      </c>
      <c r="J651" s="340" t="s">
        <v>3477</v>
      </c>
      <c r="K651" s="340"/>
      <c r="L651" s="14">
        <v>44753</v>
      </c>
      <c r="M651" t="s">
        <v>3500</v>
      </c>
      <c r="N651" s="173">
        <v>44753</v>
      </c>
      <c r="O651" s="178"/>
      <c r="Q651" t="s">
        <v>22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44753</v>
      </c>
    </row>
    <row r="652" spans="1:30">
      <c r="A652" s="340">
        <f>COUNTA($E$3:E652)</f>
        <v>650</v>
      </c>
      <c r="B652" s="340" t="s">
        <v>3421</v>
      </c>
      <c r="C652" s="340" t="s">
        <v>41</v>
      </c>
      <c r="D652" s="340" t="s">
        <v>1080</v>
      </c>
      <c r="E652" s="340" t="s">
        <v>3422</v>
      </c>
      <c r="F652" s="341">
        <v>44739</v>
      </c>
      <c r="G652" s="341"/>
      <c r="H652" s="341"/>
      <c r="I652" s="341" t="s">
        <v>3</v>
      </c>
      <c r="J652" s="340" t="s">
        <v>17</v>
      </c>
      <c r="K652" s="340" t="s">
        <v>33</v>
      </c>
      <c r="L652" s="14">
        <v>44753</v>
      </c>
      <c r="N652" s="173">
        <v>44753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44753</v>
      </c>
    </row>
    <row r="653" spans="1:30">
      <c r="A653" s="340">
        <f>COUNTA($E$3:E653)</f>
        <v>651</v>
      </c>
      <c r="B653" s="340" t="s">
        <v>3307</v>
      </c>
      <c r="C653" s="340" t="s">
        <v>41</v>
      </c>
      <c r="D653" s="340" t="s">
        <v>1124</v>
      </c>
      <c r="E653" s="340" t="s">
        <v>3308</v>
      </c>
      <c r="F653" s="341">
        <v>44733</v>
      </c>
      <c r="G653" s="341"/>
      <c r="H653" s="341"/>
      <c r="I653" s="341" t="s">
        <v>3</v>
      </c>
      <c r="J653" s="340" t="s">
        <v>1652</v>
      </c>
      <c r="K653" s="340" t="s">
        <v>20</v>
      </c>
      <c r="L653" s="14">
        <v>44753</v>
      </c>
      <c r="M653" t="s">
        <v>3501</v>
      </c>
      <c r="N653" s="173">
        <v>44753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44753</v>
      </c>
    </row>
    <row r="654" spans="1:30">
      <c r="A654" s="340">
        <f>COUNTA($E$3:E654)</f>
        <v>652</v>
      </c>
      <c r="B654" s="340" t="s">
        <v>3482</v>
      </c>
      <c r="C654" s="340" t="s">
        <v>21</v>
      </c>
      <c r="D654" s="340" t="s">
        <v>25</v>
      </c>
      <c r="E654" s="340" t="s">
        <v>298</v>
      </c>
      <c r="F654" s="341">
        <v>44748</v>
      </c>
      <c r="G654" s="341"/>
      <c r="H654" s="341"/>
      <c r="I654" s="341" t="s">
        <v>3</v>
      </c>
      <c r="J654" s="340" t="s">
        <v>1649</v>
      </c>
      <c r="K654" s="340" t="s">
        <v>1089</v>
      </c>
      <c r="L654" s="14">
        <v>44753</v>
      </c>
      <c r="M654" t="s">
        <v>3503</v>
      </c>
      <c r="N654" s="173">
        <v>44754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40">
        <f>COUNTA($E$3:E655)</f>
        <v>653</v>
      </c>
      <c r="B655" s="340" t="s">
        <v>3445</v>
      </c>
      <c r="C655" s="340" t="s">
        <v>3446</v>
      </c>
      <c r="D655" s="340" t="s">
        <v>36</v>
      </c>
      <c r="E655" s="340" t="s">
        <v>3447</v>
      </c>
      <c r="F655" s="341">
        <v>44743</v>
      </c>
      <c r="G655" s="341"/>
      <c r="H655" s="341"/>
      <c r="I655" s="341" t="s">
        <v>3</v>
      </c>
      <c r="J655" s="340" t="s">
        <v>1760</v>
      </c>
      <c r="K655" s="340" t="s">
        <v>33</v>
      </c>
      <c r="L655" s="14">
        <v>44753</v>
      </c>
      <c r="M655" t="s">
        <v>3499</v>
      </c>
      <c r="N655" s="173">
        <v>44768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>
        <v>44768</v>
      </c>
    </row>
    <row r="656" spans="1:30">
      <c r="A656" s="340">
        <f>COUNTA($E$3:E656)</f>
        <v>654</v>
      </c>
      <c r="B656" s="340" t="s">
        <v>3426</v>
      </c>
      <c r="C656" s="340" t="s">
        <v>37</v>
      </c>
      <c r="D656" s="340" t="s">
        <v>30</v>
      </c>
      <c r="E656" s="340" t="s">
        <v>3376</v>
      </c>
      <c r="F656" s="341">
        <v>44741</v>
      </c>
      <c r="G656" s="341"/>
      <c r="H656" s="341"/>
      <c r="I656" s="341" t="s">
        <v>2</v>
      </c>
      <c r="J656" s="340" t="s">
        <v>3427</v>
      </c>
      <c r="K656" s="340" t="s">
        <v>287</v>
      </c>
      <c r="L656" s="14">
        <v>44745</v>
      </c>
      <c r="M656" t="s">
        <v>3452</v>
      </c>
      <c r="N656" s="173">
        <v>44754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44754</v>
      </c>
    </row>
    <row r="657" spans="1:30">
      <c r="A657" s="340">
        <f>COUNTA($E$3:E657)</f>
        <v>655</v>
      </c>
      <c r="B657" s="340" t="s">
        <v>3425</v>
      </c>
      <c r="C657" s="340" t="s">
        <v>37</v>
      </c>
      <c r="D657" s="340" t="s">
        <v>34</v>
      </c>
      <c r="E657" s="340" t="s">
        <v>296</v>
      </c>
      <c r="F657" s="341">
        <v>44740</v>
      </c>
      <c r="G657" s="341"/>
      <c r="H657" s="341"/>
      <c r="I657" s="341" t="s">
        <v>2</v>
      </c>
      <c r="J657" s="340" t="s">
        <v>1667</v>
      </c>
      <c r="K657" s="340" t="s">
        <v>1287</v>
      </c>
      <c r="L657" s="14">
        <v>44745</v>
      </c>
      <c r="M657" t="s">
        <v>3451</v>
      </c>
      <c r="N657" s="173">
        <v>44768</v>
      </c>
      <c r="O657" s="178"/>
      <c r="Q657" t="s">
        <v>129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44768</v>
      </c>
    </row>
    <row r="658" spans="1:30">
      <c r="A658" s="340">
        <f>COUNTA($E$3:E658)</f>
        <v>656</v>
      </c>
      <c r="B658" s="340" t="s">
        <v>3423</v>
      </c>
      <c r="C658" s="340" t="s">
        <v>37</v>
      </c>
      <c r="D658" s="340" t="s">
        <v>34</v>
      </c>
      <c r="E658" s="340" t="s">
        <v>3366</v>
      </c>
      <c r="F658" s="341">
        <v>44739</v>
      </c>
      <c r="G658" s="341"/>
      <c r="H658" s="341"/>
      <c r="I658" s="341" t="s">
        <v>2</v>
      </c>
      <c r="J658" s="340" t="s">
        <v>1723</v>
      </c>
      <c r="K658" s="340" t="s">
        <v>1295</v>
      </c>
      <c r="L658" s="14">
        <v>44745</v>
      </c>
      <c r="N658" s="173">
        <v>45051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45051</v>
      </c>
    </row>
    <row r="659" spans="1:30">
      <c r="A659" s="340">
        <f>COUNTA($E$3:E659)</f>
        <v>657</v>
      </c>
      <c r="B659" s="340" t="s">
        <v>3420</v>
      </c>
      <c r="C659" s="340" t="s">
        <v>37</v>
      </c>
      <c r="D659" s="340" t="s">
        <v>34</v>
      </c>
      <c r="E659" s="340" t="s">
        <v>3369</v>
      </c>
      <c r="F659" s="341">
        <v>44739</v>
      </c>
      <c r="G659" s="341"/>
      <c r="H659" s="341"/>
      <c r="I659" s="341" t="s">
        <v>2</v>
      </c>
      <c r="J659" s="340" t="s">
        <v>1667</v>
      </c>
      <c r="K659" s="340" t="s">
        <v>1294</v>
      </c>
      <c r="L659" s="14">
        <v>44745</v>
      </c>
      <c r="M659" t="s">
        <v>3450</v>
      </c>
      <c r="N659" s="173">
        <v>44876</v>
      </c>
      <c r="O659" s="178"/>
      <c r="Q659" t="s">
        <v>129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44876</v>
      </c>
    </row>
    <row r="660" spans="1:30">
      <c r="A660" s="340">
        <f>COUNTA($E$3:E660)</f>
        <v>658</v>
      </c>
      <c r="B660" s="340" t="s">
        <v>3418</v>
      </c>
      <c r="C660" s="340" t="s">
        <v>37</v>
      </c>
      <c r="D660" s="340" t="s">
        <v>34</v>
      </c>
      <c r="E660" s="340" t="s">
        <v>3375</v>
      </c>
      <c r="F660" s="341">
        <v>44739</v>
      </c>
      <c r="G660" s="341"/>
      <c r="H660" s="341"/>
      <c r="I660" s="341" t="s">
        <v>2</v>
      </c>
      <c r="J660" s="340" t="s">
        <v>3419</v>
      </c>
      <c r="K660" s="340" t="s">
        <v>1294</v>
      </c>
      <c r="L660" s="14">
        <v>44745</v>
      </c>
      <c r="M660" t="s">
        <v>3450</v>
      </c>
      <c r="N660" s="173">
        <v>44907</v>
      </c>
      <c r="O660" s="178"/>
      <c r="Q660" t="s">
        <v>129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44907</v>
      </c>
    </row>
    <row r="661" spans="1:30">
      <c r="A661" s="340">
        <f>COUNTA($E$3:E661)</f>
        <v>659</v>
      </c>
      <c r="B661" s="340" t="s">
        <v>3287</v>
      </c>
      <c r="C661" s="340" t="s">
        <v>37</v>
      </c>
      <c r="D661" s="340" t="s">
        <v>30</v>
      </c>
      <c r="E661" s="340" t="s">
        <v>3288</v>
      </c>
      <c r="F661" s="341">
        <v>44735</v>
      </c>
      <c r="G661" s="341"/>
      <c r="H661" s="341"/>
      <c r="I661" s="341" t="s">
        <v>2</v>
      </c>
      <c r="J661" s="340" t="s">
        <v>1875</v>
      </c>
      <c r="K661" s="340" t="s">
        <v>2032</v>
      </c>
      <c r="L661" s="14">
        <v>44745</v>
      </c>
      <c r="O661" s="178"/>
      <c r="Q661" t="s">
        <v>129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/>
    </row>
    <row r="662" spans="1:30">
      <c r="A662" s="340">
        <f>COUNTA($E$3:E662)</f>
        <v>660</v>
      </c>
      <c r="B662" s="340" t="s">
        <v>3314</v>
      </c>
      <c r="C662" s="340" t="s">
        <v>21</v>
      </c>
      <c r="D662" s="340" t="s">
        <v>30</v>
      </c>
      <c r="E662" s="340" t="s">
        <v>3315</v>
      </c>
      <c r="F662" s="341">
        <v>44735.567478587996</v>
      </c>
      <c r="G662" s="341"/>
      <c r="H662" s="341"/>
      <c r="I662" s="341" t="s">
        <v>3</v>
      </c>
      <c r="J662" s="340" t="s">
        <v>3430</v>
      </c>
      <c r="K662" s="340" t="s">
        <v>1296</v>
      </c>
      <c r="L662" s="14">
        <v>44745</v>
      </c>
      <c r="M662" t="s">
        <v>3437</v>
      </c>
      <c r="N662" s="173">
        <v>44742</v>
      </c>
      <c r="O662" s="178"/>
      <c r="Q662" t="s">
        <v>129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44742</v>
      </c>
    </row>
    <row r="663" spans="1:30">
      <c r="A663" s="340">
        <f>COUNTA($E$3:E663)</f>
        <v>661</v>
      </c>
      <c r="B663" s="340" t="s">
        <v>3313</v>
      </c>
      <c r="C663" s="340" t="s">
        <v>21</v>
      </c>
      <c r="D663" s="340" t="s">
        <v>30</v>
      </c>
      <c r="E663" s="340" t="s">
        <v>3030</v>
      </c>
      <c r="F663" s="341">
        <v>44733</v>
      </c>
      <c r="G663" s="341"/>
      <c r="H663" s="341">
        <v>44745</v>
      </c>
      <c r="I663" s="341" t="s">
        <v>3</v>
      </c>
      <c r="J663" s="340" t="s">
        <v>3132</v>
      </c>
      <c r="K663" s="340" t="s">
        <v>1089</v>
      </c>
      <c r="L663" s="14">
        <v>44745</v>
      </c>
      <c r="N663" s="173">
        <v>44747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44747</v>
      </c>
    </row>
    <row r="664" spans="1:30">
      <c r="A664" s="340">
        <f>COUNTA($E$3:E664)</f>
        <v>662</v>
      </c>
      <c r="B664" s="340" t="s">
        <v>3428</v>
      </c>
      <c r="C664" s="340" t="s">
        <v>37</v>
      </c>
      <c r="D664" s="340" t="s">
        <v>45</v>
      </c>
      <c r="E664" s="340" t="s">
        <v>1663</v>
      </c>
      <c r="F664" s="341">
        <v>46926</v>
      </c>
      <c r="G664" s="341"/>
      <c r="H664" s="341"/>
      <c r="I664" s="341" t="s">
        <v>4</v>
      </c>
      <c r="J664" s="340" t="s">
        <v>1834</v>
      </c>
      <c r="K664" s="340" t="s">
        <v>1089</v>
      </c>
      <c r="L664" s="14">
        <v>44745</v>
      </c>
      <c r="M664" t="s">
        <v>3453</v>
      </c>
      <c r="N664" s="173">
        <v>44742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44742</v>
      </c>
    </row>
    <row r="665" spans="1:30">
      <c r="A665" s="340">
        <f>COUNTA($E$3:E665)</f>
        <v>663</v>
      </c>
      <c r="B665" s="340" t="s">
        <v>2755</v>
      </c>
      <c r="C665" s="340" t="s">
        <v>37</v>
      </c>
      <c r="D665" s="340" t="s">
        <v>45</v>
      </c>
      <c r="E665" s="340" t="s">
        <v>2756</v>
      </c>
      <c r="F665" s="341">
        <v>44655</v>
      </c>
      <c r="G665" s="341"/>
      <c r="H665" s="341">
        <v>44658</v>
      </c>
      <c r="I665" s="341" t="s">
        <v>4</v>
      </c>
      <c r="J665" s="340" t="s">
        <v>1639</v>
      </c>
      <c r="K665" s="340" t="s">
        <v>1287</v>
      </c>
      <c r="L665" s="14">
        <v>44745</v>
      </c>
      <c r="M665" t="s">
        <v>3436</v>
      </c>
      <c r="N665" s="173">
        <v>44747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44747</v>
      </c>
    </row>
    <row r="666" spans="1:30">
      <c r="A666" s="340">
        <f>COUNTA($E$3:E666)</f>
        <v>664</v>
      </c>
      <c r="B666" s="340" t="s">
        <v>3318</v>
      </c>
      <c r="C666" s="340" t="s">
        <v>21</v>
      </c>
      <c r="D666" s="340" t="s">
        <v>30</v>
      </c>
      <c r="E666" s="340" t="s">
        <v>3033</v>
      </c>
      <c r="F666" s="341">
        <v>44735.558014467599</v>
      </c>
      <c r="G666" s="341"/>
      <c r="H666" s="341"/>
      <c r="I666" s="341" t="s">
        <v>3</v>
      </c>
      <c r="J666" s="340"/>
      <c r="K666" s="340" t="s">
        <v>3347</v>
      </c>
      <c r="L666" s="14">
        <v>44739</v>
      </c>
      <c r="M666" t="s">
        <v>3341</v>
      </c>
      <c r="N666" s="173">
        <v>44742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44742</v>
      </c>
    </row>
    <row r="667" spans="1:30">
      <c r="A667" s="340">
        <f>COUNTA($E$3:E667)</f>
        <v>665</v>
      </c>
      <c r="B667" s="340" t="s">
        <v>3322</v>
      </c>
      <c r="C667" s="340" t="s">
        <v>37</v>
      </c>
      <c r="D667" s="340" t="s">
        <v>34</v>
      </c>
      <c r="E667" s="340" t="s">
        <v>1782</v>
      </c>
      <c r="F667" s="341">
        <v>44734</v>
      </c>
      <c r="G667" s="341"/>
      <c r="H667" s="341"/>
      <c r="I667" s="341" t="s">
        <v>2</v>
      </c>
      <c r="J667" s="340" t="s">
        <v>17</v>
      </c>
      <c r="K667" s="340" t="s">
        <v>287</v>
      </c>
      <c r="L667" s="14">
        <v>44739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/>
    </row>
    <row r="668" spans="1:30">
      <c r="A668" s="340">
        <f>COUNTA($E$3:E668)</f>
        <v>666</v>
      </c>
      <c r="B668" s="340" t="s">
        <v>3273</v>
      </c>
      <c r="C668" s="340" t="s">
        <v>41</v>
      </c>
      <c r="D668" s="340" t="s">
        <v>25</v>
      </c>
      <c r="E668" s="340" t="s">
        <v>1199</v>
      </c>
      <c r="F668" s="341">
        <v>44729</v>
      </c>
      <c r="G668" s="341"/>
      <c r="H668" s="341"/>
      <c r="I668" s="341" t="s">
        <v>2</v>
      </c>
      <c r="J668" s="340" t="s">
        <v>1678</v>
      </c>
      <c r="K668" s="340" t="s">
        <v>1296</v>
      </c>
      <c r="L668" s="14">
        <v>44739</v>
      </c>
      <c r="M668" t="s">
        <v>3345</v>
      </c>
      <c r="N668" s="173">
        <v>44769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44769</v>
      </c>
    </row>
    <row r="669" spans="1:30">
      <c r="A669" s="340">
        <f>COUNTA($E$3:E669)</f>
        <v>667</v>
      </c>
      <c r="B669" s="340" t="s">
        <v>2986</v>
      </c>
      <c r="C669" s="340" t="s">
        <v>286</v>
      </c>
      <c r="D669" s="340" t="s">
        <v>34</v>
      </c>
      <c r="E669" s="340" t="s">
        <v>2987</v>
      </c>
      <c r="F669" s="341">
        <v>44686</v>
      </c>
      <c r="G669" s="341"/>
      <c r="H669" s="341"/>
      <c r="I669" s="341" t="s">
        <v>2</v>
      </c>
      <c r="J669" s="340" t="s">
        <v>1679</v>
      </c>
      <c r="K669" s="340" t="s">
        <v>1295</v>
      </c>
      <c r="L669" s="14">
        <v>44739</v>
      </c>
      <c r="M669" t="s">
        <v>3338</v>
      </c>
      <c r="N669" s="173">
        <v>44739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44739</v>
      </c>
    </row>
    <row r="670" spans="1:30">
      <c r="A670" s="340">
        <f>COUNTA($E$3:E670)</f>
        <v>668</v>
      </c>
      <c r="B670" s="340" t="s">
        <v>2689</v>
      </c>
      <c r="C670" s="340" t="s">
        <v>41</v>
      </c>
      <c r="D670" s="340" t="s">
        <v>16</v>
      </c>
      <c r="E670" s="340" t="s">
        <v>2690</v>
      </c>
      <c r="F670" s="341">
        <v>44642</v>
      </c>
      <c r="G670" s="341"/>
      <c r="H670" s="341"/>
      <c r="I670" s="341" t="s">
        <v>2</v>
      </c>
      <c r="J670" s="340" t="s">
        <v>2655</v>
      </c>
      <c r="K670" s="340" t="s">
        <v>1294</v>
      </c>
      <c r="L670" s="14">
        <v>44739</v>
      </c>
      <c r="M670" t="s">
        <v>3337</v>
      </c>
      <c r="N670" s="173">
        <v>44739</v>
      </c>
      <c r="O670" s="178"/>
      <c r="Q670" t="s">
        <v>22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>
        <v>44739</v>
      </c>
    </row>
    <row r="671" spans="1:30">
      <c r="A671" s="340">
        <f>COUNTA($E$3:E671)</f>
        <v>669</v>
      </c>
      <c r="B671" s="340" t="s">
        <v>2578</v>
      </c>
      <c r="C671" s="340" t="s">
        <v>1196</v>
      </c>
      <c r="D671" s="340" t="s">
        <v>36</v>
      </c>
      <c r="E671" s="340" t="s">
        <v>2579</v>
      </c>
      <c r="F671" s="341">
        <v>44622</v>
      </c>
      <c r="G671" s="341">
        <v>44725</v>
      </c>
      <c r="H671" s="341">
        <v>44628</v>
      </c>
      <c r="I671" s="341" t="s">
        <v>2</v>
      </c>
      <c r="J671" s="340" t="s">
        <v>1485</v>
      </c>
      <c r="K671" s="340" t="s">
        <v>287</v>
      </c>
      <c r="L671" s="14">
        <v>44739</v>
      </c>
      <c r="M671" t="s">
        <v>3336</v>
      </c>
      <c r="N671" s="173">
        <v>44739</v>
      </c>
      <c r="O671" s="178"/>
      <c r="Q671" t="s">
        <v>22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44739</v>
      </c>
    </row>
    <row r="672" spans="1:30">
      <c r="A672" s="340">
        <f>COUNTA($E$3:E672)</f>
        <v>670</v>
      </c>
      <c r="B672" s="340" t="s">
        <v>3320</v>
      </c>
      <c r="C672" s="340" t="s">
        <v>105</v>
      </c>
      <c r="D672" s="340" t="s">
        <v>1124</v>
      </c>
      <c r="E672" s="340" t="s">
        <v>3321</v>
      </c>
      <c r="F672" s="341">
        <v>44733</v>
      </c>
      <c r="G672" s="341"/>
      <c r="H672" s="341"/>
      <c r="I672" s="341" t="s">
        <v>3</v>
      </c>
      <c r="J672" s="340" t="s">
        <v>1485</v>
      </c>
      <c r="K672" s="340" t="s">
        <v>1294</v>
      </c>
      <c r="L672" s="14">
        <v>44739</v>
      </c>
      <c r="M672" t="s">
        <v>3342</v>
      </c>
      <c r="N672" s="173">
        <v>44739</v>
      </c>
      <c r="O672" s="178"/>
      <c r="Q672" t="s">
        <v>22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44739</v>
      </c>
    </row>
    <row r="673" spans="1:30">
      <c r="A673" s="340">
        <f>COUNTA($E$3:E673)</f>
        <v>671</v>
      </c>
      <c r="B673" s="340" t="s">
        <v>3305</v>
      </c>
      <c r="C673" s="340" t="s">
        <v>41</v>
      </c>
      <c r="D673" s="340" t="s">
        <v>51</v>
      </c>
      <c r="E673" s="340" t="s">
        <v>3306</v>
      </c>
      <c r="F673" s="341">
        <v>44733</v>
      </c>
      <c r="G673" s="341"/>
      <c r="H673" s="341"/>
      <c r="I673" s="341" t="s">
        <v>3</v>
      </c>
      <c r="J673" s="340" t="s">
        <v>1649</v>
      </c>
      <c r="K673" s="340" t="s">
        <v>1295</v>
      </c>
      <c r="L673" s="14">
        <v>44739</v>
      </c>
      <c r="M673" t="s">
        <v>3341</v>
      </c>
      <c r="N673" s="173">
        <v>44739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44739</v>
      </c>
    </row>
    <row r="674" spans="1:30">
      <c r="A674" s="340">
        <f>COUNTA($E$3:E674)</f>
        <v>672</v>
      </c>
      <c r="B674" s="340" t="s">
        <v>3258</v>
      </c>
      <c r="C674" s="340" t="s">
        <v>21</v>
      </c>
      <c r="D674" s="340" t="s">
        <v>30</v>
      </c>
      <c r="E674" s="340" t="s">
        <v>3028</v>
      </c>
      <c r="F674" s="341">
        <v>44726.538195532397</v>
      </c>
      <c r="G674" s="341"/>
      <c r="H674" s="341"/>
      <c r="I674" s="341" t="s">
        <v>3</v>
      </c>
      <c r="J674" s="340" t="s">
        <v>3132</v>
      </c>
      <c r="K674" s="340" t="s">
        <v>1295</v>
      </c>
      <c r="L674" s="14">
        <v>44739</v>
      </c>
      <c r="M674" t="s">
        <v>3341</v>
      </c>
      <c r="N674" s="173">
        <v>44712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44712</v>
      </c>
    </row>
    <row r="675" spans="1:30">
      <c r="A675" s="340">
        <f>COUNTA($E$3:E675)</f>
        <v>673</v>
      </c>
      <c r="B675" s="340" t="s">
        <v>3154</v>
      </c>
      <c r="C675" s="340" t="s">
        <v>21</v>
      </c>
      <c r="D675" s="340" t="s">
        <v>30</v>
      </c>
      <c r="E675" s="340" t="s">
        <v>2569</v>
      </c>
      <c r="F675" s="341">
        <v>44714.523193900503</v>
      </c>
      <c r="G675" s="341"/>
      <c r="H675" s="341"/>
      <c r="I675" s="341" t="s">
        <v>3</v>
      </c>
      <c r="J675" s="340" t="s">
        <v>1724</v>
      </c>
      <c r="K675" s="340" t="s">
        <v>1295</v>
      </c>
      <c r="L675" s="14">
        <v>44739</v>
      </c>
      <c r="M675" t="s">
        <v>3339</v>
      </c>
      <c r="N675" s="173">
        <v>44732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44732</v>
      </c>
    </row>
    <row r="676" spans="1:30">
      <c r="A676" s="340">
        <f>COUNTA($E$3:E676)</f>
        <v>674</v>
      </c>
      <c r="B676" s="340" t="s">
        <v>2891</v>
      </c>
      <c r="C676" s="340" t="s">
        <v>65</v>
      </c>
      <c r="D676" s="340" t="s">
        <v>1103</v>
      </c>
      <c r="E676" s="340" t="s">
        <v>2420</v>
      </c>
      <c r="F676" s="341">
        <v>44672</v>
      </c>
      <c r="G676" s="341"/>
      <c r="H676" s="341">
        <v>44676</v>
      </c>
      <c r="I676" s="341" t="s">
        <v>3</v>
      </c>
      <c r="J676" s="340" t="s">
        <v>1212</v>
      </c>
      <c r="K676" s="340" t="s">
        <v>2032</v>
      </c>
      <c r="L676" s="14">
        <v>44739</v>
      </c>
      <c r="M676" t="s">
        <v>3346</v>
      </c>
      <c r="N676" s="173">
        <v>44739</v>
      </c>
      <c r="O676" s="178"/>
      <c r="Q676" t="s">
        <v>22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>
        <v>44739</v>
      </c>
    </row>
    <row r="677" spans="1:30">
      <c r="A677" s="340">
        <f>COUNTA($E$3:E677)</f>
        <v>675</v>
      </c>
      <c r="B677" s="340" t="s">
        <v>3265</v>
      </c>
      <c r="C677" s="340" t="s">
        <v>1279</v>
      </c>
      <c r="D677" s="340" t="s">
        <v>1103</v>
      </c>
      <c r="E677" s="340" t="s">
        <v>2770</v>
      </c>
      <c r="F677" s="341">
        <v>44728</v>
      </c>
      <c r="G677" s="341"/>
      <c r="H677" s="341">
        <v>44729</v>
      </c>
      <c r="I677" s="341" t="s">
        <v>2</v>
      </c>
      <c r="J677" s="340" t="s">
        <v>2202</v>
      </c>
      <c r="K677" s="340" t="s">
        <v>1102</v>
      </c>
      <c r="L677" s="14">
        <v>44729</v>
      </c>
      <c r="N677" s="173">
        <v>44840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44840</v>
      </c>
    </row>
    <row r="678" spans="1:30">
      <c r="A678" s="340">
        <f>COUNTA($E$3:E678)</f>
        <v>676</v>
      </c>
      <c r="B678" s="340" t="s">
        <v>3222</v>
      </c>
      <c r="C678" s="340" t="s">
        <v>37</v>
      </c>
      <c r="D678" s="340" t="s">
        <v>34</v>
      </c>
      <c r="E678" s="340" t="s">
        <v>3223</v>
      </c>
      <c r="F678" s="341">
        <v>44719</v>
      </c>
      <c r="G678" s="341"/>
      <c r="H678" s="341">
        <v>44728</v>
      </c>
      <c r="I678" s="341" t="s">
        <v>2</v>
      </c>
      <c r="J678" s="340" t="s">
        <v>1662</v>
      </c>
      <c r="K678" s="340" t="s">
        <v>1296</v>
      </c>
      <c r="L678" s="14">
        <v>44729</v>
      </c>
      <c r="M678" t="s">
        <v>1759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/>
    </row>
    <row r="679" spans="1:30">
      <c r="A679" s="340">
        <f>COUNTA($E$3:E679)</f>
        <v>677</v>
      </c>
      <c r="B679" s="340" t="s">
        <v>3125</v>
      </c>
      <c r="C679" s="340" t="s">
        <v>41</v>
      </c>
      <c r="D679" s="340" t="s">
        <v>16</v>
      </c>
      <c r="E679" s="340" t="s">
        <v>1188</v>
      </c>
      <c r="F679" s="341">
        <v>44707</v>
      </c>
      <c r="G679" s="341"/>
      <c r="H679" s="341"/>
      <c r="I679" s="341" t="s">
        <v>2</v>
      </c>
      <c r="J679" s="340" t="s">
        <v>1093</v>
      </c>
      <c r="K679" s="340" t="s">
        <v>24</v>
      </c>
      <c r="L679" s="14">
        <v>44729</v>
      </c>
      <c r="M679" t="s">
        <v>3268</v>
      </c>
      <c r="N679" s="173">
        <v>44729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40">
        <f>COUNTA($E$3:E680)</f>
        <v>678</v>
      </c>
      <c r="B680" s="340" t="s">
        <v>3249</v>
      </c>
      <c r="C680" s="340" t="s">
        <v>37</v>
      </c>
      <c r="D680" s="340" t="s">
        <v>34</v>
      </c>
      <c r="E680" s="340" t="s">
        <v>3262</v>
      </c>
      <c r="F680" s="341">
        <v>44726</v>
      </c>
      <c r="G680" s="341"/>
      <c r="H680" s="341"/>
      <c r="I680" s="341" t="s">
        <v>3</v>
      </c>
      <c r="J680" s="340" t="s">
        <v>1968</v>
      </c>
      <c r="K680" s="340" t="s">
        <v>1296</v>
      </c>
      <c r="L680" s="14">
        <v>44729</v>
      </c>
      <c r="M680" t="s">
        <v>3272</v>
      </c>
      <c r="N680" s="173">
        <v>44740</v>
      </c>
      <c r="O680" s="178"/>
      <c r="Q680" t="s">
        <v>129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44740</v>
      </c>
    </row>
    <row r="681" spans="1:30">
      <c r="A681" s="340">
        <f>COUNTA($E$3:E681)</f>
        <v>679</v>
      </c>
      <c r="B681" s="340" t="s">
        <v>3250</v>
      </c>
      <c r="C681" s="340" t="s">
        <v>37</v>
      </c>
      <c r="D681" s="340" t="s">
        <v>34</v>
      </c>
      <c r="E681" s="340" t="s">
        <v>2731</v>
      </c>
      <c r="F681" s="341">
        <v>44726</v>
      </c>
      <c r="G681" s="341"/>
      <c r="H681" s="341"/>
      <c r="I681" s="341" t="s">
        <v>3</v>
      </c>
      <c r="J681" s="340" t="s">
        <v>1808</v>
      </c>
      <c r="K681" s="340" t="s">
        <v>1296</v>
      </c>
      <c r="L681" s="14">
        <v>44729</v>
      </c>
      <c r="M681" t="s">
        <v>3272</v>
      </c>
      <c r="N681" s="173">
        <v>44748</v>
      </c>
      <c r="O681" s="178"/>
      <c r="Q681" t="s">
        <v>129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44748</v>
      </c>
    </row>
    <row r="682" spans="1:30">
      <c r="A682" s="340">
        <f>COUNTA($E$3:E682)</f>
        <v>680</v>
      </c>
      <c r="B682" s="340" t="s">
        <v>3248</v>
      </c>
      <c r="C682" s="340" t="s">
        <v>37</v>
      </c>
      <c r="D682" s="340" t="s">
        <v>30</v>
      </c>
      <c r="E682" s="340" t="s">
        <v>3259</v>
      </c>
      <c r="F682" s="341">
        <v>44725</v>
      </c>
      <c r="G682" s="341"/>
      <c r="H682" s="341"/>
      <c r="I682" s="341" t="s">
        <v>3</v>
      </c>
      <c r="J682" s="340" t="s">
        <v>3260</v>
      </c>
      <c r="K682" s="340" t="s">
        <v>1296</v>
      </c>
      <c r="L682" s="14">
        <v>44729</v>
      </c>
      <c r="M682" t="s">
        <v>3272</v>
      </c>
      <c r="N682" s="173">
        <v>44748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44748</v>
      </c>
    </row>
    <row r="683" spans="1:30">
      <c r="A683" s="340">
        <f>COUNTA($E$3:E683)</f>
        <v>681</v>
      </c>
      <c r="B683" s="340" t="s">
        <v>3257</v>
      </c>
      <c r="C683" s="340" t="s">
        <v>21</v>
      </c>
      <c r="D683" s="340" t="s">
        <v>1142</v>
      </c>
      <c r="E683" s="340" t="s">
        <v>1204</v>
      </c>
      <c r="F683" s="341">
        <v>44725.669222083299</v>
      </c>
      <c r="G683" s="341"/>
      <c r="H683" s="341"/>
      <c r="I683" s="341" t="s">
        <v>3</v>
      </c>
      <c r="J683" s="340" t="s">
        <v>3282</v>
      </c>
      <c r="K683" s="340"/>
      <c r="L683" s="14">
        <v>44729</v>
      </c>
      <c r="M683" t="s">
        <v>3284</v>
      </c>
      <c r="N683" s="173">
        <v>44732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44732</v>
      </c>
    </row>
    <row r="684" spans="1:30">
      <c r="A684" s="340">
        <f>COUNTA($E$3:E684)</f>
        <v>682</v>
      </c>
      <c r="B684" s="340" t="s">
        <v>3247</v>
      </c>
      <c r="C684" s="340" t="s">
        <v>21</v>
      </c>
      <c r="D684" s="340" t="s">
        <v>2539</v>
      </c>
      <c r="E684" s="340" t="s">
        <v>3256</v>
      </c>
      <c r="F684" s="341">
        <v>44725</v>
      </c>
      <c r="G684" s="341"/>
      <c r="H684" s="341"/>
      <c r="I684" s="341" t="s">
        <v>3</v>
      </c>
      <c r="J684" s="340" t="s">
        <v>1212</v>
      </c>
      <c r="K684" s="340" t="s">
        <v>1274</v>
      </c>
      <c r="L684" s="14">
        <v>44729</v>
      </c>
      <c r="M684" t="s">
        <v>3271</v>
      </c>
      <c r="N684" s="173">
        <v>44727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44727</v>
      </c>
    </row>
    <row r="685" spans="1:30">
      <c r="A685" s="340">
        <f>COUNTA($E$3:E685)</f>
        <v>683</v>
      </c>
      <c r="B685" s="340" t="s">
        <v>3219</v>
      </c>
      <c r="C685" s="340" t="s">
        <v>37</v>
      </c>
      <c r="D685" s="340" t="s">
        <v>34</v>
      </c>
      <c r="E685" s="340" t="s">
        <v>2443</v>
      </c>
      <c r="F685" s="341">
        <v>44719</v>
      </c>
      <c r="G685" s="341"/>
      <c r="H685" s="341"/>
      <c r="I685" s="341" t="s">
        <v>3</v>
      </c>
      <c r="J685" s="340" t="s">
        <v>1666</v>
      </c>
      <c r="K685" s="340"/>
      <c r="L685" s="14">
        <v>44729</v>
      </c>
      <c r="M685" t="s">
        <v>3270</v>
      </c>
      <c r="N685" s="173">
        <v>44726</v>
      </c>
      <c r="O685" s="178"/>
      <c r="Q685" t="s">
        <v>129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44726</v>
      </c>
    </row>
    <row r="686" spans="1:30">
      <c r="A686" s="340">
        <f>COUNTA($E$3:E686)</f>
        <v>684</v>
      </c>
      <c r="B686" s="340" t="s">
        <v>3217</v>
      </c>
      <c r="C686" s="340" t="s">
        <v>37</v>
      </c>
      <c r="D686" s="340" t="s">
        <v>34</v>
      </c>
      <c r="E686" s="340" t="s">
        <v>3218</v>
      </c>
      <c r="F686" s="341">
        <v>44719</v>
      </c>
      <c r="G686" s="341"/>
      <c r="H686" s="341"/>
      <c r="I686" s="341" t="s">
        <v>3</v>
      </c>
      <c r="J686" s="340" t="s">
        <v>1666</v>
      </c>
      <c r="K686" s="340" t="s">
        <v>1274</v>
      </c>
      <c r="L686" s="14">
        <v>44729</v>
      </c>
      <c r="M686" t="s">
        <v>3269</v>
      </c>
      <c r="N686" s="173">
        <v>44726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44726</v>
      </c>
    </row>
    <row r="687" spans="1:30">
      <c r="A687" s="340">
        <f>COUNTA($E$3:E687)</f>
        <v>685</v>
      </c>
      <c r="B687" s="340" t="s">
        <v>3161</v>
      </c>
      <c r="C687" s="340" t="s">
        <v>21</v>
      </c>
      <c r="D687" s="340" t="s">
        <v>3071</v>
      </c>
      <c r="E687" s="340" t="s">
        <v>3162</v>
      </c>
      <c r="F687" s="341">
        <v>44713.523259409703</v>
      </c>
      <c r="G687" s="341"/>
      <c r="H687" s="341"/>
      <c r="I687" s="341" t="s">
        <v>3</v>
      </c>
      <c r="J687" s="340" t="s">
        <v>1652</v>
      </c>
      <c r="K687" s="340"/>
      <c r="L687" s="14">
        <v>44729</v>
      </c>
      <c r="M687" t="s">
        <v>3285</v>
      </c>
      <c r="N687" s="173">
        <v>44727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>
        <v>44727</v>
      </c>
    </row>
    <row r="688" spans="1:30">
      <c r="A688" s="340">
        <f>COUNTA($E$3:E688)</f>
        <v>686</v>
      </c>
      <c r="B688" s="340" t="s">
        <v>3207</v>
      </c>
      <c r="C688" s="340" t="s">
        <v>2370</v>
      </c>
      <c r="D688" s="340" t="s">
        <v>1220</v>
      </c>
      <c r="E688" s="340" t="s">
        <v>1221</v>
      </c>
      <c r="F688" s="341">
        <v>44719</v>
      </c>
      <c r="G688" s="341"/>
      <c r="H688" s="341"/>
      <c r="I688" s="341" t="s">
        <v>2</v>
      </c>
      <c r="J688" s="340" t="s">
        <v>2532</v>
      </c>
      <c r="K688" s="340" t="s">
        <v>1294</v>
      </c>
      <c r="L688" s="14">
        <v>44728</v>
      </c>
      <c r="M688" t="s">
        <v>3251</v>
      </c>
      <c r="N688" s="173">
        <v>44727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44727</v>
      </c>
    </row>
    <row r="689" spans="1:30">
      <c r="A689" s="340">
        <f>COUNTA($E$3:E689)</f>
        <v>687</v>
      </c>
      <c r="B689" s="340" t="s">
        <v>3000</v>
      </c>
      <c r="C689" s="340" t="s">
        <v>41</v>
      </c>
      <c r="D689" s="340" t="s">
        <v>1103</v>
      </c>
      <c r="E689" s="340" t="s">
        <v>1104</v>
      </c>
      <c r="F689" s="341">
        <v>44686</v>
      </c>
      <c r="G689" s="341"/>
      <c r="H689" s="341"/>
      <c r="I689" s="341" t="s">
        <v>2</v>
      </c>
      <c r="J689" s="340" t="s">
        <v>1485</v>
      </c>
      <c r="K689" s="340" t="s">
        <v>1287</v>
      </c>
      <c r="L689" s="14">
        <v>44728</v>
      </c>
      <c r="M689" t="s">
        <v>3251</v>
      </c>
      <c r="N689" s="173">
        <v>44729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44729</v>
      </c>
    </row>
    <row r="690" spans="1:30">
      <c r="A690" s="340">
        <f>COUNTA($E$3:E690)</f>
        <v>688</v>
      </c>
      <c r="B690" s="340" t="s">
        <v>3236</v>
      </c>
      <c r="C690" s="340" t="s">
        <v>37</v>
      </c>
      <c r="D690" s="340" t="s">
        <v>34</v>
      </c>
      <c r="E690" s="340" t="s">
        <v>3237</v>
      </c>
      <c r="F690" s="341">
        <v>44721</v>
      </c>
      <c r="G690" s="341"/>
      <c r="H690" s="341"/>
      <c r="I690" s="341" t="s">
        <v>3</v>
      </c>
      <c r="J690" s="340" t="s">
        <v>1485</v>
      </c>
      <c r="K690" s="340" t="s">
        <v>1274</v>
      </c>
      <c r="L690" s="14">
        <v>44728</v>
      </c>
      <c r="M690" t="s">
        <v>3251</v>
      </c>
      <c r="N690" s="173">
        <v>44721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44721</v>
      </c>
    </row>
    <row r="691" spans="1:30">
      <c r="A691" s="340">
        <f>COUNTA($E$3:E691)</f>
        <v>689</v>
      </c>
      <c r="B691" s="340" t="s">
        <v>3235</v>
      </c>
      <c r="C691" s="340" t="s">
        <v>37</v>
      </c>
      <c r="D691" s="340" t="s">
        <v>34</v>
      </c>
      <c r="E691" s="340" t="s">
        <v>2035</v>
      </c>
      <c r="F691" s="341">
        <v>44721</v>
      </c>
      <c r="G691" s="341"/>
      <c r="H691" s="341"/>
      <c r="I691" s="341" t="s">
        <v>3</v>
      </c>
      <c r="J691" s="340" t="s">
        <v>1649</v>
      </c>
      <c r="K691" s="340"/>
      <c r="L691" s="14">
        <v>44728</v>
      </c>
      <c r="M691" t="s">
        <v>3251</v>
      </c>
      <c r="N691" s="173">
        <v>44721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44721</v>
      </c>
    </row>
    <row r="692" spans="1:30">
      <c r="A692" s="340">
        <f>COUNTA($E$3:E692)</f>
        <v>690</v>
      </c>
      <c r="B692" s="340" t="s">
        <v>3226</v>
      </c>
      <c r="C692" s="340" t="s">
        <v>37</v>
      </c>
      <c r="D692" s="340" t="s">
        <v>34</v>
      </c>
      <c r="E692" s="340" t="s">
        <v>3227</v>
      </c>
      <c r="F692" s="341">
        <v>44719</v>
      </c>
      <c r="G692" s="341"/>
      <c r="H692" s="341"/>
      <c r="I692" s="341" t="s">
        <v>3</v>
      </c>
      <c r="J692" s="340" t="s">
        <v>1666</v>
      </c>
      <c r="K692" s="340" t="s">
        <v>1295</v>
      </c>
      <c r="L692" s="14">
        <v>44728</v>
      </c>
      <c r="M692" t="s">
        <v>3251</v>
      </c>
      <c r="N692" s="173">
        <v>44721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44721</v>
      </c>
    </row>
    <row r="693" spans="1:30">
      <c r="A693" s="340">
        <f>COUNTA($E$3:E693)</f>
        <v>691</v>
      </c>
      <c r="B693" s="340" t="s">
        <v>3209</v>
      </c>
      <c r="C693" s="340" t="s">
        <v>21</v>
      </c>
      <c r="D693" s="340" t="s">
        <v>34</v>
      </c>
      <c r="E693" s="340" t="s">
        <v>3035</v>
      </c>
      <c r="F693" s="341">
        <v>44719</v>
      </c>
      <c r="G693" s="341"/>
      <c r="H693" s="341"/>
      <c r="I693" s="341" t="s">
        <v>3</v>
      </c>
      <c r="J693" s="340" t="s">
        <v>1657</v>
      </c>
      <c r="K693" s="340" t="s">
        <v>1274</v>
      </c>
      <c r="L693" s="14">
        <v>44728</v>
      </c>
      <c r="M693" t="s">
        <v>3251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>
      <c r="A694" s="340">
        <f>COUNTA($E$3:E694)</f>
        <v>692</v>
      </c>
      <c r="B694" s="340" t="s">
        <v>3208</v>
      </c>
      <c r="C694" s="340" t="s">
        <v>44</v>
      </c>
      <c r="D694" s="340" t="s">
        <v>45</v>
      </c>
      <c r="E694" s="340" t="s">
        <v>176</v>
      </c>
      <c r="F694" s="341">
        <v>44719</v>
      </c>
      <c r="G694" s="341"/>
      <c r="H694" s="341"/>
      <c r="I694" s="341" t="s">
        <v>3</v>
      </c>
      <c r="J694" s="340" t="s">
        <v>1750</v>
      </c>
      <c r="K694" s="340" t="s">
        <v>1274</v>
      </c>
      <c r="L694" s="14">
        <v>44728</v>
      </c>
      <c r="M694" t="s">
        <v>3251</v>
      </c>
      <c r="N694" s="173">
        <v>44729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44729</v>
      </c>
    </row>
    <row r="695" spans="1:30">
      <c r="A695" s="340">
        <f>COUNTA($E$3:E695)</f>
        <v>693</v>
      </c>
      <c r="B695" s="340" t="s">
        <v>3193</v>
      </c>
      <c r="C695" s="340" t="s">
        <v>41</v>
      </c>
      <c r="D695" s="340" t="s">
        <v>34</v>
      </c>
      <c r="E695" s="340" t="s">
        <v>1923</v>
      </c>
      <c r="F695" s="341">
        <v>44715</v>
      </c>
      <c r="G695" s="341"/>
      <c r="H695" s="341"/>
      <c r="I695" s="341" t="s">
        <v>3</v>
      </c>
      <c r="J695" s="340" t="s">
        <v>1720</v>
      </c>
      <c r="K695" s="340" t="s">
        <v>1296</v>
      </c>
      <c r="L695" s="14">
        <v>44728</v>
      </c>
      <c r="M695" t="s">
        <v>3252</v>
      </c>
      <c r="N695" s="173">
        <v>44729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44729</v>
      </c>
    </row>
    <row r="696" spans="1:30">
      <c r="A696" s="340">
        <f>COUNTA($E$3:E696)</f>
        <v>694</v>
      </c>
      <c r="B696" s="340" t="s">
        <v>3148</v>
      </c>
      <c r="C696" s="340" t="s">
        <v>2675</v>
      </c>
      <c r="D696" s="340" t="s">
        <v>38</v>
      </c>
      <c r="E696" s="340" t="s">
        <v>2676</v>
      </c>
      <c r="F696" s="341">
        <v>44712.6843972801</v>
      </c>
      <c r="G696" s="341"/>
      <c r="H696" s="341"/>
      <c r="I696" s="341" t="s">
        <v>3</v>
      </c>
      <c r="J696" s="340" t="s">
        <v>3242</v>
      </c>
      <c r="K696" s="340" t="s">
        <v>1296</v>
      </c>
      <c r="L696" s="14">
        <v>44728</v>
      </c>
      <c r="M696" t="s">
        <v>3251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>
      <c r="A697" s="340">
        <f>COUNTA($E$3:E697)</f>
        <v>695</v>
      </c>
      <c r="B697" s="340" t="s">
        <v>2649</v>
      </c>
      <c r="C697" s="340" t="s">
        <v>2370</v>
      </c>
      <c r="D697" s="340" t="s">
        <v>34</v>
      </c>
      <c r="E697" s="340" t="s">
        <v>2650</v>
      </c>
      <c r="F697" s="341">
        <v>44636</v>
      </c>
      <c r="G697" s="341"/>
      <c r="H697" s="341">
        <v>44638</v>
      </c>
      <c r="I697" s="341" t="s">
        <v>2</v>
      </c>
      <c r="J697" s="340" t="s">
        <v>2666</v>
      </c>
      <c r="K697" s="340" t="s">
        <v>24</v>
      </c>
      <c r="L697" s="14">
        <v>44715</v>
      </c>
      <c r="M697" t="s">
        <v>3185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40">
        <f>COUNTA($E$3:E698)</f>
        <v>696</v>
      </c>
      <c r="B698" s="340" t="s">
        <v>3192</v>
      </c>
      <c r="C698" s="340" t="s">
        <v>41</v>
      </c>
      <c r="D698" s="340" t="s">
        <v>45</v>
      </c>
      <c r="E698" s="340" t="s">
        <v>1215</v>
      </c>
      <c r="F698" s="341">
        <v>44714</v>
      </c>
      <c r="G698" s="341"/>
      <c r="H698" s="341"/>
      <c r="I698" s="341" t="s">
        <v>3</v>
      </c>
      <c r="J698" s="340" t="s">
        <v>1834</v>
      </c>
      <c r="K698" s="340" t="s">
        <v>33</v>
      </c>
      <c r="L698" s="14">
        <v>44715</v>
      </c>
      <c r="M698" t="s">
        <v>3189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>
      <c r="A699" s="340">
        <f>COUNTA($E$3:E699)</f>
        <v>697</v>
      </c>
      <c r="B699" s="340" t="s">
        <v>3175</v>
      </c>
      <c r="C699" s="340" t="s">
        <v>3041</v>
      </c>
      <c r="D699" s="340" t="s">
        <v>58</v>
      </c>
      <c r="E699" s="340" t="s">
        <v>3176</v>
      </c>
      <c r="F699" s="341">
        <v>44714</v>
      </c>
      <c r="G699" s="341"/>
      <c r="H699" s="341"/>
      <c r="I699" s="341" t="s">
        <v>3</v>
      </c>
      <c r="J699" s="340" t="s">
        <v>1677</v>
      </c>
      <c r="K699" s="340" t="s">
        <v>125</v>
      </c>
      <c r="L699" s="14">
        <v>44715</v>
      </c>
      <c r="N699" s="173">
        <v>44715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44715</v>
      </c>
    </row>
    <row r="700" spans="1:30">
      <c r="A700" s="340">
        <f>COUNTA($E$3:E700)</f>
        <v>698</v>
      </c>
      <c r="B700" s="340" t="s">
        <v>3170</v>
      </c>
      <c r="C700" s="340" t="s">
        <v>21</v>
      </c>
      <c r="D700" s="340" t="s">
        <v>25</v>
      </c>
      <c r="E700" s="340" t="s">
        <v>298</v>
      </c>
      <c r="F700" s="341">
        <v>44713</v>
      </c>
      <c r="G700" s="341"/>
      <c r="H700" s="341"/>
      <c r="I700" s="341" t="s">
        <v>3</v>
      </c>
      <c r="J700" s="340" t="s">
        <v>1649</v>
      </c>
      <c r="K700" s="340" t="s">
        <v>1296</v>
      </c>
      <c r="L700" s="14">
        <v>44715</v>
      </c>
      <c r="M700" t="s">
        <v>3196</v>
      </c>
      <c r="N700" s="173">
        <v>44714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44714</v>
      </c>
    </row>
    <row r="701" spans="1:30">
      <c r="A701" s="340">
        <f>COUNTA($E$3:E701)</f>
        <v>699</v>
      </c>
      <c r="B701" s="340" t="s">
        <v>3163</v>
      </c>
      <c r="C701" s="340" t="s">
        <v>21</v>
      </c>
      <c r="D701" s="340" t="s">
        <v>30</v>
      </c>
      <c r="E701" s="340" t="s">
        <v>1252</v>
      </c>
      <c r="F701" s="341">
        <v>44713</v>
      </c>
      <c r="G701" s="341"/>
      <c r="H701" s="341"/>
      <c r="I701" s="341" t="s">
        <v>3</v>
      </c>
      <c r="J701" s="340" t="s">
        <v>1778</v>
      </c>
      <c r="K701" s="340" t="s">
        <v>1287</v>
      </c>
      <c r="L701" s="14">
        <v>44715</v>
      </c>
      <c r="M701" t="s">
        <v>3197</v>
      </c>
      <c r="N701" s="173">
        <v>44714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44714</v>
      </c>
    </row>
    <row r="702" spans="1:30">
      <c r="A702" s="340">
        <f>COUNTA($E$3:E702)</f>
        <v>700</v>
      </c>
      <c r="B702" s="340" t="s">
        <v>3151</v>
      </c>
      <c r="C702" s="340" t="s">
        <v>109</v>
      </c>
      <c r="D702" s="340" t="s">
        <v>16</v>
      </c>
      <c r="E702" s="340" t="s">
        <v>1130</v>
      </c>
      <c r="F702" s="341">
        <v>44712</v>
      </c>
      <c r="G702" s="341"/>
      <c r="H702" s="341"/>
      <c r="I702" s="341" t="s">
        <v>3</v>
      </c>
      <c r="J702" s="340" t="s">
        <v>1760</v>
      </c>
      <c r="K702" s="340" t="s">
        <v>1296</v>
      </c>
      <c r="L702" s="14">
        <v>44715</v>
      </c>
      <c r="M702" t="s">
        <v>3196</v>
      </c>
      <c r="N702" s="173">
        <v>44714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44714</v>
      </c>
    </row>
    <row r="703" spans="1:30">
      <c r="A703" s="340">
        <f>COUNTA($E$3:E703)</f>
        <v>701</v>
      </c>
      <c r="B703" s="340" t="s">
        <v>3032</v>
      </c>
      <c r="C703" s="340" t="s">
        <v>21</v>
      </c>
      <c r="D703" s="340" t="s">
        <v>30</v>
      </c>
      <c r="E703" s="340" t="s">
        <v>3033</v>
      </c>
      <c r="F703" s="341">
        <v>44692.744837962964</v>
      </c>
      <c r="G703" s="341"/>
      <c r="H703" s="341"/>
      <c r="I703" s="341" t="s">
        <v>3</v>
      </c>
      <c r="J703" s="340" t="s">
        <v>3132</v>
      </c>
      <c r="K703" s="340"/>
      <c r="L703" s="14">
        <v>44715</v>
      </c>
      <c r="M703" t="s">
        <v>3190</v>
      </c>
      <c r="N703" s="173">
        <v>44712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44712</v>
      </c>
    </row>
    <row r="704" spans="1:30">
      <c r="A704" s="340">
        <f>COUNTA($E$3:E704)</f>
        <v>702</v>
      </c>
      <c r="B704" s="340" t="s">
        <v>3031</v>
      </c>
      <c r="C704" s="340" t="s">
        <v>21</v>
      </c>
      <c r="D704" s="340" t="s">
        <v>1142</v>
      </c>
      <c r="E704" s="340" t="s">
        <v>1204</v>
      </c>
      <c r="F704" s="341">
        <v>44692.744259259256</v>
      </c>
      <c r="G704" s="341"/>
      <c r="H704" s="341"/>
      <c r="I704" s="341" t="s">
        <v>3</v>
      </c>
      <c r="J704" s="340" t="s">
        <v>3089</v>
      </c>
      <c r="K704" s="340"/>
      <c r="L704" s="14">
        <v>44715</v>
      </c>
      <c r="M704" t="s">
        <v>3190</v>
      </c>
      <c r="N704" s="173">
        <v>44712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44712</v>
      </c>
    </row>
    <row r="705" spans="1:30">
      <c r="A705" s="340">
        <f>COUNTA($E$3:E705)</f>
        <v>703</v>
      </c>
      <c r="B705" s="340" t="s">
        <v>3027</v>
      </c>
      <c r="C705" s="340" t="s">
        <v>21</v>
      </c>
      <c r="D705" s="340" t="s">
        <v>30</v>
      </c>
      <c r="E705" s="340" t="s">
        <v>3028</v>
      </c>
      <c r="F705" s="341">
        <v>44692.742835648147</v>
      </c>
      <c r="G705" s="341"/>
      <c r="H705" s="341"/>
      <c r="I705" s="341" t="s">
        <v>3</v>
      </c>
      <c r="J705" s="340" t="s">
        <v>3132</v>
      </c>
      <c r="K705" s="340"/>
      <c r="L705" s="14">
        <v>44715</v>
      </c>
      <c r="M705" t="s">
        <v>3190</v>
      </c>
      <c r="N705" s="173">
        <v>44706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44706</v>
      </c>
    </row>
    <row r="706" spans="1:30">
      <c r="A706" s="340">
        <f>COUNTA($E$3:E706)</f>
        <v>704</v>
      </c>
      <c r="B706" s="340" t="s">
        <v>2979</v>
      </c>
      <c r="C706" s="340" t="s">
        <v>2977</v>
      </c>
      <c r="D706" s="340" t="s">
        <v>25</v>
      </c>
      <c r="E706" s="340" t="s">
        <v>2980</v>
      </c>
      <c r="F706" s="341">
        <v>44685</v>
      </c>
      <c r="G706" s="341"/>
      <c r="H706" s="341"/>
      <c r="I706" s="341" t="s">
        <v>3</v>
      </c>
      <c r="J706" s="340" t="s">
        <v>1212</v>
      </c>
      <c r="K706" s="340" t="s">
        <v>1296</v>
      </c>
      <c r="L706" s="14">
        <v>44715</v>
      </c>
      <c r="M706" t="s">
        <v>3189</v>
      </c>
      <c r="N706" s="173">
        <v>44727</v>
      </c>
      <c r="O706" s="178"/>
      <c r="Q706" t="s">
        <v>129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40">
        <f>COUNTA($E$3:E707)</f>
        <v>705</v>
      </c>
      <c r="B707" s="340" t="s">
        <v>3108</v>
      </c>
      <c r="C707" s="340" t="s">
        <v>41</v>
      </c>
      <c r="D707" s="340" t="s">
        <v>1264</v>
      </c>
      <c r="E707" s="340" t="s">
        <v>3109</v>
      </c>
      <c r="F707" s="341">
        <v>44704</v>
      </c>
      <c r="G707" s="341"/>
      <c r="H707" s="341"/>
      <c r="I707" s="341" t="s">
        <v>1110</v>
      </c>
      <c r="J707" s="340" t="s">
        <v>1668</v>
      </c>
      <c r="K707" s="340" t="s">
        <v>1287</v>
      </c>
      <c r="L707" s="14">
        <v>44708</v>
      </c>
      <c r="M707" t="s">
        <v>3138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40">
        <f>COUNTA($E$3:E708)</f>
        <v>706</v>
      </c>
      <c r="B708" s="340" t="s">
        <v>3127</v>
      </c>
      <c r="C708" s="340" t="s">
        <v>41</v>
      </c>
      <c r="D708" s="340" t="s">
        <v>16</v>
      </c>
      <c r="E708" s="340" t="s">
        <v>1203</v>
      </c>
      <c r="F708" s="341">
        <v>44707</v>
      </c>
      <c r="G708" s="341"/>
      <c r="H708" s="341"/>
      <c r="I708" s="341" t="s">
        <v>2</v>
      </c>
      <c r="J708" s="340" t="s">
        <v>1687</v>
      </c>
      <c r="K708" s="340" t="s">
        <v>33</v>
      </c>
      <c r="L708" s="14">
        <v>44708</v>
      </c>
      <c r="M708" t="s">
        <v>3139</v>
      </c>
      <c r="N708" s="173">
        <v>44729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40">
        <f>COUNTA($E$3:E709)</f>
        <v>707</v>
      </c>
      <c r="B709" s="340" t="s">
        <v>3114</v>
      </c>
      <c r="C709" s="340" t="s">
        <v>41</v>
      </c>
      <c r="D709" s="340" t="s">
        <v>30</v>
      </c>
      <c r="E709" s="340" t="s">
        <v>1722</v>
      </c>
      <c r="F709" s="341">
        <v>44704</v>
      </c>
      <c r="G709" s="341"/>
      <c r="H709" s="341"/>
      <c r="I709" s="341" t="s">
        <v>2</v>
      </c>
      <c r="J709" s="340" t="s">
        <v>2234</v>
      </c>
      <c r="K709" s="340" t="s">
        <v>1287</v>
      </c>
      <c r="L709" s="14">
        <v>44708</v>
      </c>
      <c r="M709" t="s">
        <v>3144</v>
      </c>
      <c r="N709" s="173">
        <v>44729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44729</v>
      </c>
    </row>
    <row r="710" spans="1:30">
      <c r="A710" s="340">
        <f>COUNTA($E$3:E710)</f>
        <v>708</v>
      </c>
      <c r="B710" s="340" t="s">
        <v>3112</v>
      </c>
      <c r="C710" s="340" t="s">
        <v>41</v>
      </c>
      <c r="D710" s="340" t="s">
        <v>1124</v>
      </c>
      <c r="E710" s="340" t="s">
        <v>1138</v>
      </c>
      <c r="F710" s="341">
        <v>44707.701129942099</v>
      </c>
      <c r="G710" s="341"/>
      <c r="H710" s="341"/>
      <c r="I710" s="341" t="s">
        <v>2</v>
      </c>
      <c r="J710" s="340" t="s">
        <v>3113</v>
      </c>
      <c r="K710" s="340" t="s">
        <v>103</v>
      </c>
      <c r="L710" s="14">
        <v>44708</v>
      </c>
      <c r="M710" t="s">
        <v>3143</v>
      </c>
      <c r="N710" s="173">
        <v>44729</v>
      </c>
      <c r="O710" s="178"/>
      <c r="Q710" t="s">
        <v>22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44729</v>
      </c>
    </row>
    <row r="711" spans="1:30">
      <c r="A711" s="340">
        <f>COUNTA($E$3:E711)</f>
        <v>709</v>
      </c>
      <c r="B711" s="340" t="s">
        <v>3110</v>
      </c>
      <c r="C711" s="340" t="s">
        <v>41</v>
      </c>
      <c r="D711" s="340" t="s">
        <v>31</v>
      </c>
      <c r="E711" s="340" t="s">
        <v>3111</v>
      </c>
      <c r="F711" s="341">
        <v>44704</v>
      </c>
      <c r="G711" s="341"/>
      <c r="H711" s="341" t="s">
        <v>66</v>
      </c>
      <c r="I711" s="341" t="s">
        <v>2</v>
      </c>
      <c r="J711" s="340" t="s">
        <v>2061</v>
      </c>
      <c r="K711" s="340" t="s">
        <v>1294</v>
      </c>
      <c r="L711" s="14">
        <v>44708</v>
      </c>
      <c r="N711" s="173">
        <v>44729</v>
      </c>
      <c r="O711" s="178"/>
      <c r="Q711" t="s">
        <v>22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40">
        <f>COUNTA($E$3:E712)</f>
        <v>710</v>
      </c>
      <c r="B712" s="340" t="s">
        <v>3069</v>
      </c>
      <c r="C712" s="340" t="s">
        <v>40</v>
      </c>
      <c r="D712" s="340" t="s">
        <v>51</v>
      </c>
      <c r="E712" s="340" t="s">
        <v>1697</v>
      </c>
      <c r="F712" s="341">
        <v>44700</v>
      </c>
      <c r="G712" s="341"/>
      <c r="H712" s="341"/>
      <c r="I712" s="341" t="s">
        <v>2</v>
      </c>
      <c r="J712" s="340" t="s">
        <v>1746</v>
      </c>
      <c r="K712" s="340" t="s">
        <v>1294</v>
      </c>
      <c r="L712" s="14">
        <v>44708</v>
      </c>
      <c r="M712" t="s">
        <v>3136</v>
      </c>
      <c r="N712" s="173">
        <v>44729</v>
      </c>
      <c r="O712" s="178"/>
      <c r="Q712" t="s">
        <v>22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44729</v>
      </c>
    </row>
    <row r="713" spans="1:30">
      <c r="A713" s="340">
        <f>COUNTA($E$3:E713)</f>
        <v>711</v>
      </c>
      <c r="B713" s="340" t="s">
        <v>2949</v>
      </c>
      <c r="C713" s="340" t="s">
        <v>2345</v>
      </c>
      <c r="D713" s="340" t="s">
        <v>16</v>
      </c>
      <c r="E713" s="340" t="s">
        <v>2377</v>
      </c>
      <c r="F713" s="341">
        <v>44678</v>
      </c>
      <c r="G713" s="341"/>
      <c r="H713" s="341" t="s">
        <v>55</v>
      </c>
      <c r="I713" s="341" t="s">
        <v>2</v>
      </c>
      <c r="J713" s="340" t="s">
        <v>1664</v>
      </c>
      <c r="K713" s="340" t="s">
        <v>1296</v>
      </c>
      <c r="L713" s="14">
        <v>44708</v>
      </c>
      <c r="M713" t="s">
        <v>3135</v>
      </c>
      <c r="N713" s="173">
        <v>44713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44713</v>
      </c>
    </row>
    <row r="714" spans="1:30">
      <c r="A714" s="340">
        <f>COUNTA($E$3:E714)</f>
        <v>712</v>
      </c>
      <c r="B714" s="340" t="s">
        <v>2925</v>
      </c>
      <c r="C714" s="340" t="s">
        <v>1197</v>
      </c>
      <c r="D714" s="340" t="s">
        <v>38</v>
      </c>
      <c r="E714" s="340" t="s">
        <v>1222</v>
      </c>
      <c r="F714" s="341">
        <v>44627</v>
      </c>
      <c r="G714" s="341"/>
      <c r="H714" s="341">
        <v>44575</v>
      </c>
      <c r="I714" s="341" t="s">
        <v>2</v>
      </c>
      <c r="J714" s="340" t="s">
        <v>1485</v>
      </c>
      <c r="K714" s="340" t="s">
        <v>1294</v>
      </c>
      <c r="L714" s="14">
        <v>44708</v>
      </c>
      <c r="M714" t="s">
        <v>3134</v>
      </c>
      <c r="N714" s="173">
        <v>44713</v>
      </c>
      <c r="O714" s="178"/>
      <c r="Q714" t="s">
        <v>22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44713</v>
      </c>
    </row>
    <row r="715" spans="1:30">
      <c r="A715" s="340">
        <f>COUNTA($E$3:E715)</f>
        <v>713</v>
      </c>
      <c r="B715" s="340" t="s">
        <v>2802</v>
      </c>
      <c r="C715" s="340" t="s">
        <v>41</v>
      </c>
      <c r="D715" s="340" t="s">
        <v>34</v>
      </c>
      <c r="E715" s="340" t="s">
        <v>2803</v>
      </c>
      <c r="F715" s="341">
        <v>44664</v>
      </c>
      <c r="G715" s="341"/>
      <c r="H715" s="341" t="s">
        <v>66</v>
      </c>
      <c r="I715" s="341" t="s">
        <v>3</v>
      </c>
      <c r="J715" s="340" t="s">
        <v>1212</v>
      </c>
      <c r="K715" s="340" t="s">
        <v>103</v>
      </c>
      <c r="L715" s="14">
        <v>44708</v>
      </c>
      <c r="M715" t="s">
        <v>3133</v>
      </c>
      <c r="N715" s="173">
        <v>44729</v>
      </c>
      <c r="O715" s="178"/>
      <c r="Q715" t="s">
        <v>22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44729</v>
      </c>
    </row>
    <row r="716" spans="1:30">
      <c r="A716" s="340">
        <f>COUNTA($E$3:E716)</f>
        <v>714</v>
      </c>
      <c r="B716" s="340" t="s">
        <v>3115</v>
      </c>
      <c r="C716" s="340" t="s">
        <v>41</v>
      </c>
      <c r="D716" s="340" t="s">
        <v>1139</v>
      </c>
      <c r="E716" s="340" t="s">
        <v>3116</v>
      </c>
      <c r="F716" s="341">
        <v>44704</v>
      </c>
      <c r="G716" s="341"/>
      <c r="H716" s="341"/>
      <c r="I716" s="341" t="s">
        <v>3</v>
      </c>
      <c r="J716" s="340" t="s">
        <v>1485</v>
      </c>
      <c r="K716" s="340" t="s">
        <v>2032</v>
      </c>
      <c r="L716" s="14">
        <v>44708</v>
      </c>
      <c r="M716" t="s">
        <v>3140</v>
      </c>
      <c r="N716" s="173">
        <v>44729</v>
      </c>
      <c r="O716" s="178"/>
      <c r="Q716" t="s">
        <v>22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>
      <c r="A717" s="340">
        <f>COUNTA($E$3:E717)</f>
        <v>715</v>
      </c>
      <c r="B717" s="340" t="s">
        <v>3102</v>
      </c>
      <c r="C717" s="340" t="s">
        <v>41</v>
      </c>
      <c r="D717" s="340" t="s">
        <v>1126</v>
      </c>
      <c r="E717" s="340" t="s">
        <v>3103</v>
      </c>
      <c r="F717" s="341">
        <v>44704</v>
      </c>
      <c r="G717" s="341"/>
      <c r="H717" s="341"/>
      <c r="I717" s="341" t="s">
        <v>3</v>
      </c>
      <c r="J717" s="340" t="s">
        <v>1668</v>
      </c>
      <c r="K717" s="340" t="s">
        <v>1287</v>
      </c>
      <c r="L717" s="14">
        <v>44708</v>
      </c>
      <c r="M717" t="s">
        <v>3138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>
      <c r="A718" s="340">
        <f>COUNTA($E$3:E718)</f>
        <v>716</v>
      </c>
      <c r="B718" s="340" t="s">
        <v>3087</v>
      </c>
      <c r="C718" s="340" t="s">
        <v>41</v>
      </c>
      <c r="D718" s="340" t="s">
        <v>1139</v>
      </c>
      <c r="E718" s="340" t="s">
        <v>1140</v>
      </c>
      <c r="F718" s="341">
        <v>44701</v>
      </c>
      <c r="G718" s="341"/>
      <c r="H718" s="341"/>
      <c r="I718" s="341" t="s">
        <v>3</v>
      </c>
      <c r="J718" s="340" t="s">
        <v>17</v>
      </c>
      <c r="K718" s="340" t="s">
        <v>1287</v>
      </c>
      <c r="L718" s="14">
        <v>44708</v>
      </c>
      <c r="M718" t="s">
        <v>3137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>
      <c r="A719" s="340">
        <f>COUNTA($E$3:E719)</f>
        <v>717</v>
      </c>
      <c r="B719" s="340" t="s">
        <v>3040</v>
      </c>
      <c r="C719" s="340" t="s">
        <v>3041</v>
      </c>
      <c r="D719" s="340" t="s">
        <v>104</v>
      </c>
      <c r="E719" s="340" t="s">
        <v>3042</v>
      </c>
      <c r="F719" s="341">
        <v>44693.506863425922</v>
      </c>
      <c r="G719" s="341"/>
      <c r="H719" s="341"/>
      <c r="I719" s="341" t="s">
        <v>3</v>
      </c>
      <c r="J719" s="340" t="s">
        <v>1212</v>
      </c>
      <c r="K719" s="340" t="s">
        <v>1295</v>
      </c>
      <c r="L719" s="14">
        <v>44708</v>
      </c>
      <c r="M719" t="s">
        <v>2959</v>
      </c>
      <c r="N719" s="173">
        <v>44712</v>
      </c>
      <c r="O719" s="178"/>
      <c r="Q719" t="s">
        <v>129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44712</v>
      </c>
    </row>
    <row r="720" spans="1:30">
      <c r="A720" s="340">
        <f>COUNTA($E$3:E720)</f>
        <v>718</v>
      </c>
      <c r="B720" s="340" t="s">
        <v>3036</v>
      </c>
      <c r="C720" s="340" t="s">
        <v>21</v>
      </c>
      <c r="D720" s="340" t="s">
        <v>34</v>
      </c>
      <c r="E720" s="340" t="s">
        <v>2059</v>
      </c>
      <c r="F720" s="341">
        <v>44692.746712962966</v>
      </c>
      <c r="G720" s="341"/>
      <c r="H720" s="341"/>
      <c r="I720" s="341" t="s">
        <v>3</v>
      </c>
      <c r="J720" s="340" t="s">
        <v>2435</v>
      </c>
      <c r="K720" s="340" t="s">
        <v>1295</v>
      </c>
      <c r="L720" s="14">
        <v>44708</v>
      </c>
      <c r="M720" t="s">
        <v>3136</v>
      </c>
      <c r="N720" s="173">
        <v>44712</v>
      </c>
      <c r="O720" s="178"/>
      <c r="Q720" t="s">
        <v>129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44712</v>
      </c>
    </row>
    <row r="721" spans="1:30">
      <c r="A721" s="340">
        <f>COUNTA($E$3:E721)</f>
        <v>719</v>
      </c>
      <c r="B721" s="340" t="s">
        <v>3067</v>
      </c>
      <c r="C721" s="340" t="s">
        <v>41</v>
      </c>
      <c r="D721" s="340" t="s">
        <v>56</v>
      </c>
      <c r="E721" s="340" t="s">
        <v>3068</v>
      </c>
      <c r="F721" s="341">
        <v>44699</v>
      </c>
      <c r="G721" s="341"/>
      <c r="H721" s="341"/>
      <c r="I721" s="341" t="s">
        <v>2</v>
      </c>
      <c r="J721" s="340" t="s">
        <v>1671</v>
      </c>
      <c r="K721" s="340" t="s">
        <v>33</v>
      </c>
      <c r="L721" s="14">
        <v>44701</v>
      </c>
      <c r="M721" t="s">
        <v>3084</v>
      </c>
      <c r="N721" s="173">
        <v>44701</v>
      </c>
      <c r="O721" s="178"/>
      <c r="Q721" t="s">
        <v>129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44701</v>
      </c>
    </row>
    <row r="722" spans="1:30">
      <c r="A722" s="340">
        <f>COUNTA($E$3:E722)</f>
        <v>720</v>
      </c>
      <c r="B722" s="340" t="s">
        <v>3066</v>
      </c>
      <c r="C722" s="340" t="s">
        <v>41</v>
      </c>
      <c r="D722" s="340" t="s">
        <v>30</v>
      </c>
      <c r="E722" s="340" t="s">
        <v>1640</v>
      </c>
      <c r="F722" s="341">
        <v>44699</v>
      </c>
      <c r="G722" s="341"/>
      <c r="H722" s="341"/>
      <c r="I722" s="341" t="s">
        <v>2</v>
      </c>
      <c r="J722" s="340" t="s">
        <v>1671</v>
      </c>
      <c r="K722" s="340" t="s">
        <v>1089</v>
      </c>
      <c r="L722" s="14">
        <v>44701</v>
      </c>
      <c r="M722" t="s">
        <v>3084</v>
      </c>
      <c r="N722" s="173">
        <v>44702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44702</v>
      </c>
    </row>
    <row r="723" spans="1:30">
      <c r="A723" s="340">
        <f>COUNTA($E$3:E723)</f>
        <v>721</v>
      </c>
      <c r="B723" s="340" t="s">
        <v>3063</v>
      </c>
      <c r="C723" s="340" t="s">
        <v>41</v>
      </c>
      <c r="D723" s="340" t="s">
        <v>1123</v>
      </c>
      <c r="E723" s="340" t="s">
        <v>3064</v>
      </c>
      <c r="F723" s="341">
        <v>44698</v>
      </c>
      <c r="G723" s="341"/>
      <c r="H723" s="341"/>
      <c r="I723" s="341" t="s">
        <v>2</v>
      </c>
      <c r="J723" s="340" t="s">
        <v>17</v>
      </c>
      <c r="K723" s="340" t="s">
        <v>1287</v>
      </c>
      <c r="L723" s="14">
        <v>44701</v>
      </c>
      <c r="M723" t="s">
        <v>3091</v>
      </c>
      <c r="N723" s="173">
        <v>44703</v>
      </c>
      <c r="O723" s="178"/>
      <c r="Q723" t="s">
        <v>129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44703</v>
      </c>
    </row>
    <row r="724" spans="1:30">
      <c r="A724" s="340">
        <f>COUNTA($E$3:E724)</f>
        <v>722</v>
      </c>
      <c r="B724" s="340" t="s">
        <v>3043</v>
      </c>
      <c r="C724" s="340" t="s">
        <v>41</v>
      </c>
      <c r="D724" s="340" t="s">
        <v>51</v>
      </c>
      <c r="E724" s="340" t="s">
        <v>1694</v>
      </c>
      <c r="F724" s="341">
        <v>44693</v>
      </c>
      <c r="G724" s="341"/>
      <c r="H724" s="341"/>
      <c r="I724" s="341" t="s">
        <v>2</v>
      </c>
      <c r="J724" s="340" t="s">
        <v>1485</v>
      </c>
      <c r="K724" s="340" t="s">
        <v>1294</v>
      </c>
      <c r="L724" s="14">
        <v>44701</v>
      </c>
      <c r="M724" t="s">
        <v>3083</v>
      </c>
      <c r="N724" s="173">
        <v>44704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44704</v>
      </c>
    </row>
    <row r="725" spans="1:30">
      <c r="A725" s="340">
        <f>COUNTA($E$3:E725)</f>
        <v>723</v>
      </c>
      <c r="B725" s="340" t="s">
        <v>2964</v>
      </c>
      <c r="C725" s="340" t="s">
        <v>41</v>
      </c>
      <c r="D725" s="340" t="s">
        <v>32</v>
      </c>
      <c r="E725" s="340" t="s">
        <v>1190</v>
      </c>
      <c r="F725" s="341">
        <v>44678</v>
      </c>
      <c r="G725" s="341"/>
      <c r="H725" s="341"/>
      <c r="I725" s="341" t="s">
        <v>2</v>
      </c>
      <c r="J725" s="340" t="s">
        <v>2435</v>
      </c>
      <c r="K725" s="340" t="s">
        <v>287</v>
      </c>
      <c r="L725" s="14">
        <v>44701</v>
      </c>
      <c r="M725" t="s">
        <v>3080</v>
      </c>
      <c r="N725" s="173">
        <v>44705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44705</v>
      </c>
    </row>
    <row r="726" spans="1:30">
      <c r="A726" s="340">
        <f>COUNTA($E$3:E726)</f>
        <v>724</v>
      </c>
      <c r="B726" s="340" t="s">
        <v>2494</v>
      </c>
      <c r="C726" s="340" t="s">
        <v>1106</v>
      </c>
      <c r="D726" s="340" t="s">
        <v>58</v>
      </c>
      <c r="E726" s="340" t="s">
        <v>2495</v>
      </c>
      <c r="F726" s="341">
        <v>44600</v>
      </c>
      <c r="G726" s="341"/>
      <c r="H726" s="341">
        <v>44627</v>
      </c>
      <c r="I726" s="341" t="s">
        <v>2</v>
      </c>
      <c r="J726" s="340" t="s">
        <v>2496</v>
      </c>
      <c r="K726" s="340" t="s">
        <v>1296</v>
      </c>
      <c r="L726" s="14">
        <v>44701</v>
      </c>
      <c r="M726" t="s">
        <v>3078</v>
      </c>
      <c r="N726" s="173">
        <v>44696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44696</v>
      </c>
    </row>
    <row r="727" spans="1:30">
      <c r="A727" s="340">
        <f>COUNTA($E$3:E727)</f>
        <v>725</v>
      </c>
      <c r="B727" s="340" t="s">
        <v>3085</v>
      </c>
      <c r="C727" s="340" t="s">
        <v>41</v>
      </c>
      <c r="D727" s="340" t="s">
        <v>34</v>
      </c>
      <c r="E727" s="340" t="s">
        <v>1923</v>
      </c>
      <c r="F727" s="341">
        <v>44700</v>
      </c>
      <c r="G727" s="341"/>
      <c r="H727" s="341"/>
      <c r="I727" s="341" t="s">
        <v>3</v>
      </c>
      <c r="J727" s="340" t="s">
        <v>3086</v>
      </c>
      <c r="K727" s="340" t="s">
        <v>1120</v>
      </c>
      <c r="L727" s="14">
        <v>44701</v>
      </c>
      <c r="M727" t="s">
        <v>3081</v>
      </c>
      <c r="N727" s="173">
        <v>44701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44701</v>
      </c>
    </row>
    <row r="728" spans="1:30">
      <c r="A728" s="340">
        <f>COUNTA($E$3:E728)</f>
        <v>726</v>
      </c>
      <c r="B728" s="340" t="s">
        <v>3074</v>
      </c>
      <c r="C728" s="340" t="s">
        <v>41</v>
      </c>
      <c r="D728" s="340" t="s">
        <v>19</v>
      </c>
      <c r="E728" s="340" t="s">
        <v>3075</v>
      </c>
      <c r="F728" s="341">
        <v>44700</v>
      </c>
      <c r="G728" s="341"/>
      <c r="H728" s="341"/>
      <c r="I728" s="341" t="s">
        <v>3</v>
      </c>
      <c r="J728" s="340" t="s">
        <v>2560</v>
      </c>
      <c r="K728" s="340" t="s">
        <v>103</v>
      </c>
      <c r="L728" s="14">
        <v>44701</v>
      </c>
      <c r="M728" t="s">
        <v>3954</v>
      </c>
      <c r="N728" s="173">
        <v>44813</v>
      </c>
      <c r="O728" s="178"/>
      <c r="Q728" t="s">
        <v>22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44813</v>
      </c>
    </row>
    <row r="729" spans="1:30">
      <c r="A729" s="340">
        <f>COUNTA($E$3:E729)</f>
        <v>727</v>
      </c>
      <c r="B729" s="340" t="s">
        <v>3065</v>
      </c>
      <c r="C729" s="340" t="s">
        <v>286</v>
      </c>
      <c r="D729" s="340" t="s">
        <v>34</v>
      </c>
      <c r="E729" s="340" t="s">
        <v>1250</v>
      </c>
      <c r="F729" s="341">
        <v>44699</v>
      </c>
      <c r="G729" s="341"/>
      <c r="H729" s="341"/>
      <c r="I729" s="341" t="s">
        <v>3</v>
      </c>
      <c r="J729" s="340" t="s">
        <v>1485</v>
      </c>
      <c r="K729" s="340" t="s">
        <v>24</v>
      </c>
      <c r="L729" s="14">
        <v>44701</v>
      </c>
      <c r="M729" t="s">
        <v>3081</v>
      </c>
      <c r="N729" s="173">
        <v>44701</v>
      </c>
      <c r="O729" s="178"/>
      <c r="Q729" t="s">
        <v>22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44701</v>
      </c>
    </row>
    <row r="730" spans="1:30">
      <c r="A730" s="340">
        <f>COUNTA($E$3:E730)</f>
        <v>728</v>
      </c>
      <c r="B730" s="340" t="s">
        <v>3061</v>
      </c>
      <c r="C730" s="340" t="s">
        <v>297</v>
      </c>
      <c r="D730" s="340" t="s">
        <v>56</v>
      </c>
      <c r="E730" s="340" t="s">
        <v>3062</v>
      </c>
      <c r="F730" s="341">
        <v>44697</v>
      </c>
      <c r="G730" s="341"/>
      <c r="H730" s="341"/>
      <c r="I730" s="341" t="s">
        <v>3</v>
      </c>
      <c r="J730" s="340" t="s">
        <v>1641</v>
      </c>
      <c r="K730" s="340" t="s">
        <v>1294</v>
      </c>
      <c r="L730" s="14">
        <v>44701</v>
      </c>
      <c r="M730" t="s">
        <v>3083</v>
      </c>
      <c r="N730" s="173">
        <v>44698</v>
      </c>
      <c r="O730" s="178"/>
      <c r="Q730" t="s">
        <v>22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44698</v>
      </c>
    </row>
    <row r="731" spans="1:30">
      <c r="A731" s="340">
        <f>COUNTA($E$3:E731)</f>
        <v>729</v>
      </c>
      <c r="B731" s="340" t="s">
        <v>3038</v>
      </c>
      <c r="C731" s="340" t="s">
        <v>37</v>
      </c>
      <c r="D731" s="340" t="s">
        <v>30</v>
      </c>
      <c r="E731" s="340" t="s">
        <v>3039</v>
      </c>
      <c r="F731" s="341">
        <v>44692.747534722221</v>
      </c>
      <c r="G731" s="341"/>
      <c r="H731" s="341"/>
      <c r="I731" s="341" t="s">
        <v>3</v>
      </c>
      <c r="J731" s="340" t="s">
        <v>1249</v>
      </c>
      <c r="K731" s="340" t="s">
        <v>1274</v>
      </c>
      <c r="L731" s="14">
        <v>44701</v>
      </c>
      <c r="M731" t="s">
        <v>3083</v>
      </c>
      <c r="N731" s="173">
        <v>44718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44718</v>
      </c>
    </row>
    <row r="732" spans="1:30">
      <c r="A732" s="340">
        <f>COUNTA($E$3:E732)</f>
        <v>730</v>
      </c>
      <c r="B732" s="340" t="s">
        <v>3037</v>
      </c>
      <c r="C732" s="340" t="s">
        <v>37</v>
      </c>
      <c r="D732" s="340" t="s">
        <v>30</v>
      </c>
      <c r="E732" s="340" t="s">
        <v>2273</v>
      </c>
      <c r="F732" s="341">
        <v>44692.747106481482</v>
      </c>
      <c r="G732" s="341"/>
      <c r="H732" s="341"/>
      <c r="I732" s="341" t="s">
        <v>3</v>
      </c>
      <c r="J732" s="340" t="s">
        <v>1875</v>
      </c>
      <c r="K732" s="340" t="s">
        <v>1295</v>
      </c>
      <c r="L732" s="14">
        <v>44701</v>
      </c>
      <c r="M732" t="s">
        <v>3082</v>
      </c>
      <c r="N732" s="173">
        <v>44709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44709</v>
      </c>
    </row>
    <row r="733" spans="1:30">
      <c r="A733" s="340">
        <f>COUNTA($E$3:E733)</f>
        <v>731</v>
      </c>
      <c r="B733" s="340" t="s">
        <v>3034</v>
      </c>
      <c r="C733" s="340" t="s">
        <v>21</v>
      </c>
      <c r="D733" s="340" t="s">
        <v>34</v>
      </c>
      <c r="E733" s="340" t="s">
        <v>3035</v>
      </c>
      <c r="F733" s="341">
        <v>44692.746203703704</v>
      </c>
      <c r="G733" s="341"/>
      <c r="H733" s="341"/>
      <c r="I733" s="341" t="s">
        <v>3</v>
      </c>
      <c r="J733" s="340" t="s">
        <v>3076</v>
      </c>
      <c r="K733" s="340" t="s">
        <v>1274</v>
      </c>
      <c r="L733" s="14">
        <v>44701</v>
      </c>
      <c r="M733" t="s">
        <v>3080</v>
      </c>
      <c r="N733" s="173">
        <v>44700</v>
      </c>
      <c r="O733" s="178"/>
      <c r="Q733" t="s">
        <v>129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44700</v>
      </c>
    </row>
    <row r="734" spans="1:30">
      <c r="A734" s="340">
        <f>COUNTA($E$3:E734)</f>
        <v>732</v>
      </c>
      <c r="B734" s="340" t="s">
        <v>2757</v>
      </c>
      <c r="C734" s="340" t="s">
        <v>37</v>
      </c>
      <c r="D734" s="340" t="s">
        <v>27</v>
      </c>
      <c r="E734" s="340" t="s">
        <v>2758</v>
      </c>
      <c r="F734" s="341">
        <v>44655</v>
      </c>
      <c r="G734" s="341"/>
      <c r="H734" s="341">
        <v>44658</v>
      </c>
      <c r="I734" s="341" t="s">
        <v>3</v>
      </c>
      <c r="J734" s="340" t="s">
        <v>1093</v>
      </c>
      <c r="K734" s="340" t="s">
        <v>1296</v>
      </c>
      <c r="L734" s="14">
        <v>44701</v>
      </c>
      <c r="N734" s="173">
        <v>44701</v>
      </c>
      <c r="O734" s="178"/>
      <c r="Q734" t="s">
        <v>129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40">
        <f>COUNTA($E$3:E735)</f>
        <v>733</v>
      </c>
      <c r="B735" s="340" t="s">
        <v>3003</v>
      </c>
      <c r="C735" s="340" t="s">
        <v>41</v>
      </c>
      <c r="D735" s="340" t="s">
        <v>45</v>
      </c>
      <c r="E735" s="340" t="s">
        <v>1955</v>
      </c>
      <c r="F735" s="341">
        <v>44687.089756944442</v>
      </c>
      <c r="G735" s="341"/>
      <c r="H735" s="341"/>
      <c r="I735" s="341"/>
      <c r="J735" s="340" t="s">
        <v>1707</v>
      </c>
      <c r="K735" s="340" t="s">
        <v>1296</v>
      </c>
      <c r="L735" s="14">
        <v>44697</v>
      </c>
      <c r="M735" t="s">
        <v>3045</v>
      </c>
      <c r="N735" s="173">
        <v>44701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44701</v>
      </c>
    </row>
    <row r="736" spans="1:30">
      <c r="A736" s="340">
        <f>COUNTA($E$3:E736)</f>
        <v>734</v>
      </c>
      <c r="B736" s="340" t="s">
        <v>3018</v>
      </c>
      <c r="C736" s="340" t="s">
        <v>44</v>
      </c>
      <c r="D736" s="340" t="s">
        <v>27</v>
      </c>
      <c r="E736" s="340" t="s">
        <v>3019</v>
      </c>
      <c r="F736" s="341">
        <v>44691.733912037038</v>
      </c>
      <c r="G736" s="341"/>
      <c r="H736" s="341"/>
      <c r="I736" s="341" t="s">
        <v>1110</v>
      </c>
      <c r="J736" s="340" t="s">
        <v>2194</v>
      </c>
      <c r="K736" s="340"/>
      <c r="L736" s="14">
        <v>44697</v>
      </c>
      <c r="M736" t="s">
        <v>3054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>
      <c r="A737" s="340">
        <f>COUNTA($E$3:E737)</f>
        <v>735</v>
      </c>
      <c r="B737" s="340" t="s">
        <v>3047</v>
      </c>
      <c r="C737" s="340" t="s">
        <v>41</v>
      </c>
      <c r="D737" s="340" t="s">
        <v>56</v>
      </c>
      <c r="E737" s="340" t="s">
        <v>1229</v>
      </c>
      <c r="F737" s="341">
        <v>44693</v>
      </c>
      <c r="G737" s="341"/>
      <c r="H737" s="341"/>
      <c r="I737" s="341" t="s">
        <v>2</v>
      </c>
      <c r="J737" s="340" t="s">
        <v>1858</v>
      </c>
      <c r="K737" s="340" t="s">
        <v>33</v>
      </c>
      <c r="L737" s="14">
        <v>44697</v>
      </c>
      <c r="M737" t="s">
        <v>3055</v>
      </c>
      <c r="N737" s="173">
        <v>44701</v>
      </c>
      <c r="O737" s="178"/>
      <c r="Q737" t="s">
        <v>129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44701</v>
      </c>
    </row>
    <row r="738" spans="1:30">
      <c r="A738" s="340">
        <f>COUNTA($E$3:E738)</f>
        <v>736</v>
      </c>
      <c r="B738" s="340" t="s">
        <v>3023</v>
      </c>
      <c r="C738" s="340" t="s">
        <v>41</v>
      </c>
      <c r="D738" s="340" t="s">
        <v>51</v>
      </c>
      <c r="E738" s="340" t="s">
        <v>3024</v>
      </c>
      <c r="F738" s="341">
        <v>44692</v>
      </c>
      <c r="G738" s="341"/>
      <c r="H738" s="341"/>
      <c r="I738" s="341" t="s">
        <v>2</v>
      </c>
      <c r="J738" s="340" t="s">
        <v>3025</v>
      </c>
      <c r="K738" s="340" t="s">
        <v>1294</v>
      </c>
      <c r="L738" s="14">
        <v>44697</v>
      </c>
      <c r="M738" t="s">
        <v>3045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>
      <c r="A739" s="340">
        <f>COUNTA($E$3:E739)</f>
        <v>737</v>
      </c>
      <c r="B739" s="340" t="s">
        <v>3016</v>
      </c>
      <c r="C739" s="340" t="s">
        <v>2327</v>
      </c>
      <c r="D739" s="340" t="s">
        <v>56</v>
      </c>
      <c r="E739" s="340" t="s">
        <v>2328</v>
      </c>
      <c r="F739" s="341">
        <v>44690</v>
      </c>
      <c r="G739" s="341"/>
      <c r="H739" s="341"/>
      <c r="I739" s="341" t="s">
        <v>2</v>
      </c>
      <c r="J739" s="340" t="s">
        <v>17</v>
      </c>
      <c r="K739" s="340"/>
      <c r="L739" s="14">
        <v>44697</v>
      </c>
      <c r="O739" s="178"/>
      <c r="Q739" t="s">
        <v>129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/>
    </row>
    <row r="740" spans="1:30">
      <c r="A740" s="340">
        <f>COUNTA($E$3:E740)</f>
        <v>738</v>
      </c>
      <c r="B740" s="340" t="s">
        <v>3029</v>
      </c>
      <c r="C740" s="340" t="s">
        <v>21</v>
      </c>
      <c r="D740" s="340" t="s">
        <v>30</v>
      </c>
      <c r="E740" s="340" t="s">
        <v>3030</v>
      </c>
      <c r="F740" s="341">
        <v>44692.743449074071</v>
      </c>
      <c r="G740" s="341"/>
      <c r="H740" s="341"/>
      <c r="I740" s="341" t="s">
        <v>3</v>
      </c>
      <c r="J740" s="340" t="s">
        <v>3051</v>
      </c>
      <c r="K740" s="340" t="s">
        <v>1274</v>
      </c>
      <c r="L740" s="14">
        <v>44697</v>
      </c>
      <c r="M740" t="s">
        <v>3053</v>
      </c>
      <c r="N740" s="173">
        <v>44700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44700</v>
      </c>
    </row>
    <row r="741" spans="1:30">
      <c r="A741" s="340">
        <f>COUNTA($E$3:E741)</f>
        <v>739</v>
      </c>
      <c r="B741" s="340" t="s">
        <v>3017</v>
      </c>
      <c r="C741" s="340" t="s">
        <v>41</v>
      </c>
      <c r="D741" s="340" t="s">
        <v>23</v>
      </c>
      <c r="E741" s="340" t="s">
        <v>1272</v>
      </c>
      <c r="F741" s="341">
        <v>44691</v>
      </c>
      <c r="G741" s="341"/>
      <c r="H741" s="341"/>
      <c r="I741" s="341" t="s">
        <v>3</v>
      </c>
      <c r="J741" s="340" t="s">
        <v>1921</v>
      </c>
      <c r="K741" s="340" t="s">
        <v>2032</v>
      </c>
      <c r="L741" s="14">
        <v>44697</v>
      </c>
      <c r="M741" t="s">
        <v>3046</v>
      </c>
      <c r="N741" s="173">
        <v>44701</v>
      </c>
      <c r="O741" s="178"/>
      <c r="Q741" t="s">
        <v>22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44701</v>
      </c>
    </row>
    <row r="742" spans="1:30">
      <c r="A742" s="340">
        <f>COUNTA($E$3:E742)</f>
        <v>740</v>
      </c>
      <c r="B742" s="340" t="s">
        <v>2526</v>
      </c>
      <c r="C742" s="340" t="s">
        <v>40</v>
      </c>
      <c r="D742" s="340" t="s">
        <v>1264</v>
      </c>
      <c r="E742" s="340" t="s">
        <v>2003</v>
      </c>
      <c r="F742" s="341">
        <v>44610</v>
      </c>
      <c r="G742" s="341"/>
      <c r="H742" s="341" t="s">
        <v>55</v>
      </c>
      <c r="I742" s="341" t="s">
        <v>4</v>
      </c>
      <c r="J742" s="340" t="s">
        <v>1093</v>
      </c>
      <c r="K742" s="340" t="s">
        <v>1287</v>
      </c>
      <c r="L742" s="14">
        <v>44697</v>
      </c>
      <c r="M742" t="s">
        <v>3044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>
      <c r="A743" s="340">
        <f>COUNTA($E$3:E743)</f>
        <v>741</v>
      </c>
      <c r="B743" s="340" t="s">
        <v>2825</v>
      </c>
      <c r="C743" s="340" t="s">
        <v>1106</v>
      </c>
      <c r="D743" s="340" t="s">
        <v>1098</v>
      </c>
      <c r="E743" s="340" t="s">
        <v>2826</v>
      </c>
      <c r="F743" s="341">
        <v>44666.517303993103</v>
      </c>
      <c r="G743" s="341"/>
      <c r="H743" s="341"/>
      <c r="I743" s="341" t="s">
        <v>1110</v>
      </c>
      <c r="J743" s="340" t="s">
        <v>1093</v>
      </c>
      <c r="K743" s="340" t="s">
        <v>1287</v>
      </c>
      <c r="L743" s="14">
        <v>44689</v>
      </c>
      <c r="M743" t="s">
        <v>3008</v>
      </c>
      <c r="N743" s="173">
        <v>44679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44679</v>
      </c>
    </row>
    <row r="744" spans="1:30">
      <c r="A744" s="340">
        <f>COUNTA($E$3:E744)</f>
        <v>742</v>
      </c>
      <c r="B744" s="340" t="s">
        <v>2995</v>
      </c>
      <c r="C744" s="340" t="s">
        <v>2330</v>
      </c>
      <c r="D744" s="340" t="s">
        <v>1080</v>
      </c>
      <c r="E744" s="340" t="s">
        <v>2331</v>
      </c>
      <c r="F744" s="341">
        <v>44686</v>
      </c>
      <c r="G744" s="341"/>
      <c r="H744" s="341"/>
      <c r="I744" s="341" t="s">
        <v>2</v>
      </c>
      <c r="J744" s="340" t="s">
        <v>1723</v>
      </c>
      <c r="K744" s="340" t="s">
        <v>287</v>
      </c>
      <c r="L744" s="14">
        <v>44689</v>
      </c>
      <c r="M744" t="s">
        <v>3007</v>
      </c>
      <c r="N744" s="173">
        <v>44705</v>
      </c>
      <c r="O744" s="178"/>
      <c r="Q744" t="s">
        <v>22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44705</v>
      </c>
    </row>
    <row r="745" spans="1:30">
      <c r="A745" s="340">
        <f>COUNTA($E$3:E745)</f>
        <v>743</v>
      </c>
      <c r="B745" s="340" t="s">
        <v>2971</v>
      </c>
      <c r="C745" s="340" t="s">
        <v>41</v>
      </c>
      <c r="D745" s="340" t="s">
        <v>30</v>
      </c>
      <c r="E745" s="340" t="s">
        <v>2970</v>
      </c>
      <c r="F745" s="341">
        <v>44678</v>
      </c>
      <c r="G745" s="341"/>
      <c r="H745" s="341"/>
      <c r="I745" s="341" t="s">
        <v>2</v>
      </c>
      <c r="J745" s="340" t="s">
        <v>2996</v>
      </c>
      <c r="K745" s="340" t="s">
        <v>1294</v>
      </c>
      <c r="L745" s="14">
        <v>44689</v>
      </c>
      <c r="M745" t="s">
        <v>3004</v>
      </c>
      <c r="N745" s="173">
        <v>44689</v>
      </c>
      <c r="O745" s="178"/>
      <c r="Q745" t="s">
        <v>22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44689</v>
      </c>
    </row>
    <row r="746" spans="1:30">
      <c r="A746" s="340">
        <f>COUNTA($E$3:E746)</f>
        <v>744</v>
      </c>
      <c r="B746" s="340" t="s">
        <v>2993</v>
      </c>
      <c r="C746" s="340" t="s">
        <v>37</v>
      </c>
      <c r="D746" s="340" t="s">
        <v>30</v>
      </c>
      <c r="E746" s="340" t="s">
        <v>2994</v>
      </c>
      <c r="F746" s="341">
        <v>44686</v>
      </c>
      <c r="G746" s="341"/>
      <c r="H746" s="341"/>
      <c r="I746" s="341" t="s">
        <v>3</v>
      </c>
      <c r="J746" s="340" t="s">
        <v>1643</v>
      </c>
      <c r="K746" s="340" t="s">
        <v>1287</v>
      </c>
      <c r="L746" s="14">
        <v>44689</v>
      </c>
      <c r="M746" t="s">
        <v>3006</v>
      </c>
      <c r="N746" s="173">
        <v>44692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44692</v>
      </c>
    </row>
    <row r="747" spans="1:30">
      <c r="A747" s="340">
        <f>COUNTA($E$3:E747)</f>
        <v>745</v>
      </c>
      <c r="B747" s="340" t="s">
        <v>2985</v>
      </c>
      <c r="C747" s="340" t="s">
        <v>37</v>
      </c>
      <c r="D747" s="340" t="s">
        <v>30</v>
      </c>
      <c r="E747" s="340" t="s">
        <v>1288</v>
      </c>
      <c r="F747" s="341">
        <v>44685</v>
      </c>
      <c r="G747" s="341"/>
      <c r="H747" s="341"/>
      <c r="I747" s="341" t="s">
        <v>3</v>
      </c>
      <c r="J747" s="340" t="s">
        <v>1249</v>
      </c>
      <c r="K747" s="340" t="s">
        <v>1287</v>
      </c>
      <c r="L747" s="14">
        <v>44689</v>
      </c>
      <c r="M747" t="s">
        <v>3005</v>
      </c>
      <c r="N747" s="173">
        <v>44692</v>
      </c>
      <c r="O747" s="178"/>
      <c r="Q747" t="s">
        <v>129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44692</v>
      </c>
    </row>
    <row r="748" spans="1:30">
      <c r="A748" s="340">
        <f>COUNTA($E$3:E748)</f>
        <v>746</v>
      </c>
      <c r="B748" s="340" t="s">
        <v>2984</v>
      </c>
      <c r="C748" s="340" t="s">
        <v>37</v>
      </c>
      <c r="D748" s="340" t="s">
        <v>34</v>
      </c>
      <c r="E748" s="340" t="s">
        <v>1107</v>
      </c>
      <c r="F748" s="341">
        <v>44685</v>
      </c>
      <c r="G748" s="341"/>
      <c r="H748" s="341"/>
      <c r="I748" s="341" t="s">
        <v>3</v>
      </c>
      <c r="J748" s="340" t="s">
        <v>1212</v>
      </c>
      <c r="K748" s="340" t="s">
        <v>1287</v>
      </c>
      <c r="L748" s="14">
        <v>44689</v>
      </c>
      <c r="M748" t="s">
        <v>3005</v>
      </c>
      <c r="N748" s="173">
        <v>44692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>
        <v>44692</v>
      </c>
    </row>
    <row r="749" spans="1:30">
      <c r="A749" s="340">
        <f>COUNTA($E$3:E749)</f>
        <v>747</v>
      </c>
      <c r="B749" s="340" t="s">
        <v>2983</v>
      </c>
      <c r="C749" s="340" t="s">
        <v>37</v>
      </c>
      <c r="D749" s="340" t="s">
        <v>34</v>
      </c>
      <c r="E749" s="340" t="s">
        <v>1844</v>
      </c>
      <c r="F749" s="341">
        <v>44685</v>
      </c>
      <c r="G749" s="341"/>
      <c r="H749" s="341"/>
      <c r="I749" s="341" t="s">
        <v>3</v>
      </c>
      <c r="J749" s="340" t="s">
        <v>1212</v>
      </c>
      <c r="K749" s="340" t="s">
        <v>1287</v>
      </c>
      <c r="L749" s="14">
        <v>44689</v>
      </c>
      <c r="M749" t="s">
        <v>3005</v>
      </c>
      <c r="N749" s="173">
        <v>44692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44692</v>
      </c>
    </row>
    <row r="750" spans="1:30">
      <c r="A750" s="340">
        <f>COUNTA($E$3:E750)</f>
        <v>748</v>
      </c>
      <c r="B750" s="340" t="s">
        <v>2981</v>
      </c>
      <c r="C750" s="340" t="s">
        <v>41</v>
      </c>
      <c r="D750" s="340" t="s">
        <v>30</v>
      </c>
      <c r="E750" s="340" t="s">
        <v>2982</v>
      </c>
      <c r="F750" s="341">
        <v>44685.742858796293</v>
      </c>
      <c r="G750" s="341"/>
      <c r="H750" s="341"/>
      <c r="I750" s="341" t="s">
        <v>3</v>
      </c>
      <c r="J750" s="340" t="s">
        <v>1212</v>
      </c>
      <c r="K750" s="340" t="s">
        <v>2032</v>
      </c>
      <c r="L750" s="14">
        <v>44689</v>
      </c>
      <c r="M750" t="s">
        <v>3009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40">
        <f>COUNTA($E$3:E751)</f>
        <v>749</v>
      </c>
      <c r="B751" s="340" t="s">
        <v>2942</v>
      </c>
      <c r="C751" s="340" t="s">
        <v>44</v>
      </c>
      <c r="D751" s="340" t="s">
        <v>51</v>
      </c>
      <c r="E751" s="340" t="s">
        <v>259</v>
      </c>
      <c r="F751" s="341">
        <v>44676.793408888901</v>
      </c>
      <c r="G751" s="341"/>
      <c r="H751" s="341"/>
      <c r="I751" s="341" t="s">
        <v>3</v>
      </c>
      <c r="J751" s="340" t="s">
        <v>2963</v>
      </c>
      <c r="K751" s="340" t="s">
        <v>1295</v>
      </c>
      <c r="L751" s="14">
        <v>44689</v>
      </c>
      <c r="M751" t="s">
        <v>2998</v>
      </c>
      <c r="N751" s="173">
        <v>44701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40">
        <f>COUNTA($E$3:E752)</f>
        <v>750</v>
      </c>
      <c r="B752" s="340" t="s">
        <v>2943</v>
      </c>
      <c r="C752" s="340" t="s">
        <v>2340</v>
      </c>
      <c r="D752" s="340" t="s">
        <v>2341</v>
      </c>
      <c r="E752" s="340" t="s">
        <v>2910</v>
      </c>
      <c r="F752" s="341">
        <v>44678</v>
      </c>
      <c r="G752" s="341"/>
      <c r="H752" s="341"/>
      <c r="I752" s="341" t="s">
        <v>2</v>
      </c>
      <c r="J752" s="340" t="s">
        <v>2944</v>
      </c>
      <c r="K752" s="340" t="s">
        <v>20</v>
      </c>
      <c r="L752" s="14">
        <v>44685</v>
      </c>
      <c r="M752" t="s">
        <v>2969</v>
      </c>
      <c r="N752" s="173">
        <v>44685</v>
      </c>
      <c r="O752" s="178"/>
      <c r="Q752" t="s">
        <v>22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44685</v>
      </c>
    </row>
    <row r="753" spans="1:30">
      <c r="A753" s="340">
        <f>COUNTA($E$3:E753)</f>
        <v>751</v>
      </c>
      <c r="B753" s="340" t="s">
        <v>2939</v>
      </c>
      <c r="C753" s="340" t="s">
        <v>21</v>
      </c>
      <c r="D753" s="340" t="s">
        <v>23</v>
      </c>
      <c r="E753" s="340" t="s">
        <v>1653</v>
      </c>
      <c r="F753" s="341">
        <v>44676</v>
      </c>
      <c r="G753" s="341"/>
      <c r="H753" s="341"/>
      <c r="I753" s="341" t="s">
        <v>3</v>
      </c>
      <c r="J753" s="340" t="s">
        <v>1485</v>
      </c>
      <c r="K753" s="340" t="s">
        <v>1296</v>
      </c>
      <c r="L753" s="14">
        <v>44685</v>
      </c>
      <c r="M753" t="s">
        <v>2968</v>
      </c>
      <c r="N753" s="173">
        <v>44690</v>
      </c>
      <c r="O753" s="178"/>
      <c r="Q753" t="s">
        <v>129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44690</v>
      </c>
    </row>
    <row r="754" spans="1:30">
      <c r="A754" s="340">
        <f>COUNTA($E$3:E754)</f>
        <v>752</v>
      </c>
      <c r="B754" s="340" t="s">
        <v>2938</v>
      </c>
      <c r="C754" s="340" t="s">
        <v>21</v>
      </c>
      <c r="D754" s="340" t="s">
        <v>34</v>
      </c>
      <c r="E754" s="340" t="s">
        <v>1256</v>
      </c>
      <c r="F754" s="341">
        <v>44676</v>
      </c>
      <c r="G754" s="341"/>
      <c r="H754" s="341"/>
      <c r="I754" s="341" t="s">
        <v>3</v>
      </c>
      <c r="J754" s="340" t="s">
        <v>1485</v>
      </c>
      <c r="K754" s="340" t="s">
        <v>1180</v>
      </c>
      <c r="L754" s="14">
        <v>44685</v>
      </c>
      <c r="M754" t="s">
        <v>2967</v>
      </c>
      <c r="N754" s="173">
        <v>44690</v>
      </c>
      <c r="O754" s="178"/>
      <c r="Q754" t="s">
        <v>129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44690</v>
      </c>
    </row>
    <row r="755" spans="1:30">
      <c r="A755" s="340">
        <f>COUNTA($E$3:E755)</f>
        <v>753</v>
      </c>
      <c r="B755" s="340" t="s">
        <v>2937</v>
      </c>
      <c r="C755" s="340" t="s">
        <v>21</v>
      </c>
      <c r="D755" s="340" t="s">
        <v>30</v>
      </c>
      <c r="E755" s="340" t="s">
        <v>1252</v>
      </c>
      <c r="F755" s="341">
        <v>44676</v>
      </c>
      <c r="G755" s="341"/>
      <c r="H755" s="341"/>
      <c r="I755" s="341" t="s">
        <v>3</v>
      </c>
      <c r="J755" s="340" t="s">
        <v>1212</v>
      </c>
      <c r="K755" s="340" t="s">
        <v>1296</v>
      </c>
      <c r="L755" s="14">
        <v>44685</v>
      </c>
      <c r="M755" t="s">
        <v>2966</v>
      </c>
      <c r="N755" s="173">
        <v>44690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44690</v>
      </c>
    </row>
    <row r="756" spans="1:30">
      <c r="A756" s="340">
        <f>COUNTA($E$3:E756)</f>
        <v>754</v>
      </c>
      <c r="B756" s="340" t="s">
        <v>2935</v>
      </c>
      <c r="C756" s="340" t="s">
        <v>21</v>
      </c>
      <c r="D756" s="340" t="s">
        <v>30</v>
      </c>
      <c r="E756" s="340" t="s">
        <v>2704</v>
      </c>
      <c r="F756" s="341">
        <v>44676</v>
      </c>
      <c r="G756" s="341"/>
      <c r="H756" s="341"/>
      <c r="I756" s="341" t="s">
        <v>3</v>
      </c>
      <c r="J756" s="340" t="s">
        <v>2936</v>
      </c>
      <c r="K756" s="340" t="s">
        <v>1296</v>
      </c>
      <c r="L756" s="14">
        <v>44685</v>
      </c>
      <c r="M756" t="s">
        <v>2966</v>
      </c>
      <c r="N756" s="173">
        <v>44690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44690</v>
      </c>
    </row>
    <row r="757" spans="1:30">
      <c r="A757" s="340">
        <f>COUNTA($E$3:E757)</f>
        <v>755</v>
      </c>
      <c r="B757" s="340" t="s">
        <v>2930</v>
      </c>
      <c r="C757" s="340" t="s">
        <v>65</v>
      </c>
      <c r="D757" s="340" t="s">
        <v>31</v>
      </c>
      <c r="E757" s="340" t="s">
        <v>1226</v>
      </c>
      <c r="F757" s="341">
        <v>44676</v>
      </c>
      <c r="G757" s="341"/>
      <c r="H757" s="341"/>
      <c r="I757" s="341" t="s">
        <v>3</v>
      </c>
      <c r="J757" s="340" t="s">
        <v>2931</v>
      </c>
      <c r="K757" s="340" t="s">
        <v>1294</v>
      </c>
      <c r="L757" s="14">
        <v>44685</v>
      </c>
      <c r="M757" t="s">
        <v>2965</v>
      </c>
      <c r="N757" s="173">
        <v>44705</v>
      </c>
      <c r="O757" s="178"/>
      <c r="Q757" t="s">
        <v>22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40">
        <f>COUNTA($E$3:E758)</f>
        <v>756</v>
      </c>
      <c r="B758" s="340" t="s">
        <v>2880</v>
      </c>
      <c r="C758" s="340" t="s">
        <v>286</v>
      </c>
      <c r="D758" s="340" t="s">
        <v>34</v>
      </c>
      <c r="E758" s="340" t="s">
        <v>1250</v>
      </c>
      <c r="F758" s="341">
        <v>44672</v>
      </c>
      <c r="G758" s="341"/>
      <c r="H758" s="341"/>
      <c r="I758" s="341" t="s">
        <v>3</v>
      </c>
      <c r="J758" s="340" t="s">
        <v>1760</v>
      </c>
      <c r="K758" s="340" t="s">
        <v>2032</v>
      </c>
      <c r="L758" s="14">
        <v>44685</v>
      </c>
      <c r="M758" t="s">
        <v>2953</v>
      </c>
      <c r="N758" s="173">
        <v>44685</v>
      </c>
      <c r="O758" s="178"/>
      <c r="Q758" t="s">
        <v>22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44685</v>
      </c>
    </row>
    <row r="759" spans="1:30">
      <c r="A759" s="340">
        <f>COUNTA($E$3:E759)</f>
        <v>757</v>
      </c>
      <c r="B759" s="340" t="s">
        <v>2945</v>
      </c>
      <c r="C759" s="340" t="s">
        <v>2431</v>
      </c>
      <c r="D759" s="340" t="s">
        <v>1098</v>
      </c>
      <c r="E759" s="340" t="s">
        <v>2432</v>
      </c>
      <c r="F759" s="341">
        <v>44678</v>
      </c>
      <c r="G759" s="341"/>
      <c r="H759" s="341"/>
      <c r="I759" s="341" t="s">
        <v>4</v>
      </c>
      <c r="J759" s="340" t="s">
        <v>1707</v>
      </c>
      <c r="K759" s="340" t="s">
        <v>287</v>
      </c>
      <c r="L759" s="14">
        <v>44685</v>
      </c>
      <c r="M759" t="s">
        <v>2969</v>
      </c>
      <c r="N759" s="173">
        <v>44691</v>
      </c>
      <c r="O759" s="178"/>
      <c r="Q759" t="s">
        <v>129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44691</v>
      </c>
    </row>
    <row r="760" spans="1:30">
      <c r="A760" s="340">
        <f>COUNTA($E$3:E760)</f>
        <v>758</v>
      </c>
      <c r="B760" s="340" t="s">
        <v>2819</v>
      </c>
      <c r="C760" s="340" t="s">
        <v>44</v>
      </c>
      <c r="D760" s="340" t="s">
        <v>45</v>
      </c>
      <c r="E760" s="340" t="s">
        <v>2820</v>
      </c>
      <c r="F760" s="341">
        <v>44666</v>
      </c>
      <c r="G760" s="341"/>
      <c r="H760" s="341"/>
      <c r="I760" s="341" t="s">
        <v>1110</v>
      </c>
      <c r="J760" s="340" t="s">
        <v>2194</v>
      </c>
      <c r="K760" s="340" t="s">
        <v>1295</v>
      </c>
      <c r="L760" s="14">
        <v>44673</v>
      </c>
      <c r="M760" t="s">
        <v>2888</v>
      </c>
      <c r="N760" s="173">
        <v>44673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44673</v>
      </c>
    </row>
    <row r="761" spans="1:30">
      <c r="A761" s="340">
        <f>COUNTA($E$3:E761)</f>
        <v>759</v>
      </c>
      <c r="B761" s="340" t="s">
        <v>2836</v>
      </c>
      <c r="C761" s="340" t="s">
        <v>1804</v>
      </c>
      <c r="D761" s="340" t="s">
        <v>1805</v>
      </c>
      <c r="E761" s="340" t="s">
        <v>1806</v>
      </c>
      <c r="F761" s="341">
        <v>44669</v>
      </c>
      <c r="G761" s="341"/>
      <c r="H761" s="341"/>
      <c r="I761" s="341" t="s">
        <v>2</v>
      </c>
      <c r="J761" s="340" t="s">
        <v>1855</v>
      </c>
      <c r="K761" s="340" t="s">
        <v>24</v>
      </c>
      <c r="L761" s="14">
        <v>44673</v>
      </c>
      <c r="N761" s="173">
        <v>44701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44701</v>
      </c>
    </row>
    <row r="762" spans="1:30">
      <c r="A762" s="340">
        <f>COUNTA($E$3:E762)</f>
        <v>760</v>
      </c>
      <c r="B762" s="340" t="s">
        <v>2807</v>
      </c>
      <c r="C762" s="340" t="s">
        <v>41</v>
      </c>
      <c r="D762" s="340" t="s">
        <v>38</v>
      </c>
      <c r="E762" s="340" t="s">
        <v>2808</v>
      </c>
      <c r="F762" s="341">
        <v>44665.451366527799</v>
      </c>
      <c r="G762" s="341"/>
      <c r="H762" s="341"/>
      <c r="I762" s="341" t="s">
        <v>2</v>
      </c>
      <c r="J762" s="340" t="s">
        <v>2790</v>
      </c>
      <c r="K762" s="340" t="s">
        <v>2032</v>
      </c>
      <c r="L762" s="14">
        <v>44673</v>
      </c>
      <c r="M762" t="s">
        <v>2887</v>
      </c>
      <c r="N762" s="173">
        <v>44673</v>
      </c>
      <c r="O762" s="178"/>
      <c r="Q762" t="s">
        <v>22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44673</v>
      </c>
    </row>
    <row r="763" spans="1:30">
      <c r="A763" s="340">
        <f>COUNTA($E$3:E763)</f>
        <v>761</v>
      </c>
      <c r="B763" s="340" t="s">
        <v>2481</v>
      </c>
      <c r="C763" s="340" t="s">
        <v>1077</v>
      </c>
      <c r="D763" s="340" t="s">
        <v>58</v>
      </c>
      <c r="E763" s="340" t="s">
        <v>2482</v>
      </c>
      <c r="F763" s="341">
        <v>44600</v>
      </c>
      <c r="G763" s="341"/>
      <c r="H763" s="341">
        <v>44602</v>
      </c>
      <c r="I763" s="341" t="s">
        <v>2</v>
      </c>
      <c r="J763" s="340" t="s">
        <v>1667</v>
      </c>
      <c r="K763" s="340" t="s">
        <v>1294</v>
      </c>
      <c r="L763" s="14">
        <v>44673</v>
      </c>
      <c r="M763" t="s">
        <v>2886</v>
      </c>
      <c r="N763" s="173">
        <v>44819</v>
      </c>
      <c r="O763" s="178"/>
      <c r="Q763" t="s">
        <v>22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44819</v>
      </c>
    </row>
    <row r="764" spans="1:30">
      <c r="A764" s="340">
        <f>COUNTA($E$3:E764)</f>
        <v>762</v>
      </c>
      <c r="B764" s="340" t="s">
        <v>2873</v>
      </c>
      <c r="C764" s="340" t="s">
        <v>2400</v>
      </c>
      <c r="D764" s="340" t="s">
        <v>1124</v>
      </c>
      <c r="E764" s="340" t="s">
        <v>2874</v>
      </c>
      <c r="F764" s="341">
        <v>44672</v>
      </c>
      <c r="G764" s="341"/>
      <c r="H764" s="341"/>
      <c r="I764" s="341" t="s">
        <v>3</v>
      </c>
      <c r="J764" s="340" t="s">
        <v>2875</v>
      </c>
      <c r="K764" s="340" t="s">
        <v>1294</v>
      </c>
      <c r="L764" s="14">
        <v>44673</v>
      </c>
      <c r="M764" t="s">
        <v>2909</v>
      </c>
      <c r="N764" s="173">
        <v>44676</v>
      </c>
      <c r="O764" s="178"/>
      <c r="Q764" t="s">
        <v>22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44676</v>
      </c>
    </row>
    <row r="765" spans="1:30">
      <c r="A765" s="340">
        <f>COUNTA($E$3:E765)</f>
        <v>763</v>
      </c>
      <c r="B765" s="340" t="s">
        <v>2851</v>
      </c>
      <c r="C765" s="340" t="s">
        <v>40</v>
      </c>
      <c r="D765" s="340" t="s">
        <v>1123</v>
      </c>
      <c r="E765" s="340" t="s">
        <v>2852</v>
      </c>
      <c r="F765" s="341">
        <v>44671</v>
      </c>
      <c r="G765" s="341"/>
      <c r="H765" s="341"/>
      <c r="I765" s="341" t="s">
        <v>3</v>
      </c>
      <c r="J765" s="340" t="s">
        <v>1485</v>
      </c>
      <c r="K765" s="340" t="s">
        <v>1296</v>
      </c>
      <c r="L765" s="14">
        <v>44673</v>
      </c>
      <c r="M765" t="s">
        <v>2909</v>
      </c>
      <c r="N765" s="173">
        <v>44676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44676</v>
      </c>
    </row>
    <row r="766" spans="1:30">
      <c r="A766" s="340">
        <f>COUNTA($E$3:E766)</f>
        <v>764</v>
      </c>
      <c r="B766" s="340" t="s">
        <v>2846</v>
      </c>
      <c r="C766" s="340" t="s">
        <v>1106</v>
      </c>
      <c r="D766" s="340" t="s">
        <v>16</v>
      </c>
      <c r="E766" s="340" t="s">
        <v>2847</v>
      </c>
      <c r="F766" s="341">
        <v>44670</v>
      </c>
      <c r="G766" s="341"/>
      <c r="H766" s="341"/>
      <c r="I766" s="341" t="s">
        <v>3</v>
      </c>
      <c r="J766" s="340" t="s">
        <v>2848</v>
      </c>
      <c r="K766" s="340" t="s">
        <v>1287</v>
      </c>
      <c r="L766" s="14">
        <v>44673</v>
      </c>
      <c r="M766" t="s">
        <v>2889</v>
      </c>
      <c r="N766" s="173">
        <v>44760</v>
      </c>
      <c r="O766" s="178"/>
      <c r="Q766" t="s">
        <v>129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44760</v>
      </c>
    </row>
    <row r="767" spans="1:30">
      <c r="A767" s="340">
        <f>COUNTA($E$3:E767)</f>
        <v>765</v>
      </c>
      <c r="B767" s="340" t="s">
        <v>2822</v>
      </c>
      <c r="C767" s="340" t="s">
        <v>44</v>
      </c>
      <c r="D767" s="340" t="s">
        <v>34</v>
      </c>
      <c r="E767" s="340" t="s">
        <v>126</v>
      </c>
      <c r="F767" s="341">
        <v>44666.446438055602</v>
      </c>
      <c r="G767" s="341"/>
      <c r="H767" s="341"/>
      <c r="I767" s="341" t="s">
        <v>3</v>
      </c>
      <c r="J767" s="340" t="s">
        <v>1212</v>
      </c>
      <c r="K767" s="340" t="s">
        <v>1295</v>
      </c>
      <c r="L767" s="14">
        <v>44673</v>
      </c>
      <c r="M767" t="s">
        <v>2911</v>
      </c>
      <c r="N767" s="173">
        <v>44675</v>
      </c>
      <c r="O767" s="178"/>
      <c r="Q767" t="s">
        <v>129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44675</v>
      </c>
    </row>
    <row r="768" spans="1:30">
      <c r="A768" s="340">
        <f>COUNTA($E$3:E768)</f>
        <v>766</v>
      </c>
      <c r="B768" s="340" t="s">
        <v>2849</v>
      </c>
      <c r="C768" s="340" t="s">
        <v>44</v>
      </c>
      <c r="D768" s="340" t="s">
        <v>45</v>
      </c>
      <c r="E768" s="340" t="s">
        <v>127</v>
      </c>
      <c r="F768" s="341">
        <v>44671</v>
      </c>
      <c r="G768" s="341"/>
      <c r="H768" s="341"/>
      <c r="I768" s="341" t="s">
        <v>4</v>
      </c>
      <c r="J768" s="340" t="s">
        <v>2850</v>
      </c>
      <c r="K768" s="340" t="s">
        <v>1295</v>
      </c>
      <c r="L768" s="14">
        <v>44673</v>
      </c>
      <c r="M768" t="s">
        <v>2890</v>
      </c>
      <c r="N768" s="173">
        <v>44675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44675</v>
      </c>
    </row>
    <row r="769" spans="1:30">
      <c r="A769" s="340">
        <f>COUNTA($E$3:E769)</f>
        <v>767</v>
      </c>
      <c r="B769" s="340" t="s">
        <v>2837</v>
      </c>
      <c r="C769" s="340" t="s">
        <v>37</v>
      </c>
      <c r="D769" s="340" t="s">
        <v>2838</v>
      </c>
      <c r="E769" s="340" t="s">
        <v>2839</v>
      </c>
      <c r="F769" s="341">
        <v>44672.624144000001</v>
      </c>
      <c r="G769" s="341"/>
      <c r="H769" s="341"/>
      <c r="I769" s="341" t="s">
        <v>4</v>
      </c>
      <c r="J769" s="340" t="s">
        <v>2840</v>
      </c>
      <c r="K769" s="340" t="s">
        <v>1287</v>
      </c>
      <c r="L769" s="14">
        <v>44673</v>
      </c>
      <c r="M769" t="s">
        <v>2889</v>
      </c>
      <c r="N769" s="173">
        <v>44803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44803</v>
      </c>
    </row>
    <row r="770" spans="1:30">
      <c r="A770" s="340">
        <f>COUNTA($E$3:E770)</f>
        <v>768</v>
      </c>
      <c r="B770" s="340" t="s">
        <v>2806</v>
      </c>
      <c r="C770" s="340" t="s">
        <v>44</v>
      </c>
      <c r="D770" s="340" t="s">
        <v>30</v>
      </c>
      <c r="E770" s="340" t="s">
        <v>110</v>
      </c>
      <c r="F770" s="341">
        <v>44665</v>
      </c>
      <c r="G770" s="341"/>
      <c r="H770" s="341"/>
      <c r="I770" s="341" t="s">
        <v>2</v>
      </c>
      <c r="J770" s="340" t="s">
        <v>2156</v>
      </c>
      <c r="K770" s="340" t="s">
        <v>20</v>
      </c>
      <c r="L770" s="14">
        <v>44666</v>
      </c>
      <c r="M770" t="s">
        <v>2818</v>
      </c>
      <c r="N770" s="173">
        <v>44666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44666</v>
      </c>
    </row>
    <row r="771" spans="1:30">
      <c r="A771" s="340">
        <f>COUNTA($E$3:E771)</f>
        <v>769</v>
      </c>
      <c r="B771" s="340" t="s">
        <v>2801</v>
      </c>
      <c r="C771" s="340" t="s">
        <v>41</v>
      </c>
      <c r="D771" s="340" t="s">
        <v>1124</v>
      </c>
      <c r="E771" s="340" t="s">
        <v>1184</v>
      </c>
      <c r="F771" s="341">
        <v>44664</v>
      </c>
      <c r="G771" s="341"/>
      <c r="H771" s="341"/>
      <c r="I771" s="341" t="s">
        <v>2</v>
      </c>
      <c r="J771" s="340" t="s">
        <v>1667</v>
      </c>
      <c r="K771" s="340" t="s">
        <v>33</v>
      </c>
      <c r="L771" s="14">
        <v>44666</v>
      </c>
      <c r="M771" t="s">
        <v>2817</v>
      </c>
      <c r="N771" s="173">
        <v>44666</v>
      </c>
      <c r="O771" s="178"/>
      <c r="Q771" t="s">
        <v>129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44666</v>
      </c>
    </row>
    <row r="772" spans="1:30">
      <c r="A772" s="340">
        <f>COUNTA($E$3:E772)</f>
        <v>770</v>
      </c>
      <c r="B772" s="340" t="s">
        <v>2798</v>
      </c>
      <c r="C772" s="340" t="s">
        <v>1253</v>
      </c>
      <c r="D772" s="340" t="s">
        <v>124</v>
      </c>
      <c r="E772" s="340" t="s">
        <v>123</v>
      </c>
      <c r="F772" s="341">
        <v>44663</v>
      </c>
      <c r="G772" s="341"/>
      <c r="H772" s="341"/>
      <c r="I772" s="341" t="s">
        <v>2</v>
      </c>
      <c r="J772" s="340" t="s">
        <v>357</v>
      </c>
      <c r="K772" s="340" t="s">
        <v>125</v>
      </c>
      <c r="L772" s="14">
        <v>44666</v>
      </c>
      <c r="M772" t="s">
        <v>2816</v>
      </c>
      <c r="N772" s="173">
        <v>44729</v>
      </c>
      <c r="O772" s="178"/>
      <c r="Q772" t="s">
        <v>129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44729</v>
      </c>
    </row>
    <row r="773" spans="1:30">
      <c r="A773" s="340">
        <f>COUNTA($E$3:E773)</f>
        <v>771</v>
      </c>
      <c r="B773" s="340" t="s">
        <v>2623</v>
      </c>
      <c r="C773" s="340" t="s">
        <v>2624</v>
      </c>
      <c r="D773" s="340" t="s">
        <v>16</v>
      </c>
      <c r="E773" s="340" t="s">
        <v>2625</v>
      </c>
      <c r="F773" s="341">
        <v>44635</v>
      </c>
      <c r="G773" s="341"/>
      <c r="H773" s="341">
        <v>44636</v>
      </c>
      <c r="I773" s="341" t="s">
        <v>2</v>
      </c>
      <c r="J773" s="340" t="s">
        <v>2626</v>
      </c>
      <c r="K773" s="340" t="s">
        <v>1295</v>
      </c>
      <c r="L773" s="14">
        <v>44666</v>
      </c>
      <c r="M773" t="s">
        <v>3954</v>
      </c>
      <c r="N773" s="173">
        <v>44672</v>
      </c>
      <c r="O773" s="178"/>
      <c r="Q773" t="s">
        <v>129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44672</v>
      </c>
    </row>
    <row r="774" spans="1:30">
      <c r="A774" s="340">
        <f>COUNTA($E$3:E774)</f>
        <v>772</v>
      </c>
      <c r="B774" s="340" t="s">
        <v>2483</v>
      </c>
      <c r="C774" s="340" t="s">
        <v>2484</v>
      </c>
      <c r="D774" s="340" t="s">
        <v>64</v>
      </c>
      <c r="E774" s="340" t="s">
        <v>1160</v>
      </c>
      <c r="F774" s="341">
        <v>44600</v>
      </c>
      <c r="G774" s="341"/>
      <c r="H774" s="341">
        <v>44602</v>
      </c>
      <c r="I774" s="341" t="s">
        <v>2</v>
      </c>
      <c r="J774" s="340" t="s">
        <v>1485</v>
      </c>
      <c r="K774" s="340" t="s">
        <v>1294</v>
      </c>
      <c r="L774" s="14">
        <v>44666</v>
      </c>
      <c r="M774" t="s">
        <v>2810</v>
      </c>
      <c r="N774" s="173">
        <v>44705</v>
      </c>
      <c r="O774" s="178"/>
      <c r="Q774" t="s">
        <v>22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44705</v>
      </c>
    </row>
    <row r="775" spans="1:30">
      <c r="A775" s="340">
        <f>COUNTA($E$3:E775)</f>
        <v>773</v>
      </c>
      <c r="B775" s="340" t="s">
        <v>2805</v>
      </c>
      <c r="C775" s="340" t="s">
        <v>2370</v>
      </c>
      <c r="D775" s="340" t="s">
        <v>1123</v>
      </c>
      <c r="E775" s="340" t="s">
        <v>1638</v>
      </c>
      <c r="F775" s="341">
        <v>44664</v>
      </c>
      <c r="G775" s="341"/>
      <c r="H775" s="341"/>
      <c r="I775" s="341" t="s">
        <v>3</v>
      </c>
      <c r="J775" s="340" t="s">
        <v>1485</v>
      </c>
      <c r="K775" s="340" t="s">
        <v>24</v>
      </c>
      <c r="L775" s="14">
        <v>44666</v>
      </c>
      <c r="M775" t="s">
        <v>2811</v>
      </c>
      <c r="N775" s="173">
        <v>44665</v>
      </c>
      <c r="O775" s="178"/>
      <c r="Q775" t="s">
        <v>22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44665</v>
      </c>
    </row>
    <row r="776" spans="1:30">
      <c r="A776" s="340">
        <f>COUNTA($E$3:E776)</f>
        <v>774</v>
      </c>
      <c r="B776" s="340" t="s">
        <v>2799</v>
      </c>
      <c r="C776" s="340" t="s">
        <v>41</v>
      </c>
      <c r="D776" s="340" t="s">
        <v>1115</v>
      </c>
      <c r="E776" s="340" t="s">
        <v>1228</v>
      </c>
      <c r="F776" s="341">
        <v>44664</v>
      </c>
      <c r="G776" s="341"/>
      <c r="H776" s="341"/>
      <c r="I776" s="341" t="s">
        <v>3</v>
      </c>
      <c r="J776" s="340" t="s">
        <v>1485</v>
      </c>
      <c r="K776" s="340" t="s">
        <v>1294</v>
      </c>
      <c r="L776" s="14">
        <v>44666</v>
      </c>
      <c r="M776" t="s">
        <v>2811</v>
      </c>
      <c r="N776" s="173">
        <v>44666</v>
      </c>
      <c r="O776" s="178"/>
      <c r="Q776" t="s">
        <v>22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44666</v>
      </c>
    </row>
    <row r="777" spans="1:30">
      <c r="A777" s="340">
        <f>COUNTA($E$3:E777)</f>
        <v>775</v>
      </c>
      <c r="B777" s="340" t="s">
        <v>4240</v>
      </c>
      <c r="C777" s="340" t="s">
        <v>21</v>
      </c>
      <c r="D777" s="340" t="s">
        <v>30</v>
      </c>
      <c r="E777" s="340" t="s">
        <v>2786</v>
      </c>
      <c r="F777" s="341">
        <v>44659.568214652798</v>
      </c>
      <c r="G777" s="341"/>
      <c r="H777" s="341"/>
      <c r="I777" s="341" t="s">
        <v>3</v>
      </c>
      <c r="J777" s="340" t="s">
        <v>1760</v>
      </c>
      <c r="K777" s="340" t="s">
        <v>1295</v>
      </c>
      <c r="L777" s="14">
        <v>44666</v>
      </c>
      <c r="M777" t="s">
        <v>4241</v>
      </c>
      <c r="N777" s="173">
        <v>44690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44690</v>
      </c>
    </row>
    <row r="778" spans="1:30">
      <c r="A778" s="340">
        <f>COUNTA($E$3:E778)</f>
        <v>776</v>
      </c>
      <c r="B778" s="340" t="s">
        <v>2785</v>
      </c>
      <c r="C778" s="340" t="s">
        <v>1106</v>
      </c>
      <c r="D778" s="340" t="s">
        <v>58</v>
      </c>
      <c r="E778" s="340" t="s">
        <v>1644</v>
      </c>
      <c r="F778" s="341">
        <v>44659</v>
      </c>
      <c r="G778" s="341"/>
      <c r="H778" s="341"/>
      <c r="I778" s="341" t="s">
        <v>3</v>
      </c>
      <c r="J778" s="340" t="s">
        <v>1666</v>
      </c>
      <c r="K778" s="340" t="s">
        <v>1296</v>
      </c>
      <c r="L778" s="14">
        <v>44666</v>
      </c>
      <c r="M778" t="s">
        <v>2814</v>
      </c>
      <c r="N778" s="173">
        <v>44664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44664</v>
      </c>
    </row>
    <row r="779" spans="1:30">
      <c r="A779" s="340">
        <f>COUNTA($E$3:E779)</f>
        <v>777</v>
      </c>
      <c r="B779" s="340" t="s">
        <v>2778</v>
      </c>
      <c r="C779" s="340" t="s">
        <v>41</v>
      </c>
      <c r="D779" s="340" t="s">
        <v>23</v>
      </c>
      <c r="E779" s="340" t="s">
        <v>1044</v>
      </c>
      <c r="F779" s="341">
        <v>44658.561952999997</v>
      </c>
      <c r="G779" s="341"/>
      <c r="H779" s="341"/>
      <c r="I779" s="341" t="s">
        <v>3</v>
      </c>
      <c r="J779" s="340" t="s">
        <v>1485</v>
      </c>
      <c r="K779" s="340" t="s">
        <v>1296</v>
      </c>
      <c r="L779" s="14">
        <v>44666</v>
      </c>
      <c r="M779" t="s">
        <v>2814</v>
      </c>
      <c r="N779" s="173">
        <v>44666</v>
      </c>
      <c r="O779" s="178"/>
      <c r="Q779" t="s">
        <v>129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>
      <c r="A780" s="340">
        <f>COUNTA($E$3:E780)</f>
        <v>778</v>
      </c>
      <c r="B780" s="340" t="s">
        <v>2769</v>
      </c>
      <c r="C780" s="340" t="s">
        <v>1279</v>
      </c>
      <c r="D780" s="340" t="s">
        <v>1103</v>
      </c>
      <c r="E780" s="340" t="s">
        <v>2770</v>
      </c>
      <c r="F780" s="341">
        <v>44656.475727999998</v>
      </c>
      <c r="G780" s="341"/>
      <c r="H780" s="341"/>
      <c r="I780" s="341" t="s">
        <v>3</v>
      </c>
      <c r="J780" s="340" t="s">
        <v>1723</v>
      </c>
      <c r="K780" s="340" t="s">
        <v>1274</v>
      </c>
      <c r="L780" s="14">
        <v>44666</v>
      </c>
      <c r="M780">
        <v>0</v>
      </c>
      <c r="N780" s="173">
        <v>44669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44669</v>
      </c>
    </row>
    <row r="781" spans="1:30">
      <c r="A781" s="340">
        <f>COUNTA($E$3:E781)</f>
        <v>779</v>
      </c>
      <c r="B781" s="340" t="s">
        <v>2691</v>
      </c>
      <c r="C781" s="340" t="s">
        <v>1113</v>
      </c>
      <c r="D781" s="340" t="s">
        <v>38</v>
      </c>
      <c r="E781" s="340" t="s">
        <v>2692</v>
      </c>
      <c r="F781" s="341">
        <v>44642</v>
      </c>
      <c r="G781" s="341"/>
      <c r="H781" s="341">
        <v>44652</v>
      </c>
      <c r="I781" s="341" t="s">
        <v>3</v>
      </c>
      <c r="J781" s="340" t="s">
        <v>1666</v>
      </c>
      <c r="K781" s="340" t="s">
        <v>287</v>
      </c>
      <c r="L781" s="14">
        <v>44666</v>
      </c>
      <c r="M781" t="s">
        <v>2811</v>
      </c>
      <c r="N781" s="173">
        <v>44670</v>
      </c>
      <c r="O781" s="178"/>
      <c r="Q781" t="s">
        <v>22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44670</v>
      </c>
    </row>
    <row r="782" spans="1:30">
      <c r="A782" s="340">
        <f>COUNTA($E$3:E782)</f>
        <v>780</v>
      </c>
      <c r="B782" s="340" t="s">
        <v>2771</v>
      </c>
      <c r="C782" s="340" t="s">
        <v>1279</v>
      </c>
      <c r="D782" s="340" t="s">
        <v>16</v>
      </c>
      <c r="E782" s="340" t="s">
        <v>2772</v>
      </c>
      <c r="F782" s="341">
        <v>44656</v>
      </c>
      <c r="G782" s="341"/>
      <c r="H782" s="341"/>
      <c r="I782" s="341" t="s">
        <v>2</v>
      </c>
      <c r="J782" s="340" t="s">
        <v>2209</v>
      </c>
      <c r="K782" s="340" t="s">
        <v>1274</v>
      </c>
      <c r="L782" s="14">
        <v>44659</v>
      </c>
      <c r="M782" t="s">
        <v>2783</v>
      </c>
      <c r="N782" s="173">
        <v>44669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44669</v>
      </c>
    </row>
    <row r="783" spans="1:30">
      <c r="A783" s="340">
        <f>COUNTA($E$3:E783)</f>
        <v>781</v>
      </c>
      <c r="B783" s="340" t="s">
        <v>2718</v>
      </c>
      <c r="C783" s="340" t="s">
        <v>41</v>
      </c>
      <c r="D783" s="340" t="s">
        <v>49</v>
      </c>
      <c r="E783" s="340" t="s">
        <v>2719</v>
      </c>
      <c r="F783" s="341">
        <v>44649</v>
      </c>
      <c r="G783" s="341"/>
      <c r="H783" s="341" t="s">
        <v>66</v>
      </c>
      <c r="I783" s="341" t="s">
        <v>2</v>
      </c>
      <c r="J783" s="340" t="s">
        <v>2720</v>
      </c>
      <c r="K783" s="340" t="s">
        <v>1294</v>
      </c>
      <c r="L783" s="14">
        <v>44659</v>
      </c>
      <c r="M783" t="s">
        <v>2783</v>
      </c>
      <c r="N783" s="173">
        <v>44659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44659</v>
      </c>
    </row>
    <row r="784" spans="1:30">
      <c r="A784" s="340">
        <f>COUNTA($E$3:E784)</f>
        <v>782</v>
      </c>
      <c r="B784" s="340" t="s">
        <v>2698</v>
      </c>
      <c r="C784" s="340" t="s">
        <v>41</v>
      </c>
      <c r="D784" s="340" t="s">
        <v>1131</v>
      </c>
      <c r="E784" s="340" t="s">
        <v>1132</v>
      </c>
      <c r="F784" s="341">
        <v>44644</v>
      </c>
      <c r="G784" s="341"/>
      <c r="H784" s="341" t="s">
        <v>66</v>
      </c>
      <c r="I784" s="341" t="s">
        <v>2</v>
      </c>
      <c r="J784" s="340" t="s">
        <v>1724</v>
      </c>
      <c r="K784" s="340"/>
      <c r="L784" s="14">
        <v>44659</v>
      </c>
      <c r="M784" t="s">
        <v>2783</v>
      </c>
      <c r="N784" s="173">
        <v>44659</v>
      </c>
      <c r="O784" s="178"/>
      <c r="Q784" t="s">
        <v>129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44659</v>
      </c>
    </row>
    <row r="785" spans="1:30">
      <c r="A785" s="340">
        <f>COUNTA($E$3:E785)</f>
        <v>783</v>
      </c>
      <c r="B785" s="340" t="s">
        <v>2598</v>
      </c>
      <c r="C785" s="340" t="s">
        <v>1113</v>
      </c>
      <c r="D785" s="340" t="s">
        <v>64</v>
      </c>
      <c r="E785" s="340" t="s">
        <v>2599</v>
      </c>
      <c r="F785" s="341">
        <v>44628</v>
      </c>
      <c r="G785" s="341"/>
      <c r="H785" s="341">
        <v>44629</v>
      </c>
      <c r="I785" s="341" t="s">
        <v>2</v>
      </c>
      <c r="J785" s="340" t="s">
        <v>2600</v>
      </c>
      <c r="K785" s="340"/>
      <c r="L785" s="14">
        <v>44659</v>
      </c>
      <c r="M785" t="s">
        <v>2781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>
      <c r="A786" s="340">
        <f>COUNTA($E$3:E786)</f>
        <v>784</v>
      </c>
      <c r="B786" s="340" t="s">
        <v>2775</v>
      </c>
      <c r="C786" s="340" t="s">
        <v>2776</v>
      </c>
      <c r="D786" s="340" t="s">
        <v>1124</v>
      </c>
      <c r="E786" s="340" t="s">
        <v>2777</v>
      </c>
      <c r="F786" s="341">
        <v>44657</v>
      </c>
      <c r="G786" s="341"/>
      <c r="H786" s="341"/>
      <c r="I786" s="341" t="s">
        <v>3</v>
      </c>
      <c r="J786" s="340" t="s">
        <v>1643</v>
      </c>
      <c r="K786" s="340"/>
      <c r="L786" s="14">
        <v>44659</v>
      </c>
      <c r="M786" t="s">
        <v>2783</v>
      </c>
      <c r="N786" s="173">
        <v>44666</v>
      </c>
      <c r="O786" s="178"/>
      <c r="Q786" t="s">
        <v>22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44666</v>
      </c>
    </row>
    <row r="787" spans="1:30">
      <c r="A787" s="340">
        <f>COUNTA($E$3:E787)</f>
        <v>785</v>
      </c>
      <c r="B787" s="340" t="s">
        <v>2746</v>
      </c>
      <c r="C787" s="340" t="s">
        <v>37</v>
      </c>
      <c r="D787" s="340" t="s">
        <v>34</v>
      </c>
      <c r="E787" s="340" t="s">
        <v>1107</v>
      </c>
      <c r="F787" s="341">
        <v>44651</v>
      </c>
      <c r="G787" s="341"/>
      <c r="H787" s="341"/>
      <c r="I787" s="341" t="s">
        <v>3</v>
      </c>
      <c r="J787" s="340" t="s">
        <v>1760</v>
      </c>
      <c r="K787" s="340" t="s">
        <v>1274</v>
      </c>
      <c r="L787" s="14">
        <v>44659</v>
      </c>
      <c r="M787" t="s">
        <v>2783</v>
      </c>
      <c r="N787" s="173">
        <v>44657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44657</v>
      </c>
    </row>
    <row r="788" spans="1:30">
      <c r="A788" s="340">
        <f>COUNTA($E$3:E788)</f>
        <v>786</v>
      </c>
      <c r="B788" s="340" t="s">
        <v>2744</v>
      </c>
      <c r="C788" s="340" t="s">
        <v>41</v>
      </c>
      <c r="D788" s="340" t="s">
        <v>1169</v>
      </c>
      <c r="E788" s="340" t="s">
        <v>2745</v>
      </c>
      <c r="F788" s="341">
        <v>44651</v>
      </c>
      <c r="G788" s="341"/>
      <c r="H788" s="341"/>
      <c r="I788" s="341" t="s">
        <v>3</v>
      </c>
      <c r="J788" s="340" t="s">
        <v>1647</v>
      </c>
      <c r="K788" s="340" t="s">
        <v>2032</v>
      </c>
      <c r="L788" s="14">
        <v>44659</v>
      </c>
      <c r="M788" t="s">
        <v>2784</v>
      </c>
      <c r="N788" s="173">
        <v>44659</v>
      </c>
      <c r="O788" s="178"/>
      <c r="Q788" t="s">
        <v>22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44659</v>
      </c>
    </row>
    <row r="789" spans="1:30">
      <c r="A789" s="340">
        <f>COUNTA($E$3:E789)</f>
        <v>787</v>
      </c>
      <c r="B789" s="340" t="s">
        <v>2734</v>
      </c>
      <c r="C789" s="340" t="s">
        <v>21</v>
      </c>
      <c r="D789" s="340" t="s">
        <v>30</v>
      </c>
      <c r="E789" s="340" t="s">
        <v>2023</v>
      </c>
      <c r="F789" s="341">
        <v>44651.636255960701</v>
      </c>
      <c r="G789" s="341"/>
      <c r="H789" s="341"/>
      <c r="I789" s="341" t="s">
        <v>3</v>
      </c>
      <c r="J789" s="340" t="s">
        <v>17</v>
      </c>
      <c r="K789" s="340" t="s">
        <v>1287</v>
      </c>
      <c r="L789" s="14">
        <v>44659</v>
      </c>
      <c r="M789" t="s">
        <v>2783</v>
      </c>
      <c r="N789" s="173">
        <v>44657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44657</v>
      </c>
    </row>
    <row r="790" spans="1:30">
      <c r="A790" s="340">
        <f>COUNTA($E$3:E790)</f>
        <v>788</v>
      </c>
      <c r="B790" s="340" t="s">
        <v>2730</v>
      </c>
      <c r="C790" s="340" t="s">
        <v>37</v>
      </c>
      <c r="D790" s="340" t="s">
        <v>34</v>
      </c>
      <c r="E790" s="340" t="s">
        <v>2731</v>
      </c>
      <c r="F790" s="341">
        <v>44651.483223368101</v>
      </c>
      <c r="G790" s="341"/>
      <c r="H790" s="341"/>
      <c r="I790" s="341" t="s">
        <v>3</v>
      </c>
      <c r="J790" s="340" t="s">
        <v>1666</v>
      </c>
      <c r="K790" s="340" t="s">
        <v>1296</v>
      </c>
      <c r="L790" s="14">
        <v>44659</v>
      </c>
      <c r="M790" t="s">
        <v>2783</v>
      </c>
      <c r="N790" s="173">
        <v>44657</v>
      </c>
      <c r="O790" s="178"/>
      <c r="Q790" t="s">
        <v>129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44657</v>
      </c>
    </row>
    <row r="791" spans="1:30">
      <c r="A791" s="340">
        <f>COUNTA($E$3:E791)</f>
        <v>789</v>
      </c>
      <c r="B791" s="340" t="s">
        <v>2601</v>
      </c>
      <c r="C791" s="340" t="s">
        <v>2602</v>
      </c>
      <c r="D791" s="340" t="s">
        <v>1145</v>
      </c>
      <c r="E791" s="340" t="s">
        <v>2603</v>
      </c>
      <c r="F791" s="341">
        <v>44629</v>
      </c>
      <c r="G791" s="341"/>
      <c r="H791" s="341">
        <v>44629</v>
      </c>
      <c r="I791" s="341" t="s">
        <v>3</v>
      </c>
      <c r="J791" s="340" t="s">
        <v>1677</v>
      </c>
      <c r="K791" s="340" t="s">
        <v>2032</v>
      </c>
      <c r="L791" s="14">
        <v>44659</v>
      </c>
      <c r="M791" t="s">
        <v>2782</v>
      </c>
      <c r="N791" s="173">
        <v>44729</v>
      </c>
      <c r="O791" s="178"/>
      <c r="Q791" t="s">
        <v>22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44729</v>
      </c>
    </row>
    <row r="792" spans="1:30">
      <c r="A792" s="340">
        <f>COUNTA($E$3:E792)</f>
        <v>790</v>
      </c>
      <c r="B792" s="340" t="s">
        <v>2753</v>
      </c>
      <c r="C792" s="340" t="s">
        <v>37</v>
      </c>
      <c r="D792" s="340" t="s">
        <v>45</v>
      </c>
      <c r="E792" s="340" t="s">
        <v>2754</v>
      </c>
      <c r="F792" s="341">
        <v>44655</v>
      </c>
      <c r="G792" s="341"/>
      <c r="H792" s="341"/>
      <c r="I792" s="341" t="s">
        <v>4</v>
      </c>
      <c r="J792" s="340" t="s">
        <v>1750</v>
      </c>
      <c r="K792" s="340" t="s">
        <v>1287</v>
      </c>
      <c r="L792" s="14">
        <v>44659</v>
      </c>
      <c r="M792" t="s">
        <v>2783</v>
      </c>
      <c r="N792" s="173">
        <v>44657</v>
      </c>
      <c r="O792" s="178"/>
      <c r="Q792" t="s">
        <v>129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44657</v>
      </c>
    </row>
    <row r="793" spans="1:30">
      <c r="A793" s="340">
        <f>COUNTA($E$3:E793)</f>
        <v>791</v>
      </c>
      <c r="B793" s="340" t="s">
        <v>2485</v>
      </c>
      <c r="C793" s="340" t="s">
        <v>1197</v>
      </c>
      <c r="D793" s="340" t="s">
        <v>64</v>
      </c>
      <c r="E793" s="340" t="s">
        <v>2486</v>
      </c>
      <c r="F793" s="341">
        <v>44600</v>
      </c>
      <c r="G793" s="341"/>
      <c r="H793" s="341">
        <v>44602</v>
      </c>
      <c r="I793" s="341" t="s">
        <v>2</v>
      </c>
      <c r="J793" s="340" t="s">
        <v>2487</v>
      </c>
      <c r="K793" s="340" t="s">
        <v>24</v>
      </c>
      <c r="L793" s="14">
        <v>44651</v>
      </c>
      <c r="M793" t="s">
        <v>1762</v>
      </c>
      <c r="N793" s="173">
        <v>44666</v>
      </c>
      <c r="O793" s="178"/>
      <c r="Q793" t="s">
        <v>22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44666</v>
      </c>
    </row>
    <row r="794" spans="1:30">
      <c r="A794" s="340">
        <f>COUNTA($E$3:E794)</f>
        <v>792</v>
      </c>
      <c r="B794" s="340" t="s">
        <v>2721</v>
      </c>
      <c r="C794" s="340" t="s">
        <v>1865</v>
      </c>
      <c r="D794" s="340" t="s">
        <v>16</v>
      </c>
      <c r="E794" s="340" t="s">
        <v>1866</v>
      </c>
      <c r="F794" s="341">
        <v>44649.625694444447</v>
      </c>
      <c r="G794" s="341"/>
      <c r="H794" s="341"/>
      <c r="I794" s="341" t="s">
        <v>3</v>
      </c>
      <c r="J794" s="340" t="s">
        <v>1723</v>
      </c>
      <c r="K794" s="340" t="s">
        <v>1296</v>
      </c>
      <c r="L794" s="14">
        <v>44651</v>
      </c>
      <c r="M794" t="s">
        <v>2741</v>
      </c>
      <c r="N794" s="173">
        <v>44729</v>
      </c>
      <c r="O794" s="178"/>
      <c r="Q794" t="s">
        <v>129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44729</v>
      </c>
    </row>
    <row r="795" spans="1:30">
      <c r="A795" s="340">
        <f>COUNTA($E$3:E795)</f>
        <v>793</v>
      </c>
      <c r="B795" s="340" t="s">
        <v>2694</v>
      </c>
      <c r="C795" s="340" t="s">
        <v>41</v>
      </c>
      <c r="D795" s="340" t="s">
        <v>32</v>
      </c>
      <c r="E795" s="340" t="s">
        <v>2695</v>
      </c>
      <c r="F795" s="341">
        <v>44643.549790844903</v>
      </c>
      <c r="G795" s="341"/>
      <c r="H795" s="341"/>
      <c r="I795" s="341" t="s">
        <v>3</v>
      </c>
      <c r="J795" s="340" t="s">
        <v>17</v>
      </c>
      <c r="K795" s="340" t="s">
        <v>1287</v>
      </c>
      <c r="L795" s="14">
        <v>44651</v>
      </c>
      <c r="M795" t="s">
        <v>2740</v>
      </c>
      <c r="N795" s="173">
        <v>44651</v>
      </c>
      <c r="O795" s="178"/>
      <c r="Q795" t="s">
        <v>129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44651</v>
      </c>
    </row>
    <row r="796" spans="1:30">
      <c r="A796" s="340">
        <f>COUNTA($E$3:E796)</f>
        <v>794</v>
      </c>
      <c r="B796" s="340" t="s">
        <v>2693</v>
      </c>
      <c r="C796" s="340" t="s">
        <v>44</v>
      </c>
      <c r="D796" s="340" t="s">
        <v>30</v>
      </c>
      <c r="E796" s="340" t="s">
        <v>85</v>
      </c>
      <c r="F796" s="341">
        <v>44643.544649178199</v>
      </c>
      <c r="G796" s="341"/>
      <c r="H796" s="341"/>
      <c r="I796" s="341" t="s">
        <v>3</v>
      </c>
      <c r="J796" s="340" t="s">
        <v>1649</v>
      </c>
      <c r="K796" s="340" t="s">
        <v>1287</v>
      </c>
      <c r="L796" s="14">
        <v>44651</v>
      </c>
      <c r="M796" t="s">
        <v>2740</v>
      </c>
      <c r="N796" s="173">
        <v>44651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44651</v>
      </c>
    </row>
    <row r="797" spans="1:30">
      <c r="A797" s="340">
        <f>COUNTA($E$3:E797)</f>
        <v>795</v>
      </c>
      <c r="B797" s="340" t="s">
        <v>2728</v>
      </c>
      <c r="C797" s="340" t="s">
        <v>2726</v>
      </c>
      <c r="D797" s="340" t="s">
        <v>1181</v>
      </c>
      <c r="E797" s="340" t="s">
        <v>2729</v>
      </c>
      <c r="F797" s="341">
        <v>44650.801111111112</v>
      </c>
      <c r="G797" s="341"/>
      <c r="H797" s="341"/>
      <c r="I797" s="341" t="s">
        <v>4</v>
      </c>
      <c r="J797" s="340" t="s">
        <v>2194</v>
      </c>
      <c r="K797" s="340" t="s">
        <v>2358</v>
      </c>
      <c r="L797" s="14">
        <v>44651</v>
      </c>
      <c r="M797" t="s">
        <v>2958</v>
      </c>
      <c r="N797" s="173">
        <v>44651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44651</v>
      </c>
    </row>
    <row r="798" spans="1:30">
      <c r="A798" s="340">
        <f>COUNTA($E$3:E798)</f>
        <v>796</v>
      </c>
      <c r="B798" s="340" t="s">
        <v>2725</v>
      </c>
      <c r="C798" s="340" t="s">
        <v>2726</v>
      </c>
      <c r="D798" s="340" t="s">
        <v>1181</v>
      </c>
      <c r="E798" s="340" t="s">
        <v>2727</v>
      </c>
      <c r="F798" s="341">
        <v>44650.797164351854</v>
      </c>
      <c r="G798" s="341"/>
      <c r="H798" s="341"/>
      <c r="I798" s="341" t="s">
        <v>4</v>
      </c>
      <c r="J798" s="340" t="s">
        <v>2194</v>
      </c>
      <c r="K798" s="340" t="s">
        <v>2358</v>
      </c>
      <c r="L798" s="14">
        <v>44651</v>
      </c>
      <c r="M798" t="s">
        <v>2958</v>
      </c>
      <c r="N798" s="173">
        <v>44651</v>
      </c>
      <c r="O798" s="178"/>
      <c r="Q798" t="s">
        <v>22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44651</v>
      </c>
    </row>
    <row r="799" spans="1:30">
      <c r="A799" s="340">
        <f>COUNTA($E$3:E799)</f>
        <v>797</v>
      </c>
      <c r="B799" s="340" t="s">
        <v>2722</v>
      </c>
      <c r="C799" s="340" t="s">
        <v>2723</v>
      </c>
      <c r="D799" s="340" t="s">
        <v>1181</v>
      </c>
      <c r="E799" s="340" t="s">
        <v>2724</v>
      </c>
      <c r="F799" s="341">
        <v>44650.792581018519</v>
      </c>
      <c r="G799" s="341"/>
      <c r="H799" s="341"/>
      <c r="I799" s="341" t="s">
        <v>4</v>
      </c>
      <c r="J799" s="340" t="s">
        <v>2194</v>
      </c>
      <c r="K799" s="340" t="s">
        <v>2358</v>
      </c>
      <c r="L799" s="14">
        <v>44651</v>
      </c>
      <c r="M799" t="s">
        <v>2958</v>
      </c>
      <c r="N799" s="173">
        <v>44651</v>
      </c>
      <c r="O799" s="178"/>
      <c r="Q799" t="s">
        <v>22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44651</v>
      </c>
    </row>
    <row r="800" spans="1:30">
      <c r="A800" s="340">
        <f>COUNTA($E$3:E800)</f>
        <v>798</v>
      </c>
      <c r="B800" s="340" t="s">
        <v>2688</v>
      </c>
      <c r="C800" s="340" t="s">
        <v>2489</v>
      </c>
      <c r="D800" s="340" t="s">
        <v>1103</v>
      </c>
      <c r="E800" s="340" t="s">
        <v>1219</v>
      </c>
      <c r="F800" s="341">
        <v>44642.42796296296</v>
      </c>
      <c r="G800" s="341"/>
      <c r="H800" s="341"/>
      <c r="I800" s="341" t="s">
        <v>2</v>
      </c>
      <c r="J800" s="340" t="s">
        <v>1723</v>
      </c>
      <c r="K800" s="340" t="s">
        <v>1089</v>
      </c>
      <c r="L800" s="14">
        <v>44645</v>
      </c>
      <c r="M800" t="s">
        <v>2717</v>
      </c>
      <c r="N800" s="173">
        <v>44642</v>
      </c>
      <c r="O800" s="178"/>
      <c r="Q800" t="s">
        <v>129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44642</v>
      </c>
    </row>
    <row r="801" spans="1:30">
      <c r="A801" s="340">
        <f>COUNTA($E$3:E801)</f>
        <v>799</v>
      </c>
      <c r="B801" s="340" t="s">
        <v>2703</v>
      </c>
      <c r="C801" s="340" t="s">
        <v>21</v>
      </c>
      <c r="D801" s="340" t="s">
        <v>30</v>
      </c>
      <c r="E801" s="340" t="s">
        <v>2704</v>
      </c>
      <c r="F801" s="341">
        <v>44644.6662853241</v>
      </c>
      <c r="G801" s="341"/>
      <c r="H801" s="341"/>
      <c r="I801" s="341" t="s">
        <v>3</v>
      </c>
      <c r="J801" s="340" t="s">
        <v>17</v>
      </c>
      <c r="K801" s="340" t="s">
        <v>1287</v>
      </c>
      <c r="L801" s="14">
        <v>44645</v>
      </c>
      <c r="M801" t="s">
        <v>2716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>
      <c r="A802" s="340">
        <f>COUNTA($E$3:E802)</f>
        <v>800</v>
      </c>
      <c r="B802" s="340" t="s">
        <v>2700</v>
      </c>
      <c r="C802" s="340" t="s">
        <v>21</v>
      </c>
      <c r="D802" s="340" t="s">
        <v>30</v>
      </c>
      <c r="E802" s="340" t="s">
        <v>1252</v>
      </c>
      <c r="F802" s="341">
        <v>44644.515428240738</v>
      </c>
      <c r="G802" s="341"/>
      <c r="H802" s="341"/>
      <c r="I802" s="341" t="s">
        <v>3</v>
      </c>
      <c r="J802" s="340" t="s">
        <v>1485</v>
      </c>
      <c r="K802" s="340" t="s">
        <v>1287</v>
      </c>
      <c r="L802" s="14">
        <v>44645</v>
      </c>
      <c r="M802" t="s">
        <v>2715</v>
      </c>
      <c r="N802" s="173">
        <v>44657</v>
      </c>
      <c r="O802" s="178"/>
      <c r="Q802" t="s">
        <v>129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40">
        <f>COUNTA($E$3:E803)</f>
        <v>801</v>
      </c>
      <c r="B803" s="340" t="s">
        <v>2699</v>
      </c>
      <c r="C803" s="340" t="s">
        <v>21</v>
      </c>
      <c r="D803" s="340" t="s">
        <v>1142</v>
      </c>
      <c r="E803" s="340" t="s">
        <v>1204</v>
      </c>
      <c r="F803" s="341">
        <v>44644.43105324074</v>
      </c>
      <c r="G803" s="341"/>
      <c r="H803" s="341"/>
      <c r="I803" s="341" t="s">
        <v>3</v>
      </c>
      <c r="J803" s="340" t="s">
        <v>1666</v>
      </c>
      <c r="K803" s="340" t="s">
        <v>1287</v>
      </c>
      <c r="L803" s="14">
        <v>44645</v>
      </c>
      <c r="M803" t="s">
        <v>2715</v>
      </c>
      <c r="N803" s="173">
        <v>44657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40">
        <f>COUNTA($E$3:E804)</f>
        <v>802</v>
      </c>
      <c r="B804" s="340" t="s">
        <v>2696</v>
      </c>
      <c r="C804" s="340" t="s">
        <v>2370</v>
      </c>
      <c r="D804" s="340" t="s">
        <v>56</v>
      </c>
      <c r="E804" s="340" t="s">
        <v>2697</v>
      </c>
      <c r="F804" s="341">
        <v>44643.807743055557</v>
      </c>
      <c r="G804" s="341"/>
      <c r="H804" s="341"/>
      <c r="I804" s="341" t="s">
        <v>3</v>
      </c>
      <c r="J804" s="340" t="s">
        <v>1921</v>
      </c>
      <c r="K804" s="340" t="s">
        <v>1294</v>
      </c>
      <c r="L804" s="14">
        <v>44645</v>
      </c>
      <c r="M804" t="s">
        <v>2715</v>
      </c>
      <c r="N804" s="173">
        <v>44645</v>
      </c>
      <c r="O804" s="178"/>
      <c r="Q804" t="s">
        <v>22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44645</v>
      </c>
    </row>
    <row r="805" spans="1:30">
      <c r="A805" s="340">
        <f>COUNTA($E$3:E805)</f>
        <v>803</v>
      </c>
      <c r="B805" s="340" t="s">
        <v>2682</v>
      </c>
      <c r="C805" s="340" t="s">
        <v>2675</v>
      </c>
      <c r="D805" s="340" t="s">
        <v>2683</v>
      </c>
      <c r="E805" s="340" t="s">
        <v>2684</v>
      </c>
      <c r="F805" s="341">
        <v>44638.827384259261</v>
      </c>
      <c r="G805" s="341"/>
      <c r="H805" s="341"/>
      <c r="I805" s="341" t="s">
        <v>3</v>
      </c>
      <c r="J805" s="340" t="s">
        <v>1968</v>
      </c>
      <c r="K805" s="340" t="s">
        <v>1287</v>
      </c>
      <c r="L805" s="14">
        <v>44645</v>
      </c>
      <c r="M805" t="s">
        <v>2706</v>
      </c>
      <c r="N805" s="173">
        <v>44729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44729</v>
      </c>
    </row>
    <row r="806" spans="1:30">
      <c r="A806" s="340">
        <f>COUNTA($E$3:E806)</f>
        <v>804</v>
      </c>
      <c r="B806" s="340" t="s">
        <v>2680</v>
      </c>
      <c r="C806" s="340" t="s">
        <v>40</v>
      </c>
      <c r="D806" s="340" t="s">
        <v>34</v>
      </c>
      <c r="E806" s="340" t="s">
        <v>2681</v>
      </c>
      <c r="F806" s="341">
        <v>44644.581787789401</v>
      </c>
      <c r="G806" s="341"/>
      <c r="H806" s="341"/>
      <c r="I806" s="341" t="s">
        <v>3</v>
      </c>
      <c r="J806" s="340" t="s">
        <v>1485</v>
      </c>
      <c r="K806" s="340" t="s">
        <v>1296</v>
      </c>
      <c r="L806" s="14">
        <v>44645</v>
      </c>
      <c r="M806" t="s">
        <v>2955</v>
      </c>
      <c r="N806" s="173">
        <v>44676</v>
      </c>
      <c r="O806" s="178"/>
      <c r="Q806" t="s">
        <v>129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44676</v>
      </c>
    </row>
    <row r="807" spans="1:30">
      <c r="A807" s="340">
        <f>COUNTA($E$3:E807)</f>
        <v>805</v>
      </c>
      <c r="B807" s="340" t="s">
        <v>2674</v>
      </c>
      <c r="C807" s="340" t="s">
        <v>2675</v>
      </c>
      <c r="D807" s="340" t="s">
        <v>38</v>
      </c>
      <c r="E807" s="340" t="s">
        <v>2676</v>
      </c>
      <c r="F807" s="341">
        <v>44638.764722222222</v>
      </c>
      <c r="G807" s="341"/>
      <c r="H807" s="341"/>
      <c r="I807" s="341" t="s">
        <v>3</v>
      </c>
      <c r="J807" s="340" t="s">
        <v>2677</v>
      </c>
      <c r="K807" s="340" t="s">
        <v>1295</v>
      </c>
      <c r="L807" s="14">
        <v>44645</v>
      </c>
      <c r="M807" t="s">
        <v>2715</v>
      </c>
      <c r="N807" s="173">
        <v>44729</v>
      </c>
      <c r="O807" s="178"/>
      <c r="Q807" t="s">
        <v>129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40">
        <f>COUNTA($E$3:E808)</f>
        <v>806</v>
      </c>
      <c r="B808" s="340" t="s">
        <v>2647</v>
      </c>
      <c r="C808" s="340" t="s">
        <v>41</v>
      </c>
      <c r="D808" s="340" t="s">
        <v>1125</v>
      </c>
      <c r="E808" s="340" t="s">
        <v>2648</v>
      </c>
      <c r="F808" s="341">
        <v>44636.537519999998</v>
      </c>
      <c r="G808" s="341"/>
      <c r="H808" s="341"/>
      <c r="I808" s="341" t="s">
        <v>3</v>
      </c>
      <c r="J808" s="340" t="s">
        <v>1485</v>
      </c>
      <c r="K808" s="340" t="s">
        <v>1295</v>
      </c>
      <c r="L808" s="14">
        <v>44645</v>
      </c>
      <c r="M808" t="s">
        <v>2707</v>
      </c>
      <c r="N808" s="173">
        <v>44645</v>
      </c>
      <c r="O808" s="178"/>
      <c r="Q808" t="s">
        <v>129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44645</v>
      </c>
    </row>
    <row r="809" spans="1:30">
      <c r="A809" s="340">
        <f>COUNTA($E$3:E809)</f>
        <v>807</v>
      </c>
      <c r="B809" s="340" t="s">
        <v>2645</v>
      </c>
      <c r="C809" s="340" t="s">
        <v>41</v>
      </c>
      <c r="D809" s="340" t="s">
        <v>282</v>
      </c>
      <c r="E809" s="340" t="s">
        <v>2646</v>
      </c>
      <c r="F809" s="341">
        <v>44636.532685999999</v>
      </c>
      <c r="G809" s="341"/>
      <c r="H809" s="341"/>
      <c r="I809" s="341" t="s">
        <v>3</v>
      </c>
      <c r="J809" s="340" t="s">
        <v>2480</v>
      </c>
      <c r="K809" s="340" t="s">
        <v>1295</v>
      </c>
      <c r="L809" s="14">
        <v>44645</v>
      </c>
      <c r="M809" t="s">
        <v>2706</v>
      </c>
      <c r="N809" s="173">
        <v>44645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44645</v>
      </c>
    </row>
    <row r="810" spans="1:30">
      <c r="A810" s="340">
        <f>COUNTA($E$3:E810)</f>
        <v>808</v>
      </c>
      <c r="B810" s="340" t="s">
        <v>2635</v>
      </c>
      <c r="C810" s="340" t="s">
        <v>21</v>
      </c>
      <c r="D810" s="340" t="s">
        <v>34</v>
      </c>
      <c r="E810" s="340" t="s">
        <v>2059</v>
      </c>
      <c r="F810" s="341">
        <v>44636.525734000003</v>
      </c>
      <c r="G810" s="341"/>
      <c r="H810" s="341"/>
      <c r="I810" s="341" t="s">
        <v>3</v>
      </c>
      <c r="J810" s="340" t="s">
        <v>1723</v>
      </c>
      <c r="K810" s="340" t="s">
        <v>1295</v>
      </c>
      <c r="L810" s="14">
        <v>44645</v>
      </c>
      <c r="M810" t="s">
        <v>2715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>
      <c r="A811" s="340">
        <f>COUNTA($E$3:E811)</f>
        <v>809</v>
      </c>
      <c r="B811" s="340" t="s">
        <v>2701</v>
      </c>
      <c r="C811" s="340" t="s">
        <v>37</v>
      </c>
      <c r="D811" s="340" t="s">
        <v>27</v>
      </c>
      <c r="E811" s="340" t="s">
        <v>2702</v>
      </c>
      <c r="F811" s="341">
        <v>44644.65185185185</v>
      </c>
      <c r="G811" s="341"/>
      <c r="H811" s="341"/>
      <c r="I811" s="341" t="s">
        <v>4</v>
      </c>
      <c r="J811" s="340" t="s">
        <v>1093</v>
      </c>
      <c r="K811" s="340" t="s">
        <v>1287</v>
      </c>
      <c r="L811" s="14">
        <v>44645</v>
      </c>
      <c r="M811" t="s">
        <v>2716</v>
      </c>
      <c r="N811" s="173">
        <v>44651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40">
        <f>COUNTA($E$3:E812)</f>
        <v>810</v>
      </c>
      <c r="B812" s="340" t="s">
        <v>2664</v>
      </c>
      <c r="C812" s="340" t="s">
        <v>44</v>
      </c>
      <c r="D812" s="340" t="s">
        <v>30</v>
      </c>
      <c r="E812" s="340" t="s">
        <v>81</v>
      </c>
      <c r="F812" s="341">
        <v>44637</v>
      </c>
      <c r="G812" s="341"/>
      <c r="H812" s="341"/>
      <c r="I812" s="341" t="s">
        <v>2</v>
      </c>
      <c r="J812" s="340" t="s">
        <v>2208</v>
      </c>
      <c r="K812" s="340" t="s">
        <v>33</v>
      </c>
      <c r="L812" s="14">
        <v>44638</v>
      </c>
      <c r="M812" t="s">
        <v>2660</v>
      </c>
      <c r="N812" s="173">
        <v>44638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44638</v>
      </c>
    </row>
    <row r="813" spans="1:30">
      <c r="A813" s="340">
        <f>COUNTA($E$3:E813)</f>
        <v>811</v>
      </c>
      <c r="B813" s="340" t="s">
        <v>2651</v>
      </c>
      <c r="C813" s="340" t="s">
        <v>44</v>
      </c>
      <c r="D813" s="340" t="s">
        <v>30</v>
      </c>
      <c r="E813" s="340" t="s">
        <v>59</v>
      </c>
      <c r="F813" s="341">
        <v>44636</v>
      </c>
      <c r="G813" s="341"/>
      <c r="H813" s="341">
        <v>44638</v>
      </c>
      <c r="I813" s="341" t="s">
        <v>2</v>
      </c>
      <c r="J813" s="340" t="s">
        <v>1667</v>
      </c>
      <c r="K813" s="340" t="s">
        <v>1274</v>
      </c>
      <c r="L813" s="14">
        <v>44638</v>
      </c>
      <c r="N813" s="173">
        <v>44638</v>
      </c>
      <c r="O813" s="178"/>
      <c r="Q813" t="s">
        <v>129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44638</v>
      </c>
    </row>
    <row r="814" spans="1:30">
      <c r="A814" s="340">
        <f>COUNTA($E$3:E814)</f>
        <v>812</v>
      </c>
      <c r="B814" s="340" t="s">
        <v>2627</v>
      </c>
      <c r="C814" s="340" t="s">
        <v>2628</v>
      </c>
      <c r="D814" s="340" t="s">
        <v>31</v>
      </c>
      <c r="E814" s="340" t="s">
        <v>2629</v>
      </c>
      <c r="F814" s="341">
        <v>44635.740045999999</v>
      </c>
      <c r="G814" s="341"/>
      <c r="H814" s="341"/>
      <c r="I814" s="341" t="s">
        <v>2</v>
      </c>
      <c r="J814" s="340" t="s">
        <v>2630</v>
      </c>
      <c r="K814" s="340" t="s">
        <v>2032</v>
      </c>
      <c r="L814" s="14">
        <v>44638</v>
      </c>
      <c r="M814" t="s">
        <v>2668</v>
      </c>
      <c r="N814" s="173">
        <v>44637</v>
      </c>
      <c r="O814" s="178"/>
      <c r="Q814" t="s">
        <v>22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44637</v>
      </c>
    </row>
    <row r="815" spans="1:30">
      <c r="A815" s="340">
        <f>COUNTA($E$3:E815)</f>
        <v>813</v>
      </c>
      <c r="B815" s="340" t="s">
        <v>2434</v>
      </c>
      <c r="C815" s="340" t="s">
        <v>2370</v>
      </c>
      <c r="D815" s="340" t="s">
        <v>1145</v>
      </c>
      <c r="E815" s="340" t="s">
        <v>1163</v>
      </c>
      <c r="F815" s="341">
        <v>44578</v>
      </c>
      <c r="G815" s="341"/>
      <c r="H815" s="341">
        <v>44579</v>
      </c>
      <c r="I815" s="341" t="s">
        <v>2</v>
      </c>
      <c r="J815" s="340" t="s">
        <v>2435</v>
      </c>
      <c r="K815" s="340" t="s">
        <v>24</v>
      </c>
      <c r="L815" s="14">
        <v>44638</v>
      </c>
      <c r="M815" t="s">
        <v>2663</v>
      </c>
      <c r="N815" s="173">
        <v>44669</v>
      </c>
      <c r="O815" s="178"/>
      <c r="Q815" t="s">
        <v>22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44669</v>
      </c>
    </row>
    <row r="816" spans="1:30">
      <c r="A816" s="340">
        <f>COUNTA($E$3:E816)</f>
        <v>814</v>
      </c>
      <c r="B816" s="340" t="s">
        <v>2641</v>
      </c>
      <c r="C816" s="340" t="s">
        <v>44</v>
      </c>
      <c r="D816" s="340" t="s">
        <v>1129</v>
      </c>
      <c r="E816" s="340" t="s">
        <v>1812</v>
      </c>
      <c r="F816" s="341">
        <v>44636.530741000002</v>
      </c>
      <c r="G816" s="341"/>
      <c r="H816" s="341"/>
      <c r="I816" s="341" t="s">
        <v>3</v>
      </c>
      <c r="J816" s="340" t="s">
        <v>2642</v>
      </c>
      <c r="K816" s="340" t="s">
        <v>1295</v>
      </c>
      <c r="L816" s="14">
        <v>44638</v>
      </c>
      <c r="M816" t="s">
        <v>2956</v>
      </c>
      <c r="N816" s="173">
        <v>44657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40">
        <f>COUNTA($E$3:E817)</f>
        <v>815</v>
      </c>
      <c r="B817" s="340" t="s">
        <v>2639</v>
      </c>
      <c r="C817" s="340" t="s">
        <v>21</v>
      </c>
      <c r="D817" s="340" t="s">
        <v>30</v>
      </c>
      <c r="E817" s="340" t="s">
        <v>2640</v>
      </c>
      <c r="F817" s="341">
        <v>44636.529435999997</v>
      </c>
      <c r="G817" s="341"/>
      <c r="H817" s="341"/>
      <c r="I817" s="341" t="s">
        <v>3</v>
      </c>
      <c r="J817" s="340" t="s">
        <v>1485</v>
      </c>
      <c r="K817" s="340" t="s">
        <v>1295</v>
      </c>
      <c r="L817" s="14">
        <v>44638</v>
      </c>
      <c r="M817" t="s">
        <v>2667</v>
      </c>
      <c r="N817" s="173">
        <v>44643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44643</v>
      </c>
    </row>
    <row r="818" spans="1:30">
      <c r="A818" s="340">
        <f>COUNTA($E$3:E818)</f>
        <v>816</v>
      </c>
      <c r="B818" s="340" t="s">
        <v>2636</v>
      </c>
      <c r="C818" s="340" t="s">
        <v>21</v>
      </c>
      <c r="D818" s="340" t="s">
        <v>16</v>
      </c>
      <c r="E818" s="340" t="s">
        <v>2637</v>
      </c>
      <c r="F818" s="341">
        <v>44636.527234000001</v>
      </c>
      <c r="G818" s="341"/>
      <c r="H818" s="341"/>
      <c r="I818" s="341" t="s">
        <v>3</v>
      </c>
      <c r="J818" s="340" t="s">
        <v>2638</v>
      </c>
      <c r="K818" s="340" t="s">
        <v>1295</v>
      </c>
      <c r="L818" s="14">
        <v>44638</v>
      </c>
      <c r="M818" t="s">
        <v>2661</v>
      </c>
      <c r="N818" s="173">
        <v>44643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44643</v>
      </c>
    </row>
    <row r="819" spans="1:30">
      <c r="A819" s="340">
        <f>COUNTA($E$3:E819)</f>
        <v>817</v>
      </c>
      <c r="B819" s="340" t="s">
        <v>2631</v>
      </c>
      <c r="C819" s="340" t="s">
        <v>37</v>
      </c>
      <c r="D819" s="340" t="s">
        <v>1201</v>
      </c>
      <c r="E819" s="340" t="s">
        <v>2632</v>
      </c>
      <c r="F819" s="341">
        <v>44636.493841000003</v>
      </c>
      <c r="G819" s="341"/>
      <c r="H819" s="341"/>
      <c r="I819" s="341" t="s">
        <v>3</v>
      </c>
      <c r="J819" s="340" t="s">
        <v>2665</v>
      </c>
      <c r="K819" s="340" t="s">
        <v>1274</v>
      </c>
      <c r="L819" s="14">
        <v>44638</v>
      </c>
      <c r="M819" t="s">
        <v>2667</v>
      </c>
      <c r="N819" s="173">
        <v>44651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44651</v>
      </c>
    </row>
    <row r="820" spans="1:30">
      <c r="A820" s="340">
        <f>COUNTA($E$3:E820)</f>
        <v>818</v>
      </c>
      <c r="B820" s="340" t="s">
        <v>2573</v>
      </c>
      <c r="C820" s="340" t="s">
        <v>44</v>
      </c>
      <c r="D820" s="340" t="s">
        <v>30</v>
      </c>
      <c r="E820" s="340" t="s">
        <v>116</v>
      </c>
      <c r="F820" s="341">
        <v>44623.676684398102</v>
      </c>
      <c r="G820" s="341"/>
      <c r="H820" s="341"/>
      <c r="I820" s="341" t="s">
        <v>3</v>
      </c>
      <c r="J820" s="340" t="s">
        <v>2574</v>
      </c>
      <c r="K820" s="340" t="s">
        <v>2032</v>
      </c>
      <c r="L820" s="14">
        <v>44638</v>
      </c>
      <c r="M820" t="s">
        <v>2667</v>
      </c>
      <c r="N820" s="173">
        <v>44638</v>
      </c>
      <c r="O820" s="178"/>
      <c r="Q820" t="s">
        <v>22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44638</v>
      </c>
    </row>
    <row r="821" spans="1:30">
      <c r="A821" s="340">
        <f>COUNTA($E$3:E821)</f>
        <v>819</v>
      </c>
      <c r="B821" s="340" t="s">
        <v>2568</v>
      </c>
      <c r="C821" s="340" t="s">
        <v>21</v>
      </c>
      <c r="D821" s="340" t="s">
        <v>1142</v>
      </c>
      <c r="E821" s="340" t="s">
        <v>2569</v>
      </c>
      <c r="F821" s="341">
        <v>44620</v>
      </c>
      <c r="G821" s="341"/>
      <c r="H821" s="341">
        <v>44627</v>
      </c>
      <c r="I821" s="341" t="s">
        <v>3</v>
      </c>
      <c r="J821" s="340" t="s">
        <v>2570</v>
      </c>
      <c r="K821" s="340" t="s">
        <v>1274</v>
      </c>
      <c r="L821" s="14">
        <v>44638</v>
      </c>
      <c r="M821" t="s">
        <v>2658</v>
      </c>
      <c r="N821" s="173">
        <v>44636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44636</v>
      </c>
    </row>
    <row r="822" spans="1:30">
      <c r="A822" s="340">
        <f>COUNTA($E$3:E822)</f>
        <v>820</v>
      </c>
      <c r="B822" s="340" t="s">
        <v>2619</v>
      </c>
      <c r="C822" s="340" t="s">
        <v>1261</v>
      </c>
      <c r="D822" s="340" t="s">
        <v>45</v>
      </c>
      <c r="E822" s="340" t="s">
        <v>1773</v>
      </c>
      <c r="F822" s="341">
        <v>44634.714155000001</v>
      </c>
      <c r="G822" s="341"/>
      <c r="H822" s="341"/>
      <c r="I822" s="341" t="s">
        <v>4</v>
      </c>
      <c r="J822" s="340" t="s">
        <v>1774</v>
      </c>
      <c r="K822" s="340" t="s">
        <v>1295</v>
      </c>
      <c r="L822" s="14">
        <v>44638</v>
      </c>
      <c r="M822" t="s">
        <v>2659</v>
      </c>
      <c r="N822" s="173">
        <v>44664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44664</v>
      </c>
    </row>
    <row r="823" spans="1:30">
      <c r="A823" s="340">
        <f>COUNTA($E$3:E823)</f>
        <v>821</v>
      </c>
      <c r="B823" s="340" t="s">
        <v>2567</v>
      </c>
      <c r="C823" s="340" t="s">
        <v>21</v>
      </c>
      <c r="D823" s="340" t="s">
        <v>34</v>
      </c>
      <c r="E823" s="340" t="s">
        <v>1256</v>
      </c>
      <c r="F823" s="341">
        <v>44620</v>
      </c>
      <c r="G823" s="341"/>
      <c r="H823" s="341">
        <v>44627</v>
      </c>
      <c r="I823" s="341" t="s">
        <v>2</v>
      </c>
      <c r="J823" s="340" t="s">
        <v>1212</v>
      </c>
      <c r="K823" s="340" t="s">
        <v>1295</v>
      </c>
      <c r="L823" s="14">
        <v>44631</v>
      </c>
      <c r="M823" t="s">
        <v>2613</v>
      </c>
      <c r="N823" s="173">
        <v>44636</v>
      </c>
      <c r="O823" s="178"/>
      <c r="Q823" t="s">
        <v>129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44636</v>
      </c>
    </row>
    <row r="824" spans="1:30">
      <c r="A824" s="340">
        <f>COUNTA($E$3:E824)</f>
        <v>822</v>
      </c>
      <c r="B824" s="340" t="s">
        <v>2596</v>
      </c>
      <c r="C824" s="340" t="s">
        <v>1100</v>
      </c>
      <c r="D824" s="340" t="s">
        <v>30</v>
      </c>
      <c r="E824" s="340" t="s">
        <v>1648</v>
      </c>
      <c r="F824" s="341">
        <v>44627.527337962965</v>
      </c>
      <c r="G824" s="341"/>
      <c r="H824" s="341"/>
      <c r="I824" s="341" t="s">
        <v>3</v>
      </c>
      <c r="J824" s="340" t="s">
        <v>2597</v>
      </c>
      <c r="K824" s="340" t="s">
        <v>1295</v>
      </c>
      <c r="L824" s="14">
        <v>44631</v>
      </c>
      <c r="M824" t="s">
        <v>2954</v>
      </c>
      <c r="N824" s="173">
        <v>44638</v>
      </c>
      <c r="O824" s="178"/>
      <c r="Q824" t="s">
        <v>129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44638</v>
      </c>
    </row>
    <row r="825" spans="1:30">
      <c r="A825" s="340">
        <f>COUNTA($E$3:E825)</f>
        <v>823</v>
      </c>
      <c r="B825" s="340" t="s">
        <v>2562</v>
      </c>
      <c r="C825" s="340" t="s">
        <v>21</v>
      </c>
      <c r="D825" s="340" t="s">
        <v>1169</v>
      </c>
      <c r="E825" s="340" t="s">
        <v>1170</v>
      </c>
      <c r="F825" s="341">
        <v>44620.429340277777</v>
      </c>
      <c r="G825" s="341"/>
      <c r="H825" s="341"/>
      <c r="I825" s="341" t="s">
        <v>3</v>
      </c>
      <c r="J825" s="340" t="s">
        <v>2563</v>
      </c>
      <c r="K825" s="340" t="s">
        <v>1296</v>
      </c>
      <c r="L825" s="14">
        <v>44631</v>
      </c>
      <c r="M825" t="s">
        <v>2612</v>
      </c>
      <c r="N825" s="173">
        <v>44643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44643</v>
      </c>
    </row>
    <row r="826" spans="1:30">
      <c r="A826" s="340">
        <f>COUNTA($E$3:E826)</f>
        <v>824</v>
      </c>
      <c r="B826" s="340" t="s">
        <v>2561</v>
      </c>
      <c r="C826" s="340" t="s">
        <v>44</v>
      </c>
      <c r="D826" s="340" t="s">
        <v>45</v>
      </c>
      <c r="E826" s="340" t="s">
        <v>152</v>
      </c>
      <c r="F826" s="341">
        <v>44620.428974294002</v>
      </c>
      <c r="G826" s="341"/>
      <c r="H826" s="341"/>
      <c r="I826" s="341" t="s">
        <v>4</v>
      </c>
      <c r="J826" s="340" t="s">
        <v>1639</v>
      </c>
      <c r="K826" s="340" t="s">
        <v>1287</v>
      </c>
      <c r="L826" s="14">
        <v>44631</v>
      </c>
      <c r="M826" t="s">
        <v>2956</v>
      </c>
      <c r="N826" s="173">
        <v>44631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44631</v>
      </c>
    </row>
    <row r="827" spans="1:30">
      <c r="A827" s="340">
        <f>COUNTA($E$3:E827)</f>
        <v>825</v>
      </c>
      <c r="B827" s="340" t="s">
        <v>2521</v>
      </c>
      <c r="C827" s="340" t="s">
        <v>44</v>
      </c>
      <c r="D827" s="340" t="s">
        <v>34</v>
      </c>
      <c r="E827" s="340" t="s">
        <v>126</v>
      </c>
      <c r="F827" s="341">
        <v>44610.571323055599</v>
      </c>
      <c r="G827" s="341"/>
      <c r="H827" s="341"/>
      <c r="I827" s="341" t="s">
        <v>2</v>
      </c>
      <c r="J827" s="340" t="s">
        <v>2435</v>
      </c>
      <c r="K827" s="340" t="s">
        <v>1287</v>
      </c>
      <c r="L827" s="14">
        <v>44627</v>
      </c>
      <c r="M827" t="s">
        <v>2587</v>
      </c>
      <c r="N827" s="173">
        <v>44627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44627</v>
      </c>
    </row>
    <row r="828" spans="1:30">
      <c r="A828" s="340">
        <f>COUNTA($E$3:E828)</f>
        <v>826</v>
      </c>
      <c r="B828" s="340" t="s">
        <v>2557</v>
      </c>
      <c r="C828" s="340" t="s">
        <v>37</v>
      </c>
      <c r="D828" s="340" t="s">
        <v>30</v>
      </c>
      <c r="E828" s="340" t="s">
        <v>2558</v>
      </c>
      <c r="F828" s="341">
        <v>44617.480717592596</v>
      </c>
      <c r="G828" s="341"/>
      <c r="H828" s="341"/>
      <c r="I828" s="341" t="s">
        <v>3</v>
      </c>
      <c r="J828" s="340" t="s">
        <v>1249</v>
      </c>
      <c r="K828" s="340" t="s">
        <v>1287</v>
      </c>
      <c r="L828" s="14">
        <v>44627</v>
      </c>
      <c r="M828" t="s">
        <v>2587</v>
      </c>
      <c r="N828" s="173">
        <v>44636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44636</v>
      </c>
    </row>
    <row r="829" spans="1:30">
      <c r="A829" s="340">
        <f>COUNTA($E$3:E829)</f>
        <v>827</v>
      </c>
      <c r="B829" s="340" t="s">
        <v>2535</v>
      </c>
      <c r="C829" s="340" t="s">
        <v>41</v>
      </c>
      <c r="D829" s="340" t="s">
        <v>49</v>
      </c>
      <c r="E829" s="340" t="s">
        <v>1143</v>
      </c>
      <c r="F829" s="341">
        <v>44616.542691770803</v>
      </c>
      <c r="G829" s="341"/>
      <c r="H829" s="341"/>
      <c r="I829" s="341" t="s">
        <v>3</v>
      </c>
      <c r="J829" s="340" t="s">
        <v>1649</v>
      </c>
      <c r="K829" s="340" t="s">
        <v>1287</v>
      </c>
      <c r="L829" s="14">
        <v>44627</v>
      </c>
      <c r="M829" t="s">
        <v>2588</v>
      </c>
      <c r="N829" s="173">
        <v>44627</v>
      </c>
      <c r="O829" s="178"/>
      <c r="Q829" t="s">
        <v>129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44627</v>
      </c>
    </row>
    <row r="830" spans="1:30">
      <c r="A830" s="340">
        <f>COUNTA($E$3:E830)</f>
        <v>828</v>
      </c>
      <c r="B830" s="340" t="s">
        <v>2534</v>
      </c>
      <c r="C830" s="340" t="s">
        <v>41</v>
      </c>
      <c r="D830" s="340" t="s">
        <v>49</v>
      </c>
      <c r="E830" s="340" t="s">
        <v>1144</v>
      </c>
      <c r="F830" s="341">
        <v>44616.542210648149</v>
      </c>
      <c r="G830" s="341"/>
      <c r="H830" s="341"/>
      <c r="I830" s="341" t="s">
        <v>3</v>
      </c>
      <c r="J830" s="340" t="s">
        <v>1643</v>
      </c>
      <c r="K830" s="340"/>
      <c r="L830" s="14">
        <v>44617</v>
      </c>
      <c r="M830" t="s">
        <v>2543</v>
      </c>
      <c r="N830" s="173">
        <v>44617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44617</v>
      </c>
    </row>
    <row r="831" spans="1:30">
      <c r="A831" s="340">
        <f>COUNTA($E$3:E831)</f>
        <v>829</v>
      </c>
      <c r="B831" s="340" t="s">
        <v>2515</v>
      </c>
      <c r="C831" s="340" t="s">
        <v>41</v>
      </c>
      <c r="D831" s="340" t="s">
        <v>1124</v>
      </c>
      <c r="E831" s="340" t="s">
        <v>1185</v>
      </c>
      <c r="F831" s="341">
        <v>44610.458923611113</v>
      </c>
      <c r="G831" s="341"/>
      <c r="H831" s="341"/>
      <c r="I831" s="341" t="s">
        <v>2</v>
      </c>
      <c r="J831" s="340" t="s">
        <v>2516</v>
      </c>
      <c r="K831" s="340" t="s">
        <v>1294</v>
      </c>
      <c r="L831" s="14">
        <v>44617</v>
      </c>
      <c r="M831" t="s">
        <v>2543</v>
      </c>
      <c r="N831" s="173">
        <v>44621</v>
      </c>
      <c r="Q831" t="s">
        <v>22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44621</v>
      </c>
    </row>
    <row r="832" spans="1:30">
      <c r="A832" s="340">
        <f>COUNTA($E$3:E832)</f>
        <v>830</v>
      </c>
      <c r="B832" s="340" t="s">
        <v>2533</v>
      </c>
      <c r="C832" s="340" t="s">
        <v>44</v>
      </c>
      <c r="D832" s="340" t="s">
        <v>51</v>
      </c>
      <c r="E832" s="340" t="s">
        <v>257</v>
      </c>
      <c r="F832" s="341">
        <v>44616.54184027778</v>
      </c>
      <c r="G832" s="341"/>
      <c r="H832" s="341"/>
      <c r="I832" s="341" t="s">
        <v>3</v>
      </c>
      <c r="J832" s="340" t="s">
        <v>1643</v>
      </c>
      <c r="K832" s="340"/>
      <c r="L832" s="14">
        <v>44617</v>
      </c>
      <c r="M832" t="s">
        <v>2543</v>
      </c>
      <c r="N832" s="173">
        <v>44617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44617</v>
      </c>
    </row>
    <row r="833" spans="1:30">
      <c r="A833" s="340">
        <f>COUNTA($E$3:E833)</f>
        <v>831</v>
      </c>
      <c r="B833" s="340" t="s">
        <v>2530</v>
      </c>
      <c r="C833" s="340" t="s">
        <v>44</v>
      </c>
      <c r="D833" s="340" t="s">
        <v>30</v>
      </c>
      <c r="E833" s="340" t="s">
        <v>86</v>
      </c>
      <c r="F833" s="341">
        <v>44615.510879629626</v>
      </c>
      <c r="G833" s="341"/>
      <c r="H833" s="341"/>
      <c r="I833" s="341" t="s">
        <v>3</v>
      </c>
      <c r="J833" s="340" t="s">
        <v>1720</v>
      </c>
      <c r="K833" s="340" t="s">
        <v>1287</v>
      </c>
      <c r="L833" s="14">
        <v>44617</v>
      </c>
      <c r="M833" t="s">
        <v>2543</v>
      </c>
      <c r="N833" s="173">
        <v>44617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44617</v>
      </c>
    </row>
    <row r="834" spans="1:30">
      <c r="A834" s="340">
        <f>COUNTA($E$3:E834)</f>
        <v>832</v>
      </c>
      <c r="B834" s="340" t="s">
        <v>2528</v>
      </c>
      <c r="C834" s="340" t="s">
        <v>41</v>
      </c>
      <c r="D834" s="340" t="s">
        <v>16</v>
      </c>
      <c r="E834" s="340" t="s">
        <v>1188</v>
      </c>
      <c r="F834" s="341">
        <v>44615.493402777778</v>
      </c>
      <c r="G834" s="341"/>
      <c r="H834" s="341"/>
      <c r="I834" s="341" t="s">
        <v>3</v>
      </c>
      <c r="J834" s="340" t="s">
        <v>1649</v>
      </c>
      <c r="K834" s="340" t="s">
        <v>1287</v>
      </c>
      <c r="L834" s="14">
        <v>44617</v>
      </c>
      <c r="M834" t="s">
        <v>2543</v>
      </c>
      <c r="N834" s="173">
        <v>44617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44617</v>
      </c>
    </row>
    <row r="835" spans="1:30">
      <c r="A835" s="340">
        <f>COUNTA($E$3:E835)</f>
        <v>833</v>
      </c>
      <c r="B835" s="340" t="s">
        <v>2507</v>
      </c>
      <c r="C835" s="340" t="s">
        <v>37</v>
      </c>
      <c r="D835" s="340" t="s">
        <v>34</v>
      </c>
      <c r="E835" s="340" t="s">
        <v>1646</v>
      </c>
      <c r="F835" s="341">
        <v>44609.470866000003</v>
      </c>
      <c r="G835" s="341"/>
      <c r="H835" s="341"/>
      <c r="I835" s="341" t="s">
        <v>3</v>
      </c>
      <c r="J835" s="340" t="s">
        <v>2541</v>
      </c>
      <c r="K835" s="340" t="s">
        <v>1295</v>
      </c>
      <c r="L835" s="14">
        <v>44617</v>
      </c>
      <c r="M835" t="s">
        <v>2543</v>
      </c>
      <c r="N835" s="173">
        <v>44617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44617</v>
      </c>
    </row>
    <row r="836" spans="1:30">
      <c r="A836" s="340">
        <f>COUNTA($E$3:E836)</f>
        <v>834</v>
      </c>
      <c r="B836" s="340" t="s">
        <v>2223</v>
      </c>
      <c r="C836" s="340" t="s">
        <v>37</v>
      </c>
      <c r="D836" s="340" t="s">
        <v>34</v>
      </c>
      <c r="E836" s="340" t="s">
        <v>1963</v>
      </c>
      <c r="F836" s="341">
        <v>44519.485042222201</v>
      </c>
      <c r="G836" s="341">
        <v>44523.628796296303</v>
      </c>
      <c r="H836" s="341"/>
      <c r="I836" s="341" t="s">
        <v>3</v>
      </c>
      <c r="J836" s="340" t="s">
        <v>1212</v>
      </c>
      <c r="K836" s="340"/>
      <c r="L836" s="14">
        <v>44617</v>
      </c>
      <c r="M836" t="s">
        <v>2553</v>
      </c>
      <c r="N836" s="173">
        <v>44617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44617</v>
      </c>
    </row>
    <row r="837" spans="1:30">
      <c r="A837" s="340">
        <f>COUNTA($E$3:E837)</f>
        <v>835</v>
      </c>
      <c r="B837" s="340" t="s">
        <v>2457</v>
      </c>
      <c r="C837" s="340" t="s">
        <v>2458</v>
      </c>
      <c r="D837" s="340" t="s">
        <v>16</v>
      </c>
      <c r="E837" s="340" t="s">
        <v>2459</v>
      </c>
      <c r="F837" s="341">
        <v>44589</v>
      </c>
      <c r="G837" s="341"/>
      <c r="H837" s="341">
        <v>44603</v>
      </c>
      <c r="I837" s="341" t="s">
        <v>2</v>
      </c>
      <c r="J837" s="340" t="s">
        <v>17</v>
      </c>
      <c r="K837" s="340" t="s">
        <v>1295</v>
      </c>
      <c r="L837" s="14">
        <v>44617</v>
      </c>
      <c r="M837" t="s">
        <v>2543</v>
      </c>
      <c r="N837" s="173">
        <v>44617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44617</v>
      </c>
    </row>
    <row r="838" spans="1:30">
      <c r="A838" s="340">
        <f>COUNTA($E$3:E838)</f>
        <v>836</v>
      </c>
      <c r="B838" s="340" t="s">
        <v>2290</v>
      </c>
      <c r="C838" s="340" t="s">
        <v>286</v>
      </c>
      <c r="D838" s="340" t="s">
        <v>34</v>
      </c>
      <c r="E838" s="340" t="s">
        <v>1250</v>
      </c>
      <c r="F838" s="341">
        <v>44547</v>
      </c>
      <c r="G838" s="341"/>
      <c r="H838" s="341"/>
      <c r="I838" s="341" t="s">
        <v>3</v>
      </c>
      <c r="J838" s="340" t="s">
        <v>1212</v>
      </c>
      <c r="K838" s="340" t="s">
        <v>2032</v>
      </c>
      <c r="L838" s="14">
        <v>44610</v>
      </c>
      <c r="M838" t="s">
        <v>2511</v>
      </c>
      <c r="N838" s="173">
        <v>44610</v>
      </c>
      <c r="Q838" t="s">
        <v>22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44610</v>
      </c>
    </row>
    <row r="839" spans="1:30">
      <c r="A839" s="340">
        <f>COUNTA($E$3:E839)</f>
        <v>837</v>
      </c>
      <c r="B839" s="340" t="s">
        <v>2491</v>
      </c>
      <c r="C839" s="340" t="s">
        <v>1078</v>
      </c>
      <c r="D839" s="340" t="s">
        <v>1264</v>
      </c>
      <c r="E839" s="340" t="s">
        <v>1688</v>
      </c>
      <c r="F839" s="341">
        <v>44600</v>
      </c>
      <c r="G839" s="341"/>
      <c r="H839" s="341">
        <v>44603</v>
      </c>
      <c r="I839" s="341" t="s">
        <v>4</v>
      </c>
      <c r="J839" s="340" t="s">
        <v>1707</v>
      </c>
      <c r="K839" s="340" t="s">
        <v>287</v>
      </c>
      <c r="L839" s="14">
        <v>44610</v>
      </c>
      <c r="M839" t="s">
        <v>2512</v>
      </c>
      <c r="N839" s="173">
        <v>44613</v>
      </c>
      <c r="Q839" t="s">
        <v>22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44613</v>
      </c>
    </row>
    <row r="840" spans="1:30">
      <c r="A840" s="340">
        <f>COUNTA($E$3:E840)</f>
        <v>838</v>
      </c>
      <c r="B840" s="340" t="s">
        <v>2492</v>
      </c>
      <c r="C840" s="340" t="s">
        <v>1078</v>
      </c>
      <c r="D840" s="340" t="s">
        <v>1126</v>
      </c>
      <c r="E840" s="340" t="s">
        <v>2493</v>
      </c>
      <c r="F840" s="341">
        <v>44600</v>
      </c>
      <c r="G840" s="341"/>
      <c r="H840" s="341">
        <v>44603</v>
      </c>
      <c r="I840" s="341" t="s">
        <v>4</v>
      </c>
      <c r="J840" s="340" t="s">
        <v>2501</v>
      </c>
      <c r="K840" s="340" t="s">
        <v>287</v>
      </c>
      <c r="L840" s="14">
        <v>44610</v>
      </c>
      <c r="M840" t="s">
        <v>2512</v>
      </c>
      <c r="N840" s="173">
        <v>44613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44613</v>
      </c>
    </row>
    <row r="841" spans="1:30">
      <c r="A841" s="340">
        <f>COUNTA($E$3:E841)</f>
        <v>839</v>
      </c>
      <c r="B841" s="340" t="s">
        <v>2500</v>
      </c>
      <c r="C841" s="340" t="s">
        <v>37</v>
      </c>
      <c r="D841" s="340" t="s">
        <v>34</v>
      </c>
      <c r="E841" s="340" t="s">
        <v>1146</v>
      </c>
      <c r="F841" s="341">
        <v>44603.512870370374</v>
      </c>
      <c r="G841" s="341"/>
      <c r="H841" s="341"/>
      <c r="I841" s="341" t="s">
        <v>3</v>
      </c>
      <c r="J841" s="340" t="s">
        <v>1666</v>
      </c>
      <c r="K841" s="340" t="s">
        <v>1287</v>
      </c>
      <c r="L841" s="14">
        <v>44610</v>
      </c>
      <c r="M841" t="s">
        <v>2513</v>
      </c>
      <c r="N841" s="173">
        <v>44610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44610</v>
      </c>
    </row>
    <row r="842" spans="1:30">
      <c r="A842" s="340">
        <f>COUNTA($E$3:E842)</f>
        <v>840</v>
      </c>
      <c r="B842" s="340" t="s">
        <v>2502</v>
      </c>
      <c r="C842" s="340" t="s">
        <v>71</v>
      </c>
      <c r="D842" s="340" t="s">
        <v>51</v>
      </c>
      <c r="E842" s="340" t="s">
        <v>1128</v>
      </c>
      <c r="F842" s="341">
        <v>44609.737217000002</v>
      </c>
      <c r="G842" s="341"/>
      <c r="H842" s="341"/>
      <c r="I842" s="341" t="s">
        <v>2</v>
      </c>
      <c r="J842" s="340" t="s">
        <v>17</v>
      </c>
      <c r="K842" s="340" t="s">
        <v>1287</v>
      </c>
      <c r="L842" s="14">
        <v>44610</v>
      </c>
      <c r="M842" t="s">
        <v>3094</v>
      </c>
      <c r="N842" s="173">
        <v>44687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44687</v>
      </c>
    </row>
    <row r="843" spans="1:30">
      <c r="A843" s="340">
        <f>COUNTA($E$3:E843)</f>
        <v>841</v>
      </c>
      <c r="B843" s="340" t="s">
        <v>2204</v>
      </c>
      <c r="C843" s="340" t="s">
        <v>21</v>
      </c>
      <c r="D843" s="340" t="s">
        <v>34</v>
      </c>
      <c r="E843" s="340" t="s">
        <v>2205</v>
      </c>
      <c r="F843" s="341">
        <v>44518</v>
      </c>
      <c r="G843" s="341"/>
      <c r="H843" s="341" t="s">
        <v>55</v>
      </c>
      <c r="I843" s="341" t="s">
        <v>2</v>
      </c>
      <c r="J843" s="340" t="s">
        <v>2233</v>
      </c>
      <c r="K843" s="340" t="s">
        <v>1295</v>
      </c>
      <c r="L843" s="14">
        <v>44610</v>
      </c>
      <c r="M843" t="s">
        <v>2524</v>
      </c>
      <c r="N843" s="173">
        <v>44610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44610</v>
      </c>
    </row>
    <row r="844" spans="1:30">
      <c r="A844" s="340">
        <f>COUNTA($E$3:E844)</f>
        <v>842</v>
      </c>
      <c r="B844" s="340" t="s">
        <v>2508</v>
      </c>
      <c r="C844" s="340" t="s">
        <v>71</v>
      </c>
      <c r="D844" s="340" t="s">
        <v>49</v>
      </c>
      <c r="E844" s="340" t="s">
        <v>1157</v>
      </c>
      <c r="F844" s="341">
        <v>44609</v>
      </c>
      <c r="G844" s="341"/>
      <c r="H844" s="341"/>
      <c r="I844" s="341" t="s">
        <v>2</v>
      </c>
      <c r="J844" s="340" t="s">
        <v>1893</v>
      </c>
      <c r="K844" s="340" t="s">
        <v>33</v>
      </c>
      <c r="L844" s="14">
        <v>44610</v>
      </c>
      <c r="M844" t="s">
        <v>2514</v>
      </c>
      <c r="N844" s="173">
        <v>44610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44610</v>
      </c>
    </row>
    <row r="845" spans="1:30">
      <c r="A845" s="340">
        <f>COUNTA($E$3:E845)</f>
        <v>843</v>
      </c>
      <c r="B845" s="340" t="s">
        <v>2506</v>
      </c>
      <c r="C845" s="340" t="s">
        <v>37</v>
      </c>
      <c r="D845" s="340" t="s">
        <v>30</v>
      </c>
      <c r="E845" s="340" t="s">
        <v>1290</v>
      </c>
      <c r="F845" s="341">
        <v>44610.599216099501</v>
      </c>
      <c r="G845" s="341"/>
      <c r="H845" s="341"/>
      <c r="I845" s="341" t="s">
        <v>3</v>
      </c>
      <c r="J845" s="340" t="s">
        <v>2523</v>
      </c>
      <c r="K845" s="340" t="s">
        <v>1295</v>
      </c>
      <c r="L845" s="14">
        <v>44610</v>
      </c>
      <c r="M845" t="s">
        <v>2525</v>
      </c>
      <c r="N845" s="173">
        <v>44616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44616</v>
      </c>
    </row>
    <row r="846" spans="1:30">
      <c r="A846" s="340">
        <f>COUNTA($E$3:E846)</f>
        <v>844</v>
      </c>
      <c r="B846" s="340" t="s">
        <v>2454</v>
      </c>
      <c r="C846" s="340" t="s">
        <v>44</v>
      </c>
      <c r="D846" s="340" t="s">
        <v>49</v>
      </c>
      <c r="E846" s="340" t="s">
        <v>61</v>
      </c>
      <c r="F846" s="341">
        <v>44586</v>
      </c>
      <c r="G846" s="341"/>
      <c r="H846" s="341" t="s">
        <v>66</v>
      </c>
      <c r="I846" s="341" t="s">
        <v>2</v>
      </c>
      <c r="J846" s="340" t="s">
        <v>2455</v>
      </c>
      <c r="K846" s="340" t="s">
        <v>24</v>
      </c>
      <c r="L846" s="14">
        <v>44603</v>
      </c>
      <c r="N846" s="173">
        <v>44603</v>
      </c>
      <c r="Q846" t="s">
        <v>22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44603</v>
      </c>
    </row>
    <row r="847" spans="1:30">
      <c r="A847" s="340">
        <f>COUNTA($E$3:E847)</f>
        <v>845</v>
      </c>
      <c r="B847" s="340" t="s">
        <v>2026</v>
      </c>
      <c r="C847" s="340" t="s">
        <v>44</v>
      </c>
      <c r="D847" s="340" t="s">
        <v>30</v>
      </c>
      <c r="E847" s="340" t="s">
        <v>112</v>
      </c>
      <c r="F847" s="341">
        <v>44484</v>
      </c>
      <c r="G847" s="341">
        <v>44491</v>
      </c>
      <c r="H847" s="341" t="s">
        <v>66</v>
      </c>
      <c r="I847" s="341" t="s">
        <v>2</v>
      </c>
      <c r="J847" s="340" t="s">
        <v>2045</v>
      </c>
      <c r="K847" s="340"/>
      <c r="L847" s="14">
        <v>44603</v>
      </c>
      <c r="M847" t="s">
        <v>2499</v>
      </c>
      <c r="N847" s="173">
        <v>44603</v>
      </c>
      <c r="Q847" t="s">
        <v>129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44603</v>
      </c>
    </row>
    <row r="848" spans="1:30">
      <c r="A848" s="340">
        <f>COUNTA($E$3:E848)</f>
        <v>846</v>
      </c>
      <c r="B848" s="340" t="s">
        <v>2376</v>
      </c>
      <c r="C848" s="340" t="s">
        <v>2345</v>
      </c>
      <c r="D848" s="340" t="s">
        <v>16</v>
      </c>
      <c r="E848" s="340" t="s">
        <v>2377</v>
      </c>
      <c r="F848" s="341">
        <v>44567</v>
      </c>
      <c r="G848" s="341"/>
      <c r="H848" s="341">
        <v>44575</v>
      </c>
      <c r="I848" s="341" t="s">
        <v>2</v>
      </c>
      <c r="J848" s="340" t="s">
        <v>1671</v>
      </c>
      <c r="K848" s="340" t="s">
        <v>1089</v>
      </c>
      <c r="L848" s="14">
        <v>44603</v>
      </c>
      <c r="N848" s="173">
        <v>44609</v>
      </c>
      <c r="Q848" t="s">
        <v>3948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44609</v>
      </c>
    </row>
    <row r="849" spans="1:30">
      <c r="A849" s="340">
        <f>COUNTA($E$3:E849)</f>
        <v>847</v>
      </c>
      <c r="B849" s="340" t="s">
        <v>2462</v>
      </c>
      <c r="C849" s="340" t="s">
        <v>1100</v>
      </c>
      <c r="D849" s="340" t="s">
        <v>58</v>
      </c>
      <c r="E849" s="340" t="s">
        <v>2463</v>
      </c>
      <c r="F849" s="341">
        <v>44588.730624999997</v>
      </c>
      <c r="G849" s="341"/>
      <c r="H849" s="341"/>
      <c r="I849" s="341" t="s">
        <v>3</v>
      </c>
      <c r="J849" s="340" t="s">
        <v>1485</v>
      </c>
      <c r="K849" s="340" t="s">
        <v>33</v>
      </c>
      <c r="L849" s="14">
        <v>44589</v>
      </c>
      <c r="M849" t="s">
        <v>2477</v>
      </c>
      <c r="N849" s="173">
        <v>44599</v>
      </c>
      <c r="Q849" t="s">
        <v>3948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44599</v>
      </c>
    </row>
    <row r="850" spans="1:30">
      <c r="A850" s="340">
        <f>COUNTA($E$3:E850)</f>
        <v>848</v>
      </c>
      <c r="B850" s="340" t="s">
        <v>2460</v>
      </c>
      <c r="C850" s="340" t="s">
        <v>41</v>
      </c>
      <c r="D850" s="340" t="s">
        <v>34</v>
      </c>
      <c r="E850" s="340" t="s">
        <v>2461</v>
      </c>
      <c r="F850" s="341">
        <v>44588.571562999998</v>
      </c>
      <c r="G850" s="341"/>
      <c r="H850" s="341"/>
      <c r="I850" s="341" t="s">
        <v>3</v>
      </c>
      <c r="J850" s="340" t="s">
        <v>1760</v>
      </c>
      <c r="K850" s="340" t="s">
        <v>33</v>
      </c>
      <c r="L850" s="14">
        <v>44589</v>
      </c>
      <c r="M850" t="s">
        <v>2476</v>
      </c>
      <c r="N850" s="173">
        <v>44589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44589</v>
      </c>
    </row>
    <row r="851" spans="1:30">
      <c r="A851" s="340">
        <f>COUNTA($E$3:E851)</f>
        <v>849</v>
      </c>
      <c r="B851" s="340" t="s">
        <v>2184</v>
      </c>
      <c r="C851" s="340" t="s">
        <v>1231</v>
      </c>
      <c r="D851" s="340" t="s">
        <v>1129</v>
      </c>
      <c r="E851" s="340" t="s">
        <v>2185</v>
      </c>
      <c r="F851" s="341">
        <v>44512</v>
      </c>
      <c r="G851" s="341">
        <v>44575</v>
      </c>
      <c r="H851" s="341">
        <v>44519</v>
      </c>
      <c r="I851" s="341" t="s">
        <v>2</v>
      </c>
      <c r="J851" s="340" t="s">
        <v>1854</v>
      </c>
      <c r="K851" s="340" t="s">
        <v>2032</v>
      </c>
      <c r="L851" s="14">
        <v>44589</v>
      </c>
      <c r="M851" t="s">
        <v>2467</v>
      </c>
      <c r="N851" s="173">
        <v>44589</v>
      </c>
      <c r="Q851" t="s">
        <v>22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44589</v>
      </c>
    </row>
    <row r="852" spans="1:30">
      <c r="A852" s="340">
        <f>COUNTA($E$3:E852)</f>
        <v>850</v>
      </c>
      <c r="B852" s="340" t="s">
        <v>2039</v>
      </c>
      <c r="C852" s="340" t="s">
        <v>1100</v>
      </c>
      <c r="D852" s="340" t="s">
        <v>30</v>
      </c>
      <c r="E852" s="340" t="s">
        <v>1648</v>
      </c>
      <c r="F852" s="341">
        <v>44489</v>
      </c>
      <c r="G852" s="341">
        <v>44568</v>
      </c>
      <c r="H852" s="341">
        <v>44496</v>
      </c>
      <c r="I852" s="341" t="s">
        <v>2</v>
      </c>
      <c r="J852" s="340" t="s">
        <v>2040</v>
      </c>
      <c r="K852" s="340" t="s">
        <v>33</v>
      </c>
      <c r="L852" s="14">
        <v>44589</v>
      </c>
      <c r="M852" t="s">
        <v>2473</v>
      </c>
      <c r="N852" s="173">
        <v>44589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44589</v>
      </c>
    </row>
    <row r="853" spans="1:30">
      <c r="A853" s="340">
        <f>COUNTA($E$3:E853)</f>
        <v>851</v>
      </c>
      <c r="B853" s="340" t="s">
        <v>2464</v>
      </c>
      <c r="C853" s="340" t="s">
        <v>44</v>
      </c>
      <c r="D853" s="340" t="s">
        <v>30</v>
      </c>
      <c r="E853" s="340" t="s">
        <v>2465</v>
      </c>
      <c r="F853" s="341">
        <v>44588</v>
      </c>
      <c r="G853" s="341"/>
      <c r="H853" s="341" t="s">
        <v>66</v>
      </c>
      <c r="I853" s="341" t="s">
        <v>2</v>
      </c>
      <c r="J853" s="340" t="s">
        <v>2466</v>
      </c>
      <c r="K853" s="340" t="s">
        <v>24</v>
      </c>
      <c r="L853" s="14">
        <v>44589</v>
      </c>
      <c r="M853" t="s">
        <v>2478</v>
      </c>
      <c r="N853" s="173">
        <v>44589</v>
      </c>
      <c r="Q853" t="s">
        <v>22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44589</v>
      </c>
    </row>
    <row r="854" spans="1:30">
      <c r="A854" s="340">
        <f>COUNTA($E$3:E854)</f>
        <v>852</v>
      </c>
      <c r="B854" s="340" t="s">
        <v>2203</v>
      </c>
      <c r="C854" s="340" t="s">
        <v>21</v>
      </c>
      <c r="D854" s="340" t="s">
        <v>34</v>
      </c>
      <c r="E854" s="340" t="s">
        <v>1682</v>
      </c>
      <c r="F854" s="341">
        <v>44518</v>
      </c>
      <c r="G854" s="341"/>
      <c r="H854" s="341" t="s">
        <v>55</v>
      </c>
      <c r="I854" s="341" t="s">
        <v>3</v>
      </c>
      <c r="J854" s="340" t="s">
        <v>1665</v>
      </c>
      <c r="K854" s="340" t="s">
        <v>1287</v>
      </c>
      <c r="L854" s="14">
        <v>44589</v>
      </c>
      <c r="M854" t="s">
        <v>2468</v>
      </c>
      <c r="N854" s="173">
        <v>44589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44589</v>
      </c>
    </row>
    <row r="855" spans="1:30">
      <c r="A855" s="340">
        <f>COUNTA($E$3:E855)</f>
        <v>853</v>
      </c>
      <c r="B855" s="340" t="s">
        <v>2453</v>
      </c>
      <c r="C855" s="340" t="s">
        <v>37</v>
      </c>
      <c r="D855" s="340" t="s">
        <v>30</v>
      </c>
      <c r="E855" s="340" t="s">
        <v>1187</v>
      </c>
      <c r="F855" s="341">
        <v>44586.655230999997</v>
      </c>
      <c r="G855" s="341"/>
      <c r="H855" s="341"/>
      <c r="I855" s="341" t="s">
        <v>3</v>
      </c>
      <c r="J855" s="340" t="s">
        <v>2153</v>
      </c>
      <c r="K855" s="340" t="s">
        <v>1287</v>
      </c>
      <c r="L855" s="14">
        <v>44589</v>
      </c>
      <c r="M855" t="s">
        <v>2469</v>
      </c>
      <c r="N855" s="173">
        <v>44616</v>
      </c>
      <c r="Q855" t="s">
        <v>129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44616</v>
      </c>
    </row>
    <row r="856" spans="1:30">
      <c r="A856" s="340">
        <f>COUNTA($E$3:E856)</f>
        <v>854</v>
      </c>
      <c r="B856" s="340" t="s">
        <v>1993</v>
      </c>
      <c r="C856" s="340" t="s">
        <v>1752</v>
      </c>
      <c r="D856" s="340" t="s">
        <v>49</v>
      </c>
      <c r="E856" s="340" t="s">
        <v>1753</v>
      </c>
      <c r="F856" s="341">
        <v>44475</v>
      </c>
      <c r="G856" s="341">
        <v>44479</v>
      </c>
      <c r="H856" s="341">
        <v>44479</v>
      </c>
      <c r="I856" s="341" t="s">
        <v>2</v>
      </c>
      <c r="J856" s="340" t="s">
        <v>17</v>
      </c>
      <c r="K856" s="340" t="s">
        <v>103</v>
      </c>
      <c r="L856" s="14">
        <v>44589</v>
      </c>
      <c r="M856" t="s">
        <v>1759</v>
      </c>
      <c r="N856" s="173">
        <v>44589</v>
      </c>
      <c r="Q856" t="s">
        <v>22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44589</v>
      </c>
    </row>
    <row r="857" spans="1:30">
      <c r="A857" s="340">
        <f>COUNTA($E$3:E857)</f>
        <v>855</v>
      </c>
      <c r="B857" s="340" t="s">
        <v>2438</v>
      </c>
      <c r="C857" s="340" t="s">
        <v>1106</v>
      </c>
      <c r="D857" s="340" t="s">
        <v>58</v>
      </c>
      <c r="E857" s="340" t="s">
        <v>1205</v>
      </c>
      <c r="F857" s="341">
        <v>44579.489005000003</v>
      </c>
      <c r="G857" s="341"/>
      <c r="H857" s="341"/>
      <c r="I857" s="341" t="s">
        <v>3</v>
      </c>
      <c r="J857" s="340" t="s">
        <v>1647</v>
      </c>
      <c r="K857" s="340" t="s">
        <v>1295</v>
      </c>
      <c r="L857" s="14">
        <v>44582</v>
      </c>
      <c r="M857" t="s">
        <v>2954</v>
      </c>
      <c r="N857" s="173">
        <v>44579</v>
      </c>
      <c r="Q857" t="s">
        <v>129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44579</v>
      </c>
    </row>
    <row r="858" spans="1:30">
      <c r="A858" s="340">
        <f>COUNTA($E$3:E858)</f>
        <v>856</v>
      </c>
      <c r="B858" s="340" t="s">
        <v>2442</v>
      </c>
      <c r="C858" s="340" t="s">
        <v>37</v>
      </c>
      <c r="D858" s="340" t="s">
        <v>34</v>
      </c>
      <c r="E858" s="340" t="s">
        <v>2443</v>
      </c>
      <c r="F858" s="341">
        <v>44580.743842999997</v>
      </c>
      <c r="G858" s="341"/>
      <c r="H858" s="341"/>
      <c r="I858" s="341" t="s">
        <v>3</v>
      </c>
      <c r="J858" s="340" t="s">
        <v>1666</v>
      </c>
      <c r="K858" s="340" t="s">
        <v>1287</v>
      </c>
      <c r="L858" s="14">
        <v>44582</v>
      </c>
      <c r="M858" t="s">
        <v>2451</v>
      </c>
      <c r="N858" s="173">
        <v>44616</v>
      </c>
      <c r="Q858" t="s">
        <v>129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40">
        <f>COUNTA($E$3:E859)</f>
        <v>857</v>
      </c>
      <c r="B859" s="340" t="s">
        <v>2413</v>
      </c>
      <c r="C859" s="340" t="s">
        <v>1100</v>
      </c>
      <c r="D859" s="340" t="s">
        <v>34</v>
      </c>
      <c r="E859" s="340" t="s">
        <v>1101</v>
      </c>
      <c r="F859" s="341">
        <v>44574.711817000003</v>
      </c>
      <c r="G859" s="341"/>
      <c r="H859" s="341"/>
      <c r="I859" s="341" t="s">
        <v>2</v>
      </c>
      <c r="J859" s="340" t="s">
        <v>1747</v>
      </c>
      <c r="K859" s="340" t="s">
        <v>1295</v>
      </c>
      <c r="L859" s="14">
        <v>44582</v>
      </c>
      <c r="M859" t="s">
        <v>2446</v>
      </c>
      <c r="N859" s="173">
        <v>44582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44582</v>
      </c>
    </row>
    <row r="860" spans="1:30">
      <c r="A860" s="340">
        <f>COUNTA($E$3:E860)</f>
        <v>858</v>
      </c>
      <c r="B860" s="340" t="s">
        <v>2419</v>
      </c>
      <c r="C860" s="340" t="s">
        <v>65</v>
      </c>
      <c r="D860" s="340" t="s">
        <v>1103</v>
      </c>
      <c r="E860" s="340" t="s">
        <v>2420</v>
      </c>
      <c r="F860" s="341">
        <v>44572</v>
      </c>
      <c r="G860" s="341"/>
      <c r="H860" s="341">
        <v>44575</v>
      </c>
      <c r="I860" s="341" t="s">
        <v>3</v>
      </c>
      <c r="J860" s="340" t="s">
        <v>1666</v>
      </c>
      <c r="K860" s="340"/>
      <c r="L860" s="14">
        <v>44582</v>
      </c>
      <c r="M860" t="s">
        <v>2447</v>
      </c>
      <c r="N860" s="173">
        <v>44582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44582</v>
      </c>
    </row>
    <row r="861" spans="1:30">
      <c r="A861" s="340">
        <f>COUNTA($E$3:E861)</f>
        <v>859</v>
      </c>
      <c r="B861" s="340" t="s">
        <v>2371</v>
      </c>
      <c r="C861" s="340" t="s">
        <v>1231</v>
      </c>
      <c r="D861" s="340" t="s">
        <v>56</v>
      </c>
      <c r="E861" s="340" t="s">
        <v>1245</v>
      </c>
      <c r="F861" s="341">
        <v>44565</v>
      </c>
      <c r="G861" s="341">
        <v>44578</v>
      </c>
      <c r="H861" s="341">
        <v>44575</v>
      </c>
      <c r="I861" s="341" t="s">
        <v>3</v>
      </c>
      <c r="J861" s="340" t="s">
        <v>1677</v>
      </c>
      <c r="K861" s="340" t="s">
        <v>287</v>
      </c>
      <c r="L861" s="14">
        <v>44582</v>
      </c>
      <c r="M861" t="s">
        <v>2450</v>
      </c>
      <c r="N861" s="173">
        <v>44582</v>
      </c>
      <c r="Q861" t="s">
        <v>22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44582</v>
      </c>
    </row>
    <row r="862" spans="1:30">
      <c r="A862" s="340">
        <f>COUNTA($E$3:E862)</f>
        <v>860</v>
      </c>
      <c r="B862" s="340" t="s">
        <v>2427</v>
      </c>
      <c r="C862" s="340" t="s">
        <v>41</v>
      </c>
      <c r="D862" s="340" t="s">
        <v>32</v>
      </c>
      <c r="E862" s="340" t="s">
        <v>1159</v>
      </c>
      <c r="F862" s="341">
        <v>44573</v>
      </c>
      <c r="G862" s="341"/>
      <c r="H862" s="341"/>
      <c r="I862" s="341" t="s">
        <v>2</v>
      </c>
      <c r="J862" s="340" t="s">
        <v>1854</v>
      </c>
      <c r="K862" s="340"/>
      <c r="L862" s="14">
        <v>44582</v>
      </c>
      <c r="M862" t="s">
        <v>2448</v>
      </c>
      <c r="N862" s="173">
        <v>44582</v>
      </c>
      <c r="Q862" t="s">
        <v>129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44582</v>
      </c>
    </row>
    <row r="863" spans="1:30">
      <c r="A863" s="340">
        <f>COUNTA($E$3:E863)</f>
        <v>861</v>
      </c>
      <c r="B863" s="340" t="s">
        <v>2437</v>
      </c>
      <c r="C863" s="340" t="s">
        <v>44</v>
      </c>
      <c r="D863" s="340" t="s">
        <v>30</v>
      </c>
      <c r="E863" s="340" t="s">
        <v>1117</v>
      </c>
      <c r="F863" s="341">
        <v>44579.472083000001</v>
      </c>
      <c r="G863" s="341"/>
      <c r="H863" s="341"/>
      <c r="I863" s="341" t="s">
        <v>3</v>
      </c>
      <c r="J863" s="340" t="s">
        <v>2207</v>
      </c>
      <c r="K863" s="340" t="s">
        <v>1294</v>
      </c>
      <c r="L863" s="14">
        <v>44582</v>
      </c>
      <c r="M863" t="s">
        <v>2448</v>
      </c>
      <c r="N863" s="173">
        <v>44582</v>
      </c>
      <c r="Q863" t="s">
        <v>22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44582</v>
      </c>
    </row>
    <row r="864" spans="1:30">
      <c r="A864" s="340">
        <f>COUNTA($E$3:E864)</f>
        <v>862</v>
      </c>
      <c r="B864" s="340" t="s">
        <v>2428</v>
      </c>
      <c r="C864" s="340" t="s">
        <v>1171</v>
      </c>
      <c r="D864" s="340" t="s">
        <v>1264</v>
      </c>
      <c r="E864" s="340" t="s">
        <v>2429</v>
      </c>
      <c r="F864" s="341">
        <v>44573.839583333334</v>
      </c>
      <c r="G864" s="341"/>
      <c r="H864" s="341"/>
      <c r="I864" s="341" t="s">
        <v>3</v>
      </c>
      <c r="J864" s="340" t="s">
        <v>2194</v>
      </c>
      <c r="K864" s="340"/>
      <c r="L864" s="14">
        <v>44582</v>
      </c>
      <c r="M864" t="s">
        <v>2449</v>
      </c>
      <c r="N864" s="173">
        <v>44582</v>
      </c>
      <c r="Q864" t="s">
        <v>22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44582</v>
      </c>
    </row>
    <row r="865" spans="1:30">
      <c r="A865" s="340">
        <f>COUNTA($E$3:E865)</f>
        <v>863</v>
      </c>
      <c r="B865" s="340" t="s">
        <v>2127</v>
      </c>
      <c r="C865" s="340" t="s">
        <v>1197</v>
      </c>
      <c r="D865" s="340" t="s">
        <v>38</v>
      </c>
      <c r="E865" s="340" t="s">
        <v>1222</v>
      </c>
      <c r="F865" s="341">
        <v>44504</v>
      </c>
      <c r="G865" s="341">
        <v>44551</v>
      </c>
      <c r="H865" s="341">
        <v>44508</v>
      </c>
      <c r="I865" s="341" t="s">
        <v>2</v>
      </c>
      <c r="J865" s="340" t="s">
        <v>1718</v>
      </c>
      <c r="K865" s="340"/>
      <c r="L865" s="14">
        <v>44582</v>
      </c>
      <c r="M865" t="s">
        <v>2445</v>
      </c>
      <c r="N865" s="173">
        <v>44582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44582</v>
      </c>
    </row>
    <row r="866" spans="1:30">
      <c r="A866" s="340">
        <f>COUNTA($E$3:E866)</f>
        <v>864</v>
      </c>
      <c r="B866" s="340" t="s">
        <v>1996</v>
      </c>
      <c r="C866" s="340" t="s">
        <v>1171</v>
      </c>
      <c r="D866" s="340" t="s">
        <v>1123</v>
      </c>
      <c r="E866" s="340" t="s">
        <v>1997</v>
      </c>
      <c r="F866" s="341">
        <v>44476</v>
      </c>
      <c r="G866" s="341">
        <v>44508</v>
      </c>
      <c r="H866" s="341">
        <v>44494</v>
      </c>
      <c r="I866" s="341" t="s">
        <v>2</v>
      </c>
      <c r="J866" s="340" t="s">
        <v>357</v>
      </c>
      <c r="K866" s="340"/>
      <c r="L866" s="14">
        <v>44582</v>
      </c>
      <c r="N866" s="173">
        <v>44621</v>
      </c>
      <c r="Q866" t="s">
        <v>22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44621</v>
      </c>
    </row>
    <row r="867" spans="1:30">
      <c r="A867" s="340">
        <f>COUNTA($D$3:$D$867)</f>
        <v>865</v>
      </c>
      <c r="B867" s="340" t="s">
        <v>2436</v>
      </c>
      <c r="C867" s="340" t="s">
        <v>1106</v>
      </c>
      <c r="D867" s="340" t="s">
        <v>58</v>
      </c>
      <c r="E867" s="340" t="s">
        <v>1644</v>
      </c>
      <c r="F867" s="341">
        <v>44579.470694444448</v>
      </c>
      <c r="G867" s="341"/>
      <c r="H867" s="341"/>
      <c r="I867" s="341" t="s">
        <v>2</v>
      </c>
      <c r="J867" s="340" t="s">
        <v>17</v>
      </c>
      <c r="K867" s="340" t="s">
        <v>1274</v>
      </c>
      <c r="L867" s="14">
        <v>44582</v>
      </c>
      <c r="M867" t="s">
        <v>2448</v>
      </c>
      <c r="N867" s="173">
        <v>44582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44582</v>
      </c>
    </row>
    <row r="868" spans="1:30">
      <c r="A868" s="340">
        <f>COUNTA($D$3:$D$868)</f>
        <v>866</v>
      </c>
      <c r="B868" s="340" t="s">
        <v>2282</v>
      </c>
      <c r="C868" s="340" t="s">
        <v>1116</v>
      </c>
      <c r="D868" s="340" t="s">
        <v>64</v>
      </c>
      <c r="E868" s="340" t="s">
        <v>2283</v>
      </c>
      <c r="F868" s="341">
        <v>44543</v>
      </c>
      <c r="G868" s="341">
        <v>44551</v>
      </c>
      <c r="H868" s="341">
        <v>44545</v>
      </c>
      <c r="I868" s="341" t="s">
        <v>2</v>
      </c>
      <c r="J868" s="340" t="s">
        <v>2284</v>
      </c>
      <c r="K868" s="340"/>
      <c r="L868" s="14">
        <v>44579</v>
      </c>
      <c r="M868" t="s">
        <v>2410</v>
      </c>
      <c r="N868" s="173">
        <v>44579</v>
      </c>
      <c r="Q868" t="s">
        <v>22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44579</v>
      </c>
    </row>
    <row r="869" spans="1:30">
      <c r="A869" s="340">
        <f>COUNTA($D$3:$D$869)</f>
        <v>867</v>
      </c>
      <c r="B869" s="340" t="s">
        <v>2416</v>
      </c>
      <c r="C869" s="340" t="s">
        <v>41</v>
      </c>
      <c r="D869" s="340" t="s">
        <v>1103</v>
      </c>
      <c r="E869" s="340" t="s">
        <v>1104</v>
      </c>
      <c r="F869" s="341">
        <v>44571.714525462965</v>
      </c>
      <c r="G869" s="341"/>
      <c r="H869" s="341"/>
      <c r="I869" s="341" t="s">
        <v>3</v>
      </c>
      <c r="J869" s="340"/>
      <c r="K869" s="340" t="s">
        <v>287</v>
      </c>
      <c r="L869" s="14">
        <v>44579</v>
      </c>
      <c r="N869" s="173">
        <v>44579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44579</v>
      </c>
    </row>
    <row r="870" spans="1:30">
      <c r="A870" s="340">
        <f>COUNTA($D$3:$D$870)</f>
        <v>868</v>
      </c>
      <c r="B870" s="340" t="s">
        <v>2414</v>
      </c>
      <c r="C870" s="340" t="s">
        <v>1119</v>
      </c>
      <c r="D870" s="340" t="s">
        <v>38</v>
      </c>
      <c r="E870" s="340" t="s">
        <v>1940</v>
      </c>
      <c r="F870" s="341">
        <v>44573.73333333333</v>
      </c>
      <c r="G870" s="341"/>
      <c r="H870" s="341"/>
      <c r="I870" s="341" t="s">
        <v>2</v>
      </c>
      <c r="J870" s="340"/>
      <c r="K870" s="340" t="s">
        <v>1274</v>
      </c>
      <c r="L870" s="14">
        <v>44579</v>
      </c>
      <c r="N870" s="173">
        <v>44579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40">
        <f>COUNTA($D$3:$D$871)</f>
        <v>869</v>
      </c>
      <c r="B871" s="340" t="s">
        <v>2232</v>
      </c>
      <c r="C871" s="340" t="s">
        <v>1162</v>
      </c>
      <c r="D871" s="340" t="s">
        <v>1123</v>
      </c>
      <c r="E871" s="340" t="s">
        <v>1176</v>
      </c>
      <c r="F871" s="341">
        <v>44523</v>
      </c>
      <c r="G871" s="341">
        <v>44550</v>
      </c>
      <c r="H871" s="341">
        <v>44538</v>
      </c>
      <c r="I871" s="341" t="s">
        <v>2</v>
      </c>
      <c r="J871" s="340" t="s">
        <v>1664</v>
      </c>
      <c r="K871" s="340"/>
      <c r="L871" s="14">
        <v>44579</v>
      </c>
      <c r="M871" t="s">
        <v>2410</v>
      </c>
      <c r="N871" s="173">
        <v>44579</v>
      </c>
      <c r="Q871" t="s">
        <v>22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44579</v>
      </c>
    </row>
    <row r="872" spans="1:30">
      <c r="A872" s="340">
        <f>COUNTA($D$3:$D$872)</f>
        <v>870</v>
      </c>
      <c r="B872" s="340" t="s">
        <v>2369</v>
      </c>
      <c r="C872" s="340" t="s">
        <v>2370</v>
      </c>
      <c r="D872" s="340" t="s">
        <v>1123</v>
      </c>
      <c r="E872" s="340" t="s">
        <v>1638</v>
      </c>
      <c r="F872" s="341">
        <v>44565.627025463</v>
      </c>
      <c r="G872" s="341"/>
      <c r="H872" s="341"/>
      <c r="I872" s="341"/>
      <c r="J872" s="340"/>
      <c r="K872" s="340"/>
      <c r="L872" s="14">
        <v>44579</v>
      </c>
      <c r="M872" t="s">
        <v>2411</v>
      </c>
      <c r="N872" s="173">
        <v>44579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44579</v>
      </c>
    </row>
    <row r="873" spans="1:30">
      <c r="A873" s="340">
        <f>COUNTA($D$3:$D$873)</f>
        <v>871</v>
      </c>
      <c r="B873" s="340" t="s">
        <v>2415</v>
      </c>
      <c r="C873" s="340" t="s">
        <v>93</v>
      </c>
      <c r="D873" s="340" t="s">
        <v>1111</v>
      </c>
      <c r="E873" s="340" t="s">
        <v>1112</v>
      </c>
      <c r="F873" s="341">
        <v>44572.558148148149</v>
      </c>
      <c r="G873" s="341"/>
      <c r="H873" s="341"/>
      <c r="I873" s="341" t="s">
        <v>3</v>
      </c>
      <c r="J873" s="340"/>
      <c r="K873" s="340" t="s">
        <v>1294</v>
      </c>
      <c r="L873" s="14">
        <v>44579</v>
      </c>
      <c r="M873" t="s">
        <v>2954</v>
      </c>
      <c r="N873" s="173">
        <v>44599</v>
      </c>
      <c r="Q873" t="s">
        <v>129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44599</v>
      </c>
    </row>
    <row r="874" spans="1:30">
      <c r="A874" s="340">
        <f>COUNTA($D$3:$D$874)</f>
        <v>872</v>
      </c>
      <c r="B874" s="340" t="s">
        <v>2417</v>
      </c>
      <c r="C874" s="340" t="s">
        <v>41</v>
      </c>
      <c r="D874" s="340" t="s">
        <v>16</v>
      </c>
      <c r="E874" s="340" t="s">
        <v>1161</v>
      </c>
      <c r="F874" s="341">
        <v>44571.714004629626</v>
      </c>
      <c r="G874" s="341"/>
      <c r="H874" s="341"/>
      <c r="I874" s="341" t="s">
        <v>3</v>
      </c>
      <c r="J874" s="340"/>
      <c r="K874" s="340" t="s">
        <v>1294</v>
      </c>
      <c r="L874" s="14">
        <v>44579</v>
      </c>
      <c r="N874" s="173">
        <v>44579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44579</v>
      </c>
    </row>
    <row r="875" spans="1:30">
      <c r="A875" s="340">
        <f>COUNTA($D$3:$D$875)</f>
        <v>873</v>
      </c>
      <c r="B875" s="340" t="s">
        <v>2154</v>
      </c>
      <c r="C875" s="340" t="s">
        <v>21</v>
      </c>
      <c r="D875" s="340" t="s">
        <v>30</v>
      </c>
      <c r="E875" s="340" t="s">
        <v>2025</v>
      </c>
      <c r="F875" s="341">
        <v>44508</v>
      </c>
      <c r="G875" s="341"/>
      <c r="H875" s="341" t="s">
        <v>55</v>
      </c>
      <c r="I875" s="341" t="s">
        <v>2</v>
      </c>
      <c r="J875" s="340" t="s">
        <v>1485</v>
      </c>
      <c r="K875" s="340"/>
      <c r="L875" s="14">
        <v>44579</v>
      </c>
      <c r="M875" t="s">
        <v>2412</v>
      </c>
      <c r="N875" s="173">
        <v>44579</v>
      </c>
      <c r="Q875" t="s">
        <v>129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44579</v>
      </c>
    </row>
    <row r="876" spans="1:30">
      <c r="A876" s="340">
        <f>COUNTA($D$3:$D$876)</f>
        <v>874</v>
      </c>
      <c r="B876" s="340" t="s">
        <v>2022</v>
      </c>
      <c r="C876" s="340" t="s">
        <v>21</v>
      </c>
      <c r="D876" s="340" t="s">
        <v>30</v>
      </c>
      <c r="E876" s="340" t="s">
        <v>2023</v>
      </c>
      <c r="F876" s="341">
        <v>44484</v>
      </c>
      <c r="G876" s="341">
        <v>44491</v>
      </c>
      <c r="H876" s="341"/>
      <c r="I876" s="341" t="s">
        <v>2</v>
      </c>
      <c r="J876" s="340" t="s">
        <v>1485</v>
      </c>
      <c r="K876" s="340"/>
      <c r="L876" s="14">
        <v>44579</v>
      </c>
      <c r="M876" t="s">
        <v>2411</v>
      </c>
      <c r="N876" s="173">
        <v>44579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44579</v>
      </c>
    </row>
    <row r="877" spans="1:30">
      <c r="A877" s="340">
        <f>COUNTA($D$3:$D$877)</f>
        <v>875</v>
      </c>
      <c r="B877" s="340" t="s">
        <v>2308</v>
      </c>
      <c r="C877" s="340" t="s">
        <v>41</v>
      </c>
      <c r="D877" s="340" t="s">
        <v>282</v>
      </c>
      <c r="E877" s="340" t="s">
        <v>2309</v>
      </c>
      <c r="F877" s="341">
        <v>44550</v>
      </c>
      <c r="G877" s="341"/>
      <c r="H877" s="341"/>
      <c r="I877" s="341" t="s">
        <v>2</v>
      </c>
      <c r="J877" s="340" t="s">
        <v>1779</v>
      </c>
      <c r="K877" s="340"/>
      <c r="L877" s="14">
        <v>44579</v>
      </c>
      <c r="M877" t="s">
        <v>2411</v>
      </c>
      <c r="N877" s="173">
        <v>44579</v>
      </c>
      <c r="Q877" t="s">
        <v>129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>
      <c r="A878" s="340">
        <f>COUNTA($D$3:$D$878)</f>
        <v>876</v>
      </c>
      <c r="B878" s="340" t="s">
        <v>2325</v>
      </c>
      <c r="C878" s="340" t="s">
        <v>41</v>
      </c>
      <c r="D878" s="340" t="s">
        <v>30</v>
      </c>
      <c r="E878" s="340" t="s">
        <v>1684</v>
      </c>
      <c r="F878" s="341">
        <v>44559.773310185199</v>
      </c>
      <c r="G878" s="341"/>
      <c r="H878" s="341"/>
      <c r="I878" s="341" t="s">
        <v>3</v>
      </c>
      <c r="J878" s="340"/>
      <c r="K878" s="340" t="s">
        <v>1296</v>
      </c>
      <c r="L878" s="14">
        <v>44569</v>
      </c>
      <c r="M878" t="s">
        <v>2387</v>
      </c>
      <c r="N878" s="173">
        <v>44569</v>
      </c>
      <c r="Q878" t="s">
        <v>129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44569</v>
      </c>
    </row>
    <row r="879" spans="1:30">
      <c r="A879" s="340">
        <f>COUNTA($D$3:$D$879)</f>
        <v>877</v>
      </c>
      <c r="B879" s="340" t="s">
        <v>2375</v>
      </c>
      <c r="C879" s="340" t="s">
        <v>21</v>
      </c>
      <c r="D879" s="340" t="s">
        <v>1142</v>
      </c>
      <c r="E879" s="340" t="s">
        <v>1204</v>
      </c>
      <c r="F879" s="341">
        <v>44567.547025462998</v>
      </c>
      <c r="G879" s="341"/>
      <c r="H879" s="341"/>
      <c r="I879" s="341" t="s">
        <v>3</v>
      </c>
      <c r="J879" s="340" t="s">
        <v>1643</v>
      </c>
      <c r="K879" s="340" t="s">
        <v>1120</v>
      </c>
      <c r="L879" s="14">
        <v>44569</v>
      </c>
      <c r="N879" s="173">
        <v>44616</v>
      </c>
      <c r="Q879" t="s">
        <v>129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44616</v>
      </c>
    </row>
    <row r="880" spans="1:30">
      <c r="A880" s="340">
        <f>COUNTA($D$3:$D$880)</f>
        <v>878</v>
      </c>
      <c r="B880" s="340" t="s">
        <v>2397</v>
      </c>
      <c r="C880" s="340" t="s">
        <v>1231</v>
      </c>
      <c r="D880" s="340" t="s">
        <v>1264</v>
      </c>
      <c r="E880" s="340" t="s">
        <v>2398</v>
      </c>
      <c r="F880" s="341">
        <v>44565.662800925929</v>
      </c>
      <c r="G880" s="341"/>
      <c r="H880" s="341"/>
      <c r="I880" s="341" t="s">
        <v>3</v>
      </c>
      <c r="J880" s="340" t="s">
        <v>2194</v>
      </c>
      <c r="K880" s="340" t="s">
        <v>1177</v>
      </c>
      <c r="L880" s="14">
        <v>44569</v>
      </c>
      <c r="M880" t="s">
        <v>2407</v>
      </c>
      <c r="N880" s="173">
        <v>44569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44569</v>
      </c>
    </row>
    <row r="881" spans="1:30">
      <c r="A881" s="340">
        <f>COUNTA($D$3:$D$881)</f>
        <v>879</v>
      </c>
      <c r="B881" s="340" t="s">
        <v>2395</v>
      </c>
      <c r="C881" s="340" t="s">
        <v>1231</v>
      </c>
      <c r="D881" s="340" t="s">
        <v>1181</v>
      </c>
      <c r="E881" s="340" t="s">
        <v>2396</v>
      </c>
      <c r="F881" s="341">
        <v>44565.659733796296</v>
      </c>
      <c r="G881" s="341"/>
      <c r="H881" s="341"/>
      <c r="I881" s="341" t="s">
        <v>3</v>
      </c>
      <c r="J881" s="340" t="s">
        <v>2194</v>
      </c>
      <c r="K881" s="340" t="s">
        <v>1177</v>
      </c>
      <c r="L881" s="14">
        <v>44569</v>
      </c>
      <c r="M881" t="s">
        <v>2407</v>
      </c>
      <c r="N881" s="173">
        <v>44569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44569</v>
      </c>
    </row>
    <row r="882" spans="1:30">
      <c r="A882" s="340">
        <f>COUNTA($D$3:$D$882)</f>
        <v>880</v>
      </c>
      <c r="B882" s="340" t="s">
        <v>2393</v>
      </c>
      <c r="C882" s="340" t="s">
        <v>1231</v>
      </c>
      <c r="D882" s="340" t="s">
        <v>1181</v>
      </c>
      <c r="E882" s="340" t="s">
        <v>2394</v>
      </c>
      <c r="F882" s="341">
        <v>44565.637997685182</v>
      </c>
      <c r="G882" s="341"/>
      <c r="H882" s="341"/>
      <c r="I882" s="341" t="s">
        <v>3</v>
      </c>
      <c r="J882" s="340" t="s">
        <v>2194</v>
      </c>
      <c r="K882" s="340" t="s">
        <v>1177</v>
      </c>
      <c r="L882" s="14">
        <v>44569</v>
      </c>
      <c r="M882" t="s">
        <v>2407</v>
      </c>
      <c r="N882" s="173">
        <v>44569</v>
      </c>
      <c r="Q882" t="s">
        <v>22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44569</v>
      </c>
    </row>
    <row r="883" spans="1:30">
      <c r="A883" s="340">
        <f>COUNTA($D$3:$D$883)</f>
        <v>881</v>
      </c>
      <c r="B883" s="340" t="s">
        <v>2402</v>
      </c>
      <c r="C883" s="340" t="s">
        <v>2403</v>
      </c>
      <c r="D883" s="340" t="s">
        <v>1181</v>
      </c>
      <c r="E883" s="340" t="s">
        <v>2404</v>
      </c>
      <c r="F883" s="341">
        <v>44565.671712962961</v>
      </c>
      <c r="G883" s="341"/>
      <c r="H883" s="341"/>
      <c r="I883" s="341" t="s">
        <v>3</v>
      </c>
      <c r="J883" s="340" t="s">
        <v>2194</v>
      </c>
      <c r="K883" s="340" t="s">
        <v>1177</v>
      </c>
      <c r="L883" s="14">
        <v>44569</v>
      </c>
      <c r="M883" t="s">
        <v>2407</v>
      </c>
      <c r="N883" s="173">
        <v>44569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44569</v>
      </c>
    </row>
    <row r="884" spans="1:30">
      <c r="A884" s="340">
        <f>COUNTA($D$3:$D$884)</f>
        <v>882</v>
      </c>
      <c r="B884" s="340" t="s">
        <v>2399</v>
      </c>
      <c r="C884" s="340" t="s">
        <v>2400</v>
      </c>
      <c r="D884" s="340" t="s">
        <v>1181</v>
      </c>
      <c r="E884" s="340" t="s">
        <v>2401</v>
      </c>
      <c r="F884" s="341">
        <v>44565.666458333333</v>
      </c>
      <c r="G884" s="341"/>
      <c r="H884" s="341"/>
      <c r="I884" s="341" t="s">
        <v>3</v>
      </c>
      <c r="J884" s="340" t="s">
        <v>2194</v>
      </c>
      <c r="K884" s="340" t="s">
        <v>1177</v>
      </c>
      <c r="L884" s="14">
        <v>44569</v>
      </c>
      <c r="M884" t="s">
        <v>2407</v>
      </c>
      <c r="N884" s="173">
        <v>44569</v>
      </c>
      <c r="Q884" t="s">
        <v>22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44569</v>
      </c>
    </row>
    <row r="885" spans="1:30">
      <c r="A885" s="340">
        <f>COUNTA($D$3:$D$885)</f>
        <v>883</v>
      </c>
      <c r="B885" s="340" t="s">
        <v>2405</v>
      </c>
      <c r="C885" s="340" t="s">
        <v>2330</v>
      </c>
      <c r="D885" s="340" t="s">
        <v>1181</v>
      </c>
      <c r="E885" s="340" t="s">
        <v>2406</v>
      </c>
      <c r="F885" s="341">
        <v>44565.674270833333</v>
      </c>
      <c r="G885" s="341"/>
      <c r="H885" s="341"/>
      <c r="I885" s="341" t="s">
        <v>3</v>
      </c>
      <c r="J885" s="340" t="s">
        <v>2194</v>
      </c>
      <c r="K885" s="340" t="s">
        <v>1177</v>
      </c>
      <c r="L885" s="14">
        <v>44569</v>
      </c>
      <c r="M885" t="s">
        <v>2407</v>
      </c>
      <c r="N885" s="173">
        <v>44569</v>
      </c>
      <c r="Q885" t="s">
        <v>22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44569</v>
      </c>
    </row>
    <row r="886" spans="1:30">
      <c r="A886" s="340">
        <f>COUNTA($D$3:$D$886)</f>
        <v>884</v>
      </c>
      <c r="B886" s="340" t="s">
        <v>2372</v>
      </c>
      <c r="C886" s="340" t="s">
        <v>41</v>
      </c>
      <c r="D886" s="340" t="s">
        <v>2373</v>
      </c>
      <c r="E886" s="340" t="s">
        <v>2374</v>
      </c>
      <c r="F886" s="341">
        <v>44566.430115740739</v>
      </c>
      <c r="G886" s="341"/>
      <c r="H886" s="341"/>
      <c r="I886" s="341" t="s">
        <v>4</v>
      </c>
      <c r="J886" s="340" t="s">
        <v>1840</v>
      </c>
      <c r="K886" s="340" t="s">
        <v>1294</v>
      </c>
      <c r="L886" s="14">
        <v>44569</v>
      </c>
      <c r="N886" s="173">
        <v>44569</v>
      </c>
      <c r="Q886" t="s">
        <v>22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44569</v>
      </c>
    </row>
    <row r="887" spans="1:30">
      <c r="A887" s="340">
        <f>COUNTA($D$3:$D$887)</f>
        <v>885</v>
      </c>
      <c r="B887" s="340" t="s">
        <v>2263</v>
      </c>
      <c r="C887" s="340" t="s">
        <v>1233</v>
      </c>
      <c r="D887" s="340" t="s">
        <v>58</v>
      </c>
      <c r="E887" s="340" t="s">
        <v>1234</v>
      </c>
      <c r="F887" s="341">
        <v>44536</v>
      </c>
      <c r="G887" s="341"/>
      <c r="H887" s="341">
        <v>44543</v>
      </c>
      <c r="I887" s="341" t="s">
        <v>2</v>
      </c>
      <c r="J887" s="340" t="s">
        <v>2264</v>
      </c>
      <c r="K887" s="340" t="s">
        <v>1294</v>
      </c>
      <c r="L887" s="14">
        <v>44569</v>
      </c>
      <c r="M887" t="s">
        <v>2386</v>
      </c>
      <c r="N887" s="173">
        <v>44569</v>
      </c>
      <c r="Q887" t="s">
        <v>22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>
      <c r="A888" s="340">
        <f>COUNTA($D$3:$D$888)</f>
        <v>886</v>
      </c>
      <c r="B888" s="340" t="s">
        <v>2363</v>
      </c>
      <c r="C888" s="340" t="s">
        <v>21</v>
      </c>
      <c r="D888" s="340" t="s">
        <v>23</v>
      </c>
      <c r="E888" s="340" t="s">
        <v>1653</v>
      </c>
      <c r="F888" s="341">
        <v>44550.521527777775</v>
      </c>
      <c r="G888" s="341"/>
      <c r="H888" s="341"/>
      <c r="I888" s="341" t="s">
        <v>3</v>
      </c>
      <c r="J888" s="340"/>
      <c r="K888" s="340" t="s">
        <v>1287</v>
      </c>
      <c r="L888" s="14">
        <v>44561</v>
      </c>
      <c r="M888" t="s">
        <v>2321</v>
      </c>
      <c r="N888" s="173">
        <v>44561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44561</v>
      </c>
    </row>
    <row r="889" spans="1:30">
      <c r="A889" s="340">
        <f>COUNTA($D$3:$D$889)</f>
        <v>887</v>
      </c>
      <c r="B889" s="340" t="s">
        <v>2350</v>
      </c>
      <c r="C889" s="340" t="s">
        <v>44</v>
      </c>
      <c r="D889" s="340" t="s">
        <v>1201</v>
      </c>
      <c r="E889" s="340" t="s">
        <v>102</v>
      </c>
      <c r="F889" s="341">
        <v>44508</v>
      </c>
      <c r="G889" s="341"/>
      <c r="H889" s="341" t="s">
        <v>66</v>
      </c>
      <c r="I889" s="341" t="s">
        <v>2</v>
      </c>
      <c r="J889" s="340" t="s">
        <v>1657</v>
      </c>
      <c r="K889" s="340" t="s">
        <v>101</v>
      </c>
      <c r="L889" s="14">
        <v>44561</v>
      </c>
      <c r="M889" t="s">
        <v>2351</v>
      </c>
      <c r="N889" s="173">
        <v>44561</v>
      </c>
      <c r="Q889" t="s">
        <v>129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44561</v>
      </c>
    </row>
    <row r="890" spans="1:30">
      <c r="A890" s="340">
        <f>COUNTA($D$3:$D$890)</f>
        <v>888</v>
      </c>
      <c r="B890" s="340" t="s">
        <v>2291</v>
      </c>
      <c r="C890" s="340" t="s">
        <v>2292</v>
      </c>
      <c r="D890" s="340" t="s">
        <v>49</v>
      </c>
      <c r="E890" s="340" t="s">
        <v>1175</v>
      </c>
      <c r="F890" s="341">
        <v>44545.699316655096</v>
      </c>
      <c r="G890" s="341"/>
      <c r="H890" s="341"/>
      <c r="I890" s="341" t="s">
        <v>3</v>
      </c>
      <c r="J890" s="340"/>
      <c r="K890" s="340" t="s">
        <v>1295</v>
      </c>
      <c r="L890" s="14">
        <v>44561</v>
      </c>
      <c r="M890" t="s">
        <v>2365</v>
      </c>
      <c r="N890" s="173">
        <v>44576</v>
      </c>
      <c r="Q890" t="s">
        <v>129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44576</v>
      </c>
    </row>
    <row r="891" spans="1:30">
      <c r="A891" s="340">
        <f>COUNTA($D$3:$D$891)</f>
        <v>889</v>
      </c>
      <c r="B891" s="340" t="s">
        <v>2338</v>
      </c>
      <c r="C891" s="340" t="s">
        <v>37</v>
      </c>
      <c r="D891" s="340" t="s">
        <v>34</v>
      </c>
      <c r="E891" s="340" t="s">
        <v>1844</v>
      </c>
      <c r="F891" s="341">
        <v>44558.590590277781</v>
      </c>
      <c r="G891" s="341"/>
      <c r="H891" s="341"/>
      <c r="I891" s="341" t="s">
        <v>3</v>
      </c>
      <c r="J891" s="340"/>
      <c r="K891" s="340" t="s">
        <v>1287</v>
      </c>
      <c r="L891" s="14">
        <v>44561</v>
      </c>
      <c r="M891" t="s">
        <v>2366</v>
      </c>
      <c r="N891" s="173">
        <v>44561</v>
      </c>
      <c r="Q891" t="s">
        <v>129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44561</v>
      </c>
    </row>
    <row r="892" spans="1:30">
      <c r="A892" s="340">
        <f>COUNTA($D$3:$D$892)</f>
        <v>890</v>
      </c>
      <c r="B892" s="340" t="s">
        <v>2342</v>
      </c>
      <c r="C892" s="340" t="s">
        <v>44</v>
      </c>
      <c r="D892" s="340" t="s">
        <v>51</v>
      </c>
      <c r="E892" s="340" t="s">
        <v>259</v>
      </c>
      <c r="F892" s="341">
        <v>44560.528368055559</v>
      </c>
      <c r="G892" s="341"/>
      <c r="H892" s="341"/>
      <c r="I892" s="341" t="s">
        <v>3</v>
      </c>
      <c r="J892" s="340"/>
      <c r="K892" s="340"/>
      <c r="L892" s="14">
        <v>44561</v>
      </c>
      <c r="M892" t="s">
        <v>2366</v>
      </c>
      <c r="N892" s="173">
        <v>44561</v>
      </c>
      <c r="Q892" t="s">
        <v>129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44561</v>
      </c>
    </row>
    <row r="893" spans="1:30">
      <c r="A893" s="340">
        <f>COUNTA($D$3:$D$893)</f>
        <v>891</v>
      </c>
      <c r="B893" s="340" t="s">
        <v>2314</v>
      </c>
      <c r="C893" s="340" t="s">
        <v>41</v>
      </c>
      <c r="D893" s="340" t="s">
        <v>56</v>
      </c>
      <c r="E893" s="340" t="s">
        <v>1238</v>
      </c>
      <c r="F893" s="341">
        <v>44551.769918981503</v>
      </c>
      <c r="G893" s="341"/>
      <c r="H893" s="341"/>
      <c r="I893" s="341" t="s">
        <v>3</v>
      </c>
      <c r="J893" s="340"/>
      <c r="K893" s="340" t="s">
        <v>1295</v>
      </c>
      <c r="L893" s="14">
        <v>44561</v>
      </c>
      <c r="M893" t="s">
        <v>2367</v>
      </c>
      <c r="N893" s="173">
        <v>44561</v>
      </c>
      <c r="Q893" t="s">
        <v>129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44561</v>
      </c>
    </row>
    <row r="894" spans="1:30">
      <c r="A894" s="340">
        <f>COUNTA($D$3:$D$894)</f>
        <v>892</v>
      </c>
      <c r="B894" s="340" t="s">
        <v>2310</v>
      </c>
      <c r="C894" s="340" t="s">
        <v>41</v>
      </c>
      <c r="D894" s="340" t="s">
        <v>32</v>
      </c>
      <c r="E894" s="340" t="s">
        <v>1282</v>
      </c>
      <c r="F894" s="341">
        <v>44550.552314814799</v>
      </c>
      <c r="G894" s="341"/>
      <c r="H894" s="341"/>
      <c r="I894" s="341" t="s">
        <v>3</v>
      </c>
      <c r="J894" s="340"/>
      <c r="K894" s="340" t="s">
        <v>1296</v>
      </c>
      <c r="L894" s="14">
        <v>44561</v>
      </c>
      <c r="M894" t="s">
        <v>2366</v>
      </c>
      <c r="N894" s="173">
        <v>44561</v>
      </c>
      <c r="Q894" t="s">
        <v>129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44561</v>
      </c>
    </row>
    <row r="895" spans="1:30">
      <c r="A895" s="340">
        <f>COUNTA($D$3:$D$895)</f>
        <v>893</v>
      </c>
      <c r="B895" s="340" t="s">
        <v>2353</v>
      </c>
      <c r="C895" s="340" t="s">
        <v>41</v>
      </c>
      <c r="D895" s="340" t="s">
        <v>16</v>
      </c>
      <c r="E895" s="340" t="s">
        <v>1153</v>
      </c>
      <c r="F895" s="341">
        <v>44537</v>
      </c>
      <c r="G895" s="341"/>
      <c r="H895" s="341" t="s">
        <v>66</v>
      </c>
      <c r="I895" s="341" t="s">
        <v>3</v>
      </c>
      <c r="J895" s="340"/>
      <c r="K895" s="340" t="s">
        <v>33</v>
      </c>
      <c r="L895" s="14">
        <v>44561</v>
      </c>
      <c r="N895" s="173">
        <v>44561</v>
      </c>
      <c r="Q895" t="s">
        <v>129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44561</v>
      </c>
    </row>
    <row r="896" spans="1:30">
      <c r="A896" s="340">
        <f>COUNTA($D$3:$D$896)</f>
        <v>894</v>
      </c>
      <c r="B896" s="340" t="s">
        <v>2356</v>
      </c>
      <c r="C896" s="340" t="s">
        <v>21</v>
      </c>
      <c r="D896" s="340" t="s">
        <v>1142</v>
      </c>
      <c r="E896" s="340" t="s">
        <v>1242</v>
      </c>
      <c r="F896" s="341">
        <v>44550.522349537037</v>
      </c>
      <c r="G896" s="341"/>
      <c r="H896" s="341"/>
      <c r="I896" s="341" t="s">
        <v>3</v>
      </c>
      <c r="J896" s="340"/>
      <c r="K896" s="340" t="s">
        <v>1295</v>
      </c>
      <c r="L896" s="14">
        <v>44561</v>
      </c>
      <c r="M896" t="s">
        <v>2321</v>
      </c>
      <c r="N896" s="173">
        <v>44561</v>
      </c>
      <c r="Q896" t="s">
        <v>129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44561</v>
      </c>
    </row>
    <row r="897" spans="1:30">
      <c r="A897" s="340">
        <f>COUNTA($D$3:$D$897)</f>
        <v>895</v>
      </c>
      <c r="B897" s="340" t="s">
        <v>2355</v>
      </c>
      <c r="C897" s="340" t="s">
        <v>297</v>
      </c>
      <c r="D897" s="340" t="s">
        <v>1264</v>
      </c>
      <c r="E897" s="340" t="s">
        <v>2305</v>
      </c>
      <c r="F897" s="341">
        <v>44547.553893541699</v>
      </c>
      <c r="G897" s="341"/>
      <c r="H897" s="341"/>
      <c r="I897" s="341" t="s">
        <v>3</v>
      </c>
      <c r="J897" s="340" t="s">
        <v>2194</v>
      </c>
      <c r="K897" s="340"/>
      <c r="L897" s="14">
        <v>44561</v>
      </c>
      <c r="M897" t="s">
        <v>2320</v>
      </c>
      <c r="N897" s="173">
        <v>44561</v>
      </c>
      <c r="Q897" t="s">
        <v>22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>
      <c r="A898" s="340">
        <f>COUNTA($D$3:$D$898)</f>
        <v>896</v>
      </c>
      <c r="B898" s="340" t="s">
        <v>2360</v>
      </c>
      <c r="C898" s="340" t="s">
        <v>2315</v>
      </c>
      <c r="D898" s="340" t="s">
        <v>58</v>
      </c>
      <c r="E898" s="340" t="s">
        <v>2316</v>
      </c>
      <c r="F898" s="341">
        <v>44552.560312499998</v>
      </c>
      <c r="G898" s="341"/>
      <c r="H898" s="341"/>
      <c r="I898" s="341" t="s">
        <v>3</v>
      </c>
      <c r="J898" s="340"/>
      <c r="K898" s="340" t="s">
        <v>1274</v>
      </c>
      <c r="L898" s="14">
        <v>44561</v>
      </c>
      <c r="M898" t="s">
        <v>2322</v>
      </c>
      <c r="N898" s="173">
        <v>44561</v>
      </c>
      <c r="Q898" t="s">
        <v>3948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>
      <c r="A899" s="340">
        <f>COUNTA($D$3:$D$899)</f>
        <v>897</v>
      </c>
      <c r="B899" s="340" t="s">
        <v>2349</v>
      </c>
      <c r="C899" s="340" t="s">
        <v>41</v>
      </c>
      <c r="D899" s="340" t="s">
        <v>58</v>
      </c>
      <c r="E899" s="340" t="s">
        <v>1173</v>
      </c>
      <c r="F899" s="341">
        <v>44553</v>
      </c>
      <c r="G899" s="341"/>
      <c r="H899" s="341"/>
      <c r="I899" s="341" t="s">
        <v>2</v>
      </c>
      <c r="J899" s="340"/>
      <c r="K899" s="340" t="s">
        <v>33</v>
      </c>
      <c r="L899" s="14">
        <v>44561</v>
      </c>
      <c r="M899" t="s">
        <v>2324</v>
      </c>
      <c r="N899" s="173">
        <v>44561</v>
      </c>
      <c r="Q899" t="s">
        <v>3948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44561</v>
      </c>
    </row>
    <row r="900" spans="1:30">
      <c r="A900" s="340">
        <f>COUNTA($D$3:$D$900)</f>
        <v>898</v>
      </c>
      <c r="B900" s="340" t="s">
        <v>2343</v>
      </c>
      <c r="C900" s="340" t="s">
        <v>37</v>
      </c>
      <c r="D900" s="340" t="s">
        <v>34</v>
      </c>
      <c r="E900" s="340" t="s">
        <v>1141</v>
      </c>
      <c r="F900" s="341">
        <v>44550.564050925903</v>
      </c>
      <c r="G900" s="341"/>
      <c r="H900" s="341"/>
      <c r="I900" s="341"/>
      <c r="J900" s="340"/>
      <c r="K900" s="340" t="s">
        <v>1274</v>
      </c>
      <c r="L900" s="14">
        <v>44561</v>
      </c>
      <c r="M900" t="s">
        <v>2322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>
      <c r="A901" s="340">
        <f>COUNTA($D$3:$D$901)</f>
        <v>899</v>
      </c>
      <c r="B901" s="340" t="s">
        <v>2258</v>
      </c>
      <c r="C901" s="340" t="s">
        <v>1239</v>
      </c>
      <c r="D901" s="340" t="s">
        <v>38</v>
      </c>
      <c r="E901" s="340" t="s">
        <v>1755</v>
      </c>
      <c r="F901" s="341">
        <v>44533</v>
      </c>
      <c r="G901" s="341"/>
      <c r="H901" s="341">
        <v>44533</v>
      </c>
      <c r="I901" s="341" t="s">
        <v>3</v>
      </c>
      <c r="J901" s="340" t="s">
        <v>2259</v>
      </c>
      <c r="K901" s="340" t="s">
        <v>2032</v>
      </c>
      <c r="L901" s="14">
        <v>44561</v>
      </c>
      <c r="M901" t="s">
        <v>2364</v>
      </c>
      <c r="N901" s="173">
        <v>44561</v>
      </c>
      <c r="Q901" t="s">
        <v>22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40">
        <f>COUNTA($D$3:$D$902)</f>
        <v>900</v>
      </c>
      <c r="B902" s="340" t="s">
        <v>2357</v>
      </c>
      <c r="C902" s="340" t="s">
        <v>297</v>
      </c>
      <c r="D902" s="340" t="s">
        <v>1126</v>
      </c>
      <c r="E902" s="340" t="s">
        <v>2311</v>
      </c>
      <c r="F902" s="341">
        <v>44550.80091435185</v>
      </c>
      <c r="G902" s="341"/>
      <c r="H902" s="341"/>
      <c r="I902" s="341" t="s">
        <v>3</v>
      </c>
      <c r="J902" s="340"/>
      <c r="K902" s="340" t="s">
        <v>2358</v>
      </c>
      <c r="L902" s="14">
        <v>44561</v>
      </c>
      <c r="M902" t="s">
        <v>2323</v>
      </c>
      <c r="N902" s="173">
        <v>44561</v>
      </c>
      <c r="Q902" t="s">
        <v>22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40">
        <f>COUNTA($D$3:$D$903)</f>
        <v>901</v>
      </c>
      <c r="B903" s="340" t="s">
        <v>2359</v>
      </c>
      <c r="C903" s="340" t="s">
        <v>297</v>
      </c>
      <c r="D903" s="340" t="s">
        <v>1126</v>
      </c>
      <c r="E903" s="340" t="s">
        <v>2312</v>
      </c>
      <c r="F903" s="341">
        <v>44550.804895833331</v>
      </c>
      <c r="G903" s="341"/>
      <c r="H903" s="341"/>
      <c r="I903" s="341" t="s">
        <v>3</v>
      </c>
      <c r="J903" s="340"/>
      <c r="K903" s="340" t="s">
        <v>2358</v>
      </c>
      <c r="L903" s="14">
        <v>44561</v>
      </c>
      <c r="M903" t="s">
        <v>2323</v>
      </c>
      <c r="N903" s="173">
        <v>44561</v>
      </c>
      <c r="Q903" t="s">
        <v>22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>
      <c r="A904" s="340">
        <f>COUNTA($D$3:$D$904)</f>
        <v>902</v>
      </c>
      <c r="B904" s="340" t="s">
        <v>2347</v>
      </c>
      <c r="C904" s="340" t="s">
        <v>41</v>
      </c>
      <c r="D904" s="340" t="s">
        <v>23</v>
      </c>
      <c r="E904" s="340" t="s">
        <v>1044</v>
      </c>
      <c r="F904" s="341">
        <v>44546</v>
      </c>
      <c r="G904" s="341"/>
      <c r="H904" s="341"/>
      <c r="I904" s="341" t="s">
        <v>2</v>
      </c>
      <c r="J904" s="340" t="s">
        <v>2284</v>
      </c>
      <c r="K904" s="340" t="s">
        <v>1294</v>
      </c>
      <c r="L904" s="14">
        <v>44561</v>
      </c>
      <c r="M904" t="s">
        <v>2348</v>
      </c>
      <c r="N904" s="173">
        <v>44561</v>
      </c>
      <c r="Q904" t="s">
        <v>22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40">
        <f>COUNTA($D$3:$D$905)</f>
        <v>903</v>
      </c>
      <c r="B905" s="340" t="s">
        <v>2361</v>
      </c>
      <c r="C905" s="340" t="s">
        <v>2315</v>
      </c>
      <c r="D905" s="340" t="s">
        <v>16</v>
      </c>
      <c r="E905" s="340" t="s">
        <v>1214</v>
      </c>
      <c r="F905" s="341">
        <v>44552.56108796296</v>
      </c>
      <c r="G905" s="341"/>
      <c r="H905" s="341"/>
      <c r="I905" s="341" t="s">
        <v>3</v>
      </c>
      <c r="J905" s="340"/>
      <c r="K905" s="340" t="s">
        <v>1287</v>
      </c>
      <c r="L905" s="14">
        <v>44561</v>
      </c>
      <c r="M905" t="s">
        <v>2323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40">
        <f>COUNTA($D$3:$D$906)</f>
        <v>904</v>
      </c>
      <c r="B906" s="340" t="s">
        <v>2362</v>
      </c>
      <c r="C906" s="340" t="s">
        <v>2315</v>
      </c>
      <c r="D906" s="340" t="s">
        <v>30</v>
      </c>
      <c r="E906" s="340" t="s">
        <v>2317</v>
      </c>
      <c r="F906" s="341">
        <v>44552</v>
      </c>
      <c r="G906" s="341"/>
      <c r="H906" s="341">
        <v>44555</v>
      </c>
      <c r="I906" s="341" t="s">
        <v>3</v>
      </c>
      <c r="J906" s="340"/>
      <c r="K906" s="340" t="s">
        <v>33</v>
      </c>
      <c r="L906" s="14">
        <v>44561</v>
      </c>
      <c r="N906" s="173">
        <v>44561</v>
      </c>
      <c r="Q906" t="s">
        <v>129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40">
        <f>COUNTA($D$3:$D$907)</f>
        <v>905</v>
      </c>
      <c r="B907" s="340" t="s">
        <v>2352</v>
      </c>
      <c r="C907" s="340" t="s">
        <v>37</v>
      </c>
      <c r="D907" s="340" t="s">
        <v>30</v>
      </c>
      <c r="E907" s="340" t="s">
        <v>1209</v>
      </c>
      <c r="F907" s="341">
        <v>44550.529386574075</v>
      </c>
      <c r="G907" s="341"/>
      <c r="H907" s="341"/>
      <c r="I907" s="341" t="s">
        <v>3</v>
      </c>
      <c r="J907" s="340"/>
      <c r="K907" s="340" t="s">
        <v>1274</v>
      </c>
      <c r="L907" s="14">
        <v>44561</v>
      </c>
      <c r="M907" t="s">
        <v>2322</v>
      </c>
      <c r="N907" s="173">
        <v>44561</v>
      </c>
      <c r="Q907" t="s">
        <v>129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40">
        <f>COUNTA($D$3:$D$908)</f>
        <v>906</v>
      </c>
      <c r="B908" s="340" t="s">
        <v>2354</v>
      </c>
      <c r="C908" s="340" t="s">
        <v>37</v>
      </c>
      <c r="D908" s="340" t="s">
        <v>30</v>
      </c>
      <c r="E908" s="340" t="s">
        <v>1288</v>
      </c>
      <c r="F908" s="341">
        <v>44540.728877314818</v>
      </c>
      <c r="G908" s="341"/>
      <c r="H908" s="341"/>
      <c r="I908" s="341" t="s">
        <v>3</v>
      </c>
      <c r="J908" s="340" t="s">
        <v>1649</v>
      </c>
      <c r="K908" s="340" t="s">
        <v>1296</v>
      </c>
      <c r="L908" s="14">
        <v>44561</v>
      </c>
      <c r="M908" t="s">
        <v>2322</v>
      </c>
      <c r="N908" s="173">
        <v>44561</v>
      </c>
      <c r="Q908" t="s">
        <v>129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40">
        <f>COUNTA($D$3:$D$909)</f>
        <v>907</v>
      </c>
      <c r="B909" s="340" t="s">
        <v>2337</v>
      </c>
      <c r="C909" s="340" t="s">
        <v>37</v>
      </c>
      <c r="D909" s="340" t="s">
        <v>30</v>
      </c>
      <c r="E909" s="340" t="s">
        <v>1275</v>
      </c>
      <c r="F909" s="341">
        <v>44558.590150462966</v>
      </c>
      <c r="G909" s="341"/>
      <c r="H909" s="341"/>
      <c r="I909" s="341" t="s">
        <v>2</v>
      </c>
      <c r="J909" s="340"/>
      <c r="K909" s="340"/>
      <c r="L909" s="14">
        <v>44561</v>
      </c>
      <c r="M909" t="s">
        <v>2368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40">
        <f>COUNTA($D$3:$D$910)</f>
        <v>908</v>
      </c>
      <c r="B910" s="340" t="s">
        <v>2344</v>
      </c>
      <c r="C910" s="340" t="s">
        <v>2345</v>
      </c>
      <c r="D910" s="340" t="s">
        <v>16</v>
      </c>
      <c r="E910" s="340" t="s">
        <v>2346</v>
      </c>
      <c r="F910" s="341">
        <v>44533</v>
      </c>
      <c r="G910" s="341"/>
      <c r="H910" s="341" t="s">
        <v>55</v>
      </c>
      <c r="I910" s="341" t="s">
        <v>2</v>
      </c>
      <c r="J910" s="340" t="s">
        <v>1664</v>
      </c>
      <c r="K910" s="340" t="s">
        <v>1296</v>
      </c>
      <c r="L910" s="14">
        <v>44561</v>
      </c>
      <c r="N910" s="173">
        <v>44561</v>
      </c>
      <c r="Q910" t="s">
        <v>129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40">
        <f>COUNTA($D$3:$D$911)</f>
        <v>909</v>
      </c>
      <c r="B911" s="340" t="s">
        <v>1951</v>
      </c>
      <c r="C911" s="340" t="s">
        <v>41</v>
      </c>
      <c r="D911" s="340" t="s">
        <v>1103</v>
      </c>
      <c r="E911" s="340" t="s">
        <v>1202</v>
      </c>
      <c r="F911" s="341">
        <v>44467</v>
      </c>
      <c r="G911" s="341"/>
      <c r="H911" s="341" t="s">
        <v>66</v>
      </c>
      <c r="I911" s="341" t="s">
        <v>2</v>
      </c>
      <c r="J911" s="340" t="s">
        <v>1662</v>
      </c>
      <c r="K911" s="340"/>
      <c r="L911" s="14">
        <v>44547</v>
      </c>
      <c r="M911" t="s">
        <v>3954</v>
      </c>
      <c r="N911" s="173">
        <v>44547</v>
      </c>
      <c r="Q911" t="s">
        <v>129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44547</v>
      </c>
    </row>
    <row r="912" spans="1:30">
      <c r="A912" s="340">
        <f>COUNTA($D$3:$D$912)</f>
        <v>910</v>
      </c>
      <c r="B912" s="340" t="s">
        <v>2298</v>
      </c>
      <c r="C912" s="340" t="s">
        <v>41</v>
      </c>
      <c r="D912" s="340" t="s">
        <v>1103</v>
      </c>
      <c r="E912" s="340" t="s">
        <v>1206</v>
      </c>
      <c r="F912" s="341">
        <v>44546</v>
      </c>
      <c r="G912" s="341"/>
      <c r="H912" s="341"/>
      <c r="I912" s="341" t="s">
        <v>2</v>
      </c>
      <c r="J912" s="340" t="s">
        <v>2299</v>
      </c>
      <c r="K912" s="340" t="s">
        <v>24</v>
      </c>
      <c r="L912" s="14">
        <v>44547</v>
      </c>
      <c r="M912" t="s">
        <v>2302</v>
      </c>
      <c r="N912" s="173">
        <v>44621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44621</v>
      </c>
    </row>
    <row r="913" spans="1:30">
      <c r="A913" s="340">
        <f>COUNTA($D$3:$D$913)</f>
        <v>911</v>
      </c>
      <c r="B913" s="340" t="s">
        <v>2293</v>
      </c>
      <c r="C913" s="340" t="s">
        <v>41</v>
      </c>
      <c r="D913" s="340" t="s">
        <v>1115</v>
      </c>
      <c r="E913" s="340" t="s">
        <v>1228</v>
      </c>
      <c r="F913" s="341">
        <v>44545.498506944445</v>
      </c>
      <c r="G913" s="341"/>
      <c r="H913" s="341"/>
      <c r="I913" s="341" t="s">
        <v>3</v>
      </c>
      <c r="J913" s="340" t="s">
        <v>1647</v>
      </c>
      <c r="K913" s="340"/>
      <c r="L913" s="14">
        <v>44547</v>
      </c>
      <c r="M913" t="s">
        <v>2304</v>
      </c>
      <c r="N913" s="173">
        <v>44547</v>
      </c>
      <c r="Q913" t="s">
        <v>129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44547</v>
      </c>
    </row>
    <row r="914" spans="1:30">
      <c r="A914" s="340">
        <f>COUNTA($D$3:$D$914)</f>
        <v>912</v>
      </c>
      <c r="B914" s="340" t="s">
        <v>2295</v>
      </c>
      <c r="C914" s="340" t="s">
        <v>41</v>
      </c>
      <c r="D914" s="340" t="s">
        <v>1201</v>
      </c>
      <c r="E914" s="340" t="s">
        <v>2296</v>
      </c>
      <c r="F914" s="341">
        <v>44545.539270833331</v>
      </c>
      <c r="G914" s="341"/>
      <c r="H914" s="341"/>
      <c r="I914" s="341" t="s">
        <v>3</v>
      </c>
      <c r="J914" s="340" t="s">
        <v>1808</v>
      </c>
      <c r="K914" s="340" t="s">
        <v>1296</v>
      </c>
      <c r="L914" s="14">
        <v>44547</v>
      </c>
      <c r="M914" t="s">
        <v>2303</v>
      </c>
      <c r="N914" s="173">
        <v>44547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44547</v>
      </c>
    </row>
    <row r="915" spans="1:30">
      <c r="A915" s="340">
        <f>COUNTA($D$3:$D$915)</f>
        <v>913</v>
      </c>
      <c r="B915" s="340" t="s">
        <v>2277</v>
      </c>
      <c r="C915" s="340" t="s">
        <v>41</v>
      </c>
      <c r="D915" s="340" t="s">
        <v>34</v>
      </c>
      <c r="E915" s="340" t="s">
        <v>1045</v>
      </c>
      <c r="F915" s="341">
        <v>44543</v>
      </c>
      <c r="G915" s="341"/>
      <c r="H915" s="341"/>
      <c r="I915" s="341" t="s">
        <v>2</v>
      </c>
      <c r="J915" s="340" t="s">
        <v>2278</v>
      </c>
      <c r="K915" s="340" t="s">
        <v>24</v>
      </c>
      <c r="L915" s="14">
        <v>44547</v>
      </c>
      <c r="M915" t="s">
        <v>2301</v>
      </c>
      <c r="N915" s="173">
        <v>44547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44547</v>
      </c>
    </row>
    <row r="916" spans="1:30">
      <c r="A916" s="340">
        <f>COUNTA($D$3:$D$916)</f>
        <v>914</v>
      </c>
      <c r="B916" s="340" t="s">
        <v>2053</v>
      </c>
      <c r="C916" s="340" t="s">
        <v>44</v>
      </c>
      <c r="D916" s="340" t="s">
        <v>34</v>
      </c>
      <c r="E916" s="340" t="s">
        <v>48</v>
      </c>
      <c r="F916" s="341">
        <v>44494</v>
      </c>
      <c r="G916" s="341"/>
      <c r="H916" s="341" t="s">
        <v>66</v>
      </c>
      <c r="I916" s="341" t="s">
        <v>2</v>
      </c>
      <c r="J916" s="340" t="s">
        <v>17</v>
      </c>
      <c r="K916" s="340" t="s">
        <v>287</v>
      </c>
      <c r="L916" s="14">
        <v>44547</v>
      </c>
      <c r="M916" t="s">
        <v>2267</v>
      </c>
      <c r="N916" s="173">
        <v>44547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44547</v>
      </c>
    </row>
    <row r="917" spans="1:30">
      <c r="A917" s="340">
        <f>COUNTA($D$3:$D$917)</f>
        <v>915</v>
      </c>
      <c r="B917" s="340" t="s">
        <v>2008</v>
      </c>
      <c r="C917" s="340" t="s">
        <v>44</v>
      </c>
      <c r="D917" s="340" t="s">
        <v>34</v>
      </c>
      <c r="E917" s="340" t="s">
        <v>255</v>
      </c>
      <c r="F917" s="341">
        <v>44481</v>
      </c>
      <c r="G917" s="341"/>
      <c r="H917" s="341" t="s">
        <v>66</v>
      </c>
      <c r="I917" s="341" t="s">
        <v>2</v>
      </c>
      <c r="J917" s="340" t="s">
        <v>2018</v>
      </c>
      <c r="K917" s="340"/>
      <c r="L917" s="14">
        <v>44547</v>
      </c>
      <c r="M917" t="s">
        <v>2267</v>
      </c>
      <c r="N917" s="173">
        <v>44547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44547</v>
      </c>
    </row>
    <row r="918" spans="1:30">
      <c r="A918" s="340">
        <f>COUNTA($D$3:$D$918)</f>
        <v>916</v>
      </c>
      <c r="B918" s="340" t="s">
        <v>2275</v>
      </c>
      <c r="C918" s="340" t="s">
        <v>37</v>
      </c>
      <c r="D918" s="340" t="s">
        <v>34</v>
      </c>
      <c r="E918" s="340" t="s">
        <v>1107</v>
      </c>
      <c r="F918" s="341">
        <v>44540.729733796295</v>
      </c>
      <c r="G918" s="341"/>
      <c r="H918" s="341"/>
      <c r="I918" s="341" t="s">
        <v>3</v>
      </c>
      <c r="J918" s="340" t="s">
        <v>1760</v>
      </c>
      <c r="K918" s="340" t="s">
        <v>1295</v>
      </c>
      <c r="L918" s="14">
        <v>44547</v>
      </c>
      <c r="M918" t="s">
        <v>2300</v>
      </c>
      <c r="N918" s="173">
        <v>44547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44547</v>
      </c>
    </row>
    <row r="919" spans="1:30">
      <c r="A919" s="340">
        <f>COUNTA($D$3:$D$919)</f>
        <v>917</v>
      </c>
      <c r="B919" s="340" t="s">
        <v>2272</v>
      </c>
      <c r="C919" s="340" t="s">
        <v>37</v>
      </c>
      <c r="D919" s="340" t="s">
        <v>30</v>
      </c>
      <c r="E919" s="340" t="s">
        <v>2273</v>
      </c>
      <c r="F919" s="341">
        <v>44540.728414351855</v>
      </c>
      <c r="G919" s="341"/>
      <c r="H919" s="341"/>
      <c r="I919" s="341" t="s">
        <v>3</v>
      </c>
      <c r="J919" s="340" t="s">
        <v>1760</v>
      </c>
      <c r="K919" s="340" t="s">
        <v>1295</v>
      </c>
      <c r="L919" s="14">
        <v>44547</v>
      </c>
      <c r="M919" t="s">
        <v>2300</v>
      </c>
      <c r="N919" s="173">
        <v>44547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44547</v>
      </c>
    </row>
    <row r="920" spans="1:30">
      <c r="A920" s="340">
        <f>COUNTA($D$3:$D$920)</f>
        <v>918</v>
      </c>
      <c r="B920" s="340" t="s">
        <v>2279</v>
      </c>
      <c r="C920" s="340" t="s">
        <v>41</v>
      </c>
      <c r="D920" s="340" t="s">
        <v>52</v>
      </c>
      <c r="E920" s="340" t="s">
        <v>2280</v>
      </c>
      <c r="F920" s="341">
        <v>44543</v>
      </c>
      <c r="G920" s="341"/>
      <c r="H920" s="341"/>
      <c r="I920" s="341" t="s">
        <v>4</v>
      </c>
      <c r="J920" s="340" t="s">
        <v>2281</v>
      </c>
      <c r="K920" s="340" t="s">
        <v>24</v>
      </c>
      <c r="L920" s="14">
        <v>44547</v>
      </c>
      <c r="M920" t="s">
        <v>2302</v>
      </c>
      <c r="N920" s="173">
        <v>44547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>
      <c r="A921" s="340">
        <f>COUNTA($D$3:$D$921)</f>
        <v>919</v>
      </c>
      <c r="B921" s="340" t="s">
        <v>2224</v>
      </c>
      <c r="C921" s="340" t="s">
        <v>37</v>
      </c>
      <c r="D921" s="340" t="s">
        <v>27</v>
      </c>
      <c r="E921" s="340" t="s">
        <v>2225</v>
      </c>
      <c r="F921" s="341">
        <v>44519</v>
      </c>
      <c r="G921" s="341"/>
      <c r="H921" s="341">
        <v>44524</v>
      </c>
      <c r="I921" s="341" t="s">
        <v>4</v>
      </c>
      <c r="J921" s="340" t="s">
        <v>1093</v>
      </c>
      <c r="K921" s="340" t="s">
        <v>1287</v>
      </c>
      <c r="L921" s="14">
        <v>44547</v>
      </c>
      <c r="M921" t="s">
        <v>2268</v>
      </c>
      <c r="N921" s="173">
        <v>44547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44547</v>
      </c>
    </row>
    <row r="922" spans="1:30">
      <c r="A922" s="340">
        <f>COUNTA($D$3:$D$922)</f>
        <v>920</v>
      </c>
      <c r="B922" s="340" t="s">
        <v>2262</v>
      </c>
      <c r="C922" s="340" t="s">
        <v>41</v>
      </c>
      <c r="D922" s="340" t="s">
        <v>16</v>
      </c>
      <c r="E922" s="340" t="s">
        <v>1188</v>
      </c>
      <c r="F922" s="341">
        <v>44536.655115740738</v>
      </c>
      <c r="G922" s="341"/>
      <c r="H922" s="341"/>
      <c r="I922" s="341" t="s">
        <v>3</v>
      </c>
      <c r="J922" s="340" t="s">
        <v>1485</v>
      </c>
      <c r="K922" s="340" t="s">
        <v>1295</v>
      </c>
      <c r="L922" s="14">
        <v>44547</v>
      </c>
      <c r="M922" t="s">
        <v>2268</v>
      </c>
      <c r="N922" s="173">
        <v>44547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>
      <c r="A923" s="340">
        <f>COUNTA($D$3:$D$923)</f>
        <v>921</v>
      </c>
      <c r="B923" s="340" t="s">
        <v>2294</v>
      </c>
      <c r="C923" s="340" t="s">
        <v>41</v>
      </c>
      <c r="D923" s="340" t="s">
        <v>16</v>
      </c>
      <c r="E923" s="340" t="s">
        <v>1161</v>
      </c>
      <c r="F923" s="341">
        <v>44545.538726851853</v>
      </c>
      <c r="G923" s="341"/>
      <c r="H923" s="341"/>
      <c r="I923" s="341" t="s">
        <v>3</v>
      </c>
      <c r="J923" s="340" t="s">
        <v>1666</v>
      </c>
      <c r="K923" s="340" t="s">
        <v>1274</v>
      </c>
      <c r="L923" s="14">
        <v>44547</v>
      </c>
      <c r="M923" t="s">
        <v>2303</v>
      </c>
      <c r="N923" s="173">
        <v>44547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>
      <c r="A924" s="340">
        <f>COUNTA($D$3:$D$924)</f>
        <v>922</v>
      </c>
      <c r="B924" s="340" t="s">
        <v>2297</v>
      </c>
      <c r="C924" s="340" t="s">
        <v>1279</v>
      </c>
      <c r="D924" s="340" t="s">
        <v>1103</v>
      </c>
      <c r="E924" s="340" t="s">
        <v>1281</v>
      </c>
      <c r="F924" s="341">
        <v>44545</v>
      </c>
      <c r="G924" s="341"/>
      <c r="H924" s="341"/>
      <c r="I924" s="341" t="s">
        <v>3</v>
      </c>
      <c r="J924" s="340" t="s">
        <v>1667</v>
      </c>
      <c r="K924" s="340" t="s">
        <v>33</v>
      </c>
      <c r="L924" s="14">
        <v>44547</v>
      </c>
      <c r="M924" t="s">
        <v>2302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40">
        <f>COUNTA($D$3:$D$925)</f>
        <v>923</v>
      </c>
      <c r="B925" s="340" t="s">
        <v>2160</v>
      </c>
      <c r="C925" s="340" t="s">
        <v>2161</v>
      </c>
      <c r="D925" s="340" t="s">
        <v>56</v>
      </c>
      <c r="E925" s="340" t="s">
        <v>2162</v>
      </c>
      <c r="F925" s="341">
        <v>44518</v>
      </c>
      <c r="G925" s="341"/>
      <c r="H925" s="341"/>
      <c r="I925" s="341" t="s">
        <v>3</v>
      </c>
      <c r="J925" s="340" t="s">
        <v>459</v>
      </c>
      <c r="K925" s="340" t="s">
        <v>24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>
      <c r="A926" s="340">
        <f>COUNTA($D$3:$D$926)</f>
        <v>924</v>
      </c>
      <c r="B926" s="340" t="s">
        <v>2288</v>
      </c>
      <c r="C926" s="340" t="s">
        <v>2286</v>
      </c>
      <c r="D926" s="340" t="s">
        <v>16</v>
      </c>
      <c r="E926" s="340" t="s">
        <v>2289</v>
      </c>
      <c r="F926" s="341">
        <v>44545.492627314816</v>
      </c>
      <c r="G926" s="341"/>
      <c r="H926" s="341"/>
      <c r="I926" s="341" t="s">
        <v>3</v>
      </c>
      <c r="J926" s="340" t="s">
        <v>1485</v>
      </c>
      <c r="K926" s="340" t="s">
        <v>2032</v>
      </c>
      <c r="L926" s="14">
        <v>44547</v>
      </c>
      <c r="M926" t="s">
        <v>2300</v>
      </c>
      <c r="N926" s="173">
        <v>44621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44621</v>
      </c>
    </row>
    <row r="927" spans="1:30">
      <c r="A927" s="340">
        <f>COUNTA($D$3:$D$927)</f>
        <v>925</v>
      </c>
      <c r="B927" s="340" t="s">
        <v>2260</v>
      </c>
      <c r="C927" s="340" t="s">
        <v>1246</v>
      </c>
      <c r="D927" s="340" t="s">
        <v>16</v>
      </c>
      <c r="E927" s="340" t="s">
        <v>2261</v>
      </c>
      <c r="F927" s="341">
        <v>44533.652957905098</v>
      </c>
      <c r="G927" s="341"/>
      <c r="H927" s="341"/>
      <c r="I927" s="341" t="s">
        <v>3</v>
      </c>
      <c r="J927" s="340" t="s">
        <v>1650</v>
      </c>
      <c r="K927" s="340" t="s">
        <v>287</v>
      </c>
      <c r="L927" s="14">
        <v>44547</v>
      </c>
      <c r="M927" t="s">
        <v>2268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40">
        <f>COUNTA($D$3:$D$928)</f>
        <v>926</v>
      </c>
      <c r="B928" s="340" t="s">
        <v>2195</v>
      </c>
      <c r="C928" s="340" t="s">
        <v>40</v>
      </c>
      <c r="D928" s="340" t="s">
        <v>51</v>
      </c>
      <c r="E928" s="340" t="s">
        <v>1047</v>
      </c>
      <c r="F928" s="341">
        <v>44516</v>
      </c>
      <c r="G928" s="341"/>
      <c r="H928" s="341"/>
      <c r="I928" s="341" t="s">
        <v>2</v>
      </c>
      <c r="J928" s="340" t="s">
        <v>2196</v>
      </c>
      <c r="K928" s="340" t="s">
        <v>33</v>
      </c>
      <c r="L928" s="14">
        <v>44519</v>
      </c>
      <c r="M928" t="s">
        <v>2216</v>
      </c>
      <c r="N928" s="173">
        <v>44519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44519</v>
      </c>
    </row>
    <row r="929" spans="1:30">
      <c r="A929" s="340">
        <f>COUNTA($D$3:$D$929)</f>
        <v>927</v>
      </c>
      <c r="B929" s="340" t="s">
        <v>2191</v>
      </c>
      <c r="C929" s="340" t="s">
        <v>41</v>
      </c>
      <c r="D929" s="340" t="s">
        <v>1139</v>
      </c>
      <c r="E929" s="340" t="s">
        <v>1140</v>
      </c>
      <c r="F929" s="341">
        <v>44515.504328703704</v>
      </c>
      <c r="G929" s="341"/>
      <c r="H929" s="341"/>
      <c r="I929" s="341" t="s">
        <v>3</v>
      </c>
      <c r="J929" s="340" t="s">
        <v>1485</v>
      </c>
      <c r="K929" s="340" t="s">
        <v>1274</v>
      </c>
      <c r="L929" s="14">
        <v>44519</v>
      </c>
      <c r="M929" t="s">
        <v>2220</v>
      </c>
      <c r="N929" s="173">
        <v>44519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44519</v>
      </c>
    </row>
    <row r="930" spans="1:30">
      <c r="A930" s="340">
        <f>COUNTA($D$3:$D$930)</f>
        <v>928</v>
      </c>
      <c r="B930" s="340" t="s">
        <v>2174</v>
      </c>
      <c r="C930" s="340" t="s">
        <v>41</v>
      </c>
      <c r="D930" s="340" t="s">
        <v>45</v>
      </c>
      <c r="E930" s="340" t="s">
        <v>1789</v>
      </c>
      <c r="F930" s="341">
        <v>44512.464895833335</v>
      </c>
      <c r="G930" s="341"/>
      <c r="H930" s="341"/>
      <c r="I930" s="341" t="s">
        <v>4</v>
      </c>
      <c r="J930" s="340" t="s">
        <v>1668</v>
      </c>
      <c r="K930" s="340" t="s">
        <v>1287</v>
      </c>
      <c r="L930" s="14">
        <v>44519</v>
      </c>
      <c r="M930" t="s">
        <v>2219</v>
      </c>
      <c r="N930" s="173">
        <v>44519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44519</v>
      </c>
    </row>
    <row r="931" spans="1:30">
      <c r="A931" s="340">
        <f>COUNTA($D$3:$D$931)</f>
        <v>929</v>
      </c>
      <c r="B931" s="340" t="s">
        <v>2197</v>
      </c>
      <c r="C931" s="340" t="s">
        <v>1077</v>
      </c>
      <c r="D931" s="340" t="s">
        <v>52</v>
      </c>
      <c r="E931" s="340" t="s">
        <v>1768</v>
      </c>
      <c r="F931" s="341">
        <v>44517.441932870373</v>
      </c>
      <c r="G931" s="341"/>
      <c r="H931" s="341"/>
      <c r="I931" s="341" t="s">
        <v>4</v>
      </c>
      <c r="J931" s="340" t="s">
        <v>2030</v>
      </c>
      <c r="K931" s="340" t="s">
        <v>287</v>
      </c>
      <c r="L931" s="14">
        <v>44519</v>
      </c>
      <c r="M931" t="s">
        <v>2218</v>
      </c>
      <c r="N931" s="173">
        <v>44519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44519</v>
      </c>
    </row>
    <row r="932" spans="1:30">
      <c r="A932" s="340">
        <f>COUNTA($D$3:$D$932)</f>
        <v>930</v>
      </c>
      <c r="B932" s="340" t="s">
        <v>2105</v>
      </c>
      <c r="C932" s="340" t="s">
        <v>1162</v>
      </c>
      <c r="D932" s="340" t="s">
        <v>30</v>
      </c>
      <c r="E932" s="340" t="s">
        <v>2106</v>
      </c>
      <c r="F932" s="341">
        <v>44502</v>
      </c>
      <c r="G932" s="341"/>
      <c r="H932" s="341"/>
      <c r="I932" s="341" t="s">
        <v>2</v>
      </c>
      <c r="J932" s="340" t="s">
        <v>2061</v>
      </c>
      <c r="K932" s="340" t="s">
        <v>1294</v>
      </c>
      <c r="L932" s="14">
        <v>44519</v>
      </c>
      <c r="M932" t="s">
        <v>2229</v>
      </c>
      <c r="N932" s="173">
        <v>44589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44589</v>
      </c>
    </row>
    <row r="933" spans="1:30">
      <c r="A933" s="340">
        <f>COUNTA($D$3:$D$933)</f>
        <v>931</v>
      </c>
      <c r="B933" s="340" t="s">
        <v>2206</v>
      </c>
      <c r="C933" s="340" t="s">
        <v>21</v>
      </c>
      <c r="D933" s="340" t="s">
        <v>30</v>
      </c>
      <c r="E933" s="340" t="s">
        <v>1252</v>
      </c>
      <c r="F933" s="341">
        <v>44517.679918981485</v>
      </c>
      <c r="G933" s="341"/>
      <c r="H933" s="341"/>
      <c r="I933" s="341" t="s">
        <v>3</v>
      </c>
      <c r="J933" s="340" t="s">
        <v>2207</v>
      </c>
      <c r="K933" s="340" t="s">
        <v>1274</v>
      </c>
      <c r="L933" s="14">
        <v>44519</v>
      </c>
      <c r="M933" t="s">
        <v>2231</v>
      </c>
      <c r="N933" s="173">
        <v>44519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44519</v>
      </c>
    </row>
    <row r="934" spans="1:30">
      <c r="A934" s="340">
        <f>COUNTA($D$3:$D$934)</f>
        <v>932</v>
      </c>
      <c r="B934" s="340" t="s">
        <v>2172</v>
      </c>
      <c r="C934" s="340" t="s">
        <v>44</v>
      </c>
      <c r="D934" s="340" t="s">
        <v>30</v>
      </c>
      <c r="E934" s="340" t="s">
        <v>243</v>
      </c>
      <c r="F934" s="341">
        <v>44512.462631828697</v>
      </c>
      <c r="G934" s="341"/>
      <c r="H934" s="341"/>
      <c r="I934" s="341" t="s">
        <v>3</v>
      </c>
      <c r="J934" s="340" t="s">
        <v>2209</v>
      </c>
      <c r="K934" s="340" t="s">
        <v>1295</v>
      </c>
      <c r="L934" s="14">
        <v>44519</v>
      </c>
      <c r="M934" t="s">
        <v>2218</v>
      </c>
      <c r="N934" s="173">
        <v>44519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44519</v>
      </c>
    </row>
    <row r="935" spans="1:30">
      <c r="A935" s="340">
        <f>COUNTA($D$3:$D$935)</f>
        <v>933</v>
      </c>
      <c r="B935" s="340" t="s">
        <v>2199</v>
      </c>
      <c r="C935" s="340" t="s">
        <v>37</v>
      </c>
      <c r="D935" s="340" t="s">
        <v>27</v>
      </c>
      <c r="E935" s="340" t="s">
        <v>1673</v>
      </c>
      <c r="F935" s="341">
        <v>44517.661064814813</v>
      </c>
      <c r="G935" s="341"/>
      <c r="H935" s="341"/>
      <c r="I935" s="341" t="s">
        <v>4</v>
      </c>
      <c r="J935" s="340" t="s">
        <v>1093</v>
      </c>
      <c r="K935" s="340" t="s">
        <v>1296</v>
      </c>
      <c r="L935" s="14">
        <v>44519</v>
      </c>
      <c r="M935" t="s">
        <v>2220</v>
      </c>
      <c r="N935" s="173">
        <v>44519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44519</v>
      </c>
    </row>
    <row r="936" spans="1:30">
      <c r="A936" s="340">
        <f>COUNTA($D$3:$D$936)</f>
        <v>934</v>
      </c>
      <c r="B936" s="340" t="s">
        <v>1861</v>
      </c>
      <c r="C936" s="340" t="s">
        <v>37</v>
      </c>
      <c r="D936" s="340" t="s">
        <v>27</v>
      </c>
      <c r="E936" s="340" t="s">
        <v>1862</v>
      </c>
      <c r="F936" s="341">
        <v>44432</v>
      </c>
      <c r="G936" s="341"/>
      <c r="H936" s="341"/>
      <c r="I936" s="341" t="s">
        <v>4</v>
      </c>
      <c r="J936" s="340" t="s">
        <v>1093</v>
      </c>
      <c r="K936" s="340" t="s">
        <v>1287</v>
      </c>
      <c r="L936" s="14">
        <v>44519</v>
      </c>
      <c r="M936" t="s">
        <v>2214</v>
      </c>
      <c r="N936" s="173">
        <v>44519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44519</v>
      </c>
    </row>
    <row r="937" spans="1:30">
      <c r="A937" s="340">
        <f>COUNTA($D$3:$D$937)</f>
        <v>935</v>
      </c>
      <c r="B937" s="340" t="s">
        <v>2190</v>
      </c>
      <c r="C937" s="340" t="s">
        <v>41</v>
      </c>
      <c r="D937" s="340" t="s">
        <v>1264</v>
      </c>
      <c r="E937" s="340" t="s">
        <v>1881</v>
      </c>
      <c r="F937" s="341">
        <v>44515</v>
      </c>
      <c r="G937" s="341"/>
      <c r="H937" s="341"/>
      <c r="I937" s="341" t="s">
        <v>4</v>
      </c>
      <c r="J937" s="340" t="s">
        <v>1093</v>
      </c>
      <c r="K937" s="340" t="s">
        <v>1287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>
      <c r="A938" s="340">
        <f>COUNTA($D$3:$D$938)</f>
        <v>936</v>
      </c>
      <c r="B938" s="340" t="s">
        <v>2189</v>
      </c>
      <c r="C938" s="340" t="s">
        <v>41</v>
      </c>
      <c r="D938" s="340" t="s">
        <v>1126</v>
      </c>
      <c r="E938" s="340" t="s">
        <v>1278</v>
      </c>
      <c r="F938" s="341">
        <v>44518</v>
      </c>
      <c r="G938" s="341"/>
      <c r="H938" s="341" t="s">
        <v>66</v>
      </c>
      <c r="I938" s="341" t="s">
        <v>4</v>
      </c>
      <c r="J938" s="340" t="s">
        <v>1668</v>
      </c>
      <c r="K938" s="340" t="s">
        <v>1287</v>
      </c>
      <c r="L938" s="14">
        <v>44519</v>
      </c>
      <c r="M938" t="s">
        <v>2216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>
      <c r="A939" s="340">
        <f>COUNTA($D$3:$D$939)</f>
        <v>937</v>
      </c>
      <c r="B939" s="340" t="s">
        <v>2192</v>
      </c>
      <c r="C939" s="340" t="s">
        <v>41</v>
      </c>
      <c r="D939" s="340" t="s">
        <v>1166</v>
      </c>
      <c r="E939" s="340" t="s">
        <v>2193</v>
      </c>
      <c r="F939" s="341">
        <v>44515</v>
      </c>
      <c r="G939" s="341"/>
      <c r="H939" s="341"/>
      <c r="I939" s="341" t="s">
        <v>4</v>
      </c>
      <c r="J939" s="340" t="s">
        <v>2194</v>
      </c>
      <c r="K939" s="340" t="s">
        <v>1295</v>
      </c>
      <c r="L939" s="14">
        <v>44519</v>
      </c>
      <c r="M939" t="s">
        <v>2230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>
      <c r="A940" s="340">
        <f>COUNTA($D$3:$D$940)</f>
        <v>938</v>
      </c>
      <c r="B940" s="340" t="s">
        <v>2183</v>
      </c>
      <c r="C940" s="340" t="s">
        <v>1279</v>
      </c>
      <c r="D940" s="340" t="s">
        <v>1103</v>
      </c>
      <c r="E940" s="340" t="s">
        <v>1281</v>
      </c>
      <c r="F940" s="341">
        <v>44512.583673669003</v>
      </c>
      <c r="G940" s="341"/>
      <c r="H940" s="341"/>
      <c r="I940" s="341" t="s">
        <v>3</v>
      </c>
      <c r="J940" s="340" t="s">
        <v>1666</v>
      </c>
      <c r="K940" s="340" t="s">
        <v>1296</v>
      </c>
      <c r="L940" s="14">
        <v>44519</v>
      </c>
      <c r="M940" t="s">
        <v>2221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>
      <c r="A941" s="340">
        <f>COUNTA($D$3:$D$941)</f>
        <v>939</v>
      </c>
      <c r="B941" s="340" t="s">
        <v>2182</v>
      </c>
      <c r="C941" s="340" t="s">
        <v>1270</v>
      </c>
      <c r="D941" s="340" t="s">
        <v>58</v>
      </c>
      <c r="E941" s="340" t="s">
        <v>1273</v>
      </c>
      <c r="F941" s="341">
        <v>44512.574113634299</v>
      </c>
      <c r="G941" s="341"/>
      <c r="H941" s="341"/>
      <c r="I941" s="341" t="s">
        <v>3</v>
      </c>
      <c r="J941" s="340" t="s">
        <v>1667</v>
      </c>
      <c r="K941" s="340" t="s">
        <v>1274</v>
      </c>
      <c r="L941" s="14">
        <v>44519</v>
      </c>
      <c r="M941" t="s">
        <v>2220</v>
      </c>
      <c r="N941" s="173">
        <v>44519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40">
        <f>COUNTA($D$3:$D$942)</f>
        <v>940</v>
      </c>
      <c r="B942" s="340" t="s">
        <v>2151</v>
      </c>
      <c r="C942" s="340" t="s">
        <v>21</v>
      </c>
      <c r="D942" s="340" t="s">
        <v>34</v>
      </c>
      <c r="E942" s="340" t="s">
        <v>1256</v>
      </c>
      <c r="F942" s="341">
        <v>44508.664664351854</v>
      </c>
      <c r="G942" s="341"/>
      <c r="H942" s="341"/>
      <c r="I942" s="341" t="s">
        <v>3</v>
      </c>
      <c r="J942" s="340" t="s">
        <v>1758</v>
      </c>
      <c r="K942" s="340" t="s">
        <v>1274</v>
      </c>
      <c r="L942" s="14">
        <v>44512</v>
      </c>
      <c r="M942" t="s">
        <v>2186</v>
      </c>
      <c r="N942" s="173">
        <v>44512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44512</v>
      </c>
    </row>
    <row r="943" spans="1:30">
      <c r="A943" s="340">
        <f>COUNTA($D$3:$D$943)</f>
        <v>941</v>
      </c>
      <c r="B943" s="340" t="s">
        <v>2158</v>
      </c>
      <c r="C943" s="340" t="s">
        <v>41</v>
      </c>
      <c r="D943" s="340" t="s">
        <v>30</v>
      </c>
      <c r="E943" s="340" t="s">
        <v>1046</v>
      </c>
      <c r="F943" s="341">
        <v>44509.834687499999</v>
      </c>
      <c r="G943" s="341"/>
      <c r="H943" s="341"/>
      <c r="I943" s="341" t="s">
        <v>2</v>
      </c>
      <c r="J943" s="340" t="s">
        <v>1664</v>
      </c>
      <c r="K943" s="340" t="s">
        <v>1295</v>
      </c>
      <c r="L943" s="14">
        <v>44512</v>
      </c>
      <c r="M943" t="s">
        <v>2166</v>
      </c>
      <c r="N943" s="173">
        <v>44512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44512</v>
      </c>
    </row>
    <row r="944" spans="1:30">
      <c r="A944" s="340">
        <f>COUNTA($D$3:$D$944)</f>
        <v>942</v>
      </c>
      <c r="B944" s="340" t="s">
        <v>2123</v>
      </c>
      <c r="C944" s="340" t="s">
        <v>41</v>
      </c>
      <c r="D944" s="340" t="s">
        <v>1124</v>
      </c>
      <c r="E944" s="340" t="s">
        <v>1185</v>
      </c>
      <c r="F944" s="341">
        <v>44504</v>
      </c>
      <c r="G944" s="341"/>
      <c r="H944" s="341" t="s">
        <v>66</v>
      </c>
      <c r="I944" s="341" t="s">
        <v>3</v>
      </c>
      <c r="J944" s="340" t="s">
        <v>1649</v>
      </c>
      <c r="K944" s="340" t="s">
        <v>1287</v>
      </c>
      <c r="L944" s="14">
        <v>44512</v>
      </c>
      <c r="M944" t="s">
        <v>2165</v>
      </c>
      <c r="N944" s="173">
        <v>44512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44512</v>
      </c>
    </row>
    <row r="945" spans="1:30">
      <c r="A945" s="340">
        <f>COUNTA($D$3:$D$945)</f>
        <v>943</v>
      </c>
      <c r="B945" s="340" t="s">
        <v>2116</v>
      </c>
      <c r="C945" s="340" t="s">
        <v>41</v>
      </c>
      <c r="D945" s="340" t="s">
        <v>1124</v>
      </c>
      <c r="E945" s="340" t="s">
        <v>1138</v>
      </c>
      <c r="F945" s="341">
        <v>44504</v>
      </c>
      <c r="G945" s="341"/>
      <c r="H945" s="341" t="s">
        <v>66</v>
      </c>
      <c r="I945" s="341" t="s">
        <v>3</v>
      </c>
      <c r="J945" s="340" t="s">
        <v>2117</v>
      </c>
      <c r="K945" s="340" t="s">
        <v>287</v>
      </c>
      <c r="L945" s="14">
        <v>44512</v>
      </c>
      <c r="M945" t="s">
        <v>2166</v>
      </c>
      <c r="N945" s="173">
        <v>44621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44621</v>
      </c>
    </row>
    <row r="946" spans="1:30">
      <c r="A946" s="340">
        <f>COUNTA($D$3:$D$946)</f>
        <v>944</v>
      </c>
      <c r="B946" s="340" t="s">
        <v>2107</v>
      </c>
      <c r="C946" s="340" t="s">
        <v>41</v>
      </c>
      <c r="D946" s="340" t="s">
        <v>32</v>
      </c>
      <c r="E946" s="340" t="s">
        <v>2108</v>
      </c>
      <c r="F946" s="341">
        <v>44502</v>
      </c>
      <c r="G946" s="341"/>
      <c r="H946" s="341"/>
      <c r="I946" s="341" t="s">
        <v>3</v>
      </c>
      <c r="J946" s="340" t="s">
        <v>1652</v>
      </c>
      <c r="K946" s="340" t="s">
        <v>125</v>
      </c>
      <c r="L946" s="14">
        <v>44512</v>
      </c>
      <c r="M946" t="s">
        <v>2164</v>
      </c>
      <c r="N946" s="173">
        <v>44512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44512</v>
      </c>
    </row>
    <row r="947" spans="1:30">
      <c r="A947" s="340">
        <f>COUNTA($D$3:$D$947)</f>
        <v>945</v>
      </c>
      <c r="B947" s="340" t="s">
        <v>2150</v>
      </c>
      <c r="C947" s="340" t="s">
        <v>109</v>
      </c>
      <c r="D947" s="340" t="s">
        <v>16</v>
      </c>
      <c r="E947" s="340" t="s">
        <v>1130</v>
      </c>
      <c r="F947" s="341">
        <v>44508.664363425924</v>
      </c>
      <c r="G947" s="341"/>
      <c r="H947" s="341"/>
      <c r="I947" s="341" t="s">
        <v>3</v>
      </c>
      <c r="J947" s="340" t="s">
        <v>1666</v>
      </c>
      <c r="K947" s="340" t="s">
        <v>1296</v>
      </c>
      <c r="L947" s="14">
        <v>44512</v>
      </c>
      <c r="M947" t="s">
        <v>2168</v>
      </c>
      <c r="N947" s="173">
        <v>44512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44512</v>
      </c>
    </row>
    <row r="948" spans="1:30">
      <c r="A948" s="340">
        <f>COUNTA($D$3:$D948)</f>
        <v>946</v>
      </c>
      <c r="B948" s="340" t="s">
        <v>2109</v>
      </c>
      <c r="C948" s="340" t="s">
        <v>1105</v>
      </c>
      <c r="D948" s="340" t="s">
        <v>27</v>
      </c>
      <c r="E948" s="340" t="s">
        <v>2110</v>
      </c>
      <c r="F948" s="341">
        <v>44503.582164155101</v>
      </c>
      <c r="G948" s="341"/>
      <c r="H948" s="341"/>
      <c r="I948" s="341" t="s">
        <v>4</v>
      </c>
      <c r="J948" s="340" t="s">
        <v>1093</v>
      </c>
      <c r="K948" s="340" t="s">
        <v>1287</v>
      </c>
      <c r="L948" s="14">
        <v>44512</v>
      </c>
      <c r="M948" t="s">
        <v>2165</v>
      </c>
      <c r="N948" s="173">
        <v>44512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44512</v>
      </c>
    </row>
    <row r="949" spans="1:30">
      <c r="A949" s="340">
        <f>COUNTA($D$3:$D949)</f>
        <v>947</v>
      </c>
      <c r="B949" s="340" t="s">
        <v>2152</v>
      </c>
      <c r="C949" s="340" t="s">
        <v>21</v>
      </c>
      <c r="D949" s="340" t="s">
        <v>25</v>
      </c>
      <c r="E949" s="340" t="s">
        <v>298</v>
      </c>
      <c r="F949" s="341">
        <v>44508.667673611111</v>
      </c>
      <c r="G949" s="341"/>
      <c r="H949" s="341"/>
      <c r="I949" s="341" t="s">
        <v>2</v>
      </c>
      <c r="J949" s="340" t="s">
        <v>2153</v>
      </c>
      <c r="K949" s="340" t="s">
        <v>1274</v>
      </c>
      <c r="L949" s="14">
        <v>44512</v>
      </c>
      <c r="M949" t="s">
        <v>2187</v>
      </c>
      <c r="N949" s="173">
        <v>44512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44512</v>
      </c>
    </row>
    <row r="950" spans="1:30">
      <c r="A950" s="340">
        <f>COUNTA($D$3:$D950)</f>
        <v>948</v>
      </c>
      <c r="B950" s="340" t="s">
        <v>2104</v>
      </c>
      <c r="C950" s="340" t="s">
        <v>41</v>
      </c>
      <c r="D950" s="340" t="s">
        <v>16</v>
      </c>
      <c r="E950" s="340" t="s">
        <v>1161</v>
      </c>
      <c r="F950" s="341">
        <v>44501</v>
      </c>
      <c r="G950" s="341"/>
      <c r="H950" s="341" t="s">
        <v>66</v>
      </c>
      <c r="I950" s="341" t="s">
        <v>2</v>
      </c>
      <c r="J950" s="340" t="s">
        <v>357</v>
      </c>
      <c r="K950" s="340" t="s">
        <v>1274</v>
      </c>
      <c r="L950" s="14">
        <v>44512</v>
      </c>
      <c r="M950" t="s">
        <v>2186</v>
      </c>
      <c r="N950" s="173">
        <v>44512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44512</v>
      </c>
    </row>
    <row r="951" spans="1:30">
      <c r="A951" s="340">
        <f>COUNTA($D$3:$D951)</f>
        <v>949</v>
      </c>
      <c r="B951" s="340" t="s">
        <v>2147</v>
      </c>
      <c r="C951" s="340" t="s">
        <v>1794</v>
      </c>
      <c r="D951" s="340" t="s">
        <v>1121</v>
      </c>
      <c r="E951" s="340" t="s">
        <v>2148</v>
      </c>
      <c r="F951" s="341">
        <v>44508.659131944441</v>
      </c>
      <c r="G951" s="341"/>
      <c r="H951" s="341"/>
      <c r="I951" s="341" t="s">
        <v>3</v>
      </c>
      <c r="J951" s="340" t="s">
        <v>2149</v>
      </c>
      <c r="K951" s="340" t="s">
        <v>1295</v>
      </c>
      <c r="L951" s="14">
        <v>44512</v>
      </c>
      <c r="M951" t="s">
        <v>2167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>
      <c r="A952" s="340">
        <f>COUNTA($D$3:$D952)</f>
        <v>950</v>
      </c>
      <c r="B952" s="340" t="s">
        <v>2103</v>
      </c>
      <c r="C952" s="340" t="s">
        <v>41</v>
      </c>
      <c r="D952" s="340" t="s">
        <v>104</v>
      </c>
      <c r="E952" s="340" t="s">
        <v>293</v>
      </c>
      <c r="F952" s="341">
        <v>44501.517638888887</v>
      </c>
      <c r="G952" s="341"/>
      <c r="H952" s="341"/>
      <c r="I952" s="341" t="s">
        <v>3</v>
      </c>
      <c r="J952" s="340" t="s">
        <v>1485</v>
      </c>
      <c r="K952" s="340" t="s">
        <v>287</v>
      </c>
      <c r="L952" s="14">
        <v>44507</v>
      </c>
      <c r="M952" t="s">
        <v>1255</v>
      </c>
      <c r="N952" s="173">
        <v>44621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44621</v>
      </c>
    </row>
    <row r="953" spans="1:30">
      <c r="A953" s="340">
        <f>COUNTA($D$3:$D953)</f>
        <v>951</v>
      </c>
      <c r="B953" s="340" t="s">
        <v>2096</v>
      </c>
      <c r="C953" s="340" t="s">
        <v>301</v>
      </c>
      <c r="D953" s="340" t="s">
        <v>64</v>
      </c>
      <c r="E953" s="340" t="s">
        <v>1837</v>
      </c>
      <c r="F953" s="341">
        <v>44501.487083333333</v>
      </c>
      <c r="G953" s="341"/>
      <c r="H953" s="341"/>
      <c r="I953" s="341" t="s">
        <v>3</v>
      </c>
      <c r="J953" s="340" t="s">
        <v>1666</v>
      </c>
      <c r="K953" s="340" t="s">
        <v>54</v>
      </c>
      <c r="L953" s="14">
        <v>44507</v>
      </c>
      <c r="M953" t="s">
        <v>2137</v>
      </c>
      <c r="N953" s="173">
        <v>44507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44507</v>
      </c>
    </row>
    <row r="954" spans="1:30">
      <c r="A954" s="340">
        <f>COUNTA($D$3:$D954)</f>
        <v>952</v>
      </c>
      <c r="B954" s="340" t="s">
        <v>2112</v>
      </c>
      <c r="C954" s="340" t="s">
        <v>44</v>
      </c>
      <c r="D954" s="340" t="s">
        <v>34</v>
      </c>
      <c r="E954" s="340" t="s">
        <v>88</v>
      </c>
      <c r="F954" s="341">
        <v>44503.70517361111</v>
      </c>
      <c r="G954" s="341"/>
      <c r="H954" s="341"/>
      <c r="I954" s="341" t="s">
        <v>3</v>
      </c>
      <c r="J954" s="340" t="s">
        <v>1485</v>
      </c>
      <c r="K954" s="340" t="s">
        <v>20</v>
      </c>
      <c r="L954" s="14">
        <v>44507</v>
      </c>
      <c r="M954" t="s">
        <v>2137</v>
      </c>
      <c r="N954" s="173">
        <v>44507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44507</v>
      </c>
    </row>
    <row r="955" spans="1:30">
      <c r="A955" s="340">
        <f>COUNTA($D$3:$D955)</f>
        <v>953</v>
      </c>
      <c r="B955" s="340" t="s">
        <v>2128</v>
      </c>
      <c r="C955" s="340" t="s">
        <v>41</v>
      </c>
      <c r="D955" s="340" t="s">
        <v>2129</v>
      </c>
      <c r="E955" s="340" t="s">
        <v>2130</v>
      </c>
      <c r="F955" s="341">
        <v>44504.760340879599</v>
      </c>
      <c r="G955" s="341"/>
      <c r="H955" s="341"/>
      <c r="I955" s="341" t="s">
        <v>3</v>
      </c>
      <c r="J955" s="340" t="s">
        <v>1649</v>
      </c>
      <c r="K955" s="340" t="s">
        <v>1089</v>
      </c>
      <c r="L955" s="14">
        <v>44507</v>
      </c>
      <c r="M955" t="s">
        <v>2141</v>
      </c>
      <c r="N955" s="173">
        <v>44507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44507</v>
      </c>
    </row>
    <row r="956" spans="1:30">
      <c r="A956" s="340">
        <f>COUNTA($D$3:$D956)</f>
        <v>954</v>
      </c>
      <c r="B956" s="340" t="s">
        <v>2126</v>
      </c>
      <c r="C956" s="340" t="s">
        <v>41</v>
      </c>
      <c r="D956" s="340" t="s">
        <v>30</v>
      </c>
      <c r="E956" s="340" t="s">
        <v>1640</v>
      </c>
      <c r="F956" s="341">
        <v>44504</v>
      </c>
      <c r="G956" s="341"/>
      <c r="H956" s="341"/>
      <c r="I956" s="341" t="s">
        <v>2</v>
      </c>
      <c r="J956" s="340" t="s">
        <v>1664</v>
      </c>
      <c r="K956" s="340" t="s">
        <v>2143</v>
      </c>
      <c r="L956" s="14">
        <v>44507</v>
      </c>
      <c r="N956" s="173">
        <v>44507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44507</v>
      </c>
    </row>
    <row r="957" spans="1:30">
      <c r="A957" s="340">
        <f>COUNTA($D$3:$D957)</f>
        <v>955</v>
      </c>
      <c r="B957" s="340" t="s">
        <v>2065</v>
      </c>
      <c r="C957" s="340" t="s">
        <v>40</v>
      </c>
      <c r="D957" s="340" t="s">
        <v>49</v>
      </c>
      <c r="E957" s="340" t="s">
        <v>1137</v>
      </c>
      <c r="F957" s="341">
        <v>44496</v>
      </c>
      <c r="G957" s="341"/>
      <c r="H957" s="341">
        <v>44497</v>
      </c>
      <c r="I957" s="341" t="s">
        <v>2</v>
      </c>
      <c r="J957" s="340" t="s">
        <v>1854</v>
      </c>
      <c r="K957" s="340" t="s">
        <v>24</v>
      </c>
      <c r="L957" s="14">
        <v>44507</v>
      </c>
      <c r="M957" t="s">
        <v>2139</v>
      </c>
      <c r="N957" s="173">
        <v>44507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44507</v>
      </c>
    </row>
    <row r="958" spans="1:30">
      <c r="A958" s="340">
        <f>COUNTA($D$3:$D958)</f>
        <v>956</v>
      </c>
      <c r="B958" s="340" t="s">
        <v>2060</v>
      </c>
      <c r="C958" s="340" t="s">
        <v>40</v>
      </c>
      <c r="D958" s="340" t="s">
        <v>49</v>
      </c>
      <c r="E958" s="340" t="s">
        <v>1136</v>
      </c>
      <c r="F958" s="341">
        <v>44496.430324074077</v>
      </c>
      <c r="G958" s="341"/>
      <c r="H958" s="341"/>
      <c r="I958" s="341" t="s">
        <v>2</v>
      </c>
      <c r="J958" s="340" t="s">
        <v>2061</v>
      </c>
      <c r="K958" s="340" t="s">
        <v>20</v>
      </c>
      <c r="L958" s="14">
        <v>44507</v>
      </c>
      <c r="M958" t="s">
        <v>2138</v>
      </c>
      <c r="N958" s="173">
        <v>44507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44507</v>
      </c>
    </row>
    <row r="959" spans="1:30">
      <c r="A959" s="340">
        <f>COUNTA($D$3:$D$959)</f>
        <v>957</v>
      </c>
      <c r="B959" s="340" t="s">
        <v>2124</v>
      </c>
      <c r="C959" s="340" t="s">
        <v>41</v>
      </c>
      <c r="D959" s="340" t="s">
        <v>1181</v>
      </c>
      <c r="E959" s="340" t="s">
        <v>1182</v>
      </c>
      <c r="F959" s="341">
        <v>44504.559322141198</v>
      </c>
      <c r="G959" s="341"/>
      <c r="H959" s="341"/>
      <c r="I959" s="341" t="s">
        <v>4</v>
      </c>
      <c r="J959" s="340" t="s">
        <v>1668</v>
      </c>
      <c r="K959" s="340" t="s">
        <v>1089</v>
      </c>
      <c r="L959" s="14">
        <v>44507</v>
      </c>
      <c r="M959" t="s">
        <v>2141</v>
      </c>
      <c r="N959" s="173">
        <v>44507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44507</v>
      </c>
    </row>
    <row r="960" spans="1:30">
      <c r="A960" s="340">
        <f>COUNTA($D$3:$D$960)</f>
        <v>958</v>
      </c>
      <c r="B960" s="340" t="s">
        <v>2118</v>
      </c>
      <c r="C960" s="340" t="s">
        <v>41</v>
      </c>
      <c r="D960" s="340" t="s">
        <v>1181</v>
      </c>
      <c r="E960" s="340" t="s">
        <v>1284</v>
      </c>
      <c r="F960" s="341">
        <v>44504.533378252301</v>
      </c>
      <c r="G960" s="341"/>
      <c r="H960" s="341"/>
      <c r="I960" s="341" t="s">
        <v>4</v>
      </c>
      <c r="J960" s="340" t="s">
        <v>1093</v>
      </c>
      <c r="K960" s="340" t="s">
        <v>24</v>
      </c>
      <c r="L960" s="14">
        <v>44507</v>
      </c>
      <c r="M960" t="s">
        <v>2141</v>
      </c>
      <c r="N960" s="173">
        <v>44507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44507</v>
      </c>
    </row>
    <row r="961" spans="1:30">
      <c r="A961" s="340">
        <f>COUNTA($D$3:$D$961)</f>
        <v>959</v>
      </c>
      <c r="B961" s="340" t="s">
        <v>2111</v>
      </c>
      <c r="C961" s="340" t="s">
        <v>44</v>
      </c>
      <c r="D961" s="340" t="s">
        <v>51</v>
      </c>
      <c r="E961" s="340" t="s">
        <v>259</v>
      </c>
      <c r="F961" s="341">
        <v>44503.702106481483</v>
      </c>
      <c r="G961" s="341"/>
      <c r="H961" s="341"/>
      <c r="I961" s="341" t="s">
        <v>3</v>
      </c>
      <c r="J961" s="340" t="s">
        <v>1641</v>
      </c>
      <c r="K961" s="340" t="s">
        <v>20</v>
      </c>
      <c r="L961" s="14">
        <v>44507</v>
      </c>
      <c r="M961" t="s">
        <v>2137</v>
      </c>
      <c r="N961" s="173">
        <v>44507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44507</v>
      </c>
    </row>
    <row r="962" spans="1:30">
      <c r="A962" s="340">
        <f>COUNTA($D$3:$D$962)</f>
        <v>960</v>
      </c>
      <c r="B962" s="340" t="s">
        <v>2027</v>
      </c>
      <c r="C962" s="340" t="s">
        <v>2028</v>
      </c>
      <c r="D962" s="340" t="s">
        <v>52</v>
      </c>
      <c r="E962" s="340" t="s">
        <v>2029</v>
      </c>
      <c r="F962" s="341">
        <v>44484</v>
      </c>
      <c r="G962" s="341"/>
      <c r="H962" s="341">
        <v>44487</v>
      </c>
      <c r="I962" s="341" t="s">
        <v>4</v>
      </c>
      <c r="J962" s="340" t="s">
        <v>2030</v>
      </c>
      <c r="K962" s="340" t="s">
        <v>24</v>
      </c>
      <c r="L962" s="14">
        <v>44507</v>
      </c>
      <c r="M962" t="s">
        <v>2134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>
      <c r="A963" s="340">
        <f>COUNTA($D$3:$D$963)</f>
        <v>961</v>
      </c>
      <c r="B963" s="340" t="s">
        <v>2113</v>
      </c>
      <c r="C963" s="340" t="s">
        <v>41</v>
      </c>
      <c r="D963" s="340" t="s">
        <v>2052</v>
      </c>
      <c r="E963" s="340" t="s">
        <v>2114</v>
      </c>
      <c r="F963" s="341">
        <v>44504.525810185187</v>
      </c>
      <c r="G963" s="341"/>
      <c r="H963" s="341"/>
      <c r="I963" s="341" t="s">
        <v>3</v>
      </c>
      <c r="J963" s="340" t="s">
        <v>1649</v>
      </c>
      <c r="K963" s="340" t="s">
        <v>287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>
      <c r="A964" s="340">
        <f>COUNTA($D$3:$D$964)</f>
        <v>962</v>
      </c>
      <c r="B964" s="340" t="s">
        <v>2097</v>
      </c>
      <c r="C964" s="340" t="s">
        <v>301</v>
      </c>
      <c r="D964" s="340" t="s">
        <v>38</v>
      </c>
      <c r="E964" s="340" t="s">
        <v>2098</v>
      </c>
      <c r="F964" s="341">
        <v>44501</v>
      </c>
      <c r="G964" s="341"/>
      <c r="H964" s="341"/>
      <c r="I964" s="341" t="s">
        <v>2</v>
      </c>
      <c r="J964" s="340" t="s">
        <v>2099</v>
      </c>
      <c r="K964" s="340" t="s">
        <v>1102</v>
      </c>
      <c r="L964" s="14">
        <v>44507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>
      <c r="A965" s="340">
        <f>COUNTA($D$3:$D$965)</f>
        <v>963</v>
      </c>
      <c r="B965" s="340" t="s">
        <v>2066</v>
      </c>
      <c r="C965" s="340" t="s">
        <v>1114</v>
      </c>
      <c r="D965" s="340" t="s">
        <v>27</v>
      </c>
      <c r="E965" s="340" t="s">
        <v>2067</v>
      </c>
      <c r="F965" s="341">
        <v>44496.724680972198</v>
      </c>
      <c r="G965" s="341"/>
      <c r="H965" s="341"/>
      <c r="I965" s="341" t="s">
        <v>4</v>
      </c>
      <c r="J965" s="340" t="s">
        <v>1668</v>
      </c>
      <c r="K965" s="340" t="s">
        <v>125</v>
      </c>
      <c r="L965" s="14">
        <v>44507</v>
      </c>
      <c r="M965" t="s">
        <v>2140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>
      <c r="A966" s="340">
        <f>COUNTA($D$3:$D$966)</f>
        <v>964</v>
      </c>
      <c r="B966" s="340" t="s">
        <v>2064</v>
      </c>
      <c r="C966" s="340" t="s">
        <v>1674</v>
      </c>
      <c r="D966" s="340" t="s">
        <v>36</v>
      </c>
      <c r="E966" s="340" t="s">
        <v>1675</v>
      </c>
      <c r="F966" s="341">
        <v>44496.5378042593</v>
      </c>
      <c r="G966" s="341"/>
      <c r="H966" s="341"/>
      <c r="I966" s="341" t="s">
        <v>3</v>
      </c>
      <c r="J966" s="340" t="s">
        <v>1723</v>
      </c>
      <c r="K966" s="340" t="s">
        <v>33</v>
      </c>
      <c r="L966" s="14">
        <v>44507</v>
      </c>
      <c r="M966" t="s">
        <v>2137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40">
        <f>COUNTA($D$3:$D$967)</f>
        <v>965</v>
      </c>
      <c r="B967" s="340" t="s">
        <v>2058</v>
      </c>
      <c r="C967" s="340" t="s">
        <v>21</v>
      </c>
      <c r="D967" s="340" t="s">
        <v>34</v>
      </c>
      <c r="E967" s="340" t="s">
        <v>2059</v>
      </c>
      <c r="F967" s="341">
        <v>44495.4818391667</v>
      </c>
      <c r="G967" s="341"/>
      <c r="H967" s="341"/>
      <c r="I967" s="341" t="s">
        <v>3</v>
      </c>
      <c r="J967" s="340" t="s">
        <v>2133</v>
      </c>
      <c r="K967" s="340" t="s">
        <v>33</v>
      </c>
      <c r="L967" s="14">
        <v>44507</v>
      </c>
      <c r="M967" t="s">
        <v>2137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40">
        <f>COUNTA($D$3:$D$968)</f>
        <v>966</v>
      </c>
      <c r="B968" s="340" t="s">
        <v>2071</v>
      </c>
      <c r="C968" s="340" t="s">
        <v>41</v>
      </c>
      <c r="D968" s="340" t="s">
        <v>34</v>
      </c>
      <c r="E968" s="340" t="s">
        <v>1923</v>
      </c>
      <c r="F968" s="341">
        <v>44495.487627314818</v>
      </c>
      <c r="G968" s="341"/>
      <c r="H968" s="341"/>
      <c r="I968" s="341" t="s">
        <v>3</v>
      </c>
      <c r="J968" s="340" t="s">
        <v>1778</v>
      </c>
      <c r="K968" s="340" t="s">
        <v>1089</v>
      </c>
      <c r="L968" s="14">
        <v>44498</v>
      </c>
      <c r="M968" t="s">
        <v>2093</v>
      </c>
      <c r="N968" s="173">
        <v>44498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44498</v>
      </c>
    </row>
    <row r="969" spans="1:30">
      <c r="A969" s="340">
        <f>COUNTA($D$3:$D$969)</f>
        <v>967</v>
      </c>
      <c r="B969" s="340" t="s">
        <v>2072</v>
      </c>
      <c r="C969" s="340" t="s">
        <v>44</v>
      </c>
      <c r="D969" s="340" t="s">
        <v>45</v>
      </c>
      <c r="E969" s="340" t="s">
        <v>176</v>
      </c>
      <c r="F969" s="341">
        <v>44495.743750000001</v>
      </c>
      <c r="G969" s="341"/>
      <c r="H969" s="341"/>
      <c r="I969" s="341" t="s">
        <v>4</v>
      </c>
      <c r="J969" s="340" t="s">
        <v>1639</v>
      </c>
      <c r="K969" s="340" t="s">
        <v>125</v>
      </c>
      <c r="L969" s="14">
        <v>44498</v>
      </c>
      <c r="M969" t="s">
        <v>2093</v>
      </c>
      <c r="N969" s="173">
        <v>44498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44498</v>
      </c>
    </row>
    <row r="970" spans="1:30">
      <c r="A970" s="340">
        <f>COUNTA($D$3:$D$970)</f>
        <v>968</v>
      </c>
      <c r="B970" s="340" t="s">
        <v>2068</v>
      </c>
      <c r="C970" s="340" t="s">
        <v>40</v>
      </c>
      <c r="D970" s="340" t="s">
        <v>30</v>
      </c>
      <c r="E970" s="340" t="s">
        <v>1645</v>
      </c>
      <c r="F970" s="341">
        <v>44494.44599537037</v>
      </c>
      <c r="G970" s="341"/>
      <c r="H970" s="341"/>
      <c r="I970" s="341" t="s">
        <v>2</v>
      </c>
      <c r="J970" s="340" t="s">
        <v>357</v>
      </c>
      <c r="K970" s="340" t="s">
        <v>125</v>
      </c>
      <c r="L970" s="14">
        <v>44498</v>
      </c>
      <c r="M970" t="s">
        <v>2092</v>
      </c>
      <c r="N970" s="173">
        <v>44498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44498</v>
      </c>
    </row>
    <row r="971" spans="1:30">
      <c r="A971" s="340">
        <f>COUNTA($D$3:$D$971)</f>
        <v>969</v>
      </c>
      <c r="B971" s="340" t="s">
        <v>2057</v>
      </c>
      <c r="C971" s="340" t="s">
        <v>21</v>
      </c>
      <c r="D971" s="340" t="s">
        <v>1142</v>
      </c>
      <c r="E971" s="340" t="s">
        <v>1204</v>
      </c>
      <c r="F971" s="341">
        <v>44495.481030092589</v>
      </c>
      <c r="G971" s="341"/>
      <c r="H971" s="341"/>
      <c r="I971" s="341" t="s">
        <v>3</v>
      </c>
      <c r="J971" s="340" t="s">
        <v>1921</v>
      </c>
      <c r="K971" s="340" t="s">
        <v>53</v>
      </c>
      <c r="L971" s="14">
        <v>44498</v>
      </c>
      <c r="M971" t="s">
        <v>2092</v>
      </c>
      <c r="N971" s="173">
        <v>44498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44498</v>
      </c>
    </row>
    <row r="972" spans="1:30">
      <c r="A972" s="340">
        <f>COUNTA($D$3:$D$972)</f>
        <v>970</v>
      </c>
      <c r="B972" s="340" t="s">
        <v>2050</v>
      </c>
      <c r="C972" s="340" t="s">
        <v>105</v>
      </c>
      <c r="D972" s="340" t="s">
        <v>30</v>
      </c>
      <c r="E972" s="340" t="s">
        <v>1286</v>
      </c>
      <c r="F972" s="341">
        <v>44491.643642766197</v>
      </c>
      <c r="G972" s="341"/>
      <c r="H972" s="341"/>
      <c r="I972" s="341" t="s">
        <v>3</v>
      </c>
      <c r="J972" s="340" t="s">
        <v>1643</v>
      </c>
      <c r="K972" s="340" t="s">
        <v>103</v>
      </c>
      <c r="L972" s="14">
        <v>44498</v>
      </c>
      <c r="N972" s="173">
        <v>44523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44523</v>
      </c>
    </row>
    <row r="973" spans="1:30">
      <c r="A973" s="340">
        <f>COUNTA($D$3:$D$973)</f>
        <v>971</v>
      </c>
      <c r="B973" s="340" t="s">
        <v>2038</v>
      </c>
      <c r="C973" s="340" t="s">
        <v>41</v>
      </c>
      <c r="D973" s="340" t="s">
        <v>30</v>
      </c>
      <c r="E973" s="340" t="s">
        <v>1656</v>
      </c>
      <c r="F973" s="341">
        <v>44489.503252314818</v>
      </c>
      <c r="G973" s="341"/>
      <c r="H973" s="341"/>
      <c r="I973" s="341" t="s">
        <v>2</v>
      </c>
      <c r="J973" s="340" t="s">
        <v>1658</v>
      </c>
      <c r="K973" s="340" t="s">
        <v>1089</v>
      </c>
      <c r="L973" s="14">
        <v>44498</v>
      </c>
      <c r="M973" t="s">
        <v>2093</v>
      </c>
      <c r="N973" s="173">
        <v>44498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44498</v>
      </c>
    </row>
    <row r="974" spans="1:30">
      <c r="A974" s="340">
        <f>COUNTA($D$3:$D$974)</f>
        <v>972</v>
      </c>
      <c r="B974" s="340" t="s">
        <v>2034</v>
      </c>
      <c r="C974" s="340" t="s">
        <v>37</v>
      </c>
      <c r="D974" s="340" t="s">
        <v>34</v>
      </c>
      <c r="E974" s="340" t="s">
        <v>2035</v>
      </c>
      <c r="F974" s="341">
        <v>44488.686331018522</v>
      </c>
      <c r="G974" s="341"/>
      <c r="H974" s="341"/>
      <c r="I974" s="341" t="s">
        <v>3</v>
      </c>
      <c r="J974" s="340" t="s">
        <v>2036</v>
      </c>
      <c r="K974" s="340" t="s">
        <v>24</v>
      </c>
      <c r="L974" s="14">
        <v>44484</v>
      </c>
      <c r="M974" t="s">
        <v>2092</v>
      </c>
      <c r="N974" s="173">
        <v>44484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44484</v>
      </c>
    </row>
    <row r="975" spans="1:30">
      <c r="A975" s="340">
        <f>COUNTA($D$3:$D$975)</f>
        <v>973</v>
      </c>
      <c r="B975" s="340" t="s">
        <v>1998</v>
      </c>
      <c r="C975" s="340" t="s">
        <v>44</v>
      </c>
      <c r="D975" s="340" t="s">
        <v>34</v>
      </c>
      <c r="E975" s="340" t="s">
        <v>48</v>
      </c>
      <c r="F975" s="341">
        <v>44476</v>
      </c>
      <c r="G975" s="341"/>
      <c r="H975" s="341" t="s">
        <v>66</v>
      </c>
      <c r="I975" s="341" t="s">
        <v>2</v>
      </c>
      <c r="J975" s="340" t="s">
        <v>1657</v>
      </c>
      <c r="K975" s="340" t="s">
        <v>125</v>
      </c>
      <c r="L975" s="14">
        <v>44484</v>
      </c>
      <c r="M975" t="s">
        <v>2093</v>
      </c>
      <c r="N975" s="173">
        <v>44484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44484</v>
      </c>
    </row>
    <row r="976" spans="1:30">
      <c r="A976" s="340">
        <f>COUNTA($D$3:$D$976)</f>
        <v>974</v>
      </c>
      <c r="B976" s="340" t="s">
        <v>1989</v>
      </c>
      <c r="C976" s="340" t="s">
        <v>1990</v>
      </c>
      <c r="D976" s="340" t="s">
        <v>38</v>
      </c>
      <c r="E976" s="340" t="s">
        <v>1991</v>
      </c>
      <c r="F976" s="341">
        <v>44474</v>
      </c>
      <c r="G976" s="341"/>
      <c r="H976" s="341"/>
      <c r="I976" s="341" t="s">
        <v>2</v>
      </c>
      <c r="J976" s="340" t="s">
        <v>1992</v>
      </c>
      <c r="K976" s="340" t="s">
        <v>125</v>
      </c>
      <c r="L976" s="14">
        <v>44484</v>
      </c>
      <c r="M976" t="s">
        <v>2094</v>
      </c>
      <c r="N976" s="173">
        <v>44484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44484</v>
      </c>
    </row>
    <row r="977" spans="1:30">
      <c r="A977" s="340">
        <f>COUNTA($D$3:$D$977)</f>
        <v>975</v>
      </c>
      <c r="B977" s="340" t="s">
        <v>2010</v>
      </c>
      <c r="C977" s="340" t="s">
        <v>1100</v>
      </c>
      <c r="D977" s="340" t="s">
        <v>30</v>
      </c>
      <c r="E977" s="340" t="s">
        <v>2011</v>
      </c>
      <c r="F977" s="341">
        <v>44481.70171296296</v>
      </c>
      <c r="G977" s="341"/>
      <c r="H977" s="341"/>
      <c r="I977" s="341" t="s">
        <v>2</v>
      </c>
      <c r="J977" s="340" t="s">
        <v>2012</v>
      </c>
      <c r="K977" s="340" t="s">
        <v>1089</v>
      </c>
      <c r="L977" s="14">
        <v>44484</v>
      </c>
      <c r="N977" s="173">
        <v>44484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44484</v>
      </c>
    </row>
    <row r="978" spans="1:30">
      <c r="A978" s="340">
        <f>COUNTA($D$3:$D$978)</f>
        <v>976</v>
      </c>
      <c r="B978" s="340" t="s">
        <v>2006</v>
      </c>
      <c r="C978" s="340" t="s">
        <v>1239</v>
      </c>
      <c r="D978" s="340" t="s">
        <v>38</v>
      </c>
      <c r="E978" s="340" t="s">
        <v>1755</v>
      </c>
      <c r="F978" s="341">
        <v>44481</v>
      </c>
      <c r="G978" s="341"/>
      <c r="H978" s="341"/>
      <c r="I978" s="341" t="s">
        <v>2</v>
      </c>
      <c r="J978" s="340" t="s">
        <v>1756</v>
      </c>
      <c r="K978" s="340" t="s">
        <v>1089</v>
      </c>
      <c r="L978" s="14">
        <v>44484</v>
      </c>
      <c r="M978" t="s">
        <v>2094</v>
      </c>
      <c r="N978" s="173">
        <v>44484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44484</v>
      </c>
    </row>
    <row r="979" spans="1:30">
      <c r="A979" s="340">
        <f>COUNTA($D$3:$D$979)</f>
        <v>977</v>
      </c>
      <c r="B979" s="340" t="s">
        <v>2033</v>
      </c>
      <c r="C979" s="340" t="s">
        <v>41</v>
      </c>
      <c r="D979" s="340" t="s">
        <v>25</v>
      </c>
      <c r="E979" s="340" t="s">
        <v>1199</v>
      </c>
      <c r="F979" s="341">
        <v>44488.578136574077</v>
      </c>
      <c r="G979" s="341"/>
      <c r="H979" s="341"/>
      <c r="I979" s="341" t="s">
        <v>3</v>
      </c>
      <c r="J979" s="340" t="s">
        <v>1649</v>
      </c>
      <c r="K979" s="340" t="s">
        <v>33</v>
      </c>
      <c r="L979" s="14">
        <v>44484</v>
      </c>
      <c r="M979" t="s">
        <v>2093</v>
      </c>
      <c r="N979" s="173">
        <v>44484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44484</v>
      </c>
    </row>
    <row r="980" spans="1:30">
      <c r="A980" s="340">
        <f>COUNTA($D$3:$D$980)</f>
        <v>978</v>
      </c>
      <c r="B980" s="340" t="s">
        <v>2024</v>
      </c>
      <c r="C980" s="340" t="s">
        <v>21</v>
      </c>
      <c r="D980" s="340" t="s">
        <v>30</v>
      </c>
      <c r="E980" s="340" t="s">
        <v>2025</v>
      </c>
      <c r="F980" s="341">
        <v>44484.645379826397</v>
      </c>
      <c r="G980" s="341"/>
      <c r="H980" s="341"/>
      <c r="I980" s="341" t="s">
        <v>3</v>
      </c>
      <c r="J980" s="340" t="s">
        <v>514</v>
      </c>
      <c r="K980" s="340" t="s">
        <v>24</v>
      </c>
      <c r="L980" s="14">
        <v>44484</v>
      </c>
      <c r="M980" t="s">
        <v>2092</v>
      </c>
      <c r="N980" s="173">
        <v>44484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44484</v>
      </c>
    </row>
    <row r="981" spans="1:30">
      <c r="A981" s="340">
        <f>COUNTA($D$3:$D$981)</f>
        <v>979</v>
      </c>
      <c r="B981" s="340" t="s">
        <v>2019</v>
      </c>
      <c r="C981" s="340" t="s">
        <v>44</v>
      </c>
      <c r="D981" s="340" t="s">
        <v>45</v>
      </c>
      <c r="E981" s="340" t="s">
        <v>178</v>
      </c>
      <c r="F981" s="341">
        <v>44483</v>
      </c>
      <c r="G981" s="341"/>
      <c r="H981" s="341"/>
      <c r="I981" s="341" t="s">
        <v>4</v>
      </c>
      <c r="J981" s="340" t="s">
        <v>1750</v>
      </c>
      <c r="K981" s="340" t="s">
        <v>54</v>
      </c>
      <c r="L981" s="14">
        <v>44457</v>
      </c>
      <c r="M981" t="s">
        <v>2093</v>
      </c>
      <c r="N981" s="173">
        <v>44457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44457</v>
      </c>
    </row>
    <row r="982" spans="1:30">
      <c r="A982" s="340">
        <f>COUNTA($D$3:$D$982)</f>
        <v>980</v>
      </c>
      <c r="B982" s="340" t="s">
        <v>2009</v>
      </c>
      <c r="C982" s="340" t="s">
        <v>1178</v>
      </c>
      <c r="D982" s="340" t="s">
        <v>58</v>
      </c>
      <c r="E982" s="340" t="s">
        <v>1179</v>
      </c>
      <c r="F982" s="341">
        <v>44481</v>
      </c>
      <c r="G982" s="341"/>
      <c r="H982" s="341">
        <v>44484</v>
      </c>
      <c r="I982" s="341" t="s">
        <v>3</v>
      </c>
      <c r="J982" s="340" t="s">
        <v>2031</v>
      </c>
      <c r="K982" s="340" t="s">
        <v>54</v>
      </c>
      <c r="L982" s="14">
        <v>44457</v>
      </c>
      <c r="M982" t="s">
        <v>2092</v>
      </c>
      <c r="N982" s="173">
        <v>44457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44457</v>
      </c>
    </row>
    <row r="983" spans="1:30">
      <c r="A983" s="340">
        <f>COUNTA($D$3:$D$983)</f>
        <v>981</v>
      </c>
      <c r="B983" s="340" t="s">
        <v>1994</v>
      </c>
      <c r="C983" s="340" t="s">
        <v>71</v>
      </c>
      <c r="D983" s="340" t="s">
        <v>16</v>
      </c>
      <c r="E983" s="340" t="s">
        <v>72</v>
      </c>
      <c r="F983" s="341">
        <v>44475.568437499998</v>
      </c>
      <c r="G983" s="341"/>
      <c r="H983" s="341"/>
      <c r="I983" s="341" t="s">
        <v>2</v>
      </c>
      <c r="J983" s="340" t="s">
        <v>1995</v>
      </c>
      <c r="K983" s="340" t="s">
        <v>54</v>
      </c>
      <c r="L983" s="14">
        <v>44457</v>
      </c>
      <c r="M983" t="s">
        <v>2094</v>
      </c>
      <c r="N983" s="173">
        <v>44457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44457</v>
      </c>
    </row>
    <row r="984" spans="1:30">
      <c r="A984" s="340">
        <f>COUNTA($D$3:$D$984)</f>
        <v>982</v>
      </c>
      <c r="B984" s="340" t="s">
        <v>1988</v>
      </c>
      <c r="C984" s="340" t="s">
        <v>65</v>
      </c>
      <c r="D984" s="340" t="s">
        <v>31</v>
      </c>
      <c r="E984" s="340" t="s">
        <v>1226</v>
      </c>
      <c r="F984" s="341">
        <v>44473</v>
      </c>
      <c r="G984" s="341"/>
      <c r="H984" s="341" t="s">
        <v>55</v>
      </c>
      <c r="I984" s="341" t="s">
        <v>2</v>
      </c>
      <c r="J984" s="340" t="s">
        <v>1485</v>
      </c>
      <c r="K984" s="340" t="s">
        <v>1089</v>
      </c>
      <c r="L984" s="14">
        <v>44457</v>
      </c>
      <c r="M984" t="s">
        <v>2094</v>
      </c>
      <c r="N984" s="173">
        <v>44491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44491</v>
      </c>
    </row>
    <row r="985" spans="1:30">
      <c r="A985" s="340">
        <f>COUNTA($D$3:$D$985)</f>
        <v>983</v>
      </c>
      <c r="B985" s="340" t="s">
        <v>2020</v>
      </c>
      <c r="C985" s="340" t="s">
        <v>41</v>
      </c>
      <c r="D985" s="340" t="s">
        <v>1126</v>
      </c>
      <c r="E985" s="340" t="s">
        <v>2021</v>
      </c>
      <c r="F985" s="341">
        <v>44483</v>
      </c>
      <c r="G985" s="341"/>
      <c r="H985" s="341"/>
      <c r="I985" s="341" t="s">
        <v>4</v>
      </c>
      <c r="J985" s="340" t="s">
        <v>1750</v>
      </c>
      <c r="K985" s="340" t="s">
        <v>54</v>
      </c>
      <c r="L985" s="14">
        <v>44457</v>
      </c>
      <c r="M985" t="s">
        <v>2093</v>
      </c>
      <c r="N985" s="173">
        <v>44457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44457</v>
      </c>
    </row>
    <row r="986" spans="1:30">
      <c r="A986" s="340">
        <f>COUNTA($D$3:$D$986)</f>
        <v>984</v>
      </c>
      <c r="B986" s="340" t="s">
        <v>2016</v>
      </c>
      <c r="C986" s="340" t="s">
        <v>41</v>
      </c>
      <c r="D986" s="340" t="s">
        <v>52</v>
      </c>
      <c r="E986" s="340" t="s">
        <v>2017</v>
      </c>
      <c r="F986" s="341">
        <v>44483.6986901157</v>
      </c>
      <c r="G986" s="341"/>
      <c r="H986" s="341"/>
      <c r="I986" s="341" t="s">
        <v>3</v>
      </c>
      <c r="J986" s="340" t="s">
        <v>1158</v>
      </c>
      <c r="K986" s="340" t="s">
        <v>101</v>
      </c>
      <c r="L986" s="14">
        <v>44457</v>
      </c>
      <c r="M986" t="s">
        <v>2093</v>
      </c>
      <c r="N986" s="173">
        <v>44457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44457</v>
      </c>
    </row>
    <row r="987" spans="1:30">
      <c r="A987" s="340">
        <f>COUNTA($D$3:$D$987)</f>
        <v>985</v>
      </c>
      <c r="B987" s="340" t="s">
        <v>2001</v>
      </c>
      <c r="C987" s="340" t="s">
        <v>21</v>
      </c>
      <c r="D987" s="340" t="s">
        <v>34</v>
      </c>
      <c r="E987" s="340" t="s">
        <v>1682</v>
      </c>
      <c r="F987" s="341">
        <v>44476.744615798598</v>
      </c>
      <c r="G987" s="341"/>
      <c r="H987" s="341"/>
      <c r="I987" s="341" t="s">
        <v>3</v>
      </c>
      <c r="J987" s="340" t="s">
        <v>1649</v>
      </c>
      <c r="K987" s="340" t="s">
        <v>54</v>
      </c>
      <c r="L987" s="14">
        <v>44457</v>
      </c>
      <c r="M987" t="s">
        <v>2092</v>
      </c>
      <c r="N987" s="173">
        <v>44457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44457</v>
      </c>
    </row>
    <row r="988" spans="1:30">
      <c r="A988" s="340">
        <f>COUNTA($D$3:$D$988)</f>
        <v>986</v>
      </c>
      <c r="B988" s="340" t="s">
        <v>1891</v>
      </c>
      <c r="C988" s="340" t="s">
        <v>21</v>
      </c>
      <c r="D988" s="340" t="s">
        <v>1193</v>
      </c>
      <c r="E988" s="340" t="s">
        <v>1892</v>
      </c>
      <c r="F988" s="341">
        <v>44446</v>
      </c>
      <c r="G988" s="341"/>
      <c r="H988" s="341">
        <v>44479</v>
      </c>
      <c r="I988" s="341" t="s">
        <v>3</v>
      </c>
      <c r="J988" s="340" t="s">
        <v>514</v>
      </c>
      <c r="K988" s="340" t="s">
        <v>54</v>
      </c>
      <c r="L988" s="14">
        <v>44457</v>
      </c>
      <c r="M988" t="s">
        <v>2092</v>
      </c>
      <c r="N988" s="173">
        <v>44457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44457</v>
      </c>
    </row>
    <row r="989" spans="1:30">
      <c r="A989" s="340">
        <f>COUNTA($D$3:$D$989)</f>
        <v>987</v>
      </c>
      <c r="B989" s="340" t="s">
        <v>1957</v>
      </c>
      <c r="C989" s="340" t="s">
        <v>1119</v>
      </c>
      <c r="D989" s="340" t="s">
        <v>38</v>
      </c>
      <c r="E989" s="340" t="s">
        <v>2007</v>
      </c>
      <c r="F989" s="341">
        <v>44468</v>
      </c>
      <c r="G989" s="341"/>
      <c r="H989" s="341">
        <v>44471</v>
      </c>
      <c r="I989" s="341" t="s">
        <v>2</v>
      </c>
      <c r="J989" s="340" t="s">
        <v>1485</v>
      </c>
      <c r="K989" s="340" t="s">
        <v>101</v>
      </c>
      <c r="L989" s="14">
        <v>44457</v>
      </c>
      <c r="N989" s="173">
        <v>44457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44457</v>
      </c>
    </row>
    <row r="990" spans="1:30">
      <c r="A990" s="340">
        <f>COUNTA($D$3:$D$990)</f>
        <v>988</v>
      </c>
      <c r="B990" s="340" t="s">
        <v>1889</v>
      </c>
      <c r="C990" s="340" t="s">
        <v>21</v>
      </c>
      <c r="D990" s="340" t="s">
        <v>30</v>
      </c>
      <c r="E990" s="340" t="s">
        <v>1890</v>
      </c>
      <c r="F990" s="341">
        <v>44446</v>
      </c>
      <c r="G990" s="341"/>
      <c r="H990" s="341" t="s">
        <v>55</v>
      </c>
      <c r="I990" s="341" t="s">
        <v>2</v>
      </c>
      <c r="J990" s="340" t="s">
        <v>1485</v>
      </c>
      <c r="K990" s="340" t="s">
        <v>101</v>
      </c>
      <c r="L990" s="14">
        <v>44457</v>
      </c>
      <c r="M990" t="s">
        <v>2092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>
      <c r="A991" s="340">
        <f>COUNTA($D$3:$D$991)</f>
        <v>989</v>
      </c>
      <c r="B991" s="340" t="s">
        <v>2004</v>
      </c>
      <c r="C991" s="340" t="s">
        <v>1090</v>
      </c>
      <c r="D991" s="340" t="s">
        <v>47</v>
      </c>
      <c r="E991" s="340" t="s">
        <v>1091</v>
      </c>
      <c r="F991" s="341">
        <v>44480</v>
      </c>
      <c r="G991" s="341"/>
      <c r="H991" s="341"/>
      <c r="I991" s="341" t="s">
        <v>3</v>
      </c>
      <c r="J991" s="340" t="s">
        <v>1485</v>
      </c>
      <c r="K991" s="340" t="s">
        <v>54</v>
      </c>
      <c r="L991" s="14">
        <v>44457</v>
      </c>
      <c r="M991" t="s">
        <v>2094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>
      <c r="A992" s="340">
        <f>COUNTA($D$3:$D$992)</f>
        <v>990</v>
      </c>
      <c r="B992" s="340" t="s">
        <v>1961</v>
      </c>
      <c r="C992" s="340" t="s">
        <v>1099</v>
      </c>
      <c r="D992" s="340" t="s">
        <v>38</v>
      </c>
      <c r="E992" s="340" t="s">
        <v>1661</v>
      </c>
      <c r="F992" s="341">
        <v>44467.663136574076</v>
      </c>
      <c r="G992" s="341"/>
      <c r="H992" s="341"/>
      <c r="I992" s="341" t="s">
        <v>2</v>
      </c>
      <c r="J992" s="340" t="s">
        <v>1662</v>
      </c>
      <c r="K992" s="340" t="s">
        <v>125</v>
      </c>
      <c r="L992" s="14">
        <v>44451</v>
      </c>
      <c r="N992" s="173">
        <v>44453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44453</v>
      </c>
    </row>
    <row r="993" spans="1:30">
      <c r="A993" s="340">
        <f>COUNTA($D$3:$D$993)</f>
        <v>991</v>
      </c>
      <c r="B993" s="340" t="s">
        <v>1960</v>
      </c>
      <c r="C993" s="340" t="s">
        <v>1100</v>
      </c>
      <c r="D993" s="340" t="s">
        <v>30</v>
      </c>
      <c r="E993" s="340" t="s">
        <v>1260</v>
      </c>
      <c r="F993" s="341">
        <v>44470.559803240743</v>
      </c>
      <c r="G993" s="341"/>
      <c r="H993" s="341"/>
      <c r="I993" s="341" t="s">
        <v>2</v>
      </c>
      <c r="J993" s="340" t="s">
        <v>1664</v>
      </c>
      <c r="K993" s="340" t="s">
        <v>54</v>
      </c>
      <c r="L993" s="14">
        <v>44451</v>
      </c>
      <c r="N993" s="173">
        <v>44452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44452</v>
      </c>
    </row>
    <row r="994" spans="1:30">
      <c r="A994" s="340">
        <f>COUNTA($D$3:$D$994)</f>
        <v>992</v>
      </c>
      <c r="B994" s="340" t="s">
        <v>1958</v>
      </c>
      <c r="C994" s="340" t="s">
        <v>1224</v>
      </c>
      <c r="D994" s="340" t="s">
        <v>58</v>
      </c>
      <c r="E994" s="340" t="s">
        <v>1225</v>
      </c>
      <c r="F994" s="341">
        <v>44470.649687500001</v>
      </c>
      <c r="G994" s="341"/>
      <c r="H994" s="341"/>
      <c r="I994" s="341" t="s">
        <v>2</v>
      </c>
      <c r="J994" s="340" t="s">
        <v>1959</v>
      </c>
      <c r="K994" s="340" t="s">
        <v>54</v>
      </c>
      <c r="L994" s="14">
        <v>44451</v>
      </c>
      <c r="M994" t="s">
        <v>2094</v>
      </c>
      <c r="N994" s="173">
        <v>44451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44451</v>
      </c>
    </row>
    <row r="995" spans="1:30">
      <c r="A995" s="340">
        <f>COUNTA($D$3:$D$995)</f>
        <v>993</v>
      </c>
      <c r="B995" s="340" t="s">
        <v>1857</v>
      </c>
      <c r="C995" s="340" t="s">
        <v>301</v>
      </c>
      <c r="D995" s="340" t="s">
        <v>38</v>
      </c>
      <c r="E995" s="340" t="s">
        <v>1280</v>
      </c>
      <c r="F995" s="341">
        <v>44403</v>
      </c>
      <c r="G995" s="341"/>
      <c r="H995" s="341">
        <v>44403</v>
      </c>
      <c r="I995" s="341" t="s">
        <v>2</v>
      </c>
      <c r="J995" s="340" t="s">
        <v>1700</v>
      </c>
      <c r="K995" s="340" t="s">
        <v>54</v>
      </c>
      <c r="L995" s="14">
        <v>44451</v>
      </c>
      <c r="N995" s="173">
        <v>44451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44451</v>
      </c>
    </row>
    <row r="996" spans="1:30">
      <c r="A996" s="340">
        <f>COUNTA($D$3:$D$996)</f>
        <v>994</v>
      </c>
      <c r="B996" s="340" t="s">
        <v>1945</v>
      </c>
      <c r="C996" s="340" t="s">
        <v>41</v>
      </c>
      <c r="D996" s="340" t="s">
        <v>27</v>
      </c>
      <c r="E996" s="340" t="s">
        <v>1642</v>
      </c>
      <c r="F996" s="341">
        <v>44463.652083333334</v>
      </c>
      <c r="G996" s="341"/>
      <c r="H996" s="341"/>
      <c r="I996" s="341" t="s">
        <v>1110</v>
      </c>
      <c r="J996" s="340" t="s">
        <v>1668</v>
      </c>
      <c r="K996" s="340" t="s">
        <v>54</v>
      </c>
      <c r="L996" s="14">
        <v>44451</v>
      </c>
      <c r="M996" t="s">
        <v>2093</v>
      </c>
      <c r="N996" s="173">
        <v>44451</v>
      </c>
      <c r="AD996">
        <v>44451</v>
      </c>
    </row>
    <row r="997" spans="1:30">
      <c r="A997" s="340">
        <f>COUNTA($D$3:$D$997)</f>
        <v>995</v>
      </c>
      <c r="B997" s="340" t="s">
        <v>1942</v>
      </c>
      <c r="C997" s="340" t="s">
        <v>1178</v>
      </c>
      <c r="D997" s="340" t="s">
        <v>16</v>
      </c>
      <c r="E997" s="340" t="s">
        <v>1710</v>
      </c>
      <c r="F997" s="341">
        <v>44462</v>
      </c>
      <c r="G997" s="341"/>
      <c r="H997" s="341">
        <v>44462</v>
      </c>
      <c r="I997" s="341" t="s">
        <v>2</v>
      </c>
      <c r="J997" s="340" t="s">
        <v>1875</v>
      </c>
      <c r="K997" s="340" t="s">
        <v>54</v>
      </c>
      <c r="L997" s="14">
        <v>44451</v>
      </c>
      <c r="M997" t="s">
        <v>2092</v>
      </c>
      <c r="N997" s="173">
        <v>44501</v>
      </c>
      <c r="AD997">
        <v>44501</v>
      </c>
    </row>
    <row r="998" spans="1:30">
      <c r="A998" s="340">
        <f>COUNTA($D$3:$D$998)</f>
        <v>996</v>
      </c>
      <c r="B998" s="340" t="s">
        <v>1962</v>
      </c>
      <c r="C998" s="340" t="s">
        <v>37</v>
      </c>
      <c r="D998" s="340" t="s">
        <v>34</v>
      </c>
      <c r="E998" s="340" t="s">
        <v>1963</v>
      </c>
      <c r="F998" s="341">
        <v>44468.707870370374</v>
      </c>
      <c r="G998" s="341"/>
      <c r="H998" s="341">
        <v>44468.707870370374</v>
      </c>
      <c r="I998" s="341" t="s">
        <v>3</v>
      </c>
      <c r="J998" s="340" t="s">
        <v>1666</v>
      </c>
      <c r="K998" s="340" t="s">
        <v>1089</v>
      </c>
      <c r="L998" s="14">
        <v>44422</v>
      </c>
      <c r="M998" t="s">
        <v>2092</v>
      </c>
      <c r="N998" s="173">
        <v>44422</v>
      </c>
      <c r="AD998">
        <v>44422</v>
      </c>
    </row>
    <row r="999" spans="1:30">
      <c r="A999" s="340">
        <f>COUNTA($D$3:$D$999)</f>
        <v>997</v>
      </c>
      <c r="B999" s="340" t="s">
        <v>1966</v>
      </c>
      <c r="C999" s="340" t="s">
        <v>41</v>
      </c>
      <c r="D999" s="340" t="s">
        <v>30</v>
      </c>
      <c r="E999" s="340" t="s">
        <v>1721</v>
      </c>
      <c r="F999" s="341">
        <v>44468</v>
      </c>
      <c r="G999" s="341"/>
      <c r="H999" s="341"/>
      <c r="I999" s="341" t="s">
        <v>3</v>
      </c>
      <c r="J999" s="340" t="s">
        <v>1649</v>
      </c>
      <c r="K999" s="340" t="s">
        <v>54</v>
      </c>
      <c r="L999" s="14">
        <v>44409</v>
      </c>
      <c r="M999" t="s">
        <v>2093</v>
      </c>
      <c r="N999" s="173">
        <v>44409</v>
      </c>
      <c r="AD999">
        <v>44409</v>
      </c>
    </row>
    <row r="1000" spans="1:30">
      <c r="A1000" s="340">
        <f>COUNTA($D$3:$D$1000)</f>
        <v>998</v>
      </c>
      <c r="B1000" s="340" t="s">
        <v>1967</v>
      </c>
      <c r="C1000" s="340" t="s">
        <v>41</v>
      </c>
      <c r="D1000" s="340" t="s">
        <v>49</v>
      </c>
      <c r="E1000" s="340" t="s">
        <v>1144</v>
      </c>
      <c r="F1000" s="341">
        <v>44468.516215277778</v>
      </c>
      <c r="G1000" s="341"/>
      <c r="H1000" s="341"/>
      <c r="I1000" s="341" t="s">
        <v>3</v>
      </c>
      <c r="J1000" s="340" t="s">
        <v>1968</v>
      </c>
      <c r="K1000" s="340" t="s">
        <v>54</v>
      </c>
      <c r="L1000" s="14">
        <v>44409</v>
      </c>
      <c r="M1000" t="s">
        <v>2093</v>
      </c>
      <c r="N1000" s="173">
        <v>44409</v>
      </c>
      <c r="AD1000">
        <v>44409</v>
      </c>
    </row>
    <row r="1001" spans="1:30">
      <c r="A1001" s="340">
        <f>COUNTA($D$3:$D$1001)</f>
        <v>999</v>
      </c>
      <c r="B1001" s="340" t="s">
        <v>1964</v>
      </c>
      <c r="C1001" s="340" t="s">
        <v>37</v>
      </c>
      <c r="D1001" s="340" t="s">
        <v>34</v>
      </c>
      <c r="E1001" s="340" t="s">
        <v>1807</v>
      </c>
      <c r="F1001" s="341">
        <v>44468</v>
      </c>
      <c r="G1001" s="341"/>
      <c r="H1001" s="341"/>
      <c r="I1001" s="341" t="s">
        <v>3</v>
      </c>
      <c r="J1001" s="340" t="s">
        <v>1965</v>
      </c>
      <c r="K1001" s="340" t="s">
        <v>33</v>
      </c>
      <c r="L1001" s="14">
        <v>44409</v>
      </c>
      <c r="M1001" t="s">
        <v>2092</v>
      </c>
      <c r="N1001" s="173">
        <v>44409</v>
      </c>
      <c r="AD1001">
        <v>44409</v>
      </c>
    </row>
    <row r="1002" spans="1:30">
      <c r="A1002" s="340">
        <f>COUNTA($D$3:$D$1002)</f>
        <v>1000</v>
      </c>
      <c r="B1002" s="340" t="s">
        <v>1933</v>
      </c>
      <c r="C1002" s="340" t="s">
        <v>44</v>
      </c>
      <c r="D1002" s="340" t="s">
        <v>34</v>
      </c>
      <c r="E1002" s="340" t="s">
        <v>126</v>
      </c>
      <c r="F1002" s="341">
        <v>44454.79105324074</v>
      </c>
      <c r="G1002" s="341"/>
      <c r="H1002" s="341"/>
      <c r="I1002" s="341" t="s">
        <v>3</v>
      </c>
      <c r="J1002" s="340" t="s">
        <v>1666</v>
      </c>
      <c r="K1002" s="340" t="s">
        <v>125</v>
      </c>
      <c r="L1002" s="14">
        <v>44402</v>
      </c>
      <c r="M1002" t="s">
        <v>2093</v>
      </c>
      <c r="N1002" s="173">
        <v>44402</v>
      </c>
      <c r="AD1002">
        <v>44402</v>
      </c>
    </row>
    <row r="1003" spans="1:30">
      <c r="A1003" s="340">
        <f>COUNTA($D$3:$D$1003)</f>
        <v>1001</v>
      </c>
      <c r="B1003" s="340" t="s">
        <v>1813</v>
      </c>
      <c r="C1003" s="340" t="s">
        <v>41</v>
      </c>
      <c r="D1003" s="340" t="s">
        <v>49</v>
      </c>
      <c r="E1003" s="340" t="s">
        <v>1088</v>
      </c>
      <c r="F1003" s="341">
        <v>44385</v>
      </c>
      <c r="G1003" s="341"/>
      <c r="H1003" s="341"/>
      <c r="I1003" s="341" t="s">
        <v>3</v>
      </c>
      <c r="J1003" s="340" t="s">
        <v>1724</v>
      </c>
      <c r="K1003" s="340" t="s">
        <v>33</v>
      </c>
      <c r="L1003" s="14">
        <v>44402</v>
      </c>
      <c r="M1003" t="s">
        <v>2093</v>
      </c>
      <c r="N1003" s="173">
        <v>44402</v>
      </c>
      <c r="AD1003">
        <v>44402</v>
      </c>
    </row>
    <row r="1004" spans="1:30">
      <c r="A1004" s="340">
        <f>COUNTA($D$3:$D$1004)</f>
        <v>1002</v>
      </c>
      <c r="B1004" s="340" t="s">
        <v>1926</v>
      </c>
      <c r="C1004" s="340" t="s">
        <v>93</v>
      </c>
      <c r="D1004" s="340" t="s">
        <v>16</v>
      </c>
      <c r="E1004" s="340" t="s">
        <v>1236</v>
      </c>
      <c r="F1004" s="341">
        <v>44455.706797557898</v>
      </c>
      <c r="G1004" s="341"/>
      <c r="H1004" s="341"/>
      <c r="I1004" s="341" t="s">
        <v>3</v>
      </c>
      <c r="J1004" s="340" t="s">
        <v>1934</v>
      </c>
      <c r="K1004" s="340" t="s">
        <v>1089</v>
      </c>
      <c r="L1004" s="14">
        <v>44402</v>
      </c>
      <c r="M1004" t="s">
        <v>2094</v>
      </c>
      <c r="N1004" s="173">
        <v>44402</v>
      </c>
      <c r="AD1004">
        <v>44402</v>
      </c>
    </row>
    <row r="1005" spans="1:30">
      <c r="A1005" s="340">
        <f>COUNTA($D$3:$D$1005)</f>
        <v>1003</v>
      </c>
      <c r="B1005" s="340" t="s">
        <v>1938</v>
      </c>
      <c r="C1005" s="340" t="s">
        <v>44</v>
      </c>
      <c r="D1005" s="340" t="s">
        <v>30</v>
      </c>
      <c r="E1005" s="340" t="s">
        <v>81</v>
      </c>
      <c r="F1005" s="341">
        <v>44459.790324074071</v>
      </c>
      <c r="G1005" s="341"/>
      <c r="H1005" s="341"/>
      <c r="I1005" s="341" t="s">
        <v>3</v>
      </c>
      <c r="J1005" s="340" t="s">
        <v>1720</v>
      </c>
      <c r="K1005" s="340" t="s">
        <v>1089</v>
      </c>
      <c r="L1005" s="14">
        <v>44402</v>
      </c>
      <c r="M1005" t="s">
        <v>2093</v>
      </c>
      <c r="N1005" s="173">
        <v>44402</v>
      </c>
      <c r="AD1005">
        <v>44402</v>
      </c>
    </row>
    <row r="1006" spans="1:30">
      <c r="A1006" s="340">
        <f>COUNTA($D$3:$D$1006)</f>
        <v>1004</v>
      </c>
      <c r="B1006" s="340" t="s">
        <v>1943</v>
      </c>
      <c r="C1006" s="340" t="s">
        <v>44</v>
      </c>
      <c r="D1006" s="340" t="s">
        <v>27</v>
      </c>
      <c r="E1006" s="340" t="s">
        <v>1944</v>
      </c>
      <c r="F1006" s="341">
        <v>44462</v>
      </c>
      <c r="G1006" s="341"/>
      <c r="H1006" s="341"/>
      <c r="I1006" s="341" t="s">
        <v>4</v>
      </c>
      <c r="J1006" s="340" t="s">
        <v>1668</v>
      </c>
      <c r="K1006" s="340" t="s">
        <v>101</v>
      </c>
      <c r="L1006" s="14">
        <v>44402</v>
      </c>
      <c r="M1006" t="s">
        <v>2093</v>
      </c>
      <c r="N1006" s="173">
        <v>44402</v>
      </c>
      <c r="AD1006">
        <v>44402</v>
      </c>
    </row>
    <row r="1007" spans="1:30">
      <c r="A1007" s="340">
        <f>COUNTA($D$3:$D$1007)</f>
        <v>1005</v>
      </c>
      <c r="B1007" s="340" t="s">
        <v>1863</v>
      </c>
      <c r="C1007" s="340" t="s">
        <v>71</v>
      </c>
      <c r="D1007" s="340" t="s">
        <v>51</v>
      </c>
      <c r="E1007" s="340" t="s">
        <v>1128</v>
      </c>
      <c r="F1007" s="341">
        <v>44434.888287037</v>
      </c>
      <c r="G1007" s="341"/>
      <c r="H1007" s="341"/>
      <c r="I1007" s="341" t="s">
        <v>2</v>
      </c>
      <c r="J1007" s="340" t="s">
        <v>1766</v>
      </c>
      <c r="K1007" s="340" t="s">
        <v>20</v>
      </c>
      <c r="L1007" s="14">
        <v>44402</v>
      </c>
      <c r="M1007" t="s">
        <v>2094</v>
      </c>
      <c r="N1007" s="173">
        <v>44402</v>
      </c>
      <c r="AD1007">
        <v>44402</v>
      </c>
    </row>
    <row r="1008" spans="1:30">
      <c r="A1008" s="340">
        <f>COUNTA($D$3:$D$1008)</f>
        <v>1006</v>
      </c>
      <c r="B1008" s="340" t="s">
        <v>1941</v>
      </c>
      <c r="C1008" s="340" t="s">
        <v>1218</v>
      </c>
      <c r="D1008" s="340" t="s">
        <v>30</v>
      </c>
      <c r="E1008" s="340" t="s">
        <v>1276</v>
      </c>
      <c r="F1008" s="341">
        <v>44461.649375000001</v>
      </c>
      <c r="G1008" s="341"/>
      <c r="H1008" s="341"/>
      <c r="I1008" s="341" t="s">
        <v>3</v>
      </c>
      <c r="J1008" s="340" t="s">
        <v>1249</v>
      </c>
      <c r="K1008" s="340" t="s">
        <v>20</v>
      </c>
      <c r="L1008" s="14">
        <v>44402</v>
      </c>
      <c r="M1008" t="s">
        <v>2094</v>
      </c>
      <c r="N1008" s="173">
        <v>44402</v>
      </c>
      <c r="AD1008">
        <v>44402</v>
      </c>
    </row>
    <row r="1009" spans="1:30">
      <c r="A1009" s="340">
        <f>COUNTA($D$3:$D$1009)</f>
        <v>1007</v>
      </c>
      <c r="B1009" s="340" t="s">
        <v>1864</v>
      </c>
      <c r="C1009" s="340" t="s">
        <v>1865</v>
      </c>
      <c r="D1009" s="340" t="s">
        <v>16</v>
      </c>
      <c r="E1009" s="340" t="s">
        <v>1866</v>
      </c>
      <c r="F1009" s="341">
        <v>44440</v>
      </c>
      <c r="G1009" s="341"/>
      <c r="H1009" s="341"/>
      <c r="I1009" s="341" t="s">
        <v>2</v>
      </c>
      <c r="J1009" s="340" t="s">
        <v>1664</v>
      </c>
      <c r="K1009" s="340" t="s">
        <v>20</v>
      </c>
      <c r="L1009" s="14">
        <v>44402</v>
      </c>
      <c r="M1009" t="s">
        <v>2094</v>
      </c>
      <c r="N1009" s="173">
        <v>44402</v>
      </c>
      <c r="AD1009">
        <v>44402</v>
      </c>
    </row>
    <row r="1010" spans="1:30">
      <c r="A1010" s="340">
        <f>COUNTA($D$3:$D$1010)</f>
        <v>1008</v>
      </c>
      <c r="B1010" s="340" t="s">
        <v>1924</v>
      </c>
      <c r="C1010" s="340" t="s">
        <v>21</v>
      </c>
      <c r="D1010" s="340" t="s">
        <v>23</v>
      </c>
      <c r="E1010" s="340" t="s">
        <v>1925</v>
      </c>
      <c r="F1010" s="341">
        <v>44452.734578611096</v>
      </c>
      <c r="G1010" s="341"/>
      <c r="H1010" s="341"/>
      <c r="I1010" s="341" t="s">
        <v>3</v>
      </c>
      <c r="J1010" s="340" t="s">
        <v>1666</v>
      </c>
      <c r="K1010" s="340" t="s">
        <v>125</v>
      </c>
      <c r="L1010" s="14">
        <v>44394</v>
      </c>
      <c r="M1010" t="s">
        <v>2092</v>
      </c>
      <c r="N1010" s="173">
        <v>44394</v>
      </c>
      <c r="AD1010">
        <v>44394</v>
      </c>
    </row>
    <row r="1011" spans="1:30">
      <c r="A1011" s="340">
        <f>COUNTA($D$3:$D$1011)</f>
        <v>1009</v>
      </c>
      <c r="B1011" s="340" t="s">
        <v>1913</v>
      </c>
      <c r="C1011" s="340" t="s">
        <v>21</v>
      </c>
      <c r="D1011" s="340" t="s">
        <v>1169</v>
      </c>
      <c r="E1011" s="340" t="s">
        <v>1170</v>
      </c>
      <c r="F1011" s="341">
        <v>44452.726817129631</v>
      </c>
      <c r="G1011" s="341"/>
      <c r="H1011" s="341"/>
      <c r="I1011" s="341" t="s">
        <v>3</v>
      </c>
      <c r="J1011" s="340" t="s">
        <v>1485</v>
      </c>
      <c r="K1011" s="340" t="s">
        <v>125</v>
      </c>
      <c r="L1011" s="14">
        <v>44394</v>
      </c>
      <c r="M1011" t="s">
        <v>2092</v>
      </c>
      <c r="N1011" s="173">
        <v>44394</v>
      </c>
      <c r="AD1011">
        <v>44394</v>
      </c>
    </row>
    <row r="1012" spans="1:30">
      <c r="A1012" s="340">
        <f>COUNTA($D$3:$D$1012)</f>
        <v>1010</v>
      </c>
      <c r="B1012" s="340" t="s">
        <v>1914</v>
      </c>
      <c r="C1012" s="340" t="s">
        <v>21</v>
      </c>
      <c r="D1012" s="340" t="s">
        <v>34</v>
      </c>
      <c r="E1012" s="340" t="s">
        <v>1256</v>
      </c>
      <c r="F1012" s="341">
        <v>44452.727569444447</v>
      </c>
      <c r="G1012" s="341"/>
      <c r="H1012" s="341"/>
      <c r="I1012" s="341" t="s">
        <v>3</v>
      </c>
      <c r="J1012" s="340" t="s">
        <v>1485</v>
      </c>
      <c r="K1012" s="340" t="s">
        <v>1089</v>
      </c>
      <c r="L1012" s="14">
        <v>44394</v>
      </c>
      <c r="M1012" t="s">
        <v>2092</v>
      </c>
      <c r="N1012" s="173">
        <v>44394</v>
      </c>
      <c r="AD1012">
        <v>44394</v>
      </c>
    </row>
    <row r="1013" spans="1:30">
      <c r="A1013" s="340">
        <f>COUNTA($D$3:$D$1013)</f>
        <v>1011</v>
      </c>
      <c r="B1013" s="340" t="s">
        <v>1922</v>
      </c>
      <c r="C1013" s="340" t="s">
        <v>41</v>
      </c>
      <c r="D1013" s="340" t="s">
        <v>34</v>
      </c>
      <c r="E1013" s="340" t="s">
        <v>1923</v>
      </c>
      <c r="F1013" s="341">
        <v>44452.733541666668</v>
      </c>
      <c r="G1013" s="341"/>
      <c r="H1013" s="341"/>
      <c r="I1013" s="341" t="s">
        <v>3</v>
      </c>
      <c r="J1013" s="340" t="s">
        <v>1720</v>
      </c>
      <c r="K1013" s="340" t="s">
        <v>125</v>
      </c>
      <c r="L1013" s="14">
        <v>44394</v>
      </c>
      <c r="M1013" t="s">
        <v>2093</v>
      </c>
      <c r="N1013" s="173">
        <v>44394</v>
      </c>
      <c r="AD1013">
        <v>44394</v>
      </c>
    </row>
    <row r="1014" spans="1:30">
      <c r="A1014" s="340">
        <f>COUNTA($D$3:$D$1014)</f>
        <v>1012</v>
      </c>
      <c r="B1014" s="340" t="s">
        <v>1915</v>
      </c>
      <c r="C1014" s="340" t="s">
        <v>41</v>
      </c>
      <c r="D1014" s="340" t="s">
        <v>1125</v>
      </c>
      <c r="E1014" s="340" t="s">
        <v>1135</v>
      </c>
      <c r="F1014" s="341">
        <v>44452.728761574072</v>
      </c>
      <c r="G1014" s="341"/>
      <c r="H1014" s="341"/>
      <c r="I1014" s="341" t="s">
        <v>3</v>
      </c>
      <c r="J1014" s="340" t="s">
        <v>1916</v>
      </c>
      <c r="K1014" s="340" t="s">
        <v>33</v>
      </c>
      <c r="L1014" s="14">
        <v>44394</v>
      </c>
      <c r="M1014" t="s">
        <v>2093</v>
      </c>
      <c r="N1014" s="173">
        <v>44394</v>
      </c>
      <c r="AD1014">
        <v>44394</v>
      </c>
    </row>
    <row r="1015" spans="1:30">
      <c r="A1015" s="340">
        <f>COUNTA($D$3:$D$1015)</f>
        <v>1013</v>
      </c>
      <c r="B1015" s="340" t="s">
        <v>1931</v>
      </c>
      <c r="C1015" s="340" t="s">
        <v>1149</v>
      </c>
      <c r="D1015" s="340" t="s">
        <v>58</v>
      </c>
      <c r="E1015" s="340" t="s">
        <v>1150</v>
      </c>
      <c r="F1015" s="341">
        <v>44454.789722222224</v>
      </c>
      <c r="G1015" s="341"/>
      <c r="H1015" s="341"/>
      <c r="I1015" s="341" t="s">
        <v>3</v>
      </c>
      <c r="J1015" s="340" t="s">
        <v>1932</v>
      </c>
      <c r="K1015" s="340" t="s">
        <v>1089</v>
      </c>
      <c r="L1015" s="14">
        <v>44394</v>
      </c>
      <c r="M1015" t="s">
        <v>2092</v>
      </c>
      <c r="N1015" s="173">
        <v>44394</v>
      </c>
      <c r="AD1015">
        <v>44394</v>
      </c>
    </row>
    <row r="1016" spans="1:30">
      <c r="A1016" s="340">
        <f>COUNTA($D$3:$D$1016)</f>
        <v>1014</v>
      </c>
      <c r="B1016" s="340" t="s">
        <v>1920</v>
      </c>
      <c r="C1016" s="340" t="s">
        <v>21</v>
      </c>
      <c r="D1016" s="340" t="s">
        <v>25</v>
      </c>
      <c r="E1016" s="340" t="s">
        <v>298</v>
      </c>
      <c r="F1016" s="341">
        <v>44455.657258622698</v>
      </c>
      <c r="G1016" s="341"/>
      <c r="H1016" s="341"/>
      <c r="I1016" s="341" t="s">
        <v>3</v>
      </c>
      <c r="J1016" s="340" t="s">
        <v>1921</v>
      </c>
      <c r="K1016" s="340" t="s">
        <v>33</v>
      </c>
      <c r="L1016" s="14">
        <v>44394</v>
      </c>
      <c r="M1016" t="s">
        <v>2092</v>
      </c>
      <c r="N1016" s="173">
        <v>44394</v>
      </c>
      <c r="AD1016">
        <v>44394</v>
      </c>
    </row>
    <row r="1017" spans="1:30">
      <c r="A1017" s="340">
        <f>COUNTA($D$3:$D$1017)</f>
        <v>1015</v>
      </c>
      <c r="B1017" s="340" t="s">
        <v>1927</v>
      </c>
      <c r="C1017" s="340" t="s">
        <v>37</v>
      </c>
      <c r="D1017" s="340" t="s">
        <v>34</v>
      </c>
      <c r="E1017" s="340" t="s">
        <v>1141</v>
      </c>
      <c r="F1017" s="341">
        <v>44454.786829375</v>
      </c>
      <c r="G1017" s="341"/>
      <c r="H1017" s="341"/>
      <c r="I1017" s="341" t="s">
        <v>3</v>
      </c>
      <c r="J1017" s="340" t="s">
        <v>1647</v>
      </c>
      <c r="K1017" s="340" t="s">
        <v>1277</v>
      </c>
      <c r="L1017" s="14">
        <v>44394</v>
      </c>
      <c r="M1017" t="s">
        <v>2092</v>
      </c>
      <c r="N1017" s="173">
        <v>44394</v>
      </c>
      <c r="AD1017">
        <v>44394</v>
      </c>
    </row>
    <row r="1018" spans="1:30">
      <c r="A1018" s="340">
        <f>COUNTA($D$3:$D$1018)</f>
        <v>1016</v>
      </c>
      <c r="B1018" s="340" t="s">
        <v>1919</v>
      </c>
      <c r="C1018" s="340" t="s">
        <v>21</v>
      </c>
      <c r="D1018" s="340" t="s">
        <v>34</v>
      </c>
      <c r="E1018" s="340" t="s">
        <v>1682</v>
      </c>
      <c r="F1018" s="341">
        <v>44452.731087962966</v>
      </c>
      <c r="G1018" s="341"/>
      <c r="H1018" s="341"/>
      <c r="I1018" s="341" t="s">
        <v>3</v>
      </c>
      <c r="J1018" s="340" t="s">
        <v>1485</v>
      </c>
      <c r="K1018" s="340" t="s">
        <v>33</v>
      </c>
      <c r="L1018" s="14">
        <v>44394</v>
      </c>
      <c r="M1018" t="s">
        <v>2092</v>
      </c>
      <c r="N1018" s="173">
        <v>44394</v>
      </c>
      <c r="AD1018">
        <v>44394</v>
      </c>
    </row>
    <row r="1019" spans="1:30">
      <c r="A1019" s="340">
        <f>COUNTA($D$3:$D$1019)</f>
        <v>1017</v>
      </c>
      <c r="B1019" s="340" t="s">
        <v>1928</v>
      </c>
      <c r="C1019" s="340" t="s">
        <v>37</v>
      </c>
      <c r="D1019" s="340" t="s">
        <v>34</v>
      </c>
      <c r="E1019" s="340" t="s">
        <v>1146</v>
      </c>
      <c r="F1019" s="341">
        <v>44454.788151724497</v>
      </c>
      <c r="G1019" s="341"/>
      <c r="H1019" s="341"/>
      <c r="I1019" s="341" t="s">
        <v>3</v>
      </c>
      <c r="J1019" s="340" t="s">
        <v>1647</v>
      </c>
      <c r="K1019" s="340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>
      <c r="A1020" s="340">
        <f>COUNTA($D$3:$D$1020)</f>
        <v>1018</v>
      </c>
      <c r="B1020" s="340" t="s">
        <v>1929</v>
      </c>
      <c r="C1020" s="340" t="s">
        <v>37</v>
      </c>
      <c r="D1020" s="340" t="s">
        <v>30</v>
      </c>
      <c r="E1020" s="340" t="s">
        <v>1232</v>
      </c>
      <c r="F1020" s="341">
        <v>44454.789085648146</v>
      </c>
      <c r="G1020" s="341"/>
      <c r="H1020" s="341"/>
      <c r="I1020" s="341" t="s">
        <v>3</v>
      </c>
      <c r="J1020" s="340" t="s">
        <v>1930</v>
      </c>
      <c r="K1020" s="340" t="s">
        <v>33</v>
      </c>
      <c r="L1020" s="14">
        <v>44394</v>
      </c>
      <c r="M1020" t="s">
        <v>2092</v>
      </c>
      <c r="N1020" s="173">
        <v>44394</v>
      </c>
    </row>
    <row r="1021" spans="1:30">
      <c r="A1021" s="340">
        <f>COUNTA($D$3:$D$1021)</f>
        <v>1019</v>
      </c>
      <c r="B1021" s="340" t="s">
        <v>1885</v>
      </c>
      <c r="C1021" s="340" t="s">
        <v>44</v>
      </c>
      <c r="D1021" s="340" t="s">
        <v>49</v>
      </c>
      <c r="E1021" s="340" t="s">
        <v>61</v>
      </c>
      <c r="F1021" s="341">
        <v>44446.748553240737</v>
      </c>
      <c r="G1021" s="341"/>
      <c r="H1021" s="341"/>
      <c r="I1021" s="341" t="s">
        <v>3</v>
      </c>
      <c r="J1021" s="340" t="s">
        <v>1485</v>
      </c>
      <c r="K1021" s="340" t="s">
        <v>53</v>
      </c>
      <c r="L1021" s="14">
        <v>44387</v>
      </c>
      <c r="M1021" t="s">
        <v>2093</v>
      </c>
      <c r="N1021" s="173">
        <v>44387</v>
      </c>
    </row>
    <row r="1022" spans="1:30">
      <c r="A1022" s="340">
        <f>COUNTA($D$3:$D$1022)</f>
        <v>1020</v>
      </c>
      <c r="B1022" s="340" t="s">
        <v>1886</v>
      </c>
      <c r="C1022" s="340" t="s">
        <v>44</v>
      </c>
      <c r="D1022" s="340" t="s">
        <v>56</v>
      </c>
      <c r="E1022" s="340" t="s">
        <v>118</v>
      </c>
      <c r="F1022" s="341">
        <v>44446.748993055553</v>
      </c>
      <c r="G1022" s="341"/>
      <c r="H1022" s="341"/>
      <c r="I1022" s="341" t="s">
        <v>3</v>
      </c>
      <c r="J1022" s="340" t="s">
        <v>1485</v>
      </c>
      <c r="K1022" s="340" t="s">
        <v>33</v>
      </c>
      <c r="L1022" s="14">
        <v>44387</v>
      </c>
      <c r="M1022" t="s">
        <v>2093</v>
      </c>
      <c r="N1022" s="173">
        <v>44387</v>
      </c>
    </row>
    <row r="1023" spans="1:30">
      <c r="A1023" s="340">
        <f>COUNTA($D$3:$D$1023)</f>
        <v>1021</v>
      </c>
      <c r="B1023" s="340" t="s">
        <v>1880</v>
      </c>
      <c r="C1023" s="340" t="s">
        <v>41</v>
      </c>
      <c r="D1023" s="340" t="s">
        <v>1264</v>
      </c>
      <c r="E1023" s="340" t="s">
        <v>1881</v>
      </c>
      <c r="F1023" s="341">
        <v>44446.74559027778</v>
      </c>
      <c r="G1023" s="341"/>
      <c r="H1023" s="341"/>
      <c r="I1023" s="341" t="s">
        <v>4</v>
      </c>
      <c r="J1023" s="340" t="s">
        <v>1879</v>
      </c>
      <c r="K1023" s="340" t="s">
        <v>53</v>
      </c>
      <c r="L1023" s="14">
        <v>44387</v>
      </c>
      <c r="M1023" t="s">
        <v>2093</v>
      </c>
      <c r="N1023" s="173">
        <v>44387</v>
      </c>
    </row>
    <row r="1024" spans="1:30">
      <c r="A1024" s="340">
        <f>COUNTA($D$3:$D$1024)</f>
        <v>1022</v>
      </c>
      <c r="B1024" s="340" t="s">
        <v>1878</v>
      </c>
      <c r="C1024" s="340" t="s">
        <v>41</v>
      </c>
      <c r="D1024" s="340" t="s">
        <v>1126</v>
      </c>
      <c r="E1024" s="340" t="s">
        <v>1278</v>
      </c>
      <c r="F1024" s="341">
        <v>44446.745092592595</v>
      </c>
      <c r="G1024" s="341"/>
      <c r="H1024" s="341"/>
      <c r="I1024" s="341" t="s">
        <v>1110</v>
      </c>
      <c r="J1024" s="340" t="s">
        <v>1879</v>
      </c>
      <c r="K1024" s="340" t="s">
        <v>20</v>
      </c>
      <c r="L1024" s="14">
        <v>44387</v>
      </c>
      <c r="M1024" t="s">
        <v>2093</v>
      </c>
      <c r="N1024" s="173">
        <v>44387</v>
      </c>
    </row>
    <row r="1025" spans="1:17">
      <c r="A1025" s="340">
        <f>COUNTA($D$3:$D$1025)</f>
        <v>1023</v>
      </c>
      <c r="B1025" s="340" t="s">
        <v>1872</v>
      </c>
      <c r="C1025" s="340" t="s">
        <v>1094</v>
      </c>
      <c r="D1025" s="340" t="s">
        <v>1103</v>
      </c>
      <c r="E1025" s="340" t="s">
        <v>1219</v>
      </c>
      <c r="F1025" s="341">
        <v>44447.829940405099</v>
      </c>
      <c r="G1025" s="341"/>
      <c r="H1025" s="341"/>
      <c r="I1025" s="341" t="s">
        <v>3</v>
      </c>
      <c r="J1025" s="340" t="s">
        <v>1934</v>
      </c>
      <c r="K1025" s="340" t="s">
        <v>54</v>
      </c>
      <c r="L1025" s="14">
        <v>44387</v>
      </c>
      <c r="M1025" t="s">
        <v>2092</v>
      </c>
      <c r="N1025" s="173">
        <v>44387</v>
      </c>
    </row>
    <row r="1026" spans="1:17">
      <c r="A1026" s="340">
        <f>COUNTA($D$3:$D$1026)</f>
        <v>1024</v>
      </c>
      <c r="B1026" s="340" t="s">
        <v>1870</v>
      </c>
      <c r="C1026" s="340" t="s">
        <v>1118</v>
      </c>
      <c r="D1026" s="340" t="s">
        <v>16</v>
      </c>
      <c r="E1026" s="340" t="s">
        <v>1685</v>
      </c>
      <c r="F1026" s="341">
        <v>44440.688298611101</v>
      </c>
      <c r="G1026" s="341"/>
      <c r="H1026" s="341"/>
      <c r="I1026" s="341" t="s">
        <v>3</v>
      </c>
      <c r="J1026" s="340" t="s">
        <v>1649</v>
      </c>
      <c r="K1026" s="340" t="s">
        <v>53</v>
      </c>
      <c r="L1026" s="14">
        <v>44387</v>
      </c>
      <c r="M1026" t="s">
        <v>2094</v>
      </c>
      <c r="N1026" s="173">
        <v>44387</v>
      </c>
    </row>
    <row r="1027" spans="1:17">
      <c r="A1027" s="340">
        <f>COUNTA($D$3:$D$1027)</f>
        <v>1025</v>
      </c>
      <c r="B1027" s="340" t="s">
        <v>1882</v>
      </c>
      <c r="C1027" s="340" t="s">
        <v>41</v>
      </c>
      <c r="D1027" s="340" t="s">
        <v>1172</v>
      </c>
      <c r="E1027" s="340" t="s">
        <v>1883</v>
      </c>
      <c r="F1027" s="341">
        <v>44446.748020833336</v>
      </c>
      <c r="G1027" s="341"/>
      <c r="H1027" s="341"/>
      <c r="I1027" s="341" t="s">
        <v>4</v>
      </c>
      <c r="J1027" s="340" t="s">
        <v>1884</v>
      </c>
      <c r="K1027" s="340" t="s">
        <v>287</v>
      </c>
      <c r="L1027" s="14">
        <v>44387</v>
      </c>
      <c r="M1027" t="s">
        <v>2093</v>
      </c>
      <c r="N1027" s="173">
        <v>44387</v>
      </c>
    </row>
    <row r="1028" spans="1:17">
      <c r="A1028" s="340">
        <f>COUNTA($D$3:$D$1028)</f>
        <v>1026</v>
      </c>
      <c r="B1028" s="340" t="s">
        <v>2048</v>
      </c>
      <c r="C1028" s="340" t="s">
        <v>44</v>
      </c>
      <c r="D1028" s="340" t="s">
        <v>30</v>
      </c>
      <c r="E1028" s="340" t="s">
        <v>79</v>
      </c>
      <c r="F1028" s="341">
        <v>44491</v>
      </c>
      <c r="G1028" s="341"/>
      <c r="H1028" s="341"/>
      <c r="I1028" s="341"/>
      <c r="J1028" s="340"/>
      <c r="K1028" s="340"/>
      <c r="L1028" s="14">
        <v>44603</v>
      </c>
      <c r="M1028" t="s">
        <v>2957</v>
      </c>
      <c r="N1028" s="173">
        <v>44876</v>
      </c>
      <c r="Q1028" t="s">
        <v>22</v>
      </c>
    </row>
    <row r="1029" spans="1:17">
      <c r="A1029" s="340">
        <f>COUNTA($D$3:$D$1029)</f>
        <v>1027</v>
      </c>
      <c r="B1029" s="340" t="s">
        <v>2917</v>
      </c>
      <c r="C1029" s="340" t="s">
        <v>44</v>
      </c>
      <c r="D1029" s="340" t="s">
        <v>30</v>
      </c>
      <c r="E1029" s="340" t="s">
        <v>120</v>
      </c>
      <c r="F1029" s="341">
        <v>44266</v>
      </c>
      <c r="G1029" s="341"/>
      <c r="H1029" s="341"/>
      <c r="I1029" s="341"/>
      <c r="J1029" s="340"/>
      <c r="K1029" s="340"/>
      <c r="L1029" s="14">
        <v>44420</v>
      </c>
      <c r="M1029" t="s">
        <v>2957</v>
      </c>
      <c r="N1029" s="173">
        <v>44876</v>
      </c>
      <c r="Q1029" t="s">
        <v>22</v>
      </c>
    </row>
    <row r="1030" spans="1:17">
      <c r="A1030" s="340">
        <f>COUNTA($D$3:$D$1030)</f>
        <v>1028</v>
      </c>
      <c r="B1030" s="340" t="s">
        <v>2918</v>
      </c>
      <c r="C1030" s="340" t="s">
        <v>44</v>
      </c>
      <c r="D1030" s="340" t="s">
        <v>34</v>
      </c>
      <c r="E1030" s="340" t="s">
        <v>114</v>
      </c>
      <c r="F1030" s="341">
        <v>44138</v>
      </c>
      <c r="G1030" s="341"/>
      <c r="H1030" s="341"/>
      <c r="I1030" s="341"/>
      <c r="J1030" s="340"/>
      <c r="K1030" s="340"/>
      <c r="L1030" s="14">
        <v>44264</v>
      </c>
      <c r="M1030" t="s">
        <v>2957</v>
      </c>
      <c r="N1030" s="173">
        <v>44844</v>
      </c>
      <c r="Q1030" t="s">
        <v>22</v>
      </c>
    </row>
    <row r="1031" spans="1:17">
      <c r="A1031" s="340">
        <f>COUNTA($D$3:$D$1031)</f>
        <v>1029</v>
      </c>
      <c r="B1031" s="340" t="s">
        <v>1917</v>
      </c>
      <c r="C1031" s="340" t="s">
        <v>44</v>
      </c>
      <c r="D1031" s="340" t="s">
        <v>30</v>
      </c>
      <c r="E1031" s="340" t="s">
        <v>84</v>
      </c>
      <c r="F1031" s="341">
        <v>44452</v>
      </c>
      <c r="G1031" s="341"/>
      <c r="H1031" s="341"/>
      <c r="I1031" s="341"/>
      <c r="J1031" s="340"/>
      <c r="K1031" s="340"/>
      <c r="L1031" s="14">
        <v>44565</v>
      </c>
      <c r="M1031" t="s">
        <v>2957</v>
      </c>
      <c r="N1031" s="173">
        <v>44876</v>
      </c>
      <c r="Q1031" t="s">
        <v>22</v>
      </c>
    </row>
    <row r="1032" spans="1:17">
      <c r="A1032" s="340">
        <f>COUNTA($D$3:$D$1032)</f>
        <v>1030</v>
      </c>
      <c r="B1032" s="340" t="s">
        <v>1770</v>
      </c>
      <c r="C1032" s="340" t="s">
        <v>44</v>
      </c>
      <c r="D1032" s="340" t="s">
        <v>34</v>
      </c>
      <c r="E1032" s="340" t="s">
        <v>128</v>
      </c>
      <c r="F1032" s="341">
        <v>44357</v>
      </c>
      <c r="G1032" s="341"/>
      <c r="H1032" s="341"/>
      <c r="I1032" s="341"/>
      <c r="J1032" s="340"/>
      <c r="K1032" s="340"/>
      <c r="L1032" s="14">
        <v>44503</v>
      </c>
      <c r="M1032" t="s">
        <v>2957</v>
      </c>
      <c r="N1032" s="173">
        <v>44876</v>
      </c>
      <c r="Q1032" t="s">
        <v>22</v>
      </c>
    </row>
    <row r="1033" spans="1:17">
      <c r="A1033" s="340">
        <f>COUNTA($D$3:$D$1033)</f>
        <v>1031</v>
      </c>
      <c r="B1033" s="340" t="s">
        <v>2919</v>
      </c>
      <c r="C1033" s="340" t="s">
        <v>44</v>
      </c>
      <c r="D1033" s="340" t="s">
        <v>1123</v>
      </c>
      <c r="E1033" s="340" t="s">
        <v>220</v>
      </c>
      <c r="F1033" s="341">
        <v>44214</v>
      </c>
      <c r="G1033" s="341"/>
      <c r="H1033" s="341"/>
      <c r="I1033" s="341"/>
      <c r="J1033" s="340"/>
      <c r="K1033" s="340"/>
      <c r="L1033" s="14">
        <v>44326</v>
      </c>
      <c r="M1033" t="s">
        <v>2957</v>
      </c>
      <c r="N1033" s="173">
        <v>44876</v>
      </c>
      <c r="Q1033" t="s">
        <v>22</v>
      </c>
    </row>
    <row r="1034" spans="1:17">
      <c r="A1034" s="340">
        <f>COUNTA($D$3:$D$1034)</f>
        <v>1032</v>
      </c>
      <c r="B1034" s="340" t="s">
        <v>2920</v>
      </c>
      <c r="C1034" s="340" t="s">
        <v>44</v>
      </c>
      <c r="D1034" s="340" t="s">
        <v>56</v>
      </c>
      <c r="E1034" s="340" t="s">
        <v>222</v>
      </c>
      <c r="F1034" s="341">
        <v>43724</v>
      </c>
      <c r="G1034" s="341"/>
      <c r="H1034" s="341"/>
      <c r="I1034" s="341"/>
      <c r="J1034" s="340"/>
      <c r="K1034" s="340"/>
      <c r="L1034" s="14">
        <v>43875</v>
      </c>
      <c r="M1034" t="s">
        <v>2957</v>
      </c>
      <c r="N1034" s="173">
        <v>44876</v>
      </c>
      <c r="Q1034" t="s">
        <v>22</v>
      </c>
    </row>
    <row r="1035" spans="1:17">
      <c r="A1035" s="340">
        <f>COUNTA($D$3:$D$1035)</f>
        <v>1033</v>
      </c>
      <c r="B1035" s="340" t="s">
        <v>3245</v>
      </c>
      <c r="C1035" s="340" t="s">
        <v>41</v>
      </c>
      <c r="D1035" s="340" t="s">
        <v>23</v>
      </c>
      <c r="E1035" s="340" t="s">
        <v>1272</v>
      </c>
      <c r="F1035" s="341">
        <v>44725</v>
      </c>
      <c r="G1035" s="341"/>
      <c r="H1035" s="341"/>
      <c r="I1035" s="341"/>
      <c r="J1035" s="340"/>
      <c r="K1035" s="340"/>
      <c r="L1035" s="14">
        <v>44357</v>
      </c>
      <c r="N1035" s="173">
        <v>44725</v>
      </c>
    </row>
    <row r="1036" spans="1:17">
      <c r="A1036" s="340">
        <f>COUNTA($D$3:$D$1036)</f>
        <v>1034</v>
      </c>
      <c r="B1036" s="340" t="s">
        <v>3952</v>
      </c>
      <c r="C1036" s="340" t="s">
        <v>41</v>
      </c>
      <c r="D1036" s="340" t="s">
        <v>1115</v>
      </c>
      <c r="E1036" s="340" t="s">
        <v>3955</v>
      </c>
      <c r="F1036" s="341">
        <v>44343</v>
      </c>
      <c r="G1036" s="341"/>
      <c r="H1036" s="341"/>
      <c r="I1036" s="341"/>
      <c r="J1036" s="340"/>
      <c r="K1036" s="340"/>
      <c r="L1036" s="14">
        <v>44250</v>
      </c>
      <c r="N1036" s="173">
        <v>44708</v>
      </c>
    </row>
    <row r="1037" spans="1:17">
      <c r="A1037" s="340">
        <f>COUNTA($D$3:$D$1037)</f>
        <v>1035</v>
      </c>
      <c r="B1037" s="340" t="s">
        <v>3953</v>
      </c>
      <c r="C1037" s="340" t="s">
        <v>41</v>
      </c>
      <c r="D1037" s="340" t="s">
        <v>16</v>
      </c>
      <c r="E1037" s="340" t="s">
        <v>3956</v>
      </c>
      <c r="F1037" s="341">
        <v>44250</v>
      </c>
      <c r="G1037" s="341"/>
      <c r="H1037" s="341"/>
      <c r="I1037" s="341"/>
      <c r="J1037" s="340"/>
      <c r="K1037" s="340"/>
      <c r="N1037" s="173">
        <v>44250</v>
      </c>
    </row>
    <row r="1038" spans="1:17">
      <c r="F1038" s="149"/>
    </row>
  </sheetData>
  <autoFilter ref="A2:AD1006" xr:uid="{00000000-0009-0000-0000-000009000000}"/>
  <conditionalFormatting sqref="E522:E1048576 E1:E2">
    <cfRule type="duplicateValues" dxfId="31" priority="22"/>
  </conditionalFormatting>
  <conditionalFormatting sqref="B522:B1048576 B1:B2">
    <cfRule type="duplicateValues" dxfId="30" priority="21"/>
  </conditionalFormatting>
  <conditionalFormatting sqref="E399:E521 E3:E13 E20:E394">
    <cfRule type="duplicateValues" dxfId="29" priority="14"/>
  </conditionalFormatting>
  <conditionalFormatting sqref="B328:B394 B405:B521 B396:B401 B3:B13 B20:B279">
    <cfRule type="duplicateValues" dxfId="28" priority="13"/>
  </conditionalFormatting>
  <conditionalFormatting sqref="E395">
    <cfRule type="duplicateValues" dxfId="27" priority="12"/>
  </conditionalFormatting>
  <conditionalFormatting sqref="E396:E398">
    <cfRule type="duplicateValues" dxfId="26" priority="11"/>
  </conditionalFormatting>
  <conditionalFormatting sqref="B14:B19">
    <cfRule type="duplicateValues" dxfId="25" priority="18955"/>
  </conditionalFormatting>
  <conditionalFormatting sqref="E14:E19">
    <cfRule type="duplicateValues" dxfId="24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6033</v>
      </c>
      <c r="C3" s="311" t="s">
        <v>4794</v>
      </c>
      <c r="D3" s="311" t="s">
        <v>49</v>
      </c>
      <c r="E3" s="311" t="s">
        <v>6034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6060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6035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 xr:uid="{00000000-0009-0000-0000-00000A000000}"/>
  <phoneticPr fontId="36" type="noConversion"/>
  <conditionalFormatting sqref="B218 B258:B1048576 B1:B216">
    <cfRule type="duplicateValues" dxfId="23" priority="4636"/>
  </conditionalFormatting>
  <conditionalFormatting sqref="E255:E1048576 E1:E218">
    <cfRule type="duplicateValues" dxfId="22" priority="9"/>
  </conditionalFormatting>
  <conditionalFormatting sqref="B255:B257">
    <cfRule type="duplicateValues" dxfId="21" priority="6"/>
  </conditionalFormatting>
  <conditionalFormatting sqref="B255:B257">
    <cfRule type="duplicateValues" dxfId="20" priority="7"/>
  </conditionalFormatting>
  <conditionalFormatting sqref="B219:B254">
    <cfRule type="duplicateValues" dxfId="19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8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98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5" bestFit="1" customWidth="1"/>
    <col min="9" max="9" width="11.6640625" customWidth="1"/>
    <col min="10" max="10" width="25.6640625" bestFit="1" customWidth="1"/>
    <col min="11" max="11" width="10.33203125" style="319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5"/>
      <c r="B1" s="325"/>
      <c r="C1" s="325"/>
      <c r="D1" s="325"/>
      <c r="E1" s="325" t="s">
        <v>6262</v>
      </c>
      <c r="F1" s="325"/>
      <c r="G1" s="326"/>
      <c r="H1" s="326"/>
      <c r="I1" s="325"/>
      <c r="J1" s="325"/>
      <c r="K1" s="327"/>
      <c r="L1" s="328" t="s">
        <v>6263</v>
      </c>
      <c r="M1" s="328"/>
      <c r="N1" s="328"/>
      <c r="O1" s="328"/>
      <c r="P1" s="329"/>
      <c r="Q1" s="330"/>
      <c r="R1" s="330" t="s">
        <v>5909</v>
      </c>
      <c r="S1" s="330"/>
      <c r="T1" s="330"/>
      <c r="U1" s="330"/>
      <c r="V1" s="330"/>
    </row>
    <row r="2" spans="1:23" s="321" customFormat="1" ht="18" customHeight="1">
      <c r="A2" s="321" t="s">
        <v>94</v>
      </c>
      <c r="B2" s="321" t="s">
        <v>1076</v>
      </c>
      <c r="C2" s="321" t="s">
        <v>6</v>
      </c>
      <c r="D2" s="321" t="s">
        <v>13</v>
      </c>
      <c r="E2" s="321" t="s">
        <v>7</v>
      </c>
      <c r="F2" s="321" t="s">
        <v>76</v>
      </c>
      <c r="G2" s="323" t="s">
        <v>98</v>
      </c>
      <c r="H2" s="323" t="s">
        <v>5645</v>
      </c>
      <c r="I2" s="321" t="s">
        <v>5647</v>
      </c>
      <c r="J2" s="321" t="s">
        <v>92</v>
      </c>
      <c r="K2" s="324" t="s">
        <v>5571</v>
      </c>
      <c r="L2" s="323" t="s">
        <v>5570</v>
      </c>
      <c r="M2" s="323" t="s">
        <v>6264</v>
      </c>
      <c r="N2" s="323" t="s">
        <v>6284</v>
      </c>
      <c r="O2" s="323" t="s">
        <v>6261</v>
      </c>
      <c r="P2" s="321" t="s">
        <v>6260</v>
      </c>
      <c r="Q2" s="321" t="s">
        <v>6154</v>
      </c>
      <c r="R2" s="321" t="s">
        <v>6150</v>
      </c>
      <c r="S2" s="321" t="s">
        <v>6151</v>
      </c>
      <c r="T2" s="321" t="s">
        <v>6152</v>
      </c>
      <c r="U2" s="321" t="s">
        <v>6153</v>
      </c>
      <c r="V2" s="321" t="s">
        <v>6259</v>
      </c>
      <c r="W2" s="321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20">
        <v>45020.712731481479</v>
      </c>
      <c r="H3" s="320">
        <v>45022.575636574074</v>
      </c>
      <c r="I3" t="s">
        <v>2</v>
      </c>
      <c r="J3" t="s">
        <v>6156</v>
      </c>
      <c r="K3" s="319">
        <v>3495</v>
      </c>
      <c r="L3" s="75">
        <v>45027</v>
      </c>
      <c r="M3" s="75"/>
      <c r="N3" s="75"/>
      <c r="O3" s="75" t="s">
        <v>6078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6157</v>
      </c>
      <c r="G4" s="320">
        <v>45021.509328703702</v>
      </c>
      <c r="H4" s="320">
        <v>45034.43954861111</v>
      </c>
      <c r="I4" t="s">
        <v>2</v>
      </c>
      <c r="J4" t="s">
        <v>6158</v>
      </c>
      <c r="K4" s="319">
        <v>6918</v>
      </c>
      <c r="L4" s="75">
        <v>45021</v>
      </c>
      <c r="M4" s="75"/>
      <c r="N4" s="75"/>
      <c r="O4" s="75" t="s">
        <v>6076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20">
        <v>45027.637928240743</v>
      </c>
      <c r="H5" s="320">
        <v>45030.752847222226</v>
      </c>
      <c r="I5" t="s">
        <v>2</v>
      </c>
      <c r="J5" t="s">
        <v>6159</v>
      </c>
      <c r="K5" s="319">
        <v>6238</v>
      </c>
      <c r="L5" s="75">
        <v>45044</v>
      </c>
      <c r="M5" s="75"/>
      <c r="N5" s="75"/>
      <c r="O5" s="75" t="s">
        <v>6078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20">
        <v>45029.83525462963</v>
      </c>
      <c r="H6" s="320">
        <v>45034.755520833336</v>
      </c>
      <c r="I6" t="s">
        <v>4</v>
      </c>
      <c r="J6" t="s">
        <v>4867</v>
      </c>
      <c r="K6" s="319">
        <v>1241</v>
      </c>
      <c r="L6" s="75">
        <v>45044</v>
      </c>
      <c r="M6" s="75"/>
      <c r="N6" s="75"/>
      <c r="O6" s="75" t="s">
        <v>6078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20">
        <v>45043.454895833333</v>
      </c>
      <c r="H7" s="320">
        <v>45043.751307870371</v>
      </c>
      <c r="I7" t="s">
        <v>2</v>
      </c>
      <c r="J7" t="s">
        <v>6160</v>
      </c>
      <c r="K7" s="319">
        <v>7592</v>
      </c>
      <c r="L7" s="75">
        <v>45075</v>
      </c>
      <c r="M7" s="75"/>
      <c r="N7" s="75"/>
      <c r="O7" s="75" t="s">
        <v>6078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6161</v>
      </c>
      <c r="D8" t="s">
        <v>22</v>
      </c>
      <c r="E8" t="s">
        <v>38</v>
      </c>
      <c r="F8" t="s">
        <v>6162</v>
      </c>
      <c r="G8" s="320">
        <v>45055.643425925926</v>
      </c>
      <c r="H8" s="320">
        <v>45055.651678240742</v>
      </c>
      <c r="I8" t="s">
        <v>2</v>
      </c>
      <c r="J8" t="s">
        <v>6163</v>
      </c>
      <c r="K8" s="319">
        <v>4274</v>
      </c>
      <c r="L8" s="75">
        <v>45056</v>
      </c>
      <c r="M8" s="75"/>
      <c r="N8" s="75"/>
      <c r="O8" s="75" t="s">
        <v>6080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20">
        <v>45058.844490740739</v>
      </c>
      <c r="H9" s="320">
        <v>45069.541724537034</v>
      </c>
      <c r="I9" t="s">
        <v>2</v>
      </c>
      <c r="J9" t="s">
        <v>6164</v>
      </c>
      <c r="K9" s="319">
        <v>6457</v>
      </c>
      <c r="L9" s="75">
        <v>45086</v>
      </c>
      <c r="M9" s="75"/>
      <c r="N9" s="75"/>
      <c r="O9" s="75" t="s">
        <v>6080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6165</v>
      </c>
      <c r="G10" s="320">
        <v>45069.586261574077</v>
      </c>
      <c r="H10" s="320">
        <v>45070.773182870369</v>
      </c>
      <c r="I10" t="s">
        <v>2</v>
      </c>
      <c r="J10" t="s">
        <v>5584</v>
      </c>
      <c r="K10" s="319">
        <v>7203</v>
      </c>
      <c r="L10" s="75">
        <v>45082</v>
      </c>
      <c r="M10" s="75"/>
      <c r="N10" s="75"/>
      <c r="O10" s="75" t="s">
        <v>6078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20">
        <v>45069.58693287037</v>
      </c>
      <c r="H11" s="320">
        <v>45071.507256944446</v>
      </c>
      <c r="I11" t="s">
        <v>2</v>
      </c>
      <c r="J11" t="s">
        <v>6166</v>
      </c>
      <c r="K11" s="319">
        <v>7203</v>
      </c>
      <c r="L11" s="75">
        <v>45084</v>
      </c>
      <c r="M11" s="75"/>
      <c r="N11" s="75"/>
      <c r="O11" s="75" t="s">
        <v>6078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6167</v>
      </c>
      <c r="G12" s="320">
        <v>45069.599016203705</v>
      </c>
      <c r="H12" s="320">
        <v>45071.812719907408</v>
      </c>
      <c r="I12" t="s">
        <v>2</v>
      </c>
      <c r="J12" t="s">
        <v>6168</v>
      </c>
      <c r="K12" s="319">
        <v>9489</v>
      </c>
      <c r="L12" s="75">
        <v>45082</v>
      </c>
      <c r="M12" s="75"/>
      <c r="N12" s="75"/>
      <c r="O12" s="75" t="s">
        <v>6078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6169</v>
      </c>
      <c r="G13" s="320">
        <v>45071.485046296293</v>
      </c>
      <c r="H13" s="320">
        <v>45076.448738425926</v>
      </c>
      <c r="I13" t="s">
        <v>2</v>
      </c>
      <c r="J13" t="s">
        <v>4786</v>
      </c>
      <c r="K13" s="319">
        <v>2163</v>
      </c>
      <c r="L13" s="75">
        <v>45082</v>
      </c>
      <c r="M13" s="75"/>
      <c r="N13" s="75"/>
      <c r="O13" s="75" t="s">
        <v>6077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20">
        <v>45075.779120370367</v>
      </c>
      <c r="H14" s="320">
        <v>45079.822893518518</v>
      </c>
      <c r="I14" t="s">
        <v>2</v>
      </c>
      <c r="J14" t="s">
        <v>6170</v>
      </c>
      <c r="K14" s="319">
        <v>5653</v>
      </c>
      <c r="L14" s="75">
        <v>45082</v>
      </c>
      <c r="M14" s="75"/>
      <c r="N14" s="75"/>
      <c r="O14" s="75" t="s">
        <v>6076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20">
        <v>45083.656527777777</v>
      </c>
      <c r="H15" s="320">
        <v>45083.819652777776</v>
      </c>
      <c r="I15" t="s">
        <v>4</v>
      </c>
      <c r="J15" t="s">
        <v>4867</v>
      </c>
      <c r="K15" s="319">
        <v>1241</v>
      </c>
      <c r="L15" s="75">
        <v>45086</v>
      </c>
      <c r="M15" s="75"/>
      <c r="N15" s="75"/>
      <c r="O15" s="75" t="s">
        <v>6077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20">
        <v>45097.500659722224</v>
      </c>
      <c r="H16" s="320">
        <v>45100.746215277781</v>
      </c>
      <c r="I16" t="s">
        <v>2</v>
      </c>
      <c r="J16" t="s">
        <v>4786</v>
      </c>
      <c r="K16" s="319">
        <v>2137</v>
      </c>
      <c r="L16" s="75">
        <v>45105</v>
      </c>
      <c r="M16" s="75"/>
      <c r="N16" s="75"/>
      <c r="O16" s="75" t="s">
        <v>6078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6171</v>
      </c>
      <c r="G17" s="320">
        <v>45097.504224537035</v>
      </c>
      <c r="H17" s="320">
        <v>45100.787523148145</v>
      </c>
      <c r="I17" t="s">
        <v>2</v>
      </c>
      <c r="J17" t="s">
        <v>4786</v>
      </c>
      <c r="K17" s="319">
        <v>2038</v>
      </c>
      <c r="L17" s="75">
        <v>45105</v>
      </c>
      <c r="M17" s="75"/>
      <c r="N17" s="75"/>
      <c r="O17" s="75" t="s">
        <v>6078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20">
        <v>45107.478726851848</v>
      </c>
      <c r="H18" s="320">
        <v>45107.49858796296</v>
      </c>
      <c r="I18" t="s">
        <v>2</v>
      </c>
      <c r="J18" t="s">
        <v>6172</v>
      </c>
      <c r="K18" s="319">
        <v>1581</v>
      </c>
      <c r="L18" s="75">
        <v>45112</v>
      </c>
      <c r="M18" s="75"/>
      <c r="N18" s="75"/>
      <c r="O18" s="75" t="s">
        <v>6078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6173</v>
      </c>
      <c r="G19" s="320">
        <v>45103.804814814815</v>
      </c>
      <c r="H19" s="320">
        <v>45106.518287037034</v>
      </c>
      <c r="I19" t="s">
        <v>4</v>
      </c>
      <c r="J19" t="s">
        <v>1093</v>
      </c>
      <c r="K19" s="319">
        <v>10698</v>
      </c>
      <c r="L19" s="75">
        <v>45112</v>
      </c>
      <c r="M19" s="75"/>
      <c r="N19" s="75"/>
      <c r="O19" s="75" t="s">
        <v>6076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20">
        <v>45106.693009259259</v>
      </c>
      <c r="H20" s="320">
        <v>45107.474224537036</v>
      </c>
      <c r="I20" t="s">
        <v>2</v>
      </c>
      <c r="J20" t="s">
        <v>3253</v>
      </c>
      <c r="K20" s="319">
        <v>8672</v>
      </c>
      <c r="L20" s="75">
        <v>45112</v>
      </c>
      <c r="M20" s="75"/>
      <c r="N20" s="75"/>
      <c r="O20" s="75" t="s">
        <v>6078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20">
        <v>45111.49627314815</v>
      </c>
      <c r="H21" s="320">
        <v>45113.485891203702</v>
      </c>
      <c r="I21" t="s">
        <v>2</v>
      </c>
      <c r="J21" t="s">
        <v>6174</v>
      </c>
      <c r="K21" s="319">
        <v>3973</v>
      </c>
      <c r="L21" s="75">
        <v>45118</v>
      </c>
      <c r="M21" s="75"/>
      <c r="N21" s="75"/>
      <c r="O21" s="75" t="s">
        <v>6078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20">
        <v>45111.571273148147</v>
      </c>
      <c r="H22" s="320">
        <v>45113.709155092591</v>
      </c>
      <c r="I22" t="s">
        <v>2</v>
      </c>
      <c r="J22" t="s">
        <v>6175</v>
      </c>
      <c r="K22" s="319">
        <v>4110</v>
      </c>
      <c r="L22" s="75">
        <v>45118</v>
      </c>
      <c r="M22" s="75"/>
      <c r="N22" s="75"/>
      <c r="O22" s="75" t="s">
        <v>6078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6176</v>
      </c>
      <c r="G23" s="320">
        <v>45111.572557870371</v>
      </c>
      <c r="H23" s="320">
        <v>45113.661099537036</v>
      </c>
      <c r="I23" t="s">
        <v>2</v>
      </c>
      <c r="J23" t="s">
        <v>6177</v>
      </c>
      <c r="K23" s="319">
        <v>2847</v>
      </c>
      <c r="L23" s="75">
        <v>45118</v>
      </c>
      <c r="M23" s="75"/>
      <c r="N23" s="75"/>
      <c r="O23" s="75" t="s">
        <v>6078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20">
        <v>45111.658518518518</v>
      </c>
      <c r="H24" s="320">
        <v>45111.714166666665</v>
      </c>
      <c r="I24" t="s">
        <v>2</v>
      </c>
      <c r="J24" t="s">
        <v>6178</v>
      </c>
      <c r="K24" s="319">
        <v>5789</v>
      </c>
      <c r="L24" s="75">
        <v>45112</v>
      </c>
      <c r="M24" s="75"/>
      <c r="N24" s="75"/>
      <c r="O24" s="75" t="s">
        <v>6078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20">
        <v>45113.778958333336</v>
      </c>
      <c r="H25" s="320">
        <v>45113.800509259258</v>
      </c>
      <c r="I25" t="s">
        <v>2</v>
      </c>
      <c r="J25" t="s">
        <v>6179</v>
      </c>
      <c r="K25" s="319">
        <v>4655</v>
      </c>
      <c r="L25" s="75">
        <v>45118</v>
      </c>
      <c r="M25" s="75"/>
      <c r="N25" s="75"/>
      <c r="O25" s="75" t="s">
        <v>6076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20">
        <v>45114.456446759257</v>
      </c>
      <c r="H26" s="320">
        <v>45114.458958333336</v>
      </c>
      <c r="I26" t="s">
        <v>2</v>
      </c>
      <c r="J26" t="s">
        <v>6180</v>
      </c>
      <c r="K26" s="319">
        <v>3017</v>
      </c>
      <c r="L26" s="75">
        <v>45114</v>
      </c>
      <c r="M26" s="75"/>
      <c r="N26" s="75"/>
      <c r="O26" s="75" t="s">
        <v>6078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6181</v>
      </c>
      <c r="G27" s="320">
        <v>45117.496076388888</v>
      </c>
      <c r="H27" s="320">
        <v>45118.473437499997</v>
      </c>
      <c r="I27" t="s">
        <v>2</v>
      </c>
      <c r="J27" t="s">
        <v>6182</v>
      </c>
      <c r="K27" s="319">
        <v>1868</v>
      </c>
      <c r="L27" s="75">
        <v>45126</v>
      </c>
      <c r="M27" s="75"/>
      <c r="N27" s="75"/>
      <c r="O27" s="75" t="s">
        <v>6078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20">
        <v>45117.510914351849</v>
      </c>
      <c r="H28" s="320">
        <v>45118.464004629626</v>
      </c>
      <c r="I28" t="s">
        <v>2</v>
      </c>
      <c r="J28" t="s">
        <v>6183</v>
      </c>
      <c r="K28" s="319">
        <v>4182</v>
      </c>
      <c r="L28" s="75">
        <v>45121</v>
      </c>
      <c r="M28" s="75"/>
      <c r="N28" s="75"/>
      <c r="O28" s="75" t="s">
        <v>6076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20">
        <v>45117.511759259258</v>
      </c>
      <c r="H29" s="320">
        <v>45118.517974537041</v>
      </c>
      <c r="I29" t="s">
        <v>2</v>
      </c>
      <c r="J29" t="s">
        <v>6184</v>
      </c>
      <c r="K29" s="319">
        <v>1275</v>
      </c>
      <c r="L29" s="75">
        <v>45121</v>
      </c>
      <c r="M29" s="75"/>
      <c r="N29" s="75"/>
      <c r="O29" s="75" t="s">
        <v>6076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20">
        <v>45117.512650462966</v>
      </c>
      <c r="H30" s="320">
        <v>45119.493645833332</v>
      </c>
      <c r="I30" t="s">
        <v>2</v>
      </c>
      <c r="J30" t="s">
        <v>6185</v>
      </c>
      <c r="K30" s="319">
        <v>6320</v>
      </c>
      <c r="L30" s="75">
        <v>45121</v>
      </c>
      <c r="M30" s="75"/>
      <c r="N30" s="75"/>
      <c r="O30" s="75" t="s">
        <v>6076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20">
        <v>45117.513437499998</v>
      </c>
      <c r="H31" s="320">
        <v>45118.464282407411</v>
      </c>
      <c r="I31" t="s">
        <v>2</v>
      </c>
      <c r="J31" t="s">
        <v>6186</v>
      </c>
      <c r="K31" s="319">
        <v>7342</v>
      </c>
      <c r="L31" s="75">
        <v>45121</v>
      </c>
      <c r="M31" s="75"/>
      <c r="N31" s="75"/>
      <c r="O31" s="75" t="s">
        <v>6076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20">
        <v>45117.515347222223</v>
      </c>
      <c r="H32" s="320">
        <v>45118.841736111113</v>
      </c>
      <c r="I32" t="s">
        <v>2</v>
      </c>
      <c r="J32" t="s">
        <v>6187</v>
      </c>
      <c r="K32" s="319">
        <v>4703</v>
      </c>
      <c r="L32" s="75">
        <v>45121</v>
      </c>
      <c r="M32" s="75"/>
      <c r="N32" s="75"/>
      <c r="O32" s="75" t="s">
        <v>6076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20">
        <v>45117.516134259262</v>
      </c>
      <c r="H33" s="320">
        <v>45117.715462962966</v>
      </c>
      <c r="I33" t="s">
        <v>2</v>
      </c>
      <c r="J33" t="s">
        <v>6188</v>
      </c>
      <c r="K33" s="319">
        <v>7273</v>
      </c>
      <c r="L33" s="75">
        <v>45121</v>
      </c>
      <c r="M33" s="75"/>
      <c r="N33" s="75"/>
      <c r="O33" s="75" t="s">
        <v>6076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20">
        <v>45117.517129629632</v>
      </c>
      <c r="H34" s="320">
        <v>45118.708472222221</v>
      </c>
      <c r="I34" t="s">
        <v>2</v>
      </c>
      <c r="J34" t="s">
        <v>6189</v>
      </c>
      <c r="K34" s="319">
        <v>10358</v>
      </c>
      <c r="L34" s="75">
        <v>45121</v>
      </c>
      <c r="M34" s="75"/>
      <c r="N34" s="75"/>
      <c r="O34" s="75" t="s">
        <v>6078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6190</v>
      </c>
      <c r="G35" s="320">
        <v>45117.518310185187</v>
      </c>
      <c r="H35" s="320">
        <v>45119.535937499997</v>
      </c>
      <c r="I35" t="s">
        <v>2</v>
      </c>
      <c r="J35" t="s">
        <v>6191</v>
      </c>
      <c r="K35" s="319">
        <v>8052</v>
      </c>
      <c r="L35" s="75">
        <v>45121</v>
      </c>
      <c r="M35" s="75"/>
      <c r="N35" s="75"/>
      <c r="O35" s="75" t="s">
        <v>6076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6192</v>
      </c>
      <c r="G36" s="320">
        <v>45120.798055555555</v>
      </c>
      <c r="H36" s="320">
        <v>45125.51390046296</v>
      </c>
      <c r="I36" t="s">
        <v>2</v>
      </c>
      <c r="J36" t="s">
        <v>6193</v>
      </c>
      <c r="K36" s="319">
        <v>12518</v>
      </c>
      <c r="L36" s="75">
        <v>45131</v>
      </c>
      <c r="M36" s="75"/>
      <c r="N36" s="75"/>
      <c r="O36" s="75" t="s">
        <v>6078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20">
        <v>45125.714282407411</v>
      </c>
      <c r="H37" s="320">
        <v>45126.639675925922</v>
      </c>
      <c r="I37" t="s">
        <v>2</v>
      </c>
      <c r="J37" t="s">
        <v>5654</v>
      </c>
      <c r="K37" s="319">
        <v>4527</v>
      </c>
      <c r="L37" s="75">
        <v>45145</v>
      </c>
      <c r="M37" s="75"/>
      <c r="N37" s="75"/>
      <c r="O37" s="75" t="s">
        <v>6078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20">
        <v>45133.72315972222</v>
      </c>
      <c r="H38" s="320">
        <v>45133.76189814815</v>
      </c>
      <c r="I38" t="s">
        <v>2</v>
      </c>
      <c r="J38" t="s">
        <v>6172</v>
      </c>
      <c r="K38" s="319">
        <v>2297</v>
      </c>
      <c r="L38" s="75">
        <v>45135</v>
      </c>
      <c r="M38" s="75"/>
      <c r="N38" s="75"/>
      <c r="O38" s="75" t="s">
        <v>6078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20">
        <v>45131.652037037034</v>
      </c>
      <c r="H39" s="320">
        <v>45133.765555555554</v>
      </c>
      <c r="I39" t="s">
        <v>2</v>
      </c>
      <c r="J39" t="s">
        <v>4786</v>
      </c>
      <c r="K39" s="319">
        <v>2076</v>
      </c>
      <c r="L39" s="75">
        <v>45152</v>
      </c>
      <c r="M39" s="75"/>
      <c r="N39" s="75"/>
      <c r="O39" s="75" t="s">
        <v>6078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6194</v>
      </c>
      <c r="G40" s="320">
        <v>45133.482546296298</v>
      </c>
      <c r="H40" s="320">
        <v>45133.639837962961</v>
      </c>
      <c r="I40" t="s">
        <v>2</v>
      </c>
      <c r="J40" t="s">
        <v>6195</v>
      </c>
      <c r="K40" s="319">
        <v>8920</v>
      </c>
      <c r="L40" s="75">
        <v>45135</v>
      </c>
      <c r="M40" s="75"/>
      <c r="N40" s="75"/>
      <c r="O40" s="75" t="s">
        <v>6078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6196</v>
      </c>
      <c r="G41" s="320">
        <v>45133.482349537036</v>
      </c>
      <c r="H41" s="320">
        <v>45133.549629629626</v>
      </c>
      <c r="I41" t="s">
        <v>2</v>
      </c>
      <c r="J41" t="s">
        <v>6195</v>
      </c>
      <c r="K41" s="319">
        <v>10515</v>
      </c>
      <c r="L41" s="75">
        <v>45135</v>
      </c>
      <c r="M41" s="75"/>
      <c r="N41" s="75"/>
      <c r="O41" s="75" t="s">
        <v>6078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20">
        <v>45134.491574074076</v>
      </c>
      <c r="H42" s="320">
        <v>45134.735173611109</v>
      </c>
      <c r="I42" t="s">
        <v>2</v>
      </c>
      <c r="J42" t="s">
        <v>6197</v>
      </c>
      <c r="K42" s="319">
        <v>2436</v>
      </c>
      <c r="L42" s="75">
        <v>45140</v>
      </c>
      <c r="M42" s="75"/>
      <c r="N42" s="75"/>
      <c r="O42" s="75" t="s">
        <v>6077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20">
        <v>45134.492175925923</v>
      </c>
      <c r="H43" s="320">
        <v>45134.764548611114</v>
      </c>
      <c r="I43" t="s">
        <v>2</v>
      </c>
      <c r="J43" t="s">
        <v>6198</v>
      </c>
      <c r="K43" s="319">
        <v>5656</v>
      </c>
      <c r="L43" s="75">
        <v>45140</v>
      </c>
      <c r="M43" s="75"/>
      <c r="N43" s="75"/>
      <c r="O43" s="75" t="s">
        <v>6077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20">
        <v>45134.493321759262</v>
      </c>
      <c r="H44" s="320">
        <v>45134.796087962961</v>
      </c>
      <c r="I44" t="s">
        <v>2</v>
      </c>
      <c r="J44" t="s">
        <v>6199</v>
      </c>
      <c r="K44" s="319">
        <v>3698</v>
      </c>
      <c r="L44" s="75">
        <v>45140</v>
      </c>
      <c r="M44" s="75"/>
      <c r="N44" s="75"/>
      <c r="O44" s="75" t="s">
        <v>6077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20">
        <v>45135.680104166669</v>
      </c>
      <c r="H45" s="320">
        <v>45135.821527777778</v>
      </c>
      <c r="I45" t="s">
        <v>2</v>
      </c>
      <c r="J45" t="s">
        <v>6200</v>
      </c>
      <c r="K45" s="319">
        <v>15980</v>
      </c>
      <c r="L45" s="75">
        <v>45145</v>
      </c>
      <c r="M45" s="75"/>
      <c r="N45" s="75"/>
      <c r="O45" s="75" t="s">
        <v>6078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20">
        <v>45142.502685185187</v>
      </c>
      <c r="H46" s="320">
        <v>45147.659687500003</v>
      </c>
      <c r="I46" t="s">
        <v>2</v>
      </c>
      <c r="J46" t="s">
        <v>6201</v>
      </c>
      <c r="K46" s="319">
        <v>9872</v>
      </c>
      <c r="L46" s="75">
        <v>45152</v>
      </c>
      <c r="M46" s="75"/>
      <c r="N46" s="75"/>
      <c r="O46" s="75" t="s">
        <v>6078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20">
        <v>45145.572233796294</v>
      </c>
      <c r="H47" s="320">
        <v>45149.530555555553</v>
      </c>
      <c r="I47" t="s">
        <v>2</v>
      </c>
      <c r="J47" t="s">
        <v>6202</v>
      </c>
      <c r="K47" s="319">
        <v>4795</v>
      </c>
      <c r="L47" s="75">
        <v>45153</v>
      </c>
      <c r="M47" s="75"/>
      <c r="N47" s="75"/>
      <c r="O47" s="75" t="s">
        <v>6078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20">
        <v>45145.630196759259</v>
      </c>
      <c r="H48" s="320">
        <v>45145.631030092591</v>
      </c>
      <c r="I48" t="s">
        <v>2</v>
      </c>
      <c r="J48" t="s">
        <v>6203</v>
      </c>
      <c r="K48" s="319">
        <v>9805</v>
      </c>
      <c r="L48" s="75">
        <v>45145</v>
      </c>
      <c r="M48" s="75"/>
      <c r="N48" s="75"/>
      <c r="O48" t="s">
        <v>6079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20">
        <v>45145.699872685182</v>
      </c>
      <c r="H49" s="320">
        <v>45152.655451388891</v>
      </c>
      <c r="I49" t="s">
        <v>2</v>
      </c>
      <c r="J49" t="s">
        <v>6204</v>
      </c>
      <c r="K49" s="319">
        <v>2132</v>
      </c>
      <c r="L49" s="75">
        <v>45161</v>
      </c>
      <c r="M49" s="75"/>
      <c r="N49" s="75"/>
      <c r="O49" s="75" t="s">
        <v>6078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20">
        <v>45146.726898148147</v>
      </c>
      <c r="H50" s="320">
        <v>45148.593275462961</v>
      </c>
      <c r="I50" t="s">
        <v>2</v>
      </c>
      <c r="J50" t="s">
        <v>6205</v>
      </c>
      <c r="K50" s="319">
        <v>2332</v>
      </c>
      <c r="L50" s="75">
        <v>45152</v>
      </c>
      <c r="M50" s="75"/>
      <c r="N50" s="75"/>
      <c r="O50" s="75" t="s">
        <v>6078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6206</v>
      </c>
      <c r="G51" s="320">
        <v>45152.669791666667</v>
      </c>
      <c r="H51" s="320">
        <v>45152.677488425928</v>
      </c>
      <c r="I51" t="s">
        <v>4</v>
      </c>
      <c r="J51" t="s">
        <v>1093</v>
      </c>
      <c r="K51" s="319">
        <v>10313</v>
      </c>
      <c r="L51" s="75">
        <v>45154</v>
      </c>
      <c r="M51" s="75"/>
      <c r="N51" s="75"/>
      <c r="O51" s="75" t="s">
        <v>6076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6207</v>
      </c>
      <c r="G52" s="320">
        <v>45029.664884259262</v>
      </c>
      <c r="H52" s="320">
        <v>45029.682013888887</v>
      </c>
      <c r="I52" t="s">
        <v>2</v>
      </c>
      <c r="J52" t="s">
        <v>6208</v>
      </c>
      <c r="K52" s="319">
        <v>7081</v>
      </c>
      <c r="L52" s="75">
        <v>45030</v>
      </c>
      <c r="M52" s="75"/>
      <c r="N52" s="75"/>
      <c r="O52" s="75" t="s">
        <v>6077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6209</v>
      </c>
      <c r="G53" s="320">
        <v>45034.533750000002</v>
      </c>
      <c r="H53" s="320">
        <v>45043.834178240744</v>
      </c>
      <c r="I53" t="s">
        <v>2</v>
      </c>
      <c r="J53" t="s">
        <v>6210</v>
      </c>
      <c r="K53" s="319">
        <v>5123</v>
      </c>
      <c r="L53" s="75">
        <v>45091</v>
      </c>
      <c r="M53" s="75"/>
      <c r="N53" s="75"/>
      <c r="O53" s="75" t="s">
        <v>6077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20">
        <v>45035.726412037038</v>
      </c>
      <c r="H54" s="320">
        <v>45041.701342592591</v>
      </c>
      <c r="I54" t="s">
        <v>2</v>
      </c>
      <c r="J54" t="s">
        <v>6211</v>
      </c>
      <c r="K54" s="319">
        <v>9371</v>
      </c>
      <c r="L54" s="75">
        <v>45043</v>
      </c>
      <c r="M54" s="75"/>
      <c r="N54" s="75"/>
      <c r="O54" s="75" t="s">
        <v>6077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20">
        <v>45043.768900462965</v>
      </c>
      <c r="H55" s="320">
        <v>45058.751493055555</v>
      </c>
      <c r="I55" t="s">
        <v>2</v>
      </c>
      <c r="J55" t="s">
        <v>6212</v>
      </c>
      <c r="K55" s="319">
        <v>3320</v>
      </c>
      <c r="L55" s="75">
        <v>45100</v>
      </c>
      <c r="M55" s="75"/>
      <c r="N55" s="75"/>
      <c r="O55" s="75" t="s">
        <v>6077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20">
        <v>45043.769328703704</v>
      </c>
      <c r="H56" s="320">
        <v>45057.706979166665</v>
      </c>
      <c r="I56" t="s">
        <v>2</v>
      </c>
      <c r="J56" t="s">
        <v>6213</v>
      </c>
      <c r="K56" s="319">
        <v>4413</v>
      </c>
      <c r="L56" s="75">
        <v>45082</v>
      </c>
      <c r="M56" s="75"/>
      <c r="N56" s="75"/>
      <c r="O56" s="75" t="s">
        <v>6077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6214</v>
      </c>
      <c r="G57" s="320">
        <v>45044.801886574074</v>
      </c>
      <c r="H57" s="320">
        <v>45054.804328703707</v>
      </c>
      <c r="I57" t="s">
        <v>2</v>
      </c>
      <c r="J57" t="s">
        <v>6215</v>
      </c>
      <c r="K57" s="319">
        <v>6919</v>
      </c>
      <c r="L57" s="75">
        <v>45055</v>
      </c>
      <c r="M57" s="75"/>
      <c r="N57" s="75"/>
      <c r="O57" s="75" t="s">
        <v>6077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20">
        <v>45055.483796296299</v>
      </c>
      <c r="H58" s="320">
        <v>45055.497847222221</v>
      </c>
      <c r="I58" t="s">
        <v>2</v>
      </c>
      <c r="J58" t="s">
        <v>6216</v>
      </c>
      <c r="K58" s="319">
        <v>5351</v>
      </c>
      <c r="L58" s="75">
        <v>45055</v>
      </c>
      <c r="M58" s="75"/>
      <c r="N58" s="75"/>
      <c r="O58" s="75" t="s">
        <v>6077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20">
        <v>45055.765775462962</v>
      </c>
      <c r="H59" s="320">
        <v>45062.764444444445</v>
      </c>
      <c r="I59" t="s">
        <v>2</v>
      </c>
      <c r="J59" t="s">
        <v>17</v>
      </c>
      <c r="K59" s="319">
        <v>4315</v>
      </c>
      <c r="L59" s="75">
        <v>45082</v>
      </c>
      <c r="M59" s="75"/>
      <c r="N59" s="75"/>
      <c r="O59" s="75" t="s">
        <v>6077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20">
        <v>45061.770335648151</v>
      </c>
      <c r="H60" s="320">
        <v>45068.660555555558</v>
      </c>
      <c r="I60" t="s">
        <v>2</v>
      </c>
      <c r="J60" t="s">
        <v>6217</v>
      </c>
      <c r="K60" s="319">
        <v>2342</v>
      </c>
      <c r="L60" s="75">
        <v>45082</v>
      </c>
      <c r="M60" s="75"/>
      <c r="N60" s="75"/>
      <c r="O60" s="75" t="s">
        <v>6077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6218</v>
      </c>
      <c r="D61" t="s">
        <v>22</v>
      </c>
      <c r="E61" t="s">
        <v>27</v>
      </c>
      <c r="F61" t="s">
        <v>6219</v>
      </c>
      <c r="G61" s="320">
        <v>45075.434930555559</v>
      </c>
      <c r="H61" s="320">
        <v>45075.463599537034</v>
      </c>
      <c r="I61" t="s">
        <v>4</v>
      </c>
      <c r="J61" t="s">
        <v>1093</v>
      </c>
      <c r="K61" s="319">
        <v>10270</v>
      </c>
      <c r="L61" s="75">
        <v>45075</v>
      </c>
      <c r="M61" s="75"/>
      <c r="N61" s="75"/>
      <c r="O61" s="75" t="s">
        <v>6077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20">
        <v>45069.76462962963</v>
      </c>
      <c r="H62" s="320">
        <v>45072.651956018519</v>
      </c>
      <c r="I62" t="s">
        <v>2</v>
      </c>
      <c r="J62" t="s">
        <v>6220</v>
      </c>
      <c r="K62" s="319">
        <v>10257</v>
      </c>
      <c r="L62" s="75">
        <v>45084</v>
      </c>
      <c r="M62" s="75"/>
      <c r="N62" s="75"/>
      <c r="O62" s="75" t="s">
        <v>6077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6221</v>
      </c>
      <c r="G63" s="320">
        <v>45075.794814814813</v>
      </c>
      <c r="H63" s="320">
        <v>45085.577175925922</v>
      </c>
      <c r="I63" t="s">
        <v>2</v>
      </c>
      <c r="J63" t="s">
        <v>6222</v>
      </c>
      <c r="K63" s="319">
        <v>4463</v>
      </c>
      <c r="L63" s="75">
        <v>45086</v>
      </c>
      <c r="M63" s="75"/>
      <c r="N63" s="75"/>
      <c r="O63" s="75" t="s">
        <v>6077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20">
        <v>45082.489212962966</v>
      </c>
      <c r="H64" s="320">
        <v>45082.666701388887</v>
      </c>
      <c r="I64" t="s">
        <v>2</v>
      </c>
      <c r="J64" t="s">
        <v>6223</v>
      </c>
      <c r="K64" s="319">
        <v>8142</v>
      </c>
      <c r="L64" s="75">
        <v>45086</v>
      </c>
      <c r="M64" s="75"/>
      <c r="N64" s="75"/>
      <c r="O64" s="75" t="s">
        <v>6077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20">
        <v>45096.552615740744</v>
      </c>
      <c r="H65" s="320">
        <v>45099.680347222224</v>
      </c>
      <c r="I65" t="s">
        <v>2</v>
      </c>
      <c r="J65" t="s">
        <v>6224</v>
      </c>
      <c r="K65" s="319">
        <v>11795</v>
      </c>
      <c r="L65" s="75">
        <v>45105</v>
      </c>
      <c r="M65" s="75"/>
      <c r="N65" s="75"/>
      <c r="O65" s="75" t="s">
        <v>6077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6225</v>
      </c>
      <c r="G66" s="320">
        <v>45096.553587962961</v>
      </c>
      <c r="H66" s="320">
        <v>45099.688206018516</v>
      </c>
      <c r="I66" t="s">
        <v>2</v>
      </c>
      <c r="J66" t="s">
        <v>6226</v>
      </c>
      <c r="K66" s="319">
        <v>10819</v>
      </c>
      <c r="L66" s="75">
        <v>45105</v>
      </c>
      <c r="M66" s="75"/>
      <c r="N66" s="75"/>
      <c r="O66" s="75" t="s">
        <v>6077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20">
        <v>45117.519409722219</v>
      </c>
      <c r="H67" s="320">
        <v>45117.807685185187</v>
      </c>
      <c r="I67" t="s">
        <v>2</v>
      </c>
      <c r="J67" t="s">
        <v>6227</v>
      </c>
      <c r="K67" s="319">
        <v>8929</v>
      </c>
      <c r="L67" s="75">
        <v>45121</v>
      </c>
      <c r="M67" s="75"/>
      <c r="N67" s="75"/>
      <c r="O67" s="75" t="s">
        <v>6077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20">
        <v>45117.520266203705</v>
      </c>
      <c r="H68" s="320">
        <v>45117.750173611108</v>
      </c>
      <c r="I68" t="s">
        <v>2</v>
      </c>
      <c r="J68" t="s">
        <v>6228</v>
      </c>
      <c r="K68" s="319">
        <v>7818</v>
      </c>
      <c r="L68" s="75">
        <v>45121</v>
      </c>
      <c r="M68" s="75"/>
      <c r="N68" s="75"/>
      <c r="O68" s="75" t="s">
        <v>6077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20">
        <v>45119.497754629629</v>
      </c>
      <c r="H69" s="320">
        <v>45119.525393518517</v>
      </c>
      <c r="I69" t="s">
        <v>2</v>
      </c>
      <c r="J69" t="s">
        <v>6229</v>
      </c>
      <c r="K69" s="319">
        <v>5412</v>
      </c>
      <c r="L69" s="75">
        <v>45121</v>
      </c>
      <c r="M69" s="75"/>
      <c r="N69" s="75"/>
      <c r="O69" s="75" t="s">
        <v>6077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6230</v>
      </c>
      <c r="G70" s="320">
        <v>45120.801423611112</v>
      </c>
      <c r="H70" s="320">
        <v>45125.670717592591</v>
      </c>
      <c r="I70" t="s">
        <v>2</v>
      </c>
      <c r="J70" t="s">
        <v>6231</v>
      </c>
      <c r="K70" s="319">
        <v>8929</v>
      </c>
      <c r="L70" s="75">
        <v>45131</v>
      </c>
      <c r="M70" s="75"/>
      <c r="N70" s="75"/>
      <c r="O70" s="75" t="s">
        <v>6077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20">
        <v>45125.786087962966</v>
      </c>
      <c r="H71" s="320">
        <v>45127.66815972222</v>
      </c>
      <c r="I71" t="s">
        <v>2</v>
      </c>
      <c r="J71" t="s">
        <v>6232</v>
      </c>
      <c r="K71" s="319">
        <v>1434</v>
      </c>
      <c r="L71" s="75">
        <v>45131</v>
      </c>
      <c r="M71" s="75"/>
      <c r="N71" s="75"/>
      <c r="O71" s="75" t="s">
        <v>6077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20">
        <v>45125.715624999997</v>
      </c>
      <c r="H72" s="320">
        <v>45128.543749999997</v>
      </c>
      <c r="I72" t="s">
        <v>2</v>
      </c>
      <c r="J72" t="s">
        <v>6233</v>
      </c>
      <c r="K72" s="319">
        <v>6813</v>
      </c>
      <c r="L72" s="75">
        <v>45145</v>
      </c>
      <c r="M72" s="75"/>
      <c r="N72" s="75"/>
      <c r="O72" s="75" t="s">
        <v>6077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20">
        <v>45132.745972222219</v>
      </c>
      <c r="H73" s="320">
        <v>45133.50167824074</v>
      </c>
      <c r="I73" t="s">
        <v>2</v>
      </c>
      <c r="J73" t="s">
        <v>6234</v>
      </c>
      <c r="K73" s="319">
        <v>4306</v>
      </c>
      <c r="L73" s="75">
        <v>45135</v>
      </c>
      <c r="M73" s="75"/>
      <c r="N73" s="75"/>
      <c r="O73" s="75" t="s">
        <v>6077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20">
        <v>45027.638437499998</v>
      </c>
      <c r="H74" s="320">
        <v>45030.800208333334</v>
      </c>
      <c r="I74" t="s">
        <v>2</v>
      </c>
      <c r="J74" t="s">
        <v>5244</v>
      </c>
      <c r="K74" s="319">
        <v>14180</v>
      </c>
      <c r="L74" s="75">
        <v>45044</v>
      </c>
      <c r="M74" s="75"/>
      <c r="N74" s="75"/>
      <c r="O74" s="75" t="s">
        <v>6077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20">
        <v>45061.769814814812</v>
      </c>
      <c r="H75" s="320">
        <v>45068.567060185182</v>
      </c>
      <c r="I75" t="s">
        <v>3</v>
      </c>
      <c r="J75" t="s">
        <v>5358</v>
      </c>
      <c r="K75" s="319">
        <v>235</v>
      </c>
      <c r="L75" s="75">
        <v>45082</v>
      </c>
      <c r="M75" s="75"/>
      <c r="N75" s="75"/>
      <c r="O75" s="75" t="s">
        <v>6077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20">
        <v>45075.794363425928</v>
      </c>
      <c r="H76" s="320">
        <v>45078.553530092591</v>
      </c>
      <c r="I76" t="s">
        <v>2</v>
      </c>
      <c r="J76" t="s">
        <v>1485</v>
      </c>
      <c r="K76" s="319">
        <v>1368</v>
      </c>
      <c r="L76" s="75">
        <v>45082</v>
      </c>
      <c r="M76" s="75"/>
      <c r="N76" s="75"/>
      <c r="O76" s="75" t="s">
        <v>6077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20">
        <v>45111.569247685184</v>
      </c>
      <c r="H77" s="320">
        <v>45113.696655092594</v>
      </c>
      <c r="I77" t="s">
        <v>2</v>
      </c>
      <c r="J77" t="s">
        <v>5553</v>
      </c>
      <c r="K77" s="319">
        <v>3921</v>
      </c>
      <c r="L77" s="75">
        <v>45118</v>
      </c>
      <c r="M77" s="75"/>
      <c r="N77" s="75"/>
      <c r="O77" s="75" t="s">
        <v>6077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20">
        <v>45120.795023148145</v>
      </c>
      <c r="H78" s="320">
        <v>45125.524699074071</v>
      </c>
      <c r="I78" t="s">
        <v>2</v>
      </c>
      <c r="J78" t="s">
        <v>5629</v>
      </c>
      <c r="K78" s="319">
        <v>4439</v>
      </c>
      <c r="L78" s="75">
        <v>45132</v>
      </c>
      <c r="M78" s="75"/>
      <c r="N78" s="75"/>
      <c r="O78" s="75" t="s">
        <v>6077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20">
        <v>45120.796701388892</v>
      </c>
      <c r="H79" s="320">
        <v>45125.686041666668</v>
      </c>
      <c r="I79" t="s">
        <v>2</v>
      </c>
      <c r="J79" t="s">
        <v>5630</v>
      </c>
      <c r="K79" s="319">
        <v>11996</v>
      </c>
      <c r="L79" s="75">
        <v>45131</v>
      </c>
      <c r="M79" s="75"/>
      <c r="N79" s="75"/>
      <c r="O79" s="75" t="s">
        <v>6077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20">
        <v>45125.716446759259</v>
      </c>
      <c r="H80" s="320">
        <v>45128.744363425925</v>
      </c>
      <c r="I80" t="s">
        <v>2</v>
      </c>
      <c r="J80" t="s">
        <v>5679</v>
      </c>
      <c r="K80" s="319">
        <v>10657</v>
      </c>
      <c r="L80" s="75">
        <v>45145</v>
      </c>
      <c r="M80" s="75"/>
      <c r="N80" s="75"/>
      <c r="O80" s="75" t="s">
        <v>6077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20">
        <v>45125.717418981483</v>
      </c>
      <c r="H81" s="320">
        <v>45128.581296296295</v>
      </c>
      <c r="I81" t="s">
        <v>2</v>
      </c>
      <c r="J81" t="s">
        <v>5680</v>
      </c>
      <c r="K81" s="319">
        <v>3142</v>
      </c>
      <c r="L81" s="75">
        <v>45145</v>
      </c>
      <c r="M81" s="75"/>
      <c r="N81" s="75"/>
      <c r="O81" s="75" t="s">
        <v>6077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20">
        <v>45135.679594907408</v>
      </c>
      <c r="H82" s="320">
        <v>45135.779143518521</v>
      </c>
      <c r="I82" t="s">
        <v>2</v>
      </c>
      <c r="J82" t="s">
        <v>1485</v>
      </c>
      <c r="K82" s="319">
        <v>977</v>
      </c>
      <c r="L82" s="75">
        <v>45145</v>
      </c>
      <c r="M82" s="75"/>
      <c r="N82" s="75"/>
      <c r="O82" s="75" t="s">
        <v>6077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20">
        <v>45138.730879629627</v>
      </c>
      <c r="H83" s="320">
        <v>45140.671180555553</v>
      </c>
      <c r="I83" t="s">
        <v>2</v>
      </c>
      <c r="J83" t="s">
        <v>5750</v>
      </c>
      <c r="K83" s="319">
        <v>2892</v>
      </c>
      <c r="L83" s="75">
        <v>45145</v>
      </c>
      <c r="M83" s="75"/>
      <c r="N83" s="75"/>
      <c r="O83" s="75" t="s">
        <v>6077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20">
        <v>45138.730949074074</v>
      </c>
      <c r="H84" s="320">
        <v>45140.665601851855</v>
      </c>
      <c r="I84" t="s">
        <v>2</v>
      </c>
      <c r="J84" t="s">
        <v>5751</v>
      </c>
      <c r="K84" s="319">
        <v>8857</v>
      </c>
      <c r="L84" s="75">
        <v>45145</v>
      </c>
      <c r="M84" s="75"/>
      <c r="N84" s="75"/>
      <c r="O84" s="75" t="s">
        <v>6077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6034</v>
      </c>
      <c r="G85" s="320"/>
      <c r="H85" s="320"/>
      <c r="I85" s="322"/>
      <c r="J85" s="322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20">
        <v>45131</v>
      </c>
      <c r="H86" s="320"/>
      <c r="I86" s="322"/>
      <c r="J86" s="322"/>
      <c r="K86" s="319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20">
        <v>45082</v>
      </c>
      <c r="H87" s="320">
        <v>45061.668171296296</v>
      </c>
      <c r="I87" s="322"/>
      <c r="J87" s="322" t="s">
        <v>5259</v>
      </c>
      <c r="K87" s="319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20">
        <v>45082</v>
      </c>
      <c r="H88" s="320">
        <v>45061.652118055557</v>
      </c>
      <c r="I88" s="322"/>
      <c r="J88" s="322" t="s">
        <v>5257</v>
      </c>
      <c r="K88" s="319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20">
        <v>45044</v>
      </c>
      <c r="H89" s="320">
        <v>45042.715462962966</v>
      </c>
      <c r="I89" s="322"/>
      <c r="J89" s="322" t="s">
        <v>5251</v>
      </c>
      <c r="K89" s="319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20">
        <v>45054</v>
      </c>
      <c r="H90" s="320">
        <v>45041.54582175926</v>
      </c>
      <c r="I90" s="322"/>
      <c r="J90" s="322" t="s">
        <v>5250</v>
      </c>
      <c r="K90" s="319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20">
        <v>45050</v>
      </c>
      <c r="H91" s="320">
        <v>45042.766875000001</v>
      </c>
      <c r="I91" s="322"/>
      <c r="J91" s="322" t="s">
        <v>5249</v>
      </c>
      <c r="K91" s="319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20">
        <v>45050</v>
      </c>
      <c r="H92" s="320">
        <v>45042.703298611108</v>
      </c>
      <c r="I92" s="322"/>
      <c r="J92" s="322" t="s">
        <v>5248</v>
      </c>
      <c r="K92" s="319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20">
        <v>45036</v>
      </c>
      <c r="H93" s="320">
        <v>45030.776122685187</v>
      </c>
      <c r="I93" s="322"/>
      <c r="J93" s="322" t="s">
        <v>5242</v>
      </c>
      <c r="K93" s="319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20"/>
      <c r="H94" s="320">
        <v>45155.793043981481</v>
      </c>
      <c r="I94" s="322"/>
      <c r="J94" s="322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20"/>
      <c r="H95" s="320">
        <v>45097.505914351852</v>
      </c>
      <c r="I95" s="322"/>
      <c r="J95" s="322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20">
        <v>45126</v>
      </c>
      <c r="H96" s="320">
        <v>45120.508958333332</v>
      </c>
      <c r="I96" s="322"/>
      <c r="J96" s="322" t="s">
        <v>5610</v>
      </c>
      <c r="K96" s="319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20"/>
      <c r="H97" s="320"/>
      <c r="I97" s="322"/>
      <c r="J97" s="322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20">
        <v>45014</v>
      </c>
      <c r="H98" s="320">
        <v>45013.469189814816</v>
      </c>
      <c r="I98" s="322"/>
      <c r="J98" s="322" t="s">
        <v>4966</v>
      </c>
      <c r="K98" s="319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20">
        <v>45030</v>
      </c>
      <c r="H99" s="320">
        <v>45008.747175925928</v>
      </c>
      <c r="I99" s="322"/>
      <c r="J99" s="322" t="s">
        <v>4925</v>
      </c>
      <c r="K99" s="319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20">
        <v>45015</v>
      </c>
      <c r="H100" s="320">
        <v>45008.4533912037</v>
      </c>
      <c r="I100" s="322"/>
      <c r="J100" s="322" t="s">
        <v>4921</v>
      </c>
      <c r="K100" s="319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20">
        <v>45043</v>
      </c>
      <c r="H101" s="320"/>
      <c r="I101" s="322"/>
      <c r="J101" s="322" t="s">
        <v>5574</v>
      </c>
      <c r="K101" s="319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20">
        <v>45001</v>
      </c>
      <c r="H102" s="320"/>
      <c r="I102" s="322"/>
      <c r="J102" s="322" t="s">
        <v>4867</v>
      </c>
      <c r="K102" s="319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20">
        <v>45100</v>
      </c>
      <c r="H103" s="320"/>
      <c r="I103" s="322"/>
      <c r="J103" s="322" t="s">
        <v>5575</v>
      </c>
      <c r="K103" s="319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20">
        <v>45008</v>
      </c>
      <c r="H104" s="320">
        <v>45005</v>
      </c>
      <c r="I104" s="322"/>
      <c r="J104" s="322" t="s">
        <v>5576</v>
      </c>
      <c r="K104" s="319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20">
        <v>44977</v>
      </c>
      <c r="H105" s="320"/>
      <c r="I105" s="322"/>
      <c r="J105" s="322" t="s">
        <v>5577</v>
      </c>
      <c r="K105" s="319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20">
        <v>44984</v>
      </c>
      <c r="H106" s="320">
        <v>44984</v>
      </c>
      <c r="I106" s="322"/>
      <c r="J106" s="322" t="s">
        <v>1657</v>
      </c>
      <c r="K106" s="319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20">
        <v>44984</v>
      </c>
      <c r="H107" s="320">
        <v>44984</v>
      </c>
      <c r="I107" s="322"/>
      <c r="J107" s="322" t="s">
        <v>5578</v>
      </c>
      <c r="K107" s="319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20">
        <v>44984</v>
      </c>
      <c r="H108" s="320">
        <v>44984</v>
      </c>
      <c r="I108" s="322"/>
      <c r="J108" s="322" t="s">
        <v>5579</v>
      </c>
      <c r="K108" s="319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20">
        <v>45008</v>
      </c>
      <c r="H109" s="320">
        <v>45005</v>
      </c>
      <c r="I109" s="322"/>
      <c r="J109" s="322" t="s">
        <v>5580</v>
      </c>
      <c r="K109" s="319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20">
        <v>45008</v>
      </c>
      <c r="H110" s="320">
        <v>45005</v>
      </c>
      <c r="I110" s="322"/>
      <c r="J110" s="322" t="s">
        <v>5581</v>
      </c>
      <c r="K110" s="319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20">
        <v>44977</v>
      </c>
      <c r="H111" s="320">
        <v>44967</v>
      </c>
      <c r="I111" s="322"/>
      <c r="J111" s="322" t="s">
        <v>5231</v>
      </c>
      <c r="K111" s="319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20">
        <v>44986</v>
      </c>
      <c r="H112" s="320"/>
      <c r="I112" s="322"/>
      <c r="J112" s="322" t="s">
        <v>5234</v>
      </c>
      <c r="K112" s="319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20">
        <v>45058</v>
      </c>
      <c r="H113" s="320">
        <v>45058</v>
      </c>
      <c r="I113" s="322"/>
      <c r="J113" s="322" t="s">
        <v>5252</v>
      </c>
      <c r="K113" s="319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20">
        <v>45007</v>
      </c>
      <c r="H114" s="320"/>
      <c r="I114" s="322"/>
      <c r="J114" s="322" t="s">
        <v>5235</v>
      </c>
      <c r="K114" s="319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20">
        <v>45030</v>
      </c>
      <c r="H115" s="320">
        <v>45020</v>
      </c>
      <c r="I115" s="322"/>
      <c r="J115" s="322" t="s">
        <v>5238</v>
      </c>
      <c r="K115" s="319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20">
        <v>45015</v>
      </c>
      <c r="H116" s="320"/>
      <c r="I116" s="322"/>
      <c r="J116" s="322" t="s">
        <v>4970</v>
      </c>
      <c r="K116" s="319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20">
        <v>45044</v>
      </c>
      <c r="H117" s="320">
        <v>45036</v>
      </c>
      <c r="I117" s="322"/>
      <c r="J117" s="322" t="s">
        <v>5247</v>
      </c>
      <c r="K117" s="319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20">
        <v>45008</v>
      </c>
      <c r="H118" s="320">
        <v>45005</v>
      </c>
      <c r="I118" s="322"/>
      <c r="J118" s="322" t="s">
        <v>5233</v>
      </c>
      <c r="K118" s="319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20">
        <v>44936</v>
      </c>
      <c r="H119" s="320">
        <v>44938</v>
      </c>
      <c r="I119" s="322"/>
      <c r="J119" s="322" t="s">
        <v>1093</v>
      </c>
      <c r="K119" s="319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20">
        <v>44936</v>
      </c>
      <c r="H120" s="320">
        <v>44938</v>
      </c>
      <c r="I120" s="322"/>
      <c r="J120" s="322" t="s">
        <v>1659</v>
      </c>
      <c r="K120" s="319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20">
        <v>44936</v>
      </c>
      <c r="H121" s="320">
        <v>44938</v>
      </c>
      <c r="I121" s="322"/>
      <c r="J121" s="322" t="s">
        <v>4827</v>
      </c>
      <c r="K121" s="319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20">
        <v>44936</v>
      </c>
      <c r="H122" s="320">
        <v>44938</v>
      </c>
      <c r="I122" s="322"/>
      <c r="J122" s="322" t="s">
        <v>1662</v>
      </c>
      <c r="K122" s="319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20">
        <v>44936</v>
      </c>
      <c r="H123" s="320">
        <v>44938</v>
      </c>
      <c r="I123" s="322"/>
      <c r="J123" s="322" t="s">
        <v>4826</v>
      </c>
      <c r="K123" s="319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20">
        <v>44909</v>
      </c>
      <c r="H124" s="320">
        <v>44909</v>
      </c>
      <c r="I124" s="322"/>
      <c r="J124" s="322" t="s">
        <v>4464</v>
      </c>
      <c r="K124" s="319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20">
        <v>44913</v>
      </c>
      <c r="H125" s="320">
        <v>44904</v>
      </c>
      <c r="I125" s="322"/>
      <c r="J125" s="322" t="s">
        <v>1672</v>
      </c>
      <c r="K125" s="319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20">
        <v>44957</v>
      </c>
      <c r="H126" s="320">
        <v>44935</v>
      </c>
      <c r="I126" s="322"/>
      <c r="J126" s="322" t="s">
        <v>4616</v>
      </c>
      <c r="K126" s="319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20">
        <v>44957</v>
      </c>
      <c r="H127" s="320">
        <v>44935</v>
      </c>
      <c r="I127" s="322"/>
      <c r="J127" s="322" t="s">
        <v>4615</v>
      </c>
      <c r="K127" s="319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20">
        <v>44913</v>
      </c>
      <c r="H128" s="320">
        <v>44907</v>
      </c>
      <c r="I128" s="322"/>
      <c r="J128" s="322" t="s">
        <v>4445</v>
      </c>
      <c r="K128" s="319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20">
        <v>44913</v>
      </c>
      <c r="H129" s="320">
        <v>44907</v>
      </c>
      <c r="I129" s="322"/>
      <c r="J129" s="322" t="s">
        <v>3849</v>
      </c>
      <c r="K129" s="319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20">
        <v>44913</v>
      </c>
      <c r="H130" s="320">
        <v>44907</v>
      </c>
      <c r="I130" s="322"/>
      <c r="J130" s="322" t="s">
        <v>1875</v>
      </c>
      <c r="K130" s="319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20">
        <v>44913</v>
      </c>
      <c r="H131" s="320">
        <v>44904</v>
      </c>
      <c r="I131" s="322"/>
      <c r="J131" s="322" t="s">
        <v>3849</v>
      </c>
      <c r="K131" s="319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20">
        <v>44913</v>
      </c>
      <c r="H132" s="320">
        <v>44904</v>
      </c>
      <c r="I132" s="322"/>
      <c r="J132" s="322" t="s">
        <v>1659</v>
      </c>
      <c r="K132" s="319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20">
        <v>44909</v>
      </c>
      <c r="H133" s="320">
        <v>44909</v>
      </c>
      <c r="I133" s="322"/>
      <c r="J133" s="322" t="s">
        <v>4473</v>
      </c>
      <c r="K133" s="319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20">
        <v>44908</v>
      </c>
      <c r="H134" s="320">
        <v>44909</v>
      </c>
      <c r="I134" s="322"/>
      <c r="J134" s="322" t="s">
        <v>4456</v>
      </c>
      <c r="K134" s="319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20">
        <v>44957</v>
      </c>
      <c r="H135" s="320">
        <v>44935</v>
      </c>
      <c r="I135" s="322"/>
      <c r="J135" s="322" t="s">
        <v>4614</v>
      </c>
      <c r="K135" s="319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20">
        <v>44909</v>
      </c>
      <c r="H136" s="320">
        <v>44909</v>
      </c>
      <c r="I136" s="322"/>
      <c r="J136" s="322" t="s">
        <v>4452</v>
      </c>
      <c r="K136" s="319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20">
        <v>44909</v>
      </c>
      <c r="H137" s="320">
        <v>44909</v>
      </c>
      <c r="I137" s="322"/>
      <c r="J137" s="322" t="s">
        <v>4475</v>
      </c>
      <c r="K137" s="319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20">
        <v>44909</v>
      </c>
      <c r="H138" s="320">
        <v>44909</v>
      </c>
      <c r="I138" s="322"/>
      <c r="J138" s="322" t="s">
        <v>4477</v>
      </c>
      <c r="K138" s="319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20">
        <v>44909</v>
      </c>
      <c r="H139" s="320">
        <v>44909</v>
      </c>
      <c r="I139" s="322"/>
      <c r="J139" s="322" t="s">
        <v>4468</v>
      </c>
      <c r="K139" s="319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20">
        <v>44909</v>
      </c>
      <c r="H140" s="320">
        <v>44909</v>
      </c>
      <c r="I140" s="322"/>
      <c r="J140" s="322" t="s">
        <v>4466</v>
      </c>
      <c r="K140" s="319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20">
        <v>44909</v>
      </c>
      <c r="H141" s="320">
        <v>44909</v>
      </c>
      <c r="I141" s="322"/>
      <c r="J141" s="322" t="s">
        <v>1758</v>
      </c>
      <c r="K141" s="319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20">
        <v>44911</v>
      </c>
      <c r="H142" s="320">
        <v>44910</v>
      </c>
      <c r="I142" s="322"/>
      <c r="J142" s="322" t="s">
        <v>4480</v>
      </c>
      <c r="K142" s="319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20">
        <v>44911</v>
      </c>
      <c r="H143" s="320">
        <v>44910</v>
      </c>
      <c r="I143" s="322"/>
      <c r="J143" s="322" t="s">
        <v>1093</v>
      </c>
      <c r="K143" s="319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20">
        <v>44911</v>
      </c>
      <c r="H144" s="320">
        <v>44910</v>
      </c>
      <c r="I144" s="322"/>
      <c r="J144" s="322" t="s">
        <v>1093</v>
      </c>
      <c r="K144" s="319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20">
        <v>44914</v>
      </c>
      <c r="H145" s="320"/>
      <c r="I145" s="322"/>
      <c r="J145" s="322" t="s">
        <v>1639</v>
      </c>
      <c r="K145" s="319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20">
        <v>44923</v>
      </c>
      <c r="H146" s="320">
        <v>44921</v>
      </c>
      <c r="I146" s="322"/>
      <c r="J146" s="322" t="s">
        <v>4502</v>
      </c>
      <c r="K146" s="319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20">
        <v>44911</v>
      </c>
      <c r="H147" s="320">
        <v>44910</v>
      </c>
      <c r="I147" s="322"/>
      <c r="J147" s="322" t="s">
        <v>3167</v>
      </c>
      <c r="K147" s="319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20">
        <v>44911</v>
      </c>
      <c r="H148" s="320">
        <v>44910</v>
      </c>
      <c r="I148" s="322"/>
      <c r="J148" s="322" t="s">
        <v>4505</v>
      </c>
      <c r="K148" s="319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20">
        <v>44923</v>
      </c>
      <c r="H149" s="320">
        <v>44921</v>
      </c>
      <c r="I149" s="322"/>
      <c r="J149" s="322" t="s">
        <v>4509</v>
      </c>
      <c r="K149" s="319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20">
        <v>44911</v>
      </c>
      <c r="H150" s="320">
        <v>44910</v>
      </c>
      <c r="I150" s="322"/>
      <c r="J150" s="322" t="s">
        <v>4482</v>
      </c>
      <c r="K150" s="319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20">
        <v>44923</v>
      </c>
      <c r="H151" s="320">
        <v>44921</v>
      </c>
      <c r="I151" s="322"/>
      <c r="J151" s="322" t="s">
        <v>4492</v>
      </c>
      <c r="K151" s="319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20">
        <v>44911</v>
      </c>
      <c r="H152" s="320"/>
      <c r="I152" s="322"/>
      <c r="J152" s="322" t="s">
        <v>4512</v>
      </c>
      <c r="K152" s="319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20">
        <v>44922</v>
      </c>
      <c r="H153" s="320">
        <v>44921</v>
      </c>
      <c r="I153" s="322"/>
      <c r="J153" s="322" t="s">
        <v>4530</v>
      </c>
      <c r="K153" s="319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20">
        <v>44911</v>
      </c>
      <c r="H154" s="320">
        <v>44911</v>
      </c>
      <c r="I154" s="322"/>
      <c r="J154" s="322" t="s">
        <v>2256</v>
      </c>
      <c r="K154" s="319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20">
        <v>44923</v>
      </c>
      <c r="H155" s="320">
        <v>44921</v>
      </c>
      <c r="I155" s="322"/>
      <c r="J155" s="322" t="s">
        <v>4528</v>
      </c>
      <c r="K155" s="319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20">
        <v>44911</v>
      </c>
      <c r="H156" s="320">
        <v>44911</v>
      </c>
      <c r="I156" s="322"/>
      <c r="J156" s="322" t="s">
        <v>4532</v>
      </c>
      <c r="K156" s="319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20">
        <v>44923</v>
      </c>
      <c r="H157" s="320">
        <v>44914</v>
      </c>
      <c r="I157" s="322"/>
      <c r="J157" s="322" t="s">
        <v>4526</v>
      </c>
      <c r="K157" s="319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20">
        <v>44913</v>
      </c>
      <c r="H158" s="320">
        <v>44904</v>
      </c>
      <c r="I158" s="322"/>
      <c r="J158" s="322" t="s">
        <v>4427</v>
      </c>
      <c r="K158" s="319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20">
        <v>44932</v>
      </c>
      <c r="H159" s="320">
        <v>44918</v>
      </c>
      <c r="I159" s="322"/>
      <c r="J159" s="322" t="s">
        <v>4536</v>
      </c>
      <c r="K159" s="319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20">
        <v>44932</v>
      </c>
      <c r="H160" s="320">
        <v>44929</v>
      </c>
      <c r="I160" s="322"/>
      <c r="J160" s="322" t="s">
        <v>17</v>
      </c>
      <c r="K160" s="319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20">
        <v>44957</v>
      </c>
      <c r="H161" s="320">
        <v>44921</v>
      </c>
      <c r="I161" s="322"/>
      <c r="J161" s="322" t="s">
        <v>4403</v>
      </c>
      <c r="K161" s="319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20">
        <v>44957</v>
      </c>
      <c r="H162" s="320">
        <v>44929</v>
      </c>
      <c r="I162" s="322"/>
      <c r="J162" s="322" t="s">
        <v>4067</v>
      </c>
      <c r="K162" s="319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20">
        <v>44957</v>
      </c>
      <c r="H163" s="320">
        <v>44929</v>
      </c>
      <c r="I163" s="322"/>
      <c r="J163" s="322" t="s">
        <v>1639</v>
      </c>
      <c r="K163" s="319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20">
        <v>44930</v>
      </c>
      <c r="H164" s="320">
        <v>44929</v>
      </c>
      <c r="I164" s="322"/>
      <c r="J164" s="322" t="s">
        <v>4604</v>
      </c>
      <c r="K164" s="319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20">
        <v>44957</v>
      </c>
      <c r="H165" s="320">
        <v>44929</v>
      </c>
      <c r="I165" s="322"/>
      <c r="J165" s="322" t="s">
        <v>1700</v>
      </c>
      <c r="K165" s="319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20">
        <v>44886</v>
      </c>
      <c r="H166" s="320">
        <v>44879</v>
      </c>
      <c r="I166" s="322"/>
      <c r="J166" s="322" t="s">
        <v>4305</v>
      </c>
      <c r="K166" s="319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20">
        <v>44886</v>
      </c>
      <c r="H167" s="320">
        <v>44876</v>
      </c>
      <c r="I167" s="322"/>
      <c r="J167" s="322" t="s">
        <v>1093</v>
      </c>
      <c r="K167" s="319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20">
        <v>44887</v>
      </c>
      <c r="H168" s="320">
        <v>44886</v>
      </c>
      <c r="I168" s="322"/>
      <c r="J168" s="322" t="s">
        <v>1093</v>
      </c>
      <c r="K168" s="319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20">
        <v>44957</v>
      </c>
      <c r="H169" s="320">
        <v>44902</v>
      </c>
      <c r="I169" s="322"/>
      <c r="J169" s="322" t="s">
        <v>1639</v>
      </c>
      <c r="K169" s="319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20">
        <v>44932</v>
      </c>
      <c r="H170" s="320">
        <v>44886</v>
      </c>
      <c r="I170" s="322"/>
      <c r="J170" s="322" t="s">
        <v>4347</v>
      </c>
      <c r="K170" s="319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20">
        <v>44886</v>
      </c>
      <c r="H171" s="320">
        <v>44886</v>
      </c>
      <c r="I171" s="322"/>
      <c r="J171" s="322" t="s">
        <v>4345</v>
      </c>
      <c r="K171" s="319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20">
        <v>44886</v>
      </c>
      <c r="H172" s="320">
        <v>44887</v>
      </c>
      <c r="I172" s="322"/>
      <c r="J172" s="322" t="s">
        <v>4384</v>
      </c>
      <c r="K172" s="319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20">
        <v>44887</v>
      </c>
      <c r="H173" s="320">
        <v>44886</v>
      </c>
      <c r="I173" s="322"/>
      <c r="J173" s="322" t="s">
        <v>4335</v>
      </c>
      <c r="K173" s="319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20">
        <v>44895</v>
      </c>
      <c r="H174" s="320">
        <v>44886</v>
      </c>
      <c r="I174" s="322"/>
      <c r="J174" s="322" t="s">
        <v>4328</v>
      </c>
      <c r="K174" s="319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20">
        <v>44923</v>
      </c>
      <c r="H175" s="320">
        <v>44902</v>
      </c>
      <c r="I175" s="322"/>
      <c r="J175" s="322" t="s">
        <v>4356</v>
      </c>
      <c r="K175" s="319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20">
        <v>44922</v>
      </c>
      <c r="H176" s="320">
        <v>44900</v>
      </c>
      <c r="I176" s="322"/>
      <c r="J176" s="322" t="s">
        <v>4419</v>
      </c>
      <c r="K176" s="319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20">
        <v>44923</v>
      </c>
      <c r="H177" s="320">
        <v>44900</v>
      </c>
      <c r="I177" s="322"/>
      <c r="J177" s="322" t="s">
        <v>4417</v>
      </c>
      <c r="K177" s="319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20">
        <v>44901</v>
      </c>
      <c r="H178" s="320">
        <v>44900</v>
      </c>
      <c r="I178" s="322"/>
      <c r="J178" s="322" t="s">
        <v>2560</v>
      </c>
      <c r="K178" s="319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20">
        <v>44929</v>
      </c>
      <c r="H179" s="320">
        <v>44900</v>
      </c>
      <c r="I179" s="322"/>
      <c r="J179" s="322" t="s">
        <v>3787</v>
      </c>
      <c r="K179" s="319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20">
        <v>44957</v>
      </c>
      <c r="H180" s="320">
        <v>44887</v>
      </c>
      <c r="I180" s="322"/>
      <c r="J180" s="322" t="s">
        <v>2234</v>
      </c>
      <c r="K180" s="319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20">
        <v>44932</v>
      </c>
      <c r="H181" s="320">
        <v>44887</v>
      </c>
      <c r="I181" s="322"/>
      <c r="J181" s="322" t="s">
        <v>1667</v>
      </c>
      <c r="K181" s="319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20">
        <v>44888</v>
      </c>
      <c r="H182" s="320">
        <v>44890</v>
      </c>
      <c r="I182" s="322"/>
      <c r="J182" s="322" t="s">
        <v>4379</v>
      </c>
      <c r="K182" s="319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20">
        <v>44886</v>
      </c>
      <c r="H183" s="320">
        <v>44886</v>
      </c>
      <c r="I183" s="322"/>
      <c r="J183" s="322" t="s">
        <v>4356</v>
      </c>
      <c r="K183" s="319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20">
        <v>44886</v>
      </c>
      <c r="H184" s="320">
        <v>44886</v>
      </c>
      <c r="I184" s="322"/>
      <c r="J184" s="322" t="s">
        <v>1678</v>
      </c>
      <c r="K184" s="319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20">
        <v>44923</v>
      </c>
      <c r="H185" s="320">
        <v>44900</v>
      </c>
      <c r="I185" s="322"/>
      <c r="J185" s="322" t="s">
        <v>4403</v>
      </c>
      <c r="K185" s="319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20">
        <v>44913</v>
      </c>
      <c r="H186" s="320">
        <v>44876</v>
      </c>
      <c r="I186" s="322"/>
      <c r="J186" s="322" t="s">
        <v>17</v>
      </c>
      <c r="K186" s="319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20">
        <v>44853</v>
      </c>
      <c r="H187" s="320">
        <v>44865</v>
      </c>
      <c r="I187" s="322"/>
      <c r="J187" s="322" t="s">
        <v>2665</v>
      </c>
      <c r="K187" s="319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20">
        <v>44852</v>
      </c>
      <c r="H188" s="320">
        <v>44852</v>
      </c>
      <c r="I188" s="322"/>
      <c r="J188" s="322" t="s">
        <v>4152</v>
      </c>
      <c r="K188" s="319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20">
        <v>44853</v>
      </c>
      <c r="H189" s="320">
        <v>44853</v>
      </c>
      <c r="I189" s="322"/>
      <c r="J189" s="322" t="s">
        <v>1678</v>
      </c>
      <c r="K189" s="319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20">
        <v>44886</v>
      </c>
      <c r="H190" s="320">
        <v>44860</v>
      </c>
      <c r="I190" s="322"/>
      <c r="J190" s="322" t="s">
        <v>4178</v>
      </c>
      <c r="K190" s="319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20">
        <v>44886</v>
      </c>
      <c r="H191" s="320">
        <v>44865</v>
      </c>
      <c r="I191" s="322"/>
      <c r="J191" s="322" t="s">
        <v>4200</v>
      </c>
      <c r="K191" s="319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20">
        <v>44852</v>
      </c>
      <c r="H192" s="320">
        <v>44851</v>
      </c>
      <c r="I192" s="322"/>
      <c r="J192" s="322" t="s">
        <v>4142</v>
      </c>
      <c r="K192" s="319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20">
        <v>44846</v>
      </c>
      <c r="H193" s="320">
        <v>44846</v>
      </c>
      <c r="I193" s="322"/>
      <c r="J193" s="322" t="s">
        <v>4145</v>
      </c>
      <c r="K193" s="319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20">
        <v>44846</v>
      </c>
      <c r="H194" s="320">
        <v>44846</v>
      </c>
      <c r="I194" s="322"/>
      <c r="J194" s="322" t="s">
        <v>1678</v>
      </c>
      <c r="K194" s="319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20">
        <v>44845</v>
      </c>
      <c r="H195" s="320">
        <v>44846</v>
      </c>
      <c r="I195" s="322"/>
      <c r="J195" s="322" t="s">
        <v>4143</v>
      </c>
      <c r="K195" s="319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20">
        <v>44837</v>
      </c>
      <c r="H196" s="320">
        <v>44837</v>
      </c>
      <c r="I196" s="322"/>
      <c r="J196" s="322" t="s">
        <v>1667</v>
      </c>
      <c r="K196" s="319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20">
        <v>44837</v>
      </c>
      <c r="H197" s="320">
        <v>44837</v>
      </c>
      <c r="I197" s="322"/>
      <c r="J197" s="322" t="s">
        <v>2234</v>
      </c>
      <c r="K197" s="319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20">
        <v>44837</v>
      </c>
      <c r="H198" s="320">
        <v>44837</v>
      </c>
      <c r="I198" s="322"/>
      <c r="J198" s="322" t="s">
        <v>1662</v>
      </c>
      <c r="K198" s="319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20">
        <v>44837</v>
      </c>
      <c r="H199" s="320">
        <v>44844</v>
      </c>
      <c r="I199" s="322"/>
      <c r="J199" s="322" t="s">
        <v>3908</v>
      </c>
      <c r="K199" s="319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20">
        <v>44859</v>
      </c>
      <c r="H200" s="320">
        <v>44846</v>
      </c>
      <c r="I200" s="322"/>
      <c r="J200" s="322" t="s">
        <v>4139</v>
      </c>
      <c r="K200" s="319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20">
        <v>44816</v>
      </c>
      <c r="H201" s="320">
        <v>44819</v>
      </c>
      <c r="I201" s="322"/>
      <c r="J201" s="322" t="s">
        <v>1485</v>
      </c>
      <c r="K201" s="319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20">
        <v>44816</v>
      </c>
      <c r="H202" s="320">
        <v>44819</v>
      </c>
      <c r="I202" s="322"/>
      <c r="J202" s="322" t="s">
        <v>357</v>
      </c>
      <c r="K202" s="319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20">
        <v>44795</v>
      </c>
      <c r="H203" s="320">
        <v>44795</v>
      </c>
      <c r="I203" s="322"/>
      <c r="J203" s="322" t="s">
        <v>3787</v>
      </c>
      <c r="K203" s="319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20">
        <v>44769</v>
      </c>
      <c r="H204" s="320">
        <v>44770</v>
      </c>
      <c r="I204" s="322"/>
      <c r="J204" s="322" t="s">
        <v>3573</v>
      </c>
      <c r="K204" s="319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20">
        <v>44768</v>
      </c>
      <c r="H205" s="320">
        <v>44764</v>
      </c>
      <c r="I205" s="322"/>
      <c r="J205" s="322" t="s">
        <v>1662</v>
      </c>
      <c r="K205" s="319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20">
        <v>44748</v>
      </c>
      <c r="H206" s="320">
        <v>44729</v>
      </c>
      <c r="I206" s="322"/>
      <c r="J206" s="322" t="s">
        <v>1639</v>
      </c>
      <c r="K206" s="319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20">
        <v>44748</v>
      </c>
      <c r="H207" s="320">
        <v>44729</v>
      </c>
      <c r="I207" s="322"/>
      <c r="J207" s="322" t="s">
        <v>1639</v>
      </c>
      <c r="K207" s="319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20">
        <v>44753</v>
      </c>
      <c r="H208" s="320">
        <v>44741</v>
      </c>
      <c r="I208" s="322"/>
      <c r="J208" s="322" t="s">
        <v>3335</v>
      </c>
      <c r="K208" s="319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20">
        <v>44753</v>
      </c>
      <c r="H209" s="320">
        <v>44745</v>
      </c>
      <c r="I209" s="322"/>
      <c r="J209" s="322" t="s">
        <v>3334</v>
      </c>
      <c r="K209" s="319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20">
        <v>44728</v>
      </c>
      <c r="H210" s="320">
        <v>44728</v>
      </c>
      <c r="I210" s="322"/>
      <c r="J210" s="322" t="s">
        <v>3233</v>
      </c>
      <c r="K210" s="319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20">
        <v>44748</v>
      </c>
      <c r="H211" s="320">
        <v>44735</v>
      </c>
      <c r="I211" s="322"/>
      <c r="J211" s="322" t="s">
        <v>3225</v>
      </c>
      <c r="K211" s="319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20">
        <v>44728</v>
      </c>
      <c r="H212" s="320">
        <v>44728</v>
      </c>
      <c r="I212" s="322"/>
      <c r="J212" s="322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20">
        <v>44728</v>
      </c>
      <c r="H213" s="320">
        <v>44728</v>
      </c>
      <c r="I213" s="322"/>
      <c r="J213" s="322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20">
        <v>44714</v>
      </c>
      <c r="H214" s="320">
        <v>44689</v>
      </c>
      <c r="I214" s="322"/>
      <c r="J214" s="322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20">
        <v>44691</v>
      </c>
      <c r="H215" s="320">
        <v>44689</v>
      </c>
      <c r="I215" s="322"/>
      <c r="J215" s="322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20">
        <v>44729</v>
      </c>
      <c r="H216" s="320">
        <v>44728</v>
      </c>
      <c r="I216" s="322"/>
      <c r="J216" s="322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20">
        <v>44714</v>
      </c>
      <c r="H217" s="320">
        <v>44708</v>
      </c>
      <c r="I217" s="322"/>
      <c r="J217" s="322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20">
        <v>44690</v>
      </c>
      <c r="H218" s="320">
        <v>44680</v>
      </c>
      <c r="I218" s="322"/>
      <c r="J218" s="322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20">
        <v>44657</v>
      </c>
      <c r="H219" s="320">
        <v>44651</v>
      </c>
      <c r="I219" s="322"/>
      <c r="J219" s="322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20">
        <v>44630</v>
      </c>
      <c r="H220" s="320">
        <v>44637</v>
      </c>
      <c r="I220" s="322"/>
      <c r="J220" s="322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20">
        <v>44628</v>
      </c>
      <c r="H221" s="320">
        <v>44630</v>
      </c>
      <c r="I221" s="322"/>
      <c r="J221" s="322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20">
        <v>44622</v>
      </c>
      <c r="H222" s="320">
        <v>44627</v>
      </c>
      <c r="I222" s="322"/>
      <c r="J222" s="322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20">
        <v>44614</v>
      </c>
      <c r="H223" s="320">
        <v>44610</v>
      </c>
      <c r="I223" s="322"/>
      <c r="J223" s="322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20">
        <v>44534</v>
      </c>
      <c r="H224" s="320">
        <v>44533</v>
      </c>
      <c r="I224" s="322"/>
      <c r="J224" s="322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20">
        <v>44508</v>
      </c>
      <c r="H225" s="320">
        <v>44512</v>
      </c>
      <c r="I225" s="322"/>
      <c r="J225" s="322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20">
        <v>44540</v>
      </c>
      <c r="H226" s="320">
        <v>44519</v>
      </c>
      <c r="I226" s="322"/>
      <c r="J226" s="322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20">
        <v>44451</v>
      </c>
      <c r="H227" s="320">
        <v>44448</v>
      </c>
      <c r="I227" s="322"/>
      <c r="J227" s="322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20">
        <v>44323</v>
      </c>
      <c r="H228" s="320">
        <v>44378</v>
      </c>
      <c r="I228" s="322"/>
      <c r="J228" s="322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20">
        <v>44314</v>
      </c>
      <c r="H229" s="320"/>
      <c r="I229" s="322"/>
      <c r="J229" s="322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20">
        <v>44138.68550925926</v>
      </c>
      <c r="H230" s="320">
        <v>44145.597592592596</v>
      </c>
      <c r="I230" s="322"/>
      <c r="J230" s="322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20">
        <v>44263.620578703703</v>
      </c>
      <c r="H231" s="320">
        <v>44264.484814814816</v>
      </c>
      <c r="I231" s="322"/>
      <c r="J231" s="322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17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15-Sep'!$A$44:$A$54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A95"/>
  <sheetViews>
    <sheetView tabSelected="1" workbookViewId="0">
      <pane xSplit="10" ySplit="2" topLeftCell="K42" activePane="bottomRight" state="frozen"/>
      <selection pane="topRight" activeCell="J1" sqref="J1"/>
      <selection pane="bottomLeft" activeCell="A3" sqref="A3"/>
      <selection pane="bottomRight" activeCell="L50" sqref="L50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7773437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21875" bestFit="1" customWidth="1"/>
    <col min="12" max="12" width="12.6640625" customWidth="1"/>
    <col min="13" max="13" width="16.5546875" bestFit="1" customWidth="1"/>
    <col min="14" max="14" width="10.5546875" bestFit="1" customWidth="1"/>
    <col min="15" max="15" width="14.5546875" style="75" customWidth="1"/>
    <col min="17" max="17" width="17.5546875" style="75" customWidth="1"/>
    <col min="18" max="18" width="20.44140625" style="75" customWidth="1"/>
    <col min="19" max="19" width="10.44140625" customWidth="1"/>
    <col min="20" max="20" width="21.5546875" style="75" customWidth="1"/>
    <col min="21" max="21" width="13.44140625" style="75" customWidth="1"/>
    <col min="22" max="22" width="10.5546875" style="75" customWidth="1"/>
    <col min="23" max="23" width="13.6640625" style="75" customWidth="1"/>
    <col min="26" max="26" width="19.5546875" bestFit="1" customWidth="1"/>
    <col min="27" max="27" width="22.6640625" bestFit="1" customWidth="1"/>
  </cols>
  <sheetData>
    <row r="2" spans="1:27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6325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92</v>
      </c>
      <c r="N2" t="s">
        <v>5571</v>
      </c>
      <c r="O2" s="75" t="s">
        <v>2408</v>
      </c>
      <c r="P2" t="s">
        <v>368</v>
      </c>
      <c r="Q2" s="75" t="s">
        <v>5648</v>
      </c>
      <c r="R2" s="75" t="s">
        <v>5721</v>
      </c>
      <c r="S2" t="s">
        <v>5722</v>
      </c>
      <c r="T2" s="75" t="s">
        <v>5723</v>
      </c>
      <c r="U2" s="75" t="s">
        <v>5724</v>
      </c>
      <c r="V2" s="75" t="s">
        <v>5725</v>
      </c>
      <c r="W2" s="75" t="s">
        <v>5726</v>
      </c>
      <c r="X2" t="s">
        <v>5768</v>
      </c>
      <c r="Y2" t="s">
        <v>5727</v>
      </c>
      <c r="Z2" t="s">
        <v>6124</v>
      </c>
      <c r="AA2" t="s">
        <v>77</v>
      </c>
    </row>
    <row r="3" spans="1:27">
      <c r="A3">
        <f>SUBTOTAL(3,$B$3:B3)</f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6330</v>
      </c>
      <c r="H3" s="75">
        <v>43282</v>
      </c>
      <c r="I3" s="75">
        <v>45042.735532407409</v>
      </c>
      <c r="J3" s="75">
        <v>45064.630474537036</v>
      </c>
      <c r="K3" t="s">
        <v>6235</v>
      </c>
      <c r="L3" t="s">
        <v>2</v>
      </c>
      <c r="M3" t="s">
        <v>6236</v>
      </c>
      <c r="N3" s="319" t="e">
        <v>#N/A</v>
      </c>
      <c r="O3" s="75">
        <v>45145</v>
      </c>
      <c r="P3" t="s">
        <v>4802</v>
      </c>
      <c r="Q3" s="75" t="s">
        <v>4802</v>
      </c>
      <c r="R3" s="75" t="s">
        <v>4802</v>
      </c>
      <c r="S3" t="s">
        <v>4802</v>
      </c>
      <c r="T3" s="75" t="s">
        <v>4802</v>
      </c>
      <c r="U3" s="75" t="s">
        <v>4802</v>
      </c>
      <c r="V3" s="75" t="s">
        <v>4802</v>
      </c>
      <c r="W3" s="75" t="s">
        <v>4802</v>
      </c>
      <c r="X3" t="s">
        <v>6237</v>
      </c>
      <c r="Y3" t="s">
        <v>1102</v>
      </c>
      <c r="Z3" t="s">
        <v>28</v>
      </c>
      <c r="AA3">
        <f>INDEX([11]Sheet1!$J:$J,MATCH(B3,[11]Sheet1!$N:$N,0))</f>
        <v>0</v>
      </c>
    </row>
    <row r="4" spans="1:27">
      <c r="A4">
        <f>SUBTOTAL(3,$B$3:B4)</f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6331</v>
      </c>
      <c r="H4" s="75">
        <v>41824</v>
      </c>
      <c r="I4" s="75">
        <v>45090.650416666664</v>
      </c>
      <c r="J4" s="75">
        <v>45111.546400462961</v>
      </c>
      <c r="K4" t="s">
        <v>6238</v>
      </c>
      <c r="L4" t="s">
        <v>2</v>
      </c>
      <c r="M4" t="s">
        <v>5286</v>
      </c>
      <c r="N4" s="319" t="e">
        <v>#N/A</v>
      </c>
      <c r="O4" s="75" t="s">
        <v>4802</v>
      </c>
      <c r="P4" t="s">
        <v>4802</v>
      </c>
      <c r="Q4" s="75" t="s">
        <v>4802</v>
      </c>
      <c r="R4" s="75" t="s">
        <v>4802</v>
      </c>
      <c r="S4" t="s">
        <v>4802</v>
      </c>
      <c r="T4" s="75" t="s">
        <v>4802</v>
      </c>
      <c r="U4" s="75" t="s">
        <v>4802</v>
      </c>
      <c r="V4" s="75" t="s">
        <v>4802</v>
      </c>
      <c r="W4" s="75" t="s">
        <v>4802</v>
      </c>
      <c r="X4" t="s">
        <v>6239</v>
      </c>
      <c r="Y4" t="s">
        <v>18</v>
      </c>
      <c r="Z4" t="s">
        <v>60</v>
      </c>
      <c r="AA4">
        <f>INDEX([11]Sheet1!$J:$J,MATCH(B4,[11]Sheet1!$N:$N,0))</f>
        <v>0</v>
      </c>
    </row>
    <row r="5" spans="1:27">
      <c r="A5">
        <f>SUBTOTAL(3,$B$3:B5)</f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6240</v>
      </c>
      <c r="L5" t="s">
        <v>2</v>
      </c>
      <c r="M5" t="s">
        <v>6241</v>
      </c>
      <c r="N5" s="319">
        <v>986.86</v>
      </c>
      <c r="O5" s="75" t="s">
        <v>4802</v>
      </c>
      <c r="P5" t="s">
        <v>4802</v>
      </c>
      <c r="Q5" s="75" t="s">
        <v>4802</v>
      </c>
      <c r="R5" s="75" t="s">
        <v>4802</v>
      </c>
      <c r="S5" t="s">
        <v>4802</v>
      </c>
      <c r="T5" s="75" t="s">
        <v>4802</v>
      </c>
      <c r="U5" s="75" t="s">
        <v>4802</v>
      </c>
      <c r="V5" s="75" t="s">
        <v>4802</v>
      </c>
      <c r="W5" s="75" t="s">
        <v>4802</v>
      </c>
      <c r="X5" t="s">
        <v>6242</v>
      </c>
      <c r="Y5" t="s">
        <v>1120</v>
      </c>
      <c r="Z5" t="s">
        <v>60</v>
      </c>
      <c r="AA5" t="str">
        <f>INDEX([11]Sheet1!$J:$J,MATCH(B5,[11]Sheet1!$N:$N,0))</f>
        <v>Waiting for FFVN approval</v>
      </c>
    </row>
    <row r="6" spans="1:27">
      <c r="A6">
        <f>SUBTOTAL(3,$B$3:B6)</f>
        <v>4</v>
      </c>
      <c r="B6" t="s">
        <v>5354</v>
      </c>
      <c r="C6" t="s">
        <v>5355</v>
      </c>
      <c r="D6" t="s">
        <v>129</v>
      </c>
      <c r="E6" t="s">
        <v>45</v>
      </c>
      <c r="F6" t="s">
        <v>6243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6244</v>
      </c>
      <c r="L6" t="s">
        <v>4</v>
      </c>
      <c r="M6" t="s">
        <v>6245</v>
      </c>
      <c r="N6" s="319">
        <v>1826.3799999999999</v>
      </c>
      <c r="O6" s="75" t="s">
        <v>4802</v>
      </c>
      <c r="P6" t="s">
        <v>4802</v>
      </c>
      <c r="Q6" s="75" t="s">
        <v>4802</v>
      </c>
      <c r="R6" s="75" t="s">
        <v>4802</v>
      </c>
      <c r="S6" t="s">
        <v>4802</v>
      </c>
      <c r="T6" s="75" t="s">
        <v>4802</v>
      </c>
      <c r="U6" s="75" t="s">
        <v>4802</v>
      </c>
      <c r="V6" s="75" t="s">
        <v>4802</v>
      </c>
      <c r="W6" s="75" t="s">
        <v>4802</v>
      </c>
      <c r="X6" t="s">
        <v>6246</v>
      </c>
      <c r="Y6" t="s">
        <v>33</v>
      </c>
      <c r="Z6" t="s">
        <v>1054</v>
      </c>
      <c r="AA6" t="str">
        <f>INDEX([11]Sheet1!$J:$J,MATCH(B6,[11]Sheet1!$N:$N,0))</f>
        <v>Waiting for FFVN approval</v>
      </c>
    </row>
    <row r="7" spans="1:27">
      <c r="A7">
        <f>SUBTOTAL(3,$B$3:B7)</f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s">
        <v>4802</v>
      </c>
      <c r="H7" s="75" t="e">
        <v>#N/A</v>
      </c>
      <c r="I7" s="75">
        <v>45104.455347222225</v>
      </c>
      <c r="J7" s="75">
        <v>45104.464803240742</v>
      </c>
      <c r="K7" t="s">
        <v>6247</v>
      </c>
      <c r="L7" t="s">
        <v>2</v>
      </c>
      <c r="M7" t="s">
        <v>357</v>
      </c>
      <c r="N7" s="319">
        <v>270</v>
      </c>
      <c r="O7" s="75" t="s">
        <v>4802</v>
      </c>
      <c r="P7" t="s">
        <v>4802</v>
      </c>
      <c r="Q7" s="75" t="s">
        <v>4802</v>
      </c>
      <c r="R7" s="75" t="s">
        <v>4802</v>
      </c>
      <c r="S7" t="s">
        <v>4802</v>
      </c>
      <c r="T7" s="75" t="s">
        <v>4802</v>
      </c>
      <c r="U7" s="75" t="s">
        <v>4802</v>
      </c>
      <c r="V7" s="75" t="s">
        <v>4802</v>
      </c>
      <c r="W7" s="75" t="s">
        <v>4802</v>
      </c>
      <c r="X7" t="s">
        <v>6248</v>
      </c>
      <c r="Y7" t="s">
        <v>18</v>
      </c>
      <c r="Z7" t="s">
        <v>60</v>
      </c>
      <c r="AA7">
        <f>INDEX([11]Sheet1!$J:$J,MATCH(B7,[11]Sheet1!$N:$N,0))</f>
        <v>0</v>
      </c>
    </row>
    <row r="8" spans="1:27">
      <c r="A8">
        <f>SUBTOTAL(3,$B$3:B8)</f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6332</v>
      </c>
      <c r="H8" s="75">
        <v>44085</v>
      </c>
      <c r="I8" s="75">
        <v>45106.682789351849</v>
      </c>
      <c r="J8" s="75">
        <v>45107.479733796295</v>
      </c>
      <c r="K8" t="s">
        <v>6249</v>
      </c>
      <c r="L8" t="s">
        <v>2</v>
      </c>
      <c r="M8" t="s">
        <v>5498</v>
      </c>
      <c r="N8" s="319" t="e">
        <v>#N/A</v>
      </c>
      <c r="O8" s="75">
        <v>45148</v>
      </c>
      <c r="P8" t="s">
        <v>4802</v>
      </c>
      <c r="Q8" s="75" t="s">
        <v>4802</v>
      </c>
      <c r="R8" s="75" t="s">
        <v>4802</v>
      </c>
      <c r="S8" t="s">
        <v>4802</v>
      </c>
      <c r="T8" s="75" t="s">
        <v>4802</v>
      </c>
      <c r="U8" s="75" t="s">
        <v>4802</v>
      </c>
      <c r="V8" s="75" t="s">
        <v>4802</v>
      </c>
      <c r="W8" s="75" t="s">
        <v>4802</v>
      </c>
      <c r="X8" t="s">
        <v>6250</v>
      </c>
      <c r="Y8" t="s">
        <v>20</v>
      </c>
      <c r="Z8" t="s">
        <v>28</v>
      </c>
      <c r="AA8">
        <f>INDEX([11]Sheet1!$J:$J,MATCH(B8,[11]Sheet1!$N:$N,0))</f>
        <v>0</v>
      </c>
    </row>
    <row r="9" spans="1:27">
      <c r="A9">
        <f>SUBTOTAL(3,$B$3:B9)</f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s">
        <v>4802</v>
      </c>
      <c r="H9" s="75" t="e">
        <v>#N/A</v>
      </c>
      <c r="I9" s="75">
        <v>45125.713622685187</v>
      </c>
      <c r="J9" s="75">
        <v>45125.779039351852</v>
      </c>
      <c r="K9" t="s">
        <v>6251</v>
      </c>
      <c r="L9" t="s">
        <v>3</v>
      </c>
      <c r="M9" t="s">
        <v>1666</v>
      </c>
      <c r="N9" s="319">
        <v>16</v>
      </c>
      <c r="O9" s="75">
        <v>45148</v>
      </c>
      <c r="P9" t="s">
        <v>12</v>
      </c>
      <c r="Q9" s="75" t="s">
        <v>4802</v>
      </c>
      <c r="R9" s="75" t="s">
        <v>4802</v>
      </c>
      <c r="S9" t="s">
        <v>4802</v>
      </c>
      <c r="T9" s="75" t="s">
        <v>4802</v>
      </c>
      <c r="U9" s="75" t="s">
        <v>4802</v>
      </c>
      <c r="V9" s="75" t="s">
        <v>4802</v>
      </c>
      <c r="W9" s="75" t="s">
        <v>4802</v>
      </c>
      <c r="X9" t="s">
        <v>6252</v>
      </c>
      <c r="Y9" t="s">
        <v>33</v>
      </c>
      <c r="Z9" t="s">
        <v>28</v>
      </c>
      <c r="AA9" t="str">
        <f>INDEX([11]Sheet1!$J:$J,MATCH(B9,[11]Sheet1!$N:$N,0))</f>
        <v>FFVN Approved</v>
      </c>
    </row>
    <row r="10" spans="1:27">
      <c r="A10">
        <f>SUBTOTAL(3,$B$3:B10)</f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6333</v>
      </c>
      <c r="H10" s="75">
        <v>43983</v>
      </c>
      <c r="I10" s="75">
        <v>45128.45753472222</v>
      </c>
      <c r="J10" s="75">
        <v>45128.462312129632</v>
      </c>
      <c r="K10" t="s">
        <v>6253</v>
      </c>
      <c r="L10" t="s">
        <v>2</v>
      </c>
      <c r="M10" t="s">
        <v>6254</v>
      </c>
      <c r="N10" s="319">
        <v>1472</v>
      </c>
      <c r="O10" s="75" t="s">
        <v>4802</v>
      </c>
      <c r="P10" t="s">
        <v>4802</v>
      </c>
      <c r="Q10" s="75" t="s">
        <v>4802</v>
      </c>
      <c r="R10" s="75" t="s">
        <v>4802</v>
      </c>
      <c r="S10" t="s">
        <v>4802</v>
      </c>
      <c r="T10" s="75" t="s">
        <v>4802</v>
      </c>
      <c r="U10" s="75" t="s">
        <v>4802</v>
      </c>
      <c r="V10" s="75" t="s">
        <v>4802</v>
      </c>
      <c r="W10" s="75" t="s">
        <v>4802</v>
      </c>
      <c r="X10" t="s">
        <v>6255</v>
      </c>
      <c r="Y10" t="s">
        <v>20</v>
      </c>
      <c r="Z10" t="s">
        <v>60</v>
      </c>
      <c r="AA10">
        <f>INDEX([11]Sheet1!$J:$J,MATCH(B10,[11]Sheet1!$N:$N,0))</f>
        <v>0</v>
      </c>
    </row>
    <row r="11" spans="1:27">
      <c r="A11">
        <f>SUBTOTAL(3,$B$3:B11)</f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">
        <v>6256</v>
      </c>
      <c r="N11" s="319">
        <v>1237.02</v>
      </c>
      <c r="O11" s="75" t="s">
        <v>4802</v>
      </c>
      <c r="P11" t="s">
        <v>12</v>
      </c>
      <c r="Q11" s="75" t="s">
        <v>4802</v>
      </c>
      <c r="R11" s="75" t="s">
        <v>4802</v>
      </c>
      <c r="S11" t="s">
        <v>4802</v>
      </c>
      <c r="T11" s="75" t="s">
        <v>4802</v>
      </c>
      <c r="U11" s="75" t="s">
        <v>4802</v>
      </c>
      <c r="V11" s="75" t="s">
        <v>4802</v>
      </c>
      <c r="W11" s="75" t="s">
        <v>4802</v>
      </c>
      <c r="X11" t="s">
        <v>6257</v>
      </c>
      <c r="Y11" t="s">
        <v>1120</v>
      </c>
      <c r="Z11" t="s">
        <v>62</v>
      </c>
      <c r="AA11" t="str">
        <f>INDEX([11]Sheet1!$J:$J,MATCH(B11,[11]Sheet1!$N:$N,0))</f>
        <v>Waiting for FFVN approval</v>
      </c>
    </row>
    <row r="12" spans="1:27">
      <c r="A12">
        <f>SUBTOTAL(3,$B$3:B12)</f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">
        <v>6256</v>
      </c>
      <c r="N12" s="319">
        <v>1237.02</v>
      </c>
      <c r="O12" s="75" t="s">
        <v>4802</v>
      </c>
      <c r="P12" t="s">
        <v>12</v>
      </c>
      <c r="Q12" s="75" t="s">
        <v>4802</v>
      </c>
      <c r="R12" s="75" t="s">
        <v>4802</v>
      </c>
      <c r="S12" t="s">
        <v>4802</v>
      </c>
      <c r="T12" s="75" t="s">
        <v>4802</v>
      </c>
      <c r="U12" s="75" t="s">
        <v>4802</v>
      </c>
      <c r="V12" s="75" t="s">
        <v>4802</v>
      </c>
      <c r="W12" s="75" t="s">
        <v>4802</v>
      </c>
      <c r="X12" t="s">
        <v>6258</v>
      </c>
      <c r="Y12" t="s">
        <v>33</v>
      </c>
      <c r="Z12" t="s">
        <v>62</v>
      </c>
      <c r="AA12" t="str">
        <f>INDEX([11]Sheet1!$J:$J,MATCH(B12,[11]Sheet1!$N:$N,0))</f>
        <v>Waiting for FFVN approval</v>
      </c>
    </row>
    <row r="13" spans="1:27">
      <c r="A13">
        <f>SUBTOTAL(3,$B$3:B13)</f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N13" s="319">
        <v>6576.24</v>
      </c>
      <c r="AA13" t="str">
        <f>INDEX([11]Sheet1!$J:$J,MATCH(B13,[11]Sheet1!$N:$N,0))</f>
        <v>Waiting for FFVN approval</v>
      </c>
    </row>
    <row r="14" spans="1:27">
      <c r="A14">
        <f>SUBTOTAL(3,$B$3:B14)</f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6334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N14" s="319" t="e">
        <v>#N/A</v>
      </c>
      <c r="AA14">
        <f>INDEX([11]Sheet1!$J:$J,MATCH(B14,[11]Sheet1!$N:$N,0))</f>
        <v>0</v>
      </c>
    </row>
    <row r="15" spans="1:27">
      <c r="A15">
        <f>SUBTOTAL(3,$B$3:B15)</f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H15" s="75" t="e">
        <v>#N/A</v>
      </c>
      <c r="I15" s="75">
        <v>44929</v>
      </c>
      <c r="J15" s="75">
        <v>44930</v>
      </c>
      <c r="K15" t="s">
        <v>4802</v>
      </c>
      <c r="L15" t="s">
        <v>4</v>
      </c>
      <c r="N15" s="319">
        <v>5447.3399999999992</v>
      </c>
      <c r="AA15" t="str">
        <f>INDEX([11]Sheet1!$J:$J,MATCH(B15,[11]Sheet1!$N:$N,0))</f>
        <v>Waiting for FTYO suport</v>
      </c>
    </row>
    <row r="16" spans="1:27">
      <c r="A16">
        <f>SUBTOTAL(3,$B$3:B16)</f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N16" s="319">
        <v>4770.0000000000009</v>
      </c>
      <c r="AA16" t="str">
        <f>INDEX([11]Sheet1!$J:$J,MATCH(B16,[11]Sheet1!$N:$N,0))</f>
        <v>Waiting for FFVN approval</v>
      </c>
    </row>
    <row r="17" spans="1:27">
      <c r="A17">
        <f>SUBTOTAL(3,$B$3:B17)</f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N17" s="319">
        <v>4411.72</v>
      </c>
      <c r="AA17" t="str">
        <f>INDEX([11]Sheet1!$J:$J,MATCH(B17,[11]Sheet1!$N:$N,0))</f>
        <v>Waiting for FFVN disposal</v>
      </c>
    </row>
    <row r="18" spans="1:27">
      <c r="A18">
        <f>SUBTOTAL(3,$B$3:B18)</f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N18" s="319" t="e">
        <v>#N/A</v>
      </c>
      <c r="AA18">
        <f>INDEX([11]Sheet1!$J:$J,MATCH(B18,[11]Sheet1!$N:$N,0))</f>
        <v>0</v>
      </c>
    </row>
    <row r="19" spans="1:27">
      <c r="A19">
        <f>SUBTOTAL(3,$B$3:B19)</f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6334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N19" s="319" t="e">
        <v>#N/A</v>
      </c>
      <c r="AA19">
        <f>INDEX([11]Sheet1!$J:$J,MATCH(B19,[11]Sheet1!$N:$N,0))</f>
        <v>0</v>
      </c>
    </row>
    <row r="20" spans="1:27">
      <c r="A20">
        <f>SUBTOTAL(3,$B$3:B20)</f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6335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N20" s="319" t="e">
        <v>#N/A</v>
      </c>
      <c r="AA20">
        <f>INDEX([11]Sheet1!$J:$J,MATCH(B20,[11]Sheet1!$N:$N,0))</f>
        <v>0</v>
      </c>
    </row>
    <row r="21" spans="1:27">
      <c r="A21">
        <f>SUBTOTAL(3,$B$3:B21)</f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N21" s="319">
        <v>1134.2</v>
      </c>
      <c r="AA21" t="str">
        <f>INDEX([11]Sheet1!$J:$J,MATCH(B21,[11]Sheet1!$N:$N,0))</f>
        <v>Waiting for FFVN approval</v>
      </c>
    </row>
    <row r="22" spans="1:27">
      <c r="A22">
        <f>SUBTOTAL(3,$B$3:B22)</f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H22" s="75" t="e">
        <v>#N/A</v>
      </c>
      <c r="I22" s="75">
        <v>44965</v>
      </c>
      <c r="J22" s="75">
        <v>44970</v>
      </c>
      <c r="K22" t="s">
        <v>4802</v>
      </c>
      <c r="L22" t="s">
        <v>4</v>
      </c>
      <c r="N22" s="319">
        <v>3236.1799999999994</v>
      </c>
      <c r="AA22">
        <f>INDEX([11]Sheet1!$J:$J,MATCH(B22,[11]Sheet1!$N:$N,0))</f>
        <v>0</v>
      </c>
    </row>
    <row r="23" spans="1:27">
      <c r="A23">
        <f>SUBTOTAL(3,$B$3:B23)</f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N23" s="319">
        <v>734.58</v>
      </c>
      <c r="O23" s="75">
        <v>45191</v>
      </c>
      <c r="AA23" t="str">
        <f>INDEX([11]Sheet1!$J:$J,MATCH(B23,[11]Sheet1!$N:$N,0))</f>
        <v>FFVN Approved</v>
      </c>
    </row>
    <row r="24" spans="1:27">
      <c r="A24">
        <f>SUBTOTAL(3,$B$3:B24)</f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N24" s="319">
        <v>835.28</v>
      </c>
      <c r="AA24" t="str">
        <f>INDEX([11]Sheet1!$J:$J,MATCH(B24,[11]Sheet1!$N:$N,0))</f>
        <v>Waiting for FFVN approval</v>
      </c>
    </row>
    <row r="25" spans="1:27">
      <c r="A25">
        <f>SUBTOTAL(3,$B$3:B25)</f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H25" s="75" t="e">
        <v>#N/A</v>
      </c>
      <c r="I25" s="75">
        <v>44959</v>
      </c>
      <c r="J25" s="75">
        <v>44963</v>
      </c>
      <c r="K25" t="s">
        <v>4802</v>
      </c>
      <c r="L25" t="s">
        <v>2</v>
      </c>
      <c r="N25" s="319">
        <v>5899.9599999999991</v>
      </c>
      <c r="AA25" t="str">
        <f>INDEX([11]Sheet1!$J:$J,MATCH(B25,[11]Sheet1!$N:$N,0))</f>
        <v>Waiting for FFVN disposal</v>
      </c>
    </row>
    <row r="26" spans="1:27">
      <c r="A26">
        <f>SUBTOTAL(3,$B$3:B26)</f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N26" s="319" t="e">
        <v>#N/A</v>
      </c>
      <c r="AA26">
        <f>INDEX([11]Sheet1!$J:$J,MATCH(B26,[11]Sheet1!$N:$N,0))</f>
        <v>0</v>
      </c>
    </row>
    <row r="27" spans="1:27">
      <c r="A27">
        <f>SUBTOTAL(3,$B$3:B27)</f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N27" s="319">
        <v>3905.0399999999995</v>
      </c>
      <c r="AA27" t="str">
        <f>INDEX([11]Sheet1!$J:$J,MATCH(B27,[11]Sheet1!$N:$N,0))</f>
        <v>Waiting for FFVNdisposal</v>
      </c>
    </row>
    <row r="28" spans="1:27">
      <c r="A28">
        <f>SUBTOTAL(3,$B$3:B28)</f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N28" s="319">
        <v>2285.3599999999992</v>
      </c>
      <c r="AA28" t="str">
        <f>INDEX([11]Sheet1!$J:$J,MATCH(B28,[11]Sheet1!$N:$N,0))</f>
        <v>Waiting for FFVN approval</v>
      </c>
    </row>
    <row r="29" spans="1:27">
      <c r="A29">
        <f>SUBTOTAL(3,$B$3:B29)</f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6336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N29" s="319">
        <v>5749.4400000000005</v>
      </c>
      <c r="AA29" t="str">
        <f>INDEX([11]Sheet1!$J:$J,MATCH(B29,[11]Sheet1!$N:$N,0))</f>
        <v>Waiting for FTYO disposal</v>
      </c>
    </row>
    <row r="30" spans="1:27">
      <c r="A30">
        <f>SUBTOTAL(3,$B$3:B30)</f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6337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N30" s="319" t="e">
        <v>#N/A</v>
      </c>
      <c r="AA30">
        <f>INDEX([11]Sheet1!$J:$J,MATCH(B30,[11]Sheet1!$N:$N,0))</f>
        <v>0</v>
      </c>
    </row>
    <row r="31" spans="1:27">
      <c r="A31">
        <f>SUBTOTAL(3,$B$3:B31)</f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6338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N31" s="319">
        <v>5749.4400000000005</v>
      </c>
      <c r="AA31">
        <f>INDEX([11]Sheet1!$J:$J,MATCH(B31,[11]Sheet1!$N:$N,0))</f>
        <v>0</v>
      </c>
    </row>
    <row r="32" spans="1:27">
      <c r="A32">
        <f>SUBTOTAL(3,$B$3:B32)</f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6339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N32" s="319">
        <v>1246.56</v>
      </c>
      <c r="AA32">
        <f>INDEX([11]Sheet1!$J:$J,MATCH(B32,[11]Sheet1!$N:$N,0))</f>
        <v>0</v>
      </c>
    </row>
    <row r="33" spans="1:27">
      <c r="A33">
        <f>SUBTOTAL(3,$B$3:B33)</f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f>Table2[[#This Row],[wty_end_date]]</f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N33" s="319">
        <v>1817.9</v>
      </c>
      <c r="AA33" t="str">
        <f>INDEX([11]Sheet1!$J:$J,MATCH(B33,[11]Sheet1!$N:$N,0))</f>
        <v>Waiting for FFVN approval</v>
      </c>
    </row>
    <row r="34" spans="1:27">
      <c r="A34">
        <f>SUBTOTAL(3,$B$3:B34)</f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6340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N34" s="319">
        <v>1198.8599999999999</v>
      </c>
      <c r="AA34">
        <f>INDEX([11]Sheet1!$J:$J,MATCH(B34,[11]Sheet1!$N:$N,0))</f>
        <v>0</v>
      </c>
    </row>
    <row r="35" spans="1:27">
      <c r="A35">
        <f>SUBTOTAL(3,$B$3:B35)</f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6341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N35" s="319">
        <v>1817.9</v>
      </c>
      <c r="AA35">
        <f>INDEX([11]Sheet1!$J:$J,MATCH(B35,[11]Sheet1!$N:$N,0))</f>
        <v>0</v>
      </c>
    </row>
    <row r="36" spans="1:27">
      <c r="A36">
        <f>SUBTOTAL(3,$B$3:B36)</f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6342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N36" s="319">
        <v>5428.2599999999993</v>
      </c>
      <c r="AA36">
        <f>INDEX([11]Sheet1!$J:$J,MATCH(B36,[11]Sheet1!$N:$N,0))</f>
        <v>0</v>
      </c>
    </row>
    <row r="37" spans="1:27">
      <c r="A37">
        <f>SUBTOTAL(3,$B$3:B37)</f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6343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N37" s="319">
        <v>2062.7599999999998</v>
      </c>
      <c r="AA37">
        <f>INDEX([11]Sheet1!$J:$J,MATCH(B37,[11]Sheet1!$N:$N,0))</f>
        <v>0</v>
      </c>
    </row>
    <row r="38" spans="1:27">
      <c r="A38">
        <f>SUBTOTAL(3,$B$3:B95)</f>
        <v>93</v>
      </c>
      <c r="B38" t="s">
        <v>4667</v>
      </c>
      <c r="C38" t="s">
        <v>286</v>
      </c>
      <c r="D38" t="s">
        <v>22</v>
      </c>
      <c r="E38" t="s">
        <v>34</v>
      </c>
      <c r="F38" t="s">
        <v>1250</v>
      </c>
      <c r="H38" s="75" t="e">
        <v>#N/A</v>
      </c>
      <c r="I38" s="75">
        <v>44937</v>
      </c>
      <c r="J38" s="75">
        <v>44942</v>
      </c>
      <c r="K38" t="s">
        <v>4802</v>
      </c>
      <c r="L38" t="s">
        <v>2</v>
      </c>
      <c r="N38" s="319">
        <v>906.3</v>
      </c>
      <c r="AA38">
        <f>INDEX([11]Sheet1!$J:$J,MATCH(B38,[11]Sheet1!$N:$N,0))</f>
        <v>0</v>
      </c>
    </row>
    <row r="39" spans="1:27">
      <c r="A39">
        <f>SUBTOTAL(3,$B$3:B39)</f>
        <v>37</v>
      </c>
      <c r="B39" t="s">
        <v>1936</v>
      </c>
      <c r="C39" t="str">
        <f>INDEX([11]Sheet1!$B:$B,MATCH(B39,[11]Sheet1!$N:$N,0))</f>
        <v>FUJIFILM Vietnam Co., Ltd.</v>
      </c>
      <c r="D39" t="s">
        <v>129</v>
      </c>
      <c r="E39" t="str">
        <f ca="1">INDEX(OFFSET([12]Sheet1!$C:$C,0,0),MATCH($B39,[12]Sheet1!$N:$N,0))</f>
        <v>EB-530S</v>
      </c>
      <c r="F39" t="str">
        <f ca="1">INDEX(OFFSET([12]Sheet1!$C:$C,0,1),MATCH($B39,[12]Sheet1!$N:$N,0))</f>
        <v>1B083K166</v>
      </c>
      <c r="H39" s="75" t="s">
        <v>6375</v>
      </c>
      <c r="I39" s="75" t="s">
        <v>6417</v>
      </c>
      <c r="J39" s="75" t="s">
        <v>6464</v>
      </c>
      <c r="L39" t="s">
        <v>2</v>
      </c>
      <c r="N39" s="319">
        <v>2410.44</v>
      </c>
      <c r="AA39" t="str">
        <f>INDEX([11]Sheet1!$J:$J,MATCH(B39,[11]Sheet1!$N:$N,0))</f>
        <v>Waiting for FFVN disposal</v>
      </c>
    </row>
    <row r="40" spans="1:27">
      <c r="A40">
        <f>SUBTOTAL(3,$B$3:B95)</f>
        <v>93</v>
      </c>
      <c r="B40" t="s">
        <v>1689</v>
      </c>
      <c r="C40" t="str">
        <f>INDEX([11]Sheet1!$B:$B,MATCH(B40,[11]Sheet1!$N:$N,0))</f>
        <v>FUJIFILM Vietnam Co., Ltd.</v>
      </c>
      <c r="D40" t="s">
        <v>129</v>
      </c>
      <c r="E40" t="str">
        <f ca="1">INDEX(OFFSET([12]Sheet1!$C:$C,0,0),MATCH($B40,[12]Sheet1!$N:$N,0))</f>
        <v>EG 590WR</v>
      </c>
      <c r="F40" t="str">
        <f ca="1">INDEX(OFFSET([12]Sheet1!$C:$C,0,1),MATCH($B40,[12]Sheet1!$N:$N,0))</f>
        <v>2G348K315</v>
      </c>
      <c r="G40" s="75" t="s">
        <v>6344</v>
      </c>
      <c r="H40" s="75" t="s">
        <v>6376</v>
      </c>
      <c r="I40" s="75" t="s">
        <v>6418</v>
      </c>
      <c r="J40" s="75" t="s">
        <v>6465</v>
      </c>
      <c r="L40" t="s">
        <v>2</v>
      </c>
      <c r="N40" s="319" t="e">
        <v>#N/A</v>
      </c>
      <c r="AA40" t="str">
        <f>INDEX([11]Sheet1!$J:$J,MATCH(B40,[11]Sheet1!$N:$N,0))</f>
        <v>Waiting for FFVN disposal</v>
      </c>
    </row>
    <row r="41" spans="1:27">
      <c r="A41">
        <f>SUBTOTAL(3,$B$3:B41)</f>
        <v>39</v>
      </c>
      <c r="B41" t="s">
        <v>6316</v>
      </c>
      <c r="C41" t="str">
        <f>INDEX([11]Sheet1!$B:$B,MATCH(B41,[11]Sheet1!$N:$N,0))</f>
        <v>FUJIFILM Vietnam Co., Ltd.</v>
      </c>
      <c r="D41" t="s">
        <v>129</v>
      </c>
      <c r="E41" t="str">
        <f ca="1">INDEX(OFFSET([12]Sheet1!$C:$C,0,0),MATCH($B41,[12]Sheet1!$N:$N,0))</f>
        <v>EG-530NW</v>
      </c>
      <c r="F41" t="str">
        <f ca="1">INDEX(OFFSET([12]Sheet1!$C:$C,0,1),MATCH($B41,[12]Sheet1!$N:$N,0))</f>
        <v>2G366D002</v>
      </c>
      <c r="G41" s="75" t="s">
        <v>6341</v>
      </c>
      <c r="H41" s="75" t="s">
        <v>6377</v>
      </c>
      <c r="I41" s="75" t="s">
        <v>6419</v>
      </c>
      <c r="J41" s="75" t="s">
        <v>6466</v>
      </c>
      <c r="L41" t="s">
        <v>2</v>
      </c>
      <c r="N41" s="319">
        <v>3746.0399999999995</v>
      </c>
      <c r="AA41" t="str">
        <f>INDEX([11]Sheet1!$J:$J,MATCH(B41,[11]Sheet1!$N:$N,0))</f>
        <v>Waiting for FFVN disposal</v>
      </c>
    </row>
    <row r="42" spans="1:27">
      <c r="A42">
        <f>SUBTOTAL(3,$B$3:B42)</f>
        <v>40</v>
      </c>
      <c r="B42" t="s">
        <v>2332</v>
      </c>
      <c r="C42" t="str">
        <f>INDEX([11]Sheet1!$B:$B,MATCH(B42,[11]Sheet1!$N:$N,0))</f>
        <v>FUJIFILM Vietnam Co., Ltd.</v>
      </c>
      <c r="D42" t="s">
        <v>129</v>
      </c>
      <c r="E42" t="str">
        <f ca="1">INDEX(OFFSET([12]Sheet1!$C:$C,0,0),MATCH($B42,[12]Sheet1!$N:$N,0))</f>
        <v>EG-530NW</v>
      </c>
      <c r="F42" t="str">
        <f ca="1">INDEX(OFFSET([12]Sheet1!$C:$C,0,1),MATCH($B42,[12]Sheet1!$N:$N,0))</f>
        <v>2G366D121</v>
      </c>
      <c r="G42" s="75" t="s">
        <v>6338</v>
      </c>
      <c r="H42" s="75" t="s">
        <v>6378</v>
      </c>
      <c r="I42" s="75" t="s">
        <v>6420</v>
      </c>
      <c r="J42" s="75" t="s">
        <v>6467</v>
      </c>
      <c r="L42" t="s">
        <v>2</v>
      </c>
      <c r="N42" s="319">
        <v>3570.079999999999</v>
      </c>
      <c r="AA42" t="str">
        <f>INDEX([11]Sheet1!$J:$J,MATCH(B42,[11]Sheet1!$N:$N,0))</f>
        <v>Waiting for FFVN disposal</v>
      </c>
    </row>
    <row r="43" spans="1:27">
      <c r="A43">
        <f>SUBTOTAL(3,$B$3:B95)</f>
        <v>93</v>
      </c>
      <c r="B43" t="s">
        <v>5795</v>
      </c>
      <c r="C43" t="str">
        <f>INDEX([11]Sheet1!$B:$B,MATCH(B43,[11]Sheet1!$N:$N,0))</f>
        <v>FUJIFILM Vietnam Co., Ltd.</v>
      </c>
      <c r="D43" t="s">
        <v>129</v>
      </c>
      <c r="E43" t="str">
        <f ca="1">INDEX(OFFSET([12]Sheet1!$C:$C,0,0),MATCH($B43,[12]Sheet1!$N:$N,0))</f>
        <v>XL-4450</v>
      </c>
      <c r="F43" t="str">
        <f ca="1">INDEX(OFFSET([12]Sheet1!$C:$C,0,1),MATCH($B43,[12]Sheet1!$N:$N,0))</f>
        <v>1S094A282</v>
      </c>
      <c r="G43" s="75" t="s">
        <v>6345</v>
      </c>
      <c r="H43" s="75">
        <v>0</v>
      </c>
      <c r="I43" s="75" t="s">
        <v>6421</v>
      </c>
      <c r="J43" s="75" t="s">
        <v>6432</v>
      </c>
      <c r="L43" t="s">
        <v>3</v>
      </c>
      <c r="N43" s="319">
        <v>4458.3600000000006</v>
      </c>
      <c r="AA43" t="str">
        <f>INDEX([11]Sheet1!$J:$J,MATCH(B43,[11]Sheet1!$N:$N,0))</f>
        <v>Waiting for FFVN approval</v>
      </c>
    </row>
    <row r="44" spans="1:27">
      <c r="A44">
        <f>SUBTOTAL(3,$B$3:B44)</f>
        <v>42</v>
      </c>
      <c r="B44" t="s">
        <v>6317</v>
      </c>
      <c r="C44" t="str">
        <f>INDEX([11]Sheet1!$B:$B,MATCH(B44,[11]Sheet1!$N:$N,0))</f>
        <v>FTYO - Loaner Asset</v>
      </c>
      <c r="D44" t="s">
        <v>129</v>
      </c>
      <c r="E44" t="str">
        <f ca="1">INDEX(OFFSET([12]Sheet1!$C:$C,0,0),MATCH($B44,[12]Sheet1!$N:$N,0))</f>
        <v>EC-600WI</v>
      </c>
      <c r="F44" t="str">
        <f ca="1">INDEX(OFFSET([12]Sheet1!$C:$C,0,1),MATCH($B44,[12]Sheet1!$N:$N,0))</f>
        <v>1C692K159</v>
      </c>
      <c r="G44" s="75" t="s">
        <v>6346</v>
      </c>
      <c r="H44" s="75" t="s">
        <v>6379</v>
      </c>
      <c r="I44" s="75" t="s">
        <v>6422</v>
      </c>
      <c r="J44" s="75" t="s">
        <v>6468</v>
      </c>
      <c r="L44" t="s">
        <v>2</v>
      </c>
      <c r="N44" s="319">
        <v>1397.08</v>
      </c>
      <c r="AA44" t="str">
        <f>INDEX([11]Sheet1!$J:$J,MATCH(B44,[11]Sheet1!$N:$N,0))</f>
        <v>Waiting for FFVN approval</v>
      </c>
    </row>
    <row r="45" spans="1:27">
      <c r="A45">
        <f>SUBTOTAL(3,$B$3:B95)</f>
        <v>93</v>
      </c>
      <c r="B45" t="s">
        <v>6318</v>
      </c>
      <c r="C45" t="str">
        <f>INDEX([11]Sheet1!$B:$B,MATCH(B45,[11]Sheet1!$N:$N,0))</f>
        <v>FUJIFILM Vietnam Co., Ltd.</v>
      </c>
      <c r="D45" t="s">
        <v>129</v>
      </c>
      <c r="E45" t="str">
        <f ca="1">INDEX(OFFSET([12]Sheet1!$C:$C,0,0),MATCH($B45,[12]Sheet1!$N:$N,0))</f>
        <v>ED-580XT</v>
      </c>
      <c r="F45" t="str">
        <f ca="1">INDEX(OFFSET([12]Sheet1!$C:$C,0,1),MATCH($B45,[12]Sheet1!$N:$N,0))</f>
        <v>2D127K103</v>
      </c>
      <c r="G45" s="75" t="s">
        <v>6347</v>
      </c>
      <c r="H45" s="75" t="s">
        <v>6380</v>
      </c>
      <c r="I45" s="75" t="s">
        <v>6423</v>
      </c>
      <c r="J45" s="75" t="s">
        <v>6469</v>
      </c>
      <c r="L45" t="s">
        <v>2</v>
      </c>
      <c r="N45" s="319">
        <v>591.48</v>
      </c>
      <c r="AA45" t="str">
        <f>INDEX([11]Sheet1!$J:$J,MATCH(B45,[11]Sheet1!$N:$N,0))</f>
        <v>Waiting for FFVN disposal</v>
      </c>
    </row>
    <row r="46" spans="1:27">
      <c r="A46">
        <f>SUBTOTAL(3,$B$3:B46)</f>
        <v>44</v>
      </c>
      <c r="B46" t="s">
        <v>6319</v>
      </c>
      <c r="C46" t="str">
        <f>INDEX([11]Sheet1!$B:$B,MATCH(B46,[11]Sheet1!$N:$N,0))</f>
        <v>FUJIFILM Vietnam Co., Ltd.</v>
      </c>
      <c r="D46" t="s">
        <v>129</v>
      </c>
      <c r="E46" t="str">
        <f ca="1">INDEX(OFFSET([12]Sheet1!$C:$C,0,0),MATCH($B46,[12]Sheet1!$N:$N,0))</f>
        <v>EC-720R/I</v>
      </c>
      <c r="F46" t="str">
        <f ca="1">INDEX(OFFSET([12]Sheet1!$C:$C,0,1),MATCH($B46,[12]Sheet1!$N:$N,0))</f>
        <v>1C741K090</v>
      </c>
      <c r="G46" s="75" t="s">
        <v>6348</v>
      </c>
      <c r="H46" s="75" t="s">
        <v>6381</v>
      </c>
      <c r="I46" s="75" t="s">
        <v>6424</v>
      </c>
      <c r="J46" s="75" t="s">
        <v>6424</v>
      </c>
      <c r="L46" t="s">
        <v>2</v>
      </c>
      <c r="N46" s="319">
        <v>4051.32</v>
      </c>
      <c r="AA46" t="str">
        <f>INDEX([11]Sheet1!$J:$J,MATCH(B46,[11]Sheet1!$N:$N,0))</f>
        <v>Waiting for FFVN approval</v>
      </c>
    </row>
    <row r="47" spans="1:27">
      <c r="A47">
        <f>SUBTOTAL(3,$B$3:B47)</f>
        <v>45</v>
      </c>
      <c r="B47" t="s">
        <v>1771</v>
      </c>
      <c r="C47" t="str">
        <f>INDEX([11]Sheet1!$B:$B,MATCH(B47,[11]Sheet1!$N:$N,0))</f>
        <v>FUJIFILM Vietnam Co., Ltd.</v>
      </c>
      <c r="D47" t="s">
        <v>129</v>
      </c>
      <c r="E47" t="str">
        <f ca="1">INDEX(OFFSET([12]Sheet1!$C:$C,0,0),MATCH($B47,[12]Sheet1!$N:$N,0))</f>
        <v>EG-580NW2</v>
      </c>
      <c r="F47" t="str">
        <f ca="1">INDEX(OFFSET([12]Sheet1!$C:$C,0,1),MATCH($B47,[12]Sheet1!$N:$N,0))</f>
        <v>1G390K229</v>
      </c>
      <c r="G47" s="75" t="s">
        <v>6349</v>
      </c>
      <c r="H47" s="75" t="s">
        <v>6382</v>
      </c>
      <c r="I47" s="75" t="s">
        <v>6425</v>
      </c>
      <c r="J47" s="75" t="s">
        <v>6425</v>
      </c>
      <c r="L47" t="s">
        <v>2</v>
      </c>
      <c r="N47" s="319">
        <v>3432.2799999999997</v>
      </c>
      <c r="AA47" t="str">
        <f>INDEX([11]Sheet1!$J:$J,MATCH(B47,[11]Sheet1!$N:$N,0))</f>
        <v>Waiting for FFVN disposal</v>
      </c>
    </row>
    <row r="48" spans="1:27">
      <c r="A48">
        <f>SUBTOTAL(3,$B$3:B95)</f>
        <v>93</v>
      </c>
      <c r="B48" t="s">
        <v>6320</v>
      </c>
      <c r="C48" t="str">
        <f>INDEX([11]Sheet1!$B:$B,MATCH(B48,[11]Sheet1!$N:$N,0))</f>
        <v>FUJIFILM Vietnam Co., Ltd.</v>
      </c>
      <c r="D48" t="s">
        <v>129</v>
      </c>
      <c r="E48" t="str">
        <f ca="1">INDEX(OFFSET([12]Sheet1!$C:$C,0,0),MATCH($B48,[12]Sheet1!$N:$N,0))</f>
        <v>EG 590WR</v>
      </c>
      <c r="F48" t="str">
        <f ca="1">INDEX(OFFSET([12]Sheet1!$C:$C,0,1),MATCH($B48,[12]Sheet1!$N:$N,0))</f>
        <v>2G348K419</v>
      </c>
      <c r="G48" s="75" t="s">
        <v>6330</v>
      </c>
      <c r="H48" s="75" t="s">
        <v>6383</v>
      </c>
      <c r="I48" s="75" t="s">
        <v>6426</v>
      </c>
      <c r="J48" s="75" t="s">
        <v>6470</v>
      </c>
      <c r="L48" t="s">
        <v>2</v>
      </c>
      <c r="N48" s="319">
        <v>2434.8200000000002</v>
      </c>
      <c r="AA48" t="str">
        <f>INDEX([11]Sheet1!$J:$J,MATCH(B48,[11]Sheet1!$N:$N,0))</f>
        <v>Waiting for FFVN approval</v>
      </c>
    </row>
    <row r="49" spans="1:27">
      <c r="A49">
        <f>SUBTOTAL(3,$B$3:B49)</f>
        <v>47</v>
      </c>
      <c r="B49" t="s">
        <v>2200</v>
      </c>
      <c r="C49" t="str">
        <f>INDEX([11]Sheet1!$B:$B,MATCH(B49,[11]Sheet1!$N:$N,0))</f>
        <v>FUJIFILM Vietnam Co., Ltd.</v>
      </c>
      <c r="D49" t="s">
        <v>129</v>
      </c>
      <c r="E49" t="str">
        <f ca="1">INDEX(OFFSET([12]Sheet1!$C:$C,0,0),MATCH($B49,[12]Sheet1!$N:$N,0))</f>
        <v>EC-760R-V/I</v>
      </c>
      <c r="F49" t="str">
        <f ca="1">INDEX(OFFSET([12]Sheet1!$C:$C,0,1),MATCH($B49,[12]Sheet1!$N:$N,0))</f>
        <v>1C728K151</v>
      </c>
      <c r="G49" s="75" t="s">
        <v>6350</v>
      </c>
      <c r="H49" s="75" t="s">
        <v>6384</v>
      </c>
      <c r="I49" s="75" t="s">
        <v>6427</v>
      </c>
      <c r="J49" s="75" t="s">
        <v>6471</v>
      </c>
      <c r="L49" t="s">
        <v>2</v>
      </c>
      <c r="N49" s="319">
        <v>4392.6400000000003</v>
      </c>
      <c r="AA49" t="str">
        <f>INDEX([11]Sheet1!$J:$J,MATCH(B49,[11]Sheet1!$N:$N,0))</f>
        <v>Waiting for FFVN approval</v>
      </c>
    </row>
    <row r="50" spans="1:27">
      <c r="A50">
        <f>SUBTOTAL(3,$B$3:B95)</f>
        <v>93</v>
      </c>
      <c r="B50" t="s">
        <v>4982</v>
      </c>
      <c r="C50" t="str">
        <f>INDEX([11]Sheet1!$B:$B,MATCH(B50,[11]Sheet1!$N:$N,0))</f>
        <v>FUJIFILM Vietnam Co., Ltd.</v>
      </c>
      <c r="D50" t="s">
        <v>129</v>
      </c>
      <c r="E50" t="str">
        <f ca="1">INDEX(OFFSET([12]Sheet1!$C:$C,0,0),MATCH($B50,[12]Sheet1!$N:$N,0))</f>
        <v>EC-530WI</v>
      </c>
      <c r="F50" t="str">
        <f ca="1">INDEX(OFFSET([12]Sheet1!$C:$C,0,1),MATCH($B50,[12]Sheet1!$N:$N,0))</f>
        <v>1C603K041</v>
      </c>
      <c r="H50" s="75" t="s">
        <v>6382</v>
      </c>
      <c r="I50" s="75" t="s">
        <v>6428</v>
      </c>
      <c r="J50" s="75" t="s">
        <v>6472</v>
      </c>
      <c r="L50" t="s">
        <v>2</v>
      </c>
      <c r="N50" s="319">
        <v>590.41999999999996</v>
      </c>
      <c r="O50" s="75">
        <v>45191</v>
      </c>
      <c r="T50" s="75">
        <v>45191</v>
      </c>
      <c r="W50" s="75">
        <v>45191</v>
      </c>
      <c r="AA50" t="str">
        <f>INDEX([11]Sheet1!$J:$J,MATCH(B50,[11]Sheet1!$N:$N,0))</f>
        <v>FFVN Approved</v>
      </c>
    </row>
    <row r="51" spans="1:27">
      <c r="A51">
        <f>SUBTOTAL(3,$B$3:B95)</f>
        <v>93</v>
      </c>
      <c r="B51" t="s">
        <v>5017</v>
      </c>
      <c r="C51" t="str">
        <f>INDEX([11]Sheet1!$B:$B,MATCH(B51,[11]Sheet1!$N:$N,0))</f>
        <v>FTYO - Loaner Asset</v>
      </c>
      <c r="D51" t="s">
        <v>129</v>
      </c>
      <c r="E51" t="str">
        <f ca="1">INDEX(OFFSET([12]Sheet1!$C:$C,0,0),MATCH($B51,[12]Sheet1!$N:$N,0))</f>
        <v>EN-580T</v>
      </c>
      <c r="F51" t="str">
        <f ca="1">INDEX(OFFSET([12]Sheet1!$C:$C,0,1),MATCH($B51,[12]Sheet1!$N:$N,0))</f>
        <v>1C675K021</v>
      </c>
      <c r="G51" s="75" t="s">
        <v>6351</v>
      </c>
      <c r="H51" s="75" t="s">
        <v>6385</v>
      </c>
      <c r="I51" s="75" t="s">
        <v>6429</v>
      </c>
      <c r="J51" s="75" t="s">
        <v>6473</v>
      </c>
      <c r="L51" t="s">
        <v>2</v>
      </c>
      <c r="N51" s="319">
        <v>3164.1</v>
      </c>
      <c r="AA51" t="str">
        <f>INDEX([11]Sheet1!$J:$J,MATCH(B51,[11]Sheet1!$N:$N,0))</f>
        <v>FFVN Approved</v>
      </c>
    </row>
    <row r="52" spans="1:27">
      <c r="A52">
        <f>SUBTOTAL(3,$B$3:B95)</f>
        <v>93</v>
      </c>
      <c r="B52" t="s">
        <v>2732</v>
      </c>
      <c r="C52" t="str">
        <f>INDEX([11]Sheet1!$B:$B,MATCH(B52,[11]Sheet1!$N:$N,0))</f>
        <v>FUJIFILM Vietnam Co., Ltd.</v>
      </c>
      <c r="D52" t="s">
        <v>129</v>
      </c>
      <c r="E52" t="str">
        <f ca="1">INDEX(OFFSET([12]Sheet1!$C:$C,0,0),MATCH($B52,[12]Sheet1!$N:$N,0))</f>
        <v>EG-590WR</v>
      </c>
      <c r="F52" t="str">
        <f ca="1">INDEX(OFFSET([12]Sheet1!$C:$C,0,1),MATCH($B52,[12]Sheet1!$N:$N,0))</f>
        <v>2G348K615</v>
      </c>
      <c r="G52" s="75" t="s">
        <v>6352</v>
      </c>
      <c r="H52" s="75" t="s">
        <v>6386</v>
      </c>
      <c r="I52" s="75" t="s">
        <v>6430</v>
      </c>
      <c r="J52" s="75" t="s">
        <v>6474</v>
      </c>
      <c r="L52" t="s">
        <v>2</v>
      </c>
      <c r="N52" s="319">
        <v>2310.7999999999997</v>
      </c>
      <c r="AA52" t="str">
        <f>INDEX([11]Sheet1!$J:$J,MATCH(B52,[11]Sheet1!$N:$N,0))</f>
        <v>Waiting for FFVN approval</v>
      </c>
    </row>
    <row r="53" spans="1:27">
      <c r="A53">
        <f>SUBTOTAL(3,$B$3:B53)</f>
        <v>51</v>
      </c>
      <c r="B53" t="s">
        <v>4731</v>
      </c>
      <c r="C53" t="str">
        <f>INDEX([11]Sheet1!$B:$B,MATCH(B53,[11]Sheet1!$N:$N,0))</f>
        <v>FUJIFILM Vietnam Co., Ltd.</v>
      </c>
      <c r="D53" t="s">
        <v>129</v>
      </c>
      <c r="E53" t="str">
        <f ca="1">INDEX(OFFSET([12]Sheet1!$C:$C,0,0),MATCH($B53,[12]Sheet1!$N:$N,0))</f>
        <v>EC-760ZP-V/M</v>
      </c>
      <c r="F53" t="str">
        <f ca="1">INDEX(OFFSET([12]Sheet1!$C:$C,0,1),MATCH($B53,[12]Sheet1!$N:$N,0))</f>
        <v>2C730K027</v>
      </c>
      <c r="G53" s="75" t="s">
        <v>6353</v>
      </c>
      <c r="H53" s="75" t="s">
        <v>6387</v>
      </c>
      <c r="I53" s="75" t="s">
        <v>6431</v>
      </c>
      <c r="J53" s="75" t="s">
        <v>6475</v>
      </c>
      <c r="L53" t="s">
        <v>2</v>
      </c>
      <c r="N53" s="319">
        <v>974.14</v>
      </c>
      <c r="AA53" t="str">
        <f>INDEX([11]Sheet1!$J:$J,MATCH(B53,[11]Sheet1!$N:$N,0))</f>
        <v>FFVN Approved</v>
      </c>
    </row>
    <row r="54" spans="1:27">
      <c r="A54">
        <f>SUBTOTAL(3,$B$3:B54)</f>
        <v>52</v>
      </c>
      <c r="B54" t="s">
        <v>5864</v>
      </c>
      <c r="C54" t="str">
        <f>INDEX([11]Sheet1!$B:$B,MATCH(B54,[11]Sheet1!$N:$N,0))</f>
        <v>FUJIFILM Vietnam Co., Ltd.</v>
      </c>
      <c r="D54" t="s">
        <v>129</v>
      </c>
      <c r="E54" t="str">
        <f ca="1">INDEX(OFFSET([12]Sheet1!$C:$C,0,0),MATCH($B54,[12]Sheet1!$N:$N,0))</f>
        <v>EG-760R</v>
      </c>
      <c r="F54" t="str">
        <f ca="1">INDEX(OFFSET([12]Sheet1!$C:$C,0,1),MATCH($B54,[12]Sheet1!$N:$N,0))</f>
        <v>2G402K022</v>
      </c>
      <c r="G54" s="75" t="s">
        <v>6354</v>
      </c>
      <c r="H54" s="75" t="s">
        <v>6388</v>
      </c>
      <c r="I54" s="75" t="s">
        <v>6432</v>
      </c>
      <c r="J54" s="75" t="s">
        <v>6433</v>
      </c>
      <c r="L54" t="s">
        <v>2</v>
      </c>
      <c r="N54" s="319">
        <v>1954.64</v>
      </c>
      <c r="AA54" t="str">
        <f>INDEX([11]Sheet1!$J:$J,MATCH(B54,[11]Sheet1!$N:$N,0))</f>
        <v>Waiting for FFVN approval</v>
      </c>
    </row>
    <row r="55" spans="1:27">
      <c r="A55">
        <f>SUBTOTAL(3,$B$3:B55)</f>
        <v>53</v>
      </c>
      <c r="B55" t="s">
        <v>5948</v>
      </c>
      <c r="C55" t="str">
        <f>INDEX([11]Sheet1!$B:$B,MATCH(B55,[11]Sheet1!$N:$N,0))</f>
        <v>FTYO - Loaner Asset</v>
      </c>
      <c r="D55" t="s">
        <v>129</v>
      </c>
      <c r="E55" t="str">
        <f ca="1">INDEX(OFFSET([12]Sheet1!$C:$C,0,0),MATCH($B55,[12]Sheet1!$N:$N,0))</f>
        <v>XL-4450</v>
      </c>
      <c r="F55" t="str">
        <f ca="1">INDEX(OFFSET([12]Sheet1!$C:$C,0,1),MATCH($B55,[12]Sheet1!$N:$N,0))</f>
        <v>1S094K191</v>
      </c>
      <c r="G55" s="75" t="s">
        <v>6355</v>
      </c>
      <c r="H55" s="75">
        <v>0</v>
      </c>
      <c r="I55" s="75" t="s">
        <v>6433</v>
      </c>
      <c r="J55" s="75" t="s">
        <v>6442</v>
      </c>
      <c r="L55" t="s">
        <v>4</v>
      </c>
      <c r="N55" s="319">
        <v>1286.8399999999999</v>
      </c>
      <c r="AA55" t="str">
        <f>INDEX([11]Sheet1!$J:$J,MATCH(B55,[11]Sheet1!$N:$N,0))</f>
        <v>Waiting for FTYO suport</v>
      </c>
    </row>
    <row r="56" spans="1:27">
      <c r="A56">
        <f>SUBTOTAL(3,$B$3:B95)</f>
        <v>93</v>
      </c>
      <c r="B56" t="s">
        <v>2505</v>
      </c>
      <c r="C56" t="str">
        <f>INDEX([11]Sheet1!$B:$B,MATCH(B56,[11]Sheet1!$N:$N,0))</f>
        <v>FTYO - Loaner Asset</v>
      </c>
      <c r="D56" t="s">
        <v>129</v>
      </c>
      <c r="E56" t="str">
        <f ca="1">INDEX(OFFSET([12]Sheet1!$C:$C,0,0),MATCH($B56,[12]Sheet1!$N:$N,0))</f>
        <v>VP-4450HD</v>
      </c>
      <c r="F56" t="str">
        <f ca="1">INDEX(OFFSET([12]Sheet1!$C:$C,0,1),MATCH($B56,[12]Sheet1!$N:$N,0))</f>
        <v>1V567K309</v>
      </c>
      <c r="G56" s="75" t="s">
        <v>6346</v>
      </c>
      <c r="H56" s="75">
        <v>0</v>
      </c>
      <c r="I56" s="75" t="s">
        <v>6434</v>
      </c>
      <c r="J56" s="75" t="s">
        <v>6434</v>
      </c>
      <c r="L56" t="s">
        <v>4</v>
      </c>
      <c r="N56" s="319">
        <v>674.16</v>
      </c>
      <c r="AA56" t="str">
        <f>INDEX([11]Sheet1!$J:$J,MATCH(B56,[11]Sheet1!$N:$N,0))</f>
        <v>Waiting for FTYO suport</v>
      </c>
    </row>
    <row r="57" spans="1:27">
      <c r="A57">
        <f>SUBTOTAL(3,$B$3:B95)</f>
        <v>93</v>
      </c>
      <c r="B57" t="s">
        <v>4734</v>
      </c>
      <c r="C57" t="str">
        <f>INDEX([11]Sheet1!$B:$B,MATCH(B57,[11]Sheet1!$N:$N,0))</f>
        <v>FTYO - Loaner Asset</v>
      </c>
      <c r="D57" t="s">
        <v>129</v>
      </c>
      <c r="E57" t="str">
        <f ca="1">INDEX(OFFSET([12]Sheet1!$C:$C,0,0),MATCH($B57,[12]Sheet1!$N:$N,0))</f>
        <v>EC-760ZP-V/M</v>
      </c>
      <c r="F57" t="str">
        <f ca="1">INDEX(OFFSET([12]Sheet1!$C:$C,0,1),MATCH($B57,[12]Sheet1!$N:$N,0))</f>
        <v>2C730K032</v>
      </c>
      <c r="G57" s="75" t="s">
        <v>6356</v>
      </c>
      <c r="H57" s="75" t="s">
        <v>6389</v>
      </c>
      <c r="I57" s="75" t="s">
        <v>6431</v>
      </c>
      <c r="J57" s="75" t="s">
        <v>6476</v>
      </c>
      <c r="L57" t="s">
        <v>2</v>
      </c>
      <c r="N57" s="319">
        <v>591.48</v>
      </c>
      <c r="AA57" t="str">
        <f>INDEX([11]Sheet1!$J:$J,MATCH(B57,[11]Sheet1!$N:$N,0))</f>
        <v>FFVN Approved</v>
      </c>
    </row>
    <row r="58" spans="1:27">
      <c r="A58">
        <f>SUBTOTAL(3,$B$3:B95)</f>
        <v>93</v>
      </c>
      <c r="B58" t="s">
        <v>6008</v>
      </c>
      <c r="C58" t="str">
        <f>INDEX([11]Sheet1!$B:$B,MATCH(B58,[11]Sheet1!$N:$N,0))</f>
        <v>FUJIFILM Vietnam Co., Ltd.</v>
      </c>
      <c r="D58" t="s">
        <v>129</v>
      </c>
      <c r="E58" t="str">
        <f ca="1">INDEX(OFFSET([12]Sheet1!$C:$C,0,0),MATCH($B58,[12]Sheet1!$N:$N,0))</f>
        <v>EG-600WR</v>
      </c>
      <c r="F58" t="str">
        <f ca="1">INDEX(OFFSET([12]Sheet1!$C:$C,0,1),MATCH($B58,[12]Sheet1!$N:$N,0))</f>
        <v>1G391K928</v>
      </c>
      <c r="G58" s="75" t="s">
        <v>6357</v>
      </c>
      <c r="H58" s="75" t="s">
        <v>6390</v>
      </c>
      <c r="I58" s="75" t="s">
        <v>6435</v>
      </c>
      <c r="J58" s="75" t="s">
        <v>6477</v>
      </c>
      <c r="L58" t="s">
        <v>2</v>
      </c>
      <c r="N58" s="319">
        <v>5447.3399999999992</v>
      </c>
      <c r="AA58" t="str">
        <f>INDEX([11]Sheet1!$J:$J,MATCH(B58,[11]Sheet1!$N:$N,0))</f>
        <v>Waiting for FFVN approval</v>
      </c>
    </row>
    <row r="59" spans="1:27">
      <c r="A59">
        <f>SUBTOTAL(3,$B$3:B95)</f>
        <v>93</v>
      </c>
      <c r="B59" t="s">
        <v>5957</v>
      </c>
      <c r="C59" t="str">
        <f>INDEX([11]Sheet1!$B:$B,MATCH(B59,[11]Sheet1!$N:$N,0))</f>
        <v>FUJIFILM Vietnam Co., Ltd.</v>
      </c>
      <c r="D59" t="s">
        <v>129</v>
      </c>
      <c r="E59" t="str">
        <f ca="1">INDEX(OFFSET([12]Sheet1!$C:$C,0,0),MATCH($B59,[12]Sheet1!$N:$N,0))</f>
        <v>EC-600WI</v>
      </c>
      <c r="F59" t="str">
        <f ca="1">INDEX(OFFSET([12]Sheet1!$C:$C,0,1),MATCH($B59,[12]Sheet1!$N:$N,0))</f>
        <v>1C692K077</v>
      </c>
      <c r="G59" s="75" t="s">
        <v>6358</v>
      </c>
      <c r="H59" s="75" t="s">
        <v>6391</v>
      </c>
      <c r="I59" s="75" t="s">
        <v>6436</v>
      </c>
      <c r="J59" s="75" t="s">
        <v>6435</v>
      </c>
      <c r="L59" t="s">
        <v>2</v>
      </c>
      <c r="N59" s="319">
        <v>2683.9199999999996</v>
      </c>
      <c r="AA59" t="str">
        <f>INDEX([11]Sheet1!$J:$J,MATCH(B59,[11]Sheet1!$N:$N,0))</f>
        <v>Waiting for FFVN approval</v>
      </c>
    </row>
    <row r="60" spans="1:27">
      <c r="A60">
        <f>SUBTOTAL(3,$B$3:B95)</f>
        <v>93</v>
      </c>
      <c r="B60" t="s">
        <v>6321</v>
      </c>
      <c r="C60" t="str">
        <f>INDEX([11]Sheet1!$B:$B,MATCH(B60,[11]Sheet1!$N:$N,0))</f>
        <v>FUJIFILM Vietnam Co., Ltd.</v>
      </c>
      <c r="D60" t="s">
        <v>129</v>
      </c>
      <c r="E60" t="str">
        <f ca="1">INDEX(OFFSET([12]Sheet1!$C:$C,0,0),MATCH($B60,[12]Sheet1!$N:$N,0))</f>
        <v>EC-590WI</v>
      </c>
      <c r="F60" t="str">
        <f ca="1">INDEX(OFFSET([12]Sheet1!$C:$C,0,1),MATCH($B60,[12]Sheet1!$N:$N,0))</f>
        <v>4C607A005</v>
      </c>
      <c r="G60" s="75" t="s">
        <v>6359</v>
      </c>
      <c r="H60" s="75" t="s">
        <v>6392</v>
      </c>
      <c r="I60" s="75" t="s">
        <v>6437</v>
      </c>
      <c r="J60" s="75" t="s">
        <v>6478</v>
      </c>
      <c r="L60" t="s">
        <v>2</v>
      </c>
      <c r="N60" s="319">
        <v>177.01999999999998</v>
      </c>
      <c r="AA60" t="str">
        <f>INDEX([11]Sheet1!$J:$J,MATCH(B60,[11]Sheet1!$N:$N,0))</f>
        <v>Waiting for FFVN disposal</v>
      </c>
    </row>
    <row r="61" spans="1:27">
      <c r="A61">
        <f>SUBTOTAL(3,$B$3:B61)</f>
        <v>59</v>
      </c>
      <c r="B61" t="s">
        <v>6322</v>
      </c>
      <c r="C61" t="str">
        <f>INDEX([11]Sheet1!$B:$B,MATCH(B61,[11]Sheet1!$N:$N,0))</f>
        <v>FUJIFILM Vietnam Co., Ltd.</v>
      </c>
      <c r="D61" t="s">
        <v>129</v>
      </c>
      <c r="E61" t="str">
        <f ca="1">INDEX(OFFSET([12]Sheet1!$C:$C,0,0),MATCH($B61,[12]Sheet1!$N:$N,0))</f>
        <v>EC-600WL</v>
      </c>
      <c r="F61" t="str">
        <f ca="1">INDEX(OFFSET([12]Sheet1!$C:$C,0,1),MATCH($B61,[12]Sheet1!$N:$N,0))</f>
        <v>1C692K092</v>
      </c>
      <c r="G61" s="75" t="s">
        <v>6360</v>
      </c>
      <c r="H61" s="75" t="s">
        <v>6393</v>
      </c>
      <c r="I61" s="75" t="s">
        <v>6422</v>
      </c>
      <c r="J61" s="75" t="s">
        <v>6479</v>
      </c>
      <c r="L61" t="s">
        <v>2</v>
      </c>
      <c r="N61" s="319">
        <v>1170.2399999999998</v>
      </c>
      <c r="AA61" t="str">
        <f>INDEX([11]Sheet1!$J:$J,MATCH(B61,[11]Sheet1!$N:$N,0))</f>
        <v>Waiting for FFVN approval</v>
      </c>
    </row>
    <row r="62" spans="1:27">
      <c r="A62">
        <f>SUBTOTAL(3,$B$3:B62)</f>
        <v>60</v>
      </c>
      <c r="B62" t="s">
        <v>6323</v>
      </c>
      <c r="C62" t="str">
        <f>INDEX([11]Sheet1!$B:$B,MATCH(B62,[11]Sheet1!$N:$N,0))</f>
        <v>FUJIFILM Vietnam Co., Ltd.</v>
      </c>
      <c r="D62" t="s">
        <v>129</v>
      </c>
      <c r="E62" t="str">
        <f ca="1">INDEX(OFFSET([12]Sheet1!$C:$C,0,0),MATCH($B62,[12]Sheet1!$N:$N,0))</f>
        <v>EG-L590ZW</v>
      </c>
      <c r="F62" t="str">
        <f ca="1">INDEX(OFFSET([12]Sheet1!$C:$C,0,1),MATCH($B62,[12]Sheet1!$N:$N,0))</f>
        <v>1G388K022</v>
      </c>
      <c r="G62" s="75" t="s">
        <v>6361</v>
      </c>
      <c r="H62" s="75" t="s">
        <v>6394</v>
      </c>
      <c r="I62" s="75" t="s">
        <v>6438</v>
      </c>
      <c r="J62" s="75" t="s">
        <v>6438</v>
      </c>
      <c r="L62" t="s">
        <v>4</v>
      </c>
      <c r="N62" s="319">
        <v>2441.1799999999994</v>
      </c>
      <c r="AA62">
        <f>INDEX([11]Sheet1!$J:$J,MATCH(B62,[11]Sheet1!$N:$N,0))</f>
        <v>0</v>
      </c>
    </row>
    <row r="63" spans="1:27">
      <c r="A63">
        <f>SUBTOTAL(3,$B$3:B63)</f>
        <v>61</v>
      </c>
      <c r="B63" t="s">
        <v>3181</v>
      </c>
      <c r="C63" t="str">
        <f>INDEX([11]Sheet1!$B:$B,MATCH(B63,[11]Sheet1!$N:$N,0))</f>
        <v>FUJIFILM Vietnam Co., Ltd.</v>
      </c>
      <c r="D63" t="s">
        <v>129</v>
      </c>
      <c r="E63" t="str">
        <f ca="1">INDEX(OFFSET([12]Sheet1!$C:$C,0,0),MATCH($B63,[12]Sheet1!$N:$N,0))</f>
        <v>EG-580UT</v>
      </c>
      <c r="F63" t="str">
        <f ca="1">INDEX(OFFSET([12]Sheet1!$C:$C,0,1),MATCH($B63,[12]Sheet1!$N:$N,0))</f>
        <v>5U047K005</v>
      </c>
      <c r="G63" s="75" t="s">
        <v>6362</v>
      </c>
      <c r="H63" s="75" t="s">
        <v>6395</v>
      </c>
      <c r="I63" s="75" t="s">
        <v>6439</v>
      </c>
      <c r="J63" s="75" t="s">
        <v>6439</v>
      </c>
      <c r="L63" t="s">
        <v>1110</v>
      </c>
      <c r="N63" s="319">
        <v>1773.3799999999997</v>
      </c>
      <c r="AA63">
        <f>INDEX([11]Sheet1!$J:$J,MATCH(B63,[11]Sheet1!$N:$N,0))</f>
        <v>0</v>
      </c>
    </row>
    <row r="64" spans="1:27">
      <c r="A64">
        <f>SUBTOTAL(3,$B$3:B64)</f>
        <v>62</v>
      </c>
      <c r="B64" t="s">
        <v>4578</v>
      </c>
      <c r="C64" t="str">
        <f>INDEX([11]Sheet1!$B:$B,MATCH(B64,[11]Sheet1!$N:$N,0))</f>
        <v>FUJIFILM Vietnam Co., Ltd.</v>
      </c>
      <c r="D64" t="s">
        <v>129</v>
      </c>
      <c r="E64" t="str">
        <f ca="1">INDEX(OFFSET([12]Sheet1!$C:$C,0,0),MATCH($B64,[12]Sheet1!$N:$N,0))</f>
        <v>EC-600WL</v>
      </c>
      <c r="F64" t="str">
        <f ca="1">INDEX(OFFSET([12]Sheet1!$C:$C,0,1),MATCH($B64,[12]Sheet1!$N:$N,0))</f>
        <v>1C692K147</v>
      </c>
      <c r="H64" s="75" t="e">
        <v>#N/A</v>
      </c>
      <c r="I64" s="75" t="e">
        <v>#N/A</v>
      </c>
      <c r="J64" s="75" t="e">
        <v>#N/A</v>
      </c>
      <c r="L64" t="e">
        <v>#N/A</v>
      </c>
      <c r="N64" s="319" t="e">
        <v>#N/A</v>
      </c>
      <c r="AA64">
        <f>INDEX([11]Sheet1!$J:$J,MATCH(B64,[11]Sheet1!$N:$N,0))</f>
        <v>0</v>
      </c>
    </row>
    <row r="65" spans="1:27">
      <c r="A65">
        <f>SUBTOTAL(3,$B$3:B65)</f>
        <v>63</v>
      </c>
      <c r="B65" t="s">
        <v>4767</v>
      </c>
      <c r="C65" t="str">
        <f>INDEX([11]Sheet1!$B:$B,MATCH(B65,[11]Sheet1!$N:$N,0))</f>
        <v>FUJIFILM Vietnam Co., Ltd.</v>
      </c>
      <c r="D65" t="s">
        <v>129</v>
      </c>
      <c r="E65" t="str">
        <f ca="1">INDEX(OFFSET([12]Sheet1!$C:$C,0,0),MATCH($B65,[12]Sheet1!$N:$N,0))</f>
        <v>ER-530S2</v>
      </c>
      <c r="F65" t="str">
        <f ca="1">INDEX(OFFSET([12]Sheet1!$C:$C,0,1),MATCH($B65,[12]Sheet1!$N:$N,0))</f>
        <v>2Y196K018</v>
      </c>
      <c r="G65" s="75" t="s">
        <v>6363</v>
      </c>
      <c r="H65" s="75" t="s">
        <v>6396</v>
      </c>
      <c r="I65" s="75" t="s">
        <v>6440</v>
      </c>
      <c r="J65" s="75" t="s">
        <v>6440</v>
      </c>
      <c r="L65" t="s">
        <v>3</v>
      </c>
      <c r="N65" s="319" t="e">
        <v>#N/A</v>
      </c>
      <c r="AA65">
        <f>INDEX([11]Sheet1!$J:$J,MATCH(B65,[11]Sheet1!$N:$N,0))</f>
        <v>0</v>
      </c>
    </row>
    <row r="66" spans="1:27">
      <c r="A66">
        <f>SUBTOTAL(3,$B$3:B66)</f>
        <v>64</v>
      </c>
      <c r="B66" t="s">
        <v>5019</v>
      </c>
      <c r="C66" t="str">
        <f>INDEX([11]Sheet1!$B:$B,MATCH(B66,[11]Sheet1!$N:$N,0))</f>
        <v>FUJIFILM Vietnam Co., Ltd.</v>
      </c>
      <c r="D66" t="s">
        <v>129</v>
      </c>
      <c r="E66" t="str">
        <f ca="1">INDEX(OFFSET([12]Sheet1!$C:$C,0,0),MATCH($B66,[12]Sheet1!$N:$N,0))</f>
        <v>EG-740N</v>
      </c>
      <c r="F66" t="str">
        <f ca="1">INDEX(OFFSET([12]Sheet1!$C:$C,0,1),MATCH($B66,[12]Sheet1!$N:$N,0))</f>
        <v>2G399K002</v>
      </c>
      <c r="H66" s="75" t="e">
        <v>#N/A</v>
      </c>
      <c r="I66" s="75" t="e">
        <v>#N/A</v>
      </c>
      <c r="J66" s="75" t="e">
        <v>#N/A</v>
      </c>
      <c r="L66" t="e">
        <v>#N/A</v>
      </c>
      <c r="N66" s="319" t="e">
        <v>#N/A</v>
      </c>
      <c r="AA66">
        <f>INDEX([11]Sheet1!$J:$J,MATCH(B66,[11]Sheet1!$N:$N,0))</f>
        <v>0</v>
      </c>
    </row>
    <row r="67" spans="1:27">
      <c r="A67">
        <f>SUBTOTAL(3,$B$3:B67)</f>
        <v>65</v>
      </c>
      <c r="B67" t="s">
        <v>5063</v>
      </c>
      <c r="C67" t="str">
        <f>INDEX([11]Sheet1!$B:$B,MATCH(B67,[11]Sheet1!$N:$N,0))</f>
        <v>FUJIFILM Vietnam Co., Ltd.</v>
      </c>
      <c r="D67" t="s">
        <v>129</v>
      </c>
      <c r="E67" t="str">
        <f ca="1">INDEX(OFFSET([12]Sheet1!$C:$C,0,0),MATCH($B67,[12]Sheet1!$N:$N,0))</f>
        <v>EG-530WR</v>
      </c>
      <c r="F67" t="str">
        <f ca="1">INDEX(OFFSET([12]Sheet1!$C:$C,0,1),MATCH($B67,[12]Sheet1!$N:$N,0))</f>
        <v>4G361K141</v>
      </c>
      <c r="G67" s="75" t="s">
        <v>6364</v>
      </c>
      <c r="H67" s="75" t="s">
        <v>6397</v>
      </c>
      <c r="I67" s="75" t="s">
        <v>6441</v>
      </c>
      <c r="J67" s="75" t="s">
        <v>6480</v>
      </c>
      <c r="L67" t="s">
        <v>1110</v>
      </c>
      <c r="N67" s="319" t="e">
        <v>#N/A</v>
      </c>
      <c r="AA67">
        <f>INDEX([11]Sheet1!$J:$J,MATCH(B67,[11]Sheet1!$N:$N,0))</f>
        <v>0</v>
      </c>
    </row>
    <row r="68" spans="1:27">
      <c r="A68">
        <f>SUBTOTAL(3,$B$3:B68)</f>
        <v>66</v>
      </c>
      <c r="B68" t="s">
        <v>5070</v>
      </c>
      <c r="C68" t="str">
        <f>INDEX([11]Sheet1!$B:$B,MATCH(B68,[11]Sheet1!$N:$N,0))</f>
        <v>FUJIFILM Vietnam Co., Ltd.</v>
      </c>
      <c r="D68" t="s">
        <v>129</v>
      </c>
      <c r="E68" t="str">
        <f ca="1">INDEX(OFFSET([12]Sheet1!$C:$C,0,0),MATCH($B68,[12]Sheet1!$N:$N,0))</f>
        <v>ED-580XT</v>
      </c>
      <c r="F68" t="str">
        <f ca="1">INDEX(OFFSET([12]Sheet1!$C:$C,0,1),MATCH($B68,[12]Sheet1!$N:$N,0))</f>
        <v>2D127K107</v>
      </c>
      <c r="H68" s="75" t="e">
        <v>#N/A</v>
      </c>
      <c r="I68" s="75" t="e">
        <v>#N/A</v>
      </c>
      <c r="J68" s="75" t="e">
        <v>#N/A</v>
      </c>
      <c r="L68" t="e">
        <v>#N/A</v>
      </c>
      <c r="N68" s="319" t="e">
        <v>#N/A</v>
      </c>
      <c r="AA68">
        <f>INDEX([11]Sheet1!$J:$J,MATCH(B68,[11]Sheet1!$N:$N,0))</f>
        <v>0</v>
      </c>
    </row>
    <row r="69" spans="1:27">
      <c r="A69">
        <f>SUBTOTAL(3,$B$3:B69)</f>
        <v>67</v>
      </c>
      <c r="B69" t="s">
        <v>5804</v>
      </c>
      <c r="C69" t="str">
        <f>INDEX([11]Sheet1!$B:$B,MATCH(B69,[11]Sheet1!$N:$N,0))</f>
        <v>FUJIFILM Vietnam Co., Ltd.</v>
      </c>
      <c r="D69" t="s">
        <v>129</v>
      </c>
      <c r="E69" t="str">
        <f ca="1">INDEX(OFFSET([12]Sheet1!$C:$C,0,0),MATCH($B69,[12]Sheet1!$N:$N,0))</f>
        <v>EG-740N</v>
      </c>
      <c r="F69" t="str">
        <f ca="1">INDEX(OFFSET([12]Sheet1!$C:$C,0,1),MATCH($B69,[12]Sheet1!$N:$N,0))</f>
        <v>1G399K079</v>
      </c>
      <c r="G69" s="75" t="s">
        <v>6365</v>
      </c>
      <c r="H69" s="75" t="s">
        <v>6398</v>
      </c>
      <c r="I69" s="75" t="s">
        <v>6421</v>
      </c>
      <c r="J69" s="75" t="s">
        <v>6481</v>
      </c>
      <c r="L69" t="s">
        <v>3</v>
      </c>
      <c r="N69" s="319" t="e">
        <v>#N/A</v>
      </c>
      <c r="AA69">
        <f>INDEX([11]Sheet1!$J:$J,MATCH(B69,[11]Sheet1!$N:$N,0))</f>
        <v>0</v>
      </c>
    </row>
    <row r="70" spans="1:27">
      <c r="A70">
        <f>SUBTOTAL(3,$B$3:B70)</f>
        <v>68</v>
      </c>
      <c r="B70" t="s">
        <v>5805</v>
      </c>
      <c r="C70" t="str">
        <f>INDEX([11]Sheet1!$B:$B,MATCH(B70,[11]Sheet1!$N:$N,0))</f>
        <v>FUJIFILM Vietnam Co., Ltd.</v>
      </c>
      <c r="D70" t="s">
        <v>129</v>
      </c>
      <c r="E70" t="str">
        <f ca="1">INDEX(OFFSET([12]Sheet1!$C:$C,0,0),MATCH($B70,[12]Sheet1!$N:$N,0))</f>
        <v>EG-760R</v>
      </c>
      <c r="F70" t="str">
        <f ca="1">INDEX(OFFSET([12]Sheet1!$C:$C,0,1),MATCH($B70,[12]Sheet1!$N:$N,0))</f>
        <v>8G402K627</v>
      </c>
      <c r="G70" s="75" t="s">
        <v>6366</v>
      </c>
      <c r="H70" s="75" t="s">
        <v>6399</v>
      </c>
      <c r="I70" s="75" t="s">
        <v>6421</v>
      </c>
      <c r="J70" s="75" t="s">
        <v>6481</v>
      </c>
      <c r="L70" t="s">
        <v>3</v>
      </c>
      <c r="N70" s="319" t="e">
        <v>#N/A</v>
      </c>
      <c r="AA70">
        <f>INDEX([11]Sheet1!$J:$J,MATCH(B70,[11]Sheet1!$N:$N,0))</f>
        <v>0</v>
      </c>
    </row>
    <row r="71" spans="1:27">
      <c r="A71">
        <f>SUBTOTAL(3,$B$3:B71)</f>
        <v>69</v>
      </c>
      <c r="B71" t="s">
        <v>5806</v>
      </c>
      <c r="C71" t="str">
        <f>INDEX([11]Sheet1!$B:$B,MATCH(B71,[11]Sheet1!$N:$N,0))</f>
        <v>FUJIFILM Vietnam Co., Ltd.</v>
      </c>
      <c r="D71" t="s">
        <v>129</v>
      </c>
      <c r="E71" t="str">
        <f ca="1">INDEX(OFFSET([12]Sheet1!$C:$C,0,0),MATCH($B71,[12]Sheet1!$N:$N,0))</f>
        <v>ED-580XT</v>
      </c>
      <c r="F71" t="str">
        <f ca="1">INDEX(OFFSET([12]Sheet1!$C:$C,0,1),MATCH($B71,[12]Sheet1!$N:$N,0))</f>
        <v>3D127K095</v>
      </c>
      <c r="G71" s="75" t="s">
        <v>6367</v>
      </c>
      <c r="H71" s="75" t="s">
        <v>6400</v>
      </c>
      <c r="I71" s="75" t="s">
        <v>6421</v>
      </c>
      <c r="J71" s="75" t="s">
        <v>6436</v>
      </c>
      <c r="L71" t="s">
        <v>1110</v>
      </c>
      <c r="N71" s="319" t="e">
        <v>#N/A</v>
      </c>
      <c r="AA71">
        <f>INDEX([11]Sheet1!$J:$J,MATCH(B71,[11]Sheet1!$N:$N,0))</f>
        <v>0</v>
      </c>
    </row>
    <row r="72" spans="1:27">
      <c r="A72">
        <f>SUBTOTAL(3,$B$3:B72)</f>
        <v>70</v>
      </c>
      <c r="B72" t="s">
        <v>5932</v>
      </c>
      <c r="C72" t="str">
        <f>INDEX([11]Sheet1!$B:$B,MATCH(B72,[11]Sheet1!$N:$N,0))</f>
        <v>FUJIFILM Vietnam Co., Ltd.</v>
      </c>
      <c r="D72" t="s">
        <v>129</v>
      </c>
      <c r="E72" t="str">
        <f ca="1">INDEX(OFFSET([12]Sheet1!$C:$C,0,0),MATCH($B72,[12]Sheet1!$N:$N,0))</f>
        <v>EC-760R-V/I</v>
      </c>
      <c r="F72" t="str">
        <f ca="1">INDEX(OFFSET([12]Sheet1!$C:$C,0,1),MATCH($B72,[12]Sheet1!$N:$N,0))</f>
        <v>1C728K438</v>
      </c>
      <c r="G72" s="75" t="s">
        <v>6368</v>
      </c>
      <c r="H72" s="75" t="s">
        <v>6401</v>
      </c>
      <c r="I72" s="75" t="s">
        <v>6433</v>
      </c>
      <c r="J72" s="75" t="s">
        <v>6435</v>
      </c>
      <c r="L72" t="s">
        <v>3</v>
      </c>
      <c r="N72" s="319" t="e">
        <v>#N/A</v>
      </c>
      <c r="AA72">
        <f>INDEX([11]Sheet1!$J:$J,MATCH(B72,[11]Sheet1!$N:$N,0))</f>
        <v>0</v>
      </c>
    </row>
    <row r="73" spans="1:27">
      <c r="A73">
        <f>SUBTOTAL(3,$B$3:B73)</f>
        <v>71</v>
      </c>
      <c r="B73" t="s">
        <v>6009</v>
      </c>
      <c r="C73" t="str">
        <f>INDEX([11]Sheet1!$B:$B,MATCH(B73,[11]Sheet1!$N:$N,0))</f>
        <v>FUJIFILM Vietnam Co., Ltd.</v>
      </c>
      <c r="D73" t="s">
        <v>129</v>
      </c>
      <c r="E73" t="str">
        <f ca="1">INDEX(OFFSET([12]Sheet1!$C:$C,0,0),MATCH($B73,[12]Sheet1!$N:$N,0))</f>
        <v>EC-530FI</v>
      </c>
      <c r="F73" t="str">
        <f ca="1">INDEX(OFFSET([12]Sheet1!$C:$C,0,1),MATCH($B73,[12]Sheet1!$N:$N,0))</f>
        <v>1C653K505</v>
      </c>
      <c r="G73" s="75" t="s">
        <v>6369</v>
      </c>
      <c r="H73" s="75" t="s">
        <v>6402</v>
      </c>
      <c r="I73" s="75" t="s">
        <v>6442</v>
      </c>
      <c r="J73" s="75" t="s">
        <v>6482</v>
      </c>
      <c r="L73" t="s">
        <v>3</v>
      </c>
      <c r="N73" s="319" t="e">
        <v>#N/A</v>
      </c>
      <c r="AA73" t="str">
        <f>INDEX([11]Sheet1!$J:$J,MATCH(B73,[11]Sheet1!$N:$N,0))</f>
        <v>Waiting for FFVN approval</v>
      </c>
    </row>
    <row r="74" spans="1:27">
      <c r="A74">
        <f>SUBTOTAL(3,$B$3:B74)</f>
        <v>72</v>
      </c>
      <c r="B74" t="s">
        <v>6324</v>
      </c>
      <c r="C74" t="str">
        <f>INDEX([11]Sheet1!$B:$B,MATCH(B74,[11]Sheet1!$N:$N,0))</f>
        <v>Bach Mai Hospital</v>
      </c>
      <c r="D74" t="s">
        <v>129</v>
      </c>
      <c r="E74" t="str">
        <f ca="1">INDEX(OFFSET([12]Sheet1!$C:$C,0,0),MATCH($B74,[12]Sheet1!$N:$N,0))</f>
        <v>EG-600WR</v>
      </c>
      <c r="F74" t="str">
        <f ca="1">INDEX(OFFSET([12]Sheet1!$C:$C,0,1),MATCH($B74,[12]Sheet1!$N:$N,0))</f>
        <v>1G391K371</v>
      </c>
      <c r="G74" s="75" t="s">
        <v>6346</v>
      </c>
      <c r="H74" s="75" t="s">
        <v>6403</v>
      </c>
      <c r="I74" s="75" t="s">
        <v>6443</v>
      </c>
      <c r="J74" s="75" t="s">
        <v>6483</v>
      </c>
      <c r="L74" t="s">
        <v>2</v>
      </c>
      <c r="N74" s="319" t="e">
        <v>#N/A</v>
      </c>
      <c r="AA74" t="str">
        <f>INDEX([11]Sheet1!$J:$J,MATCH(B74,[11]Sheet1!$N:$N,0))</f>
        <v>Bach Mai</v>
      </c>
    </row>
    <row r="75" spans="1:27">
      <c r="A75">
        <f>SUBTOTAL(3,$B$3:B95)</f>
        <v>93</v>
      </c>
      <c r="B75" t="s">
        <v>1775</v>
      </c>
      <c r="C75" t="str">
        <f>INDEX([11]Sheet1!$B:$B,MATCH(B75,[11]Sheet1!$N:$N,0))</f>
        <v>FUJIFILM Vietnam Co., Ltd.</v>
      </c>
      <c r="D75" t="s">
        <v>129</v>
      </c>
      <c r="E75" t="str">
        <f ca="1">INDEX(OFFSET([12]Sheet1!$C:$C,0,0),MATCH($B75,[12]Sheet1!$N:$N,0))</f>
        <v>EC-600WI</v>
      </c>
      <c r="F75" t="str">
        <f ca="1">INDEX(OFFSET([12]Sheet1!$C:$C,0,1),MATCH($B75,[12]Sheet1!$N:$N,0))</f>
        <v>1C692K160</v>
      </c>
      <c r="G75" s="75" t="s">
        <v>6370</v>
      </c>
      <c r="H75" s="75" t="s">
        <v>6404</v>
      </c>
      <c r="I75" s="75" t="s">
        <v>6425</v>
      </c>
      <c r="J75" s="75" t="s">
        <v>6425</v>
      </c>
      <c r="L75" t="s">
        <v>2</v>
      </c>
      <c r="N75" s="319">
        <v>4.24</v>
      </c>
      <c r="AA75" t="str">
        <f>INDEX([11]Sheet1!$J:$J,MATCH(B75,[11]Sheet1!$N:$N,0))</f>
        <v>Used part for HMU</v>
      </c>
    </row>
    <row r="76" spans="1:27">
      <c r="A76">
        <f>SUBTOTAL(3,$B$3:B95)</f>
        <v>93</v>
      </c>
      <c r="B76" t="s">
        <v>6329</v>
      </c>
      <c r="E76" t="s">
        <v>27</v>
      </c>
      <c r="F76" t="s">
        <v>6326</v>
      </c>
      <c r="G76" s="75" t="s">
        <v>6371</v>
      </c>
      <c r="H76" s="75" t="s">
        <v>6405</v>
      </c>
      <c r="I76" s="75" t="s">
        <v>6444</v>
      </c>
      <c r="J76" s="75" t="s">
        <v>6483</v>
      </c>
      <c r="L76" t="s">
        <v>4</v>
      </c>
      <c r="N76" s="319">
        <v>3478.92</v>
      </c>
      <c r="AA76" t="e">
        <f>INDEX([11]Sheet1!$J:$J,MATCH(B76,[11]Sheet1!$N:$N,0))</f>
        <v>#N/A</v>
      </c>
    </row>
    <row r="77" spans="1:27">
      <c r="A77">
        <f>SUBTOTAL(3,$B$3:B95)</f>
        <v>93</v>
      </c>
      <c r="B77" t="s">
        <v>3854</v>
      </c>
      <c r="E77" t="s">
        <v>19</v>
      </c>
      <c r="F77" t="s">
        <v>3075</v>
      </c>
      <c r="G77" s="75" t="s">
        <v>6338</v>
      </c>
      <c r="H77" s="75" t="s">
        <v>6378</v>
      </c>
      <c r="I77" s="75" t="s">
        <v>6445</v>
      </c>
      <c r="J77" s="75" t="s">
        <v>6445</v>
      </c>
      <c r="L77" t="s">
        <v>2</v>
      </c>
      <c r="N77" s="319">
        <v>3325.2200000000003</v>
      </c>
      <c r="AA77">
        <f>INDEX([11]Sheet1!$J:$J,MATCH(B77,[11]Sheet1!$N:$N,0))</f>
        <v>0</v>
      </c>
    </row>
    <row r="78" spans="1:27">
      <c r="A78">
        <f>SUBTOTAL(3,$B$3:B95)</f>
        <v>93</v>
      </c>
      <c r="B78" t="s">
        <v>4245</v>
      </c>
      <c r="E78" t="s">
        <v>104</v>
      </c>
      <c r="F78" t="s">
        <v>293</v>
      </c>
      <c r="G78" s="75" t="s">
        <v>6372</v>
      </c>
      <c r="H78" s="75" t="s">
        <v>6406</v>
      </c>
      <c r="I78" s="75" t="s">
        <v>6446</v>
      </c>
      <c r="J78" s="75" t="s">
        <v>6446</v>
      </c>
      <c r="L78" t="s">
        <v>3</v>
      </c>
      <c r="N78" s="319">
        <v>3154.56</v>
      </c>
      <c r="AA78" t="e">
        <f>INDEX([11]Sheet1!$J:$J,MATCH(B78,[11]Sheet1!$N:$N,0))</f>
        <v>#N/A</v>
      </c>
    </row>
    <row r="79" spans="1:27">
      <c r="A79">
        <f>SUBTOTAL(3,$B$3:B79)</f>
        <v>77</v>
      </c>
      <c r="B79" t="s">
        <v>4485</v>
      </c>
      <c r="E79" t="s">
        <v>1103</v>
      </c>
      <c r="F79" t="s">
        <v>3717</v>
      </c>
      <c r="G79" s="75" t="s">
        <v>6335</v>
      </c>
      <c r="H79" s="75">
        <v>0</v>
      </c>
      <c r="I79" s="75" t="s">
        <v>6447</v>
      </c>
      <c r="J79" s="75" t="s">
        <v>6447</v>
      </c>
      <c r="L79" t="s">
        <v>2</v>
      </c>
      <c r="N79" s="319">
        <v>1270.94</v>
      </c>
      <c r="AA79">
        <f>INDEX([11]Sheet1!$J:$J,MATCH(B79,[11]Sheet1!$N:$N,0))</f>
        <v>0</v>
      </c>
    </row>
    <row r="80" spans="1:27">
      <c r="A80">
        <f>SUBTOTAL(3,$B$3:B80)</f>
        <v>78</v>
      </c>
      <c r="B80" t="s">
        <v>6118</v>
      </c>
      <c r="E80" t="s">
        <v>1103</v>
      </c>
      <c r="F80" t="s">
        <v>1206</v>
      </c>
      <c r="G80" s="75" t="s">
        <v>6335</v>
      </c>
      <c r="H80" s="75">
        <v>0</v>
      </c>
      <c r="I80" s="75" t="s">
        <v>6448</v>
      </c>
      <c r="J80" s="75">
        <v>0</v>
      </c>
      <c r="L80">
        <v>0</v>
      </c>
      <c r="N80" s="319">
        <v>295.74</v>
      </c>
      <c r="AA80" t="e">
        <f>INDEX([11]Sheet1!$J:$J,MATCH(B80,[11]Sheet1!$N:$N,0))</f>
        <v>#N/A</v>
      </c>
    </row>
    <row r="81" spans="1:27">
      <c r="A81">
        <f>SUBTOTAL(3,$B$3:B95)</f>
        <v>93</v>
      </c>
      <c r="B81" t="s">
        <v>3894</v>
      </c>
      <c r="E81" t="s">
        <v>1103</v>
      </c>
      <c r="F81" t="s">
        <v>3895</v>
      </c>
      <c r="G81" s="75" t="s">
        <v>6337</v>
      </c>
      <c r="H81" s="75" t="s">
        <v>6407</v>
      </c>
      <c r="I81" s="75" t="s">
        <v>6449</v>
      </c>
      <c r="J81" s="75" t="s">
        <v>6449</v>
      </c>
      <c r="L81" t="s">
        <v>2</v>
      </c>
      <c r="N81" s="319">
        <v>3236.1799999999994</v>
      </c>
      <c r="AA81">
        <f>INDEX([11]Sheet1!$J:$J,MATCH(B81,[11]Sheet1!$N:$N,0))</f>
        <v>0</v>
      </c>
    </row>
    <row r="82" spans="1:27">
      <c r="A82">
        <f>SUBTOTAL(3,$B$3:B82)</f>
        <v>80</v>
      </c>
      <c r="B82" t="s">
        <v>5135</v>
      </c>
      <c r="E82" t="s">
        <v>32</v>
      </c>
      <c r="F82" t="s">
        <v>4016</v>
      </c>
      <c r="G82" s="75" t="s">
        <v>6330</v>
      </c>
      <c r="H82" s="75" t="s">
        <v>6383</v>
      </c>
      <c r="I82" s="75" t="s">
        <v>6450</v>
      </c>
      <c r="J82" s="75" t="s">
        <v>6484</v>
      </c>
      <c r="L82" t="s">
        <v>2</v>
      </c>
      <c r="N82" s="319" t="e">
        <v>#N/A</v>
      </c>
      <c r="AA82">
        <f>INDEX([11]Sheet1!$J:$J,MATCH(B82,[11]Sheet1!$N:$N,0))</f>
        <v>0</v>
      </c>
    </row>
    <row r="83" spans="1:27">
      <c r="A83">
        <f>SUBTOTAL(3,$B$3:B83)</f>
        <v>81</v>
      </c>
      <c r="B83" t="s">
        <v>3931</v>
      </c>
      <c r="E83" t="s">
        <v>32</v>
      </c>
      <c r="F83" t="s">
        <v>1190</v>
      </c>
      <c r="G83" s="75" t="s">
        <v>6373</v>
      </c>
      <c r="H83" s="75" t="s">
        <v>6408</v>
      </c>
      <c r="I83" s="75" t="s">
        <v>6451</v>
      </c>
      <c r="J83" s="75" t="s">
        <v>6451</v>
      </c>
      <c r="L83" t="s">
        <v>3</v>
      </c>
      <c r="N83" s="319">
        <v>1246.56</v>
      </c>
      <c r="AA83" t="e">
        <f>INDEX([11]Sheet1!$J:$J,MATCH(B83,[11]Sheet1!$N:$N,0))</f>
        <v>#N/A</v>
      </c>
    </row>
    <row r="84" spans="1:27">
      <c r="A84">
        <f>SUBTOTAL(3,$B$3:B84)</f>
        <v>82</v>
      </c>
      <c r="B84" t="s">
        <v>1951</v>
      </c>
      <c r="E84" t="s">
        <v>6327</v>
      </c>
      <c r="F84" t="s">
        <v>1202</v>
      </c>
      <c r="H84" s="75" t="s">
        <v>6382</v>
      </c>
      <c r="I84" s="75" t="s">
        <v>6452</v>
      </c>
      <c r="J84" s="75" t="s">
        <v>6452</v>
      </c>
      <c r="L84" t="s">
        <v>2</v>
      </c>
      <c r="N84" s="319">
        <v>258.64</v>
      </c>
      <c r="AA84" t="e">
        <f>INDEX([11]Sheet1!$J:$J,MATCH(B84,[11]Sheet1!$N:$N,0))</f>
        <v>#N/A</v>
      </c>
    </row>
    <row r="85" spans="1:27">
      <c r="A85">
        <f>SUBTOTAL(3,$B$3:B85)</f>
        <v>83</v>
      </c>
      <c r="B85" t="s">
        <v>3961</v>
      </c>
      <c r="E85" t="s">
        <v>25</v>
      </c>
      <c r="F85" t="s">
        <v>3966</v>
      </c>
      <c r="G85" s="75" t="s">
        <v>6342</v>
      </c>
      <c r="H85" s="75" t="s">
        <v>6409</v>
      </c>
      <c r="I85" s="75" t="s">
        <v>6453</v>
      </c>
      <c r="J85" s="75" t="s">
        <v>6485</v>
      </c>
      <c r="L85" t="s">
        <v>2</v>
      </c>
      <c r="N85" s="319">
        <v>641.29999999999995</v>
      </c>
      <c r="AA85">
        <f>INDEX([11]Sheet1!$J:$J,MATCH(B85,[11]Sheet1!$N:$N,0))</f>
        <v>0</v>
      </c>
    </row>
    <row r="86" spans="1:27">
      <c r="A86">
        <f>SUBTOTAL(3,$B$3:B86)</f>
        <v>84</v>
      </c>
      <c r="B86" t="s">
        <v>3632</v>
      </c>
      <c r="E86" t="s">
        <v>124</v>
      </c>
      <c r="F86" t="s">
        <v>123</v>
      </c>
      <c r="G86" s="75" t="s">
        <v>6355</v>
      </c>
      <c r="H86" s="75" t="s">
        <v>6410</v>
      </c>
      <c r="I86" s="75" t="s">
        <v>6454</v>
      </c>
      <c r="J86" s="75" t="s">
        <v>6454</v>
      </c>
      <c r="L86" t="s">
        <v>3</v>
      </c>
      <c r="N86" s="319">
        <v>673.1</v>
      </c>
      <c r="AA86" t="e">
        <f>INDEX([11]Sheet1!$J:$J,MATCH(B86,[11]Sheet1!$N:$N,0))</f>
        <v>#N/A</v>
      </c>
    </row>
    <row r="87" spans="1:27">
      <c r="A87">
        <f>SUBTOTAL(3,$B$3:B87)</f>
        <v>85</v>
      </c>
      <c r="B87" t="s">
        <v>5403</v>
      </c>
      <c r="E87" t="s">
        <v>16</v>
      </c>
      <c r="F87" t="s">
        <v>3963</v>
      </c>
      <c r="G87" s="75" t="s">
        <v>6349</v>
      </c>
      <c r="H87" s="75" t="s">
        <v>6382</v>
      </c>
      <c r="I87" s="75" t="s">
        <v>6455</v>
      </c>
      <c r="J87" s="75" t="s">
        <v>6455</v>
      </c>
      <c r="L87" t="s">
        <v>2</v>
      </c>
      <c r="N87" s="319">
        <v>906.3</v>
      </c>
      <c r="AA87" t="e">
        <f>INDEX([11]Sheet1!$J:$J,MATCH(B87,[11]Sheet1!$N:$N,0))</f>
        <v>#N/A</v>
      </c>
    </row>
    <row r="88" spans="1:27">
      <c r="A88">
        <f>SUBTOTAL(3,$B$3:B95)</f>
        <v>93</v>
      </c>
      <c r="B88" t="s">
        <v>3952</v>
      </c>
      <c r="E88" t="s">
        <v>1115</v>
      </c>
      <c r="F88" t="s">
        <v>3955</v>
      </c>
      <c r="H88" s="75" t="s">
        <v>6411</v>
      </c>
      <c r="I88" s="75" t="s">
        <v>6456</v>
      </c>
      <c r="J88" s="75" t="s">
        <v>6456</v>
      </c>
      <c r="L88" t="s">
        <v>3</v>
      </c>
      <c r="N88" s="319">
        <v>4.24</v>
      </c>
      <c r="AA88" t="e">
        <f>INDEX([11]Sheet1!$J:$J,MATCH(B88,[11]Sheet1!$N:$N,0))</f>
        <v>#N/A</v>
      </c>
    </row>
    <row r="89" spans="1:27">
      <c r="A89">
        <f>SUBTOTAL(3,$B$3:B89)</f>
        <v>87</v>
      </c>
      <c r="B89" t="s">
        <v>2974</v>
      </c>
      <c r="E89" t="s">
        <v>32</v>
      </c>
      <c r="F89" t="s">
        <v>2108</v>
      </c>
      <c r="G89" s="75" t="s">
        <v>6352</v>
      </c>
      <c r="H89" s="75" t="s">
        <v>6386</v>
      </c>
      <c r="I89" s="75" t="s">
        <v>6457</v>
      </c>
      <c r="J89" s="75" t="s">
        <v>6486</v>
      </c>
      <c r="L89" t="s">
        <v>2</v>
      </c>
      <c r="N89" s="319">
        <v>4355.54</v>
      </c>
      <c r="AA89" t="e">
        <f>INDEX([11]Sheet1!$J:$J,MATCH(B89,[11]Sheet1!$N:$N,0))</f>
        <v>#N/A</v>
      </c>
    </row>
    <row r="90" spans="1:27">
      <c r="A90">
        <f>SUBTOTAL(3,$B$3:B90)</f>
        <v>88</v>
      </c>
      <c r="B90" t="s">
        <v>4707</v>
      </c>
      <c r="E90" t="s">
        <v>1124</v>
      </c>
      <c r="F90" t="s">
        <v>1183</v>
      </c>
      <c r="G90" s="75" t="s">
        <v>6334</v>
      </c>
      <c r="H90" s="75">
        <v>0</v>
      </c>
      <c r="I90" s="75" t="s">
        <v>6458</v>
      </c>
      <c r="J90" s="75" t="s">
        <v>6458</v>
      </c>
      <c r="L90" t="s">
        <v>2</v>
      </c>
      <c r="N90" s="319">
        <v>53</v>
      </c>
      <c r="AA90">
        <f>INDEX([11]Sheet1!$J:$J,MATCH(B90,[11]Sheet1!$N:$N,0))</f>
        <v>0</v>
      </c>
    </row>
    <row r="91" spans="1:27">
      <c r="A91">
        <f>SUBTOTAL(3,$B$3:B95)</f>
        <v>93</v>
      </c>
      <c r="B91" t="s">
        <v>4493</v>
      </c>
      <c r="E91" t="s">
        <v>1124</v>
      </c>
      <c r="F91" t="s">
        <v>1185</v>
      </c>
      <c r="G91" s="75" t="s">
        <v>6334</v>
      </c>
      <c r="H91" s="75" t="s">
        <v>6412</v>
      </c>
      <c r="I91" s="75" t="s">
        <v>6459</v>
      </c>
      <c r="J91" s="75" t="s">
        <v>6459</v>
      </c>
      <c r="L91" t="s">
        <v>2</v>
      </c>
      <c r="N91" s="319" t="e">
        <v>#N/A</v>
      </c>
      <c r="AA91">
        <f>INDEX([11]Sheet1!$J:$J,MATCH(B91,[11]Sheet1!$N:$N,0))</f>
        <v>0</v>
      </c>
    </row>
    <row r="92" spans="1:27">
      <c r="A92">
        <f>SUBTOTAL(3,$B$3:B95)</f>
        <v>93</v>
      </c>
      <c r="B92" t="s">
        <v>5683</v>
      </c>
      <c r="E92" t="s">
        <v>6328</v>
      </c>
      <c r="F92" t="s">
        <v>1127</v>
      </c>
      <c r="G92" s="75" t="s">
        <v>6333</v>
      </c>
      <c r="H92" s="75" t="s">
        <v>6413</v>
      </c>
      <c r="I92" s="75" t="s">
        <v>6460</v>
      </c>
      <c r="J92" s="75" t="s">
        <v>6460</v>
      </c>
      <c r="L92" t="s">
        <v>2</v>
      </c>
      <c r="N92" s="319">
        <v>1387.54</v>
      </c>
      <c r="AA92">
        <f>INDEX([11]Sheet1!$J:$J,MATCH(B92,[11]Sheet1!$N:$N,0))</f>
        <v>0</v>
      </c>
    </row>
    <row r="93" spans="1:27">
      <c r="A93">
        <f>SUBTOTAL(3,$B$3:B95)</f>
        <v>93</v>
      </c>
      <c r="B93" s="354" t="s">
        <v>5538</v>
      </c>
      <c r="E93" t="s">
        <v>16</v>
      </c>
      <c r="F93" t="s">
        <v>3449</v>
      </c>
      <c r="H93" s="75" t="s">
        <v>6414</v>
      </c>
      <c r="I93" s="75" t="s">
        <v>6461</v>
      </c>
      <c r="J93" s="75" t="s">
        <v>6487</v>
      </c>
      <c r="L93" t="s">
        <v>2</v>
      </c>
      <c r="N93" s="319">
        <v>875.56</v>
      </c>
      <c r="AA93">
        <f>INDEX([11]Sheet1!$J:$J,MATCH(B93,[11]Sheet1!$N:$N,0))</f>
        <v>0</v>
      </c>
    </row>
    <row r="94" spans="1:27">
      <c r="A94">
        <f>SUBTOTAL(3,$B$3:B95)</f>
        <v>93</v>
      </c>
      <c r="B94" t="s">
        <v>5291</v>
      </c>
      <c r="E94" t="s">
        <v>25</v>
      </c>
      <c r="F94" t="s">
        <v>1199</v>
      </c>
      <c r="G94" s="75" t="s">
        <v>6331</v>
      </c>
      <c r="H94" s="75" t="s">
        <v>6415</v>
      </c>
      <c r="I94" s="75" t="s">
        <v>6462</v>
      </c>
      <c r="J94" s="75" t="s">
        <v>6488</v>
      </c>
      <c r="L94" t="s">
        <v>2</v>
      </c>
      <c r="N94" s="319">
        <v>1456.4399999999996</v>
      </c>
      <c r="AA94">
        <f>INDEX([11]Sheet1!$J:$J,MATCH(B94,[11]Sheet1!$N:$N,0))</f>
        <v>0</v>
      </c>
    </row>
    <row r="95" spans="1:27">
      <c r="A95">
        <f>SUBTOTAL(3,$B$3:B95)</f>
        <v>93</v>
      </c>
      <c r="B95" t="s">
        <v>4942</v>
      </c>
      <c r="E95" t="s">
        <v>1169</v>
      </c>
      <c r="F95" t="s">
        <v>2745</v>
      </c>
      <c r="G95" s="75" t="s">
        <v>6374</v>
      </c>
      <c r="H95" s="75" t="s">
        <v>6416</v>
      </c>
      <c r="I95" s="75" t="s">
        <v>6463</v>
      </c>
      <c r="J95" s="75" t="s">
        <v>6463</v>
      </c>
      <c r="L95" t="s">
        <v>2</v>
      </c>
      <c r="N95" s="319">
        <v>518.34</v>
      </c>
      <c r="AA95" t="e">
        <f>INDEX([11]Sheet1!$J:$J,MATCH(B95,[11]Sheet1!$N:$N,0))</f>
        <v>#N/A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&gt;'fmsv2023080102'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Inspection&gt;=#09/16/2023#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6315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6" priority="17">
      <formula>#REF!=$AE$11</formula>
    </cfRule>
    <cfRule type="expression" dxfId="15" priority="18">
      <formula>#REF!=$AE$12</formula>
    </cfRule>
    <cfRule type="expression" dxfId="14" priority="19">
      <formula>#REF!=$AE$13</formula>
    </cfRule>
    <cfRule type="expression" dxfId="13" priority="20">
      <formula>#REF!=$AE$14</formula>
    </cfRule>
    <cfRule type="expression" dxfId="12" priority="21">
      <formula>#REF!=#REF!</formula>
    </cfRule>
    <cfRule type="expression" dxfId="11" priority="22">
      <formula>#REF!=$AE$16</formula>
    </cfRule>
    <cfRule type="expression" dxfId="10" priority="23">
      <formula>#REF!=$AE$17</formula>
    </cfRule>
    <cfRule type="expression" dxfId="9" priority="24">
      <formula>#REF!=$AE$18</formula>
    </cfRule>
    <cfRule type="expression" dxfId="8" priority="25">
      <formula>#REF!=$AE$19</formula>
    </cfRule>
    <cfRule type="expression" dxfId="7" priority="26">
      <formula>#REF!=$AE$20</formula>
    </cfRule>
    <cfRule type="expression" dxfId="6" priority="27">
      <formula>#REF!=$AE$21</formula>
    </cfRule>
  </conditionalFormatting>
  <conditionalFormatting sqref="D18:D23">
    <cfRule type="duplicateValues" dxfId="5" priority="28"/>
  </conditionalFormatting>
  <conditionalFormatting sqref="D18:D31">
    <cfRule type="duplicateValues" dxfId="4" priority="16"/>
  </conditionalFormatting>
  <conditionalFormatting sqref="D18:D31">
    <cfRule type="duplicateValues" dxfId="3" priority="15"/>
  </conditionalFormatting>
  <conditionalFormatting sqref="D24:D27">
    <cfRule type="duplicateValues" dxfId="2" priority="14"/>
  </conditionalFormatting>
  <conditionalFormatting sqref="D30:D31">
    <cfRule type="duplicateValues" dxfId="1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Dashboard</vt:lpstr>
      <vt:lpstr>Summary 15-Sep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4. Waiting confirm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2023-09-24T14:05:15Z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